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Enoh\Desktop\INJSS FILES\"/>
    </mc:Choice>
  </mc:AlternateContent>
  <xr:revisionPtr revIDLastSave="0" documentId="13_ncr:1_{6A885565-C810-4475-9EF3-C7A1E04C9752}" xr6:coauthVersionLast="47" xr6:coauthVersionMax="47" xr10:uidLastSave="{00000000-0000-0000-0000-000000000000}"/>
  <bookViews>
    <workbookView xWindow="-110" yWindow="-110" windowWidth="19420" windowHeight="10420" activeTab="3" xr2:uid="{066D7C8A-2542-43BD-86E0-D0C858A86498}"/>
  </bookViews>
  <sheets>
    <sheet name="JANUARY 2026" sheetId="2" r:id="rId1"/>
    <sheet name="FEBRUARY 2026" sheetId="3" r:id="rId2"/>
    <sheet name="MARCH 2026 " sheetId="6" r:id="rId3"/>
    <sheet name="APRIL2026" sheetId="7" r:id="rId4"/>
    <sheet name="Sheet1" sheetId="1" r:id="rId5"/>
  </sheets>
  <externalReferences>
    <externalReference r:id="rId6"/>
    <externalReference r:id="rId7"/>
  </externalReferences>
  <definedNames>
    <definedName name="_xlnm._FilterDatabase" localSheetId="3" hidden="1">APRIL2026!$A$4:$AA$598</definedName>
    <definedName name="_xlnm._FilterDatabase" localSheetId="1" hidden="1">'FEBRUARY 2026'!$A$4:$AA$598</definedName>
    <definedName name="_xlnm._FilterDatabase" localSheetId="0" hidden="1">'JANUARY 2026'!$A$4:$AA$598</definedName>
    <definedName name="_xlnm._FilterDatabase" localSheetId="2" hidden="1">'MARCH 2026 '!$A$4:$AA$598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598" i="7" l="1"/>
  <c r="AA598" i="7" s="1"/>
  <c r="Y598" i="7"/>
  <c r="X598" i="7" a="1"/>
  <c r="X598" i="7" s="1"/>
  <c r="W598" i="7" a="1"/>
  <c r="W598" i="7" s="1"/>
  <c r="L598" i="7"/>
  <c r="K598" i="7"/>
  <c r="J598" i="7"/>
  <c r="B598" i="7"/>
  <c r="A598" i="7"/>
  <c r="AA597" i="7"/>
  <c r="Z597" i="7"/>
  <c r="Y597" i="7"/>
  <c r="X597" i="7"/>
  <c r="X597" i="7" a="1"/>
  <c r="W597" i="7"/>
  <c r="W597" i="7" a="1"/>
  <c r="L597" i="7"/>
  <c r="K597" i="7"/>
  <c r="J597" i="7"/>
  <c r="B597" i="7"/>
  <c r="A597" i="7"/>
  <c r="Z596" i="7"/>
  <c r="AA596" i="7" s="1"/>
  <c r="Y596" i="7"/>
  <c r="X596" i="7" a="1"/>
  <c r="X596" i="7" s="1"/>
  <c r="W596" i="7" a="1"/>
  <c r="W596" i="7" s="1"/>
  <c r="L596" i="7"/>
  <c r="K596" i="7"/>
  <c r="J596" i="7"/>
  <c r="B596" i="7"/>
  <c r="A596" i="7"/>
  <c r="AA595" i="7"/>
  <c r="Z595" i="7"/>
  <c r="Y595" i="7"/>
  <c r="X595" i="7"/>
  <c r="X595" i="7" a="1"/>
  <c r="W595" i="7"/>
  <c r="W595" i="7" a="1"/>
  <c r="L595" i="7"/>
  <c r="K595" i="7"/>
  <c r="J595" i="7"/>
  <c r="B595" i="7"/>
  <c r="A595" i="7"/>
  <c r="Z594" i="7"/>
  <c r="AA594" i="7" s="1"/>
  <c r="Y594" i="7"/>
  <c r="X594" i="7" a="1"/>
  <c r="X594" i="7" s="1"/>
  <c r="W594" i="7" a="1"/>
  <c r="W594" i="7" s="1"/>
  <c r="L594" i="7"/>
  <c r="K594" i="7"/>
  <c r="J594" i="7"/>
  <c r="B594" i="7"/>
  <c r="A594" i="7"/>
  <c r="AA593" i="7"/>
  <c r="Z593" i="7"/>
  <c r="Y593" i="7"/>
  <c r="X593" i="7"/>
  <c r="X593" i="7" a="1"/>
  <c r="W593" i="7"/>
  <c r="W593" i="7" a="1"/>
  <c r="L593" i="7"/>
  <c r="K593" i="7"/>
  <c r="J593" i="7"/>
  <c r="B593" i="7"/>
  <c r="A593" i="7"/>
  <c r="Z592" i="7"/>
  <c r="AA592" i="7" s="1"/>
  <c r="Y592" i="7"/>
  <c r="X592" i="7" a="1"/>
  <c r="X592" i="7" s="1"/>
  <c r="W592" i="7" a="1"/>
  <c r="W592" i="7" s="1"/>
  <c r="L592" i="7"/>
  <c r="K592" i="7"/>
  <c r="J592" i="7"/>
  <c r="B592" i="7"/>
  <c r="A592" i="7"/>
  <c r="AA591" i="7"/>
  <c r="Z591" i="7"/>
  <c r="Y591" i="7"/>
  <c r="X591" i="7"/>
  <c r="X591" i="7" a="1"/>
  <c r="W591" i="7"/>
  <c r="W591" i="7" a="1"/>
  <c r="L591" i="7"/>
  <c r="K591" i="7"/>
  <c r="J591" i="7"/>
  <c r="B591" i="7"/>
  <c r="A591" i="7"/>
  <c r="Z590" i="7"/>
  <c r="AA590" i="7" s="1"/>
  <c r="Y590" i="7"/>
  <c r="X590" i="7" a="1"/>
  <c r="X590" i="7" s="1"/>
  <c r="W590" i="7" a="1"/>
  <c r="W590" i="7" s="1"/>
  <c r="L590" i="7"/>
  <c r="K590" i="7"/>
  <c r="J590" i="7"/>
  <c r="B590" i="7"/>
  <c r="A590" i="7"/>
  <c r="AA589" i="7"/>
  <c r="Z589" i="7"/>
  <c r="Y589" i="7"/>
  <c r="X589" i="7"/>
  <c r="X589" i="7" a="1"/>
  <c r="W589" i="7"/>
  <c r="W589" i="7" a="1"/>
  <c r="L589" i="7"/>
  <c r="K589" i="7"/>
  <c r="J589" i="7"/>
  <c r="B589" i="7"/>
  <c r="A589" i="7"/>
  <c r="Z588" i="7"/>
  <c r="AA588" i="7" s="1"/>
  <c r="Y588" i="7"/>
  <c r="X588" i="7" a="1"/>
  <c r="X588" i="7" s="1"/>
  <c r="W588" i="7" a="1"/>
  <c r="W588" i="7" s="1"/>
  <c r="L588" i="7"/>
  <c r="K588" i="7"/>
  <c r="J588" i="7"/>
  <c r="B588" i="7"/>
  <c r="A588" i="7"/>
  <c r="AA587" i="7"/>
  <c r="Z587" i="7"/>
  <c r="Y587" i="7"/>
  <c r="X587" i="7"/>
  <c r="X587" i="7" a="1"/>
  <c r="W587" i="7"/>
  <c r="W587" i="7" a="1"/>
  <c r="L587" i="7"/>
  <c r="K587" i="7"/>
  <c r="J587" i="7"/>
  <c r="B587" i="7"/>
  <c r="A587" i="7"/>
  <c r="Z586" i="7"/>
  <c r="AA586" i="7" s="1"/>
  <c r="Y586" i="7"/>
  <c r="X586" i="7" a="1"/>
  <c r="X586" i="7" s="1"/>
  <c r="W586" i="7" a="1"/>
  <c r="W586" i="7" s="1"/>
  <c r="L586" i="7"/>
  <c r="K586" i="7"/>
  <c r="J586" i="7"/>
  <c r="B586" i="7"/>
  <c r="A586" i="7"/>
  <c r="AA585" i="7"/>
  <c r="Z585" i="7"/>
  <c r="Y585" i="7"/>
  <c r="X585" i="7"/>
  <c r="X585" i="7" a="1"/>
  <c r="W585" i="7"/>
  <c r="W585" i="7" a="1"/>
  <c r="L585" i="7"/>
  <c r="K585" i="7"/>
  <c r="J585" i="7"/>
  <c r="B585" i="7"/>
  <c r="A585" i="7"/>
  <c r="Z584" i="7"/>
  <c r="AA584" i="7" s="1"/>
  <c r="Y584" i="7"/>
  <c r="X584" i="7" a="1"/>
  <c r="X584" i="7" s="1"/>
  <c r="W584" i="7" a="1"/>
  <c r="W584" i="7" s="1"/>
  <c r="L584" i="7"/>
  <c r="K584" i="7"/>
  <c r="J584" i="7"/>
  <c r="B584" i="7"/>
  <c r="A584" i="7"/>
  <c r="AA583" i="7"/>
  <c r="Z583" i="7"/>
  <c r="Y583" i="7"/>
  <c r="X583" i="7"/>
  <c r="X583" i="7" a="1"/>
  <c r="W583" i="7"/>
  <c r="W583" i="7" a="1"/>
  <c r="L583" i="7"/>
  <c r="K583" i="7"/>
  <c r="J583" i="7"/>
  <c r="B583" i="7"/>
  <c r="A583" i="7"/>
  <c r="Z582" i="7"/>
  <c r="AA582" i="7" s="1"/>
  <c r="Y582" i="7"/>
  <c r="X582" i="7" a="1"/>
  <c r="X582" i="7" s="1"/>
  <c r="W582" i="7" a="1"/>
  <c r="W582" i="7" s="1"/>
  <c r="L582" i="7"/>
  <c r="K582" i="7"/>
  <c r="J582" i="7"/>
  <c r="B582" i="7"/>
  <c r="A582" i="7"/>
  <c r="AA581" i="7"/>
  <c r="Z581" i="7"/>
  <c r="Y581" i="7"/>
  <c r="X581" i="7"/>
  <c r="X581" i="7" a="1"/>
  <c r="W581" i="7"/>
  <c r="W581" i="7" a="1"/>
  <c r="L581" i="7"/>
  <c r="K581" i="7"/>
  <c r="J581" i="7"/>
  <c r="B581" i="7"/>
  <c r="A581" i="7"/>
  <c r="Z580" i="7"/>
  <c r="AA580" i="7" s="1"/>
  <c r="Y580" i="7"/>
  <c r="X580" i="7" a="1"/>
  <c r="X580" i="7" s="1"/>
  <c r="W580" i="7" a="1"/>
  <c r="W580" i="7" s="1"/>
  <c r="L580" i="7"/>
  <c r="K580" i="7"/>
  <c r="J580" i="7"/>
  <c r="B580" i="7"/>
  <c r="A580" i="7"/>
  <c r="AA579" i="7"/>
  <c r="Z579" i="7"/>
  <c r="Y579" i="7"/>
  <c r="X579" i="7"/>
  <c r="X579" i="7" a="1"/>
  <c r="W579" i="7"/>
  <c r="W579" i="7" a="1"/>
  <c r="L579" i="7"/>
  <c r="K579" i="7"/>
  <c r="J579" i="7"/>
  <c r="B579" i="7"/>
  <c r="A579" i="7"/>
  <c r="Z578" i="7"/>
  <c r="AA578" i="7" s="1"/>
  <c r="Y578" i="7"/>
  <c r="X578" i="7" a="1"/>
  <c r="X578" i="7" s="1"/>
  <c r="W578" i="7" a="1"/>
  <c r="W578" i="7" s="1"/>
  <c r="L578" i="7"/>
  <c r="K578" i="7"/>
  <c r="J578" i="7"/>
  <c r="B578" i="7"/>
  <c r="A578" i="7"/>
  <c r="AA577" i="7"/>
  <c r="Z577" i="7"/>
  <c r="Y577" i="7"/>
  <c r="X577" i="7"/>
  <c r="X577" i="7" a="1"/>
  <c r="W577" i="7"/>
  <c r="W577" i="7" a="1"/>
  <c r="L577" i="7"/>
  <c r="K577" i="7"/>
  <c r="J577" i="7"/>
  <c r="B577" i="7"/>
  <c r="A577" i="7"/>
  <c r="Z576" i="7"/>
  <c r="AA576" i="7" s="1"/>
  <c r="Y576" i="7"/>
  <c r="X576" i="7" a="1"/>
  <c r="X576" i="7" s="1"/>
  <c r="W576" i="7" a="1"/>
  <c r="W576" i="7" s="1"/>
  <c r="L576" i="7"/>
  <c r="K576" i="7"/>
  <c r="J576" i="7"/>
  <c r="B576" i="7"/>
  <c r="A576" i="7"/>
  <c r="AA575" i="7"/>
  <c r="Z575" i="7"/>
  <c r="Y575" i="7"/>
  <c r="X575" i="7"/>
  <c r="X575" i="7" a="1"/>
  <c r="W575" i="7"/>
  <c r="W575" i="7" a="1"/>
  <c r="L575" i="7"/>
  <c r="K575" i="7"/>
  <c r="J575" i="7"/>
  <c r="B575" i="7"/>
  <c r="A575" i="7"/>
  <c r="Z574" i="7"/>
  <c r="AA574" i="7" s="1"/>
  <c r="Y574" i="7"/>
  <c r="X574" i="7" a="1"/>
  <c r="X574" i="7" s="1"/>
  <c r="W574" i="7" a="1"/>
  <c r="W574" i="7" s="1"/>
  <c r="L574" i="7"/>
  <c r="K574" i="7"/>
  <c r="J574" i="7"/>
  <c r="B574" i="7"/>
  <c r="A574" i="7"/>
  <c r="AA573" i="7"/>
  <c r="Z573" i="7"/>
  <c r="Y573" i="7"/>
  <c r="X573" i="7"/>
  <c r="X573" i="7" a="1"/>
  <c r="W573" i="7"/>
  <c r="W573" i="7" a="1"/>
  <c r="L573" i="7"/>
  <c r="K573" i="7"/>
  <c r="J573" i="7"/>
  <c r="B573" i="7"/>
  <c r="A573" i="7"/>
  <c r="Z572" i="7"/>
  <c r="AA572" i="7" s="1"/>
  <c r="Y572" i="7"/>
  <c r="X572" i="7" a="1"/>
  <c r="X572" i="7" s="1"/>
  <c r="W572" i="7" a="1"/>
  <c r="W572" i="7" s="1"/>
  <c r="L572" i="7"/>
  <c r="K572" i="7"/>
  <c r="J572" i="7"/>
  <c r="B572" i="7"/>
  <c r="A572" i="7"/>
  <c r="AA571" i="7"/>
  <c r="Z571" i="7"/>
  <c r="Y571" i="7"/>
  <c r="X571" i="7"/>
  <c r="X571" i="7" a="1"/>
  <c r="W571" i="7"/>
  <c r="W571" i="7" a="1"/>
  <c r="L571" i="7"/>
  <c r="K571" i="7"/>
  <c r="J571" i="7"/>
  <c r="B571" i="7"/>
  <c r="A571" i="7"/>
  <c r="Z570" i="7"/>
  <c r="AA570" i="7" s="1"/>
  <c r="Y570" i="7"/>
  <c r="X570" i="7" a="1"/>
  <c r="X570" i="7" s="1"/>
  <c r="W570" i="7" a="1"/>
  <c r="W570" i="7" s="1"/>
  <c r="L570" i="7"/>
  <c r="K570" i="7"/>
  <c r="J570" i="7"/>
  <c r="B570" i="7"/>
  <c r="A570" i="7"/>
  <c r="AA569" i="7"/>
  <c r="Z569" i="7"/>
  <c r="Y569" i="7"/>
  <c r="X569" i="7"/>
  <c r="X569" i="7" a="1"/>
  <c r="W569" i="7"/>
  <c r="W569" i="7" a="1"/>
  <c r="L569" i="7"/>
  <c r="K569" i="7"/>
  <c r="J569" i="7"/>
  <c r="B569" i="7"/>
  <c r="A569" i="7"/>
  <c r="Z568" i="7"/>
  <c r="AA568" i="7" s="1"/>
  <c r="Y568" i="7"/>
  <c r="X568" i="7" a="1"/>
  <c r="X568" i="7" s="1"/>
  <c r="W568" i="7" a="1"/>
  <c r="W568" i="7" s="1"/>
  <c r="L568" i="7"/>
  <c r="K568" i="7"/>
  <c r="J568" i="7"/>
  <c r="B568" i="7"/>
  <c r="A568" i="7"/>
  <c r="AA567" i="7"/>
  <c r="Z567" i="7"/>
  <c r="Y567" i="7"/>
  <c r="X567" i="7"/>
  <c r="X567" i="7" a="1"/>
  <c r="W567" i="7"/>
  <c r="W567" i="7" a="1"/>
  <c r="L567" i="7"/>
  <c r="K567" i="7"/>
  <c r="J567" i="7"/>
  <c r="B567" i="7"/>
  <c r="A567" i="7"/>
  <c r="Z566" i="7"/>
  <c r="AA566" i="7" s="1"/>
  <c r="Y566" i="7"/>
  <c r="X566" i="7" a="1"/>
  <c r="X566" i="7" s="1"/>
  <c r="W566" i="7" a="1"/>
  <c r="W566" i="7" s="1"/>
  <c r="L566" i="7"/>
  <c r="K566" i="7"/>
  <c r="J566" i="7"/>
  <c r="B566" i="7"/>
  <c r="A566" i="7"/>
  <c r="AA565" i="7"/>
  <c r="Z565" i="7"/>
  <c r="Y565" i="7"/>
  <c r="X565" i="7"/>
  <c r="X565" i="7" a="1"/>
  <c r="W565" i="7"/>
  <c r="W565" i="7" a="1"/>
  <c r="L565" i="7"/>
  <c r="K565" i="7"/>
  <c r="J565" i="7"/>
  <c r="B565" i="7"/>
  <c r="A565" i="7"/>
  <c r="Z564" i="7"/>
  <c r="AA564" i="7" s="1"/>
  <c r="Y564" i="7"/>
  <c r="X564" i="7" a="1"/>
  <c r="X564" i="7" s="1"/>
  <c r="W564" i="7" a="1"/>
  <c r="W564" i="7" s="1"/>
  <c r="L564" i="7"/>
  <c r="K564" i="7"/>
  <c r="J564" i="7"/>
  <c r="B564" i="7"/>
  <c r="A564" i="7"/>
  <c r="AA563" i="7"/>
  <c r="Z563" i="7"/>
  <c r="Y563" i="7"/>
  <c r="X563" i="7"/>
  <c r="X563" i="7" a="1"/>
  <c r="W563" i="7"/>
  <c r="W563" i="7" a="1"/>
  <c r="L563" i="7"/>
  <c r="K563" i="7"/>
  <c r="J563" i="7"/>
  <c r="B563" i="7"/>
  <c r="A563" i="7"/>
  <c r="Z562" i="7"/>
  <c r="AA562" i="7" s="1"/>
  <c r="Y562" i="7"/>
  <c r="X562" i="7" a="1"/>
  <c r="X562" i="7" s="1"/>
  <c r="W562" i="7" a="1"/>
  <c r="W562" i="7" s="1"/>
  <c r="L562" i="7"/>
  <c r="K562" i="7"/>
  <c r="J562" i="7"/>
  <c r="B562" i="7"/>
  <c r="A562" i="7"/>
  <c r="AA561" i="7"/>
  <c r="Z561" i="7"/>
  <c r="Y561" i="7"/>
  <c r="X561" i="7"/>
  <c r="X561" i="7" a="1"/>
  <c r="W561" i="7"/>
  <c r="W561" i="7" a="1"/>
  <c r="L561" i="7"/>
  <c r="K561" i="7"/>
  <c r="J561" i="7"/>
  <c r="B561" i="7"/>
  <c r="A561" i="7"/>
  <c r="Z560" i="7"/>
  <c r="AA560" i="7" s="1"/>
  <c r="Y560" i="7"/>
  <c r="X560" i="7" a="1"/>
  <c r="X560" i="7" s="1"/>
  <c r="W560" i="7" a="1"/>
  <c r="W560" i="7" s="1"/>
  <c r="L560" i="7"/>
  <c r="K560" i="7"/>
  <c r="J560" i="7"/>
  <c r="B560" i="7"/>
  <c r="A560" i="7"/>
  <c r="AA559" i="7"/>
  <c r="Z559" i="7"/>
  <c r="Y559" i="7"/>
  <c r="X559" i="7"/>
  <c r="X559" i="7" a="1"/>
  <c r="W559" i="7"/>
  <c r="W559" i="7" a="1"/>
  <c r="L559" i="7"/>
  <c r="K559" i="7"/>
  <c r="J559" i="7"/>
  <c r="B559" i="7"/>
  <c r="A559" i="7"/>
  <c r="Z558" i="7"/>
  <c r="AA558" i="7" s="1"/>
  <c r="Y558" i="7"/>
  <c r="X558" i="7" a="1"/>
  <c r="X558" i="7" s="1"/>
  <c r="W558" i="7" a="1"/>
  <c r="W558" i="7" s="1"/>
  <c r="L558" i="7"/>
  <c r="K558" i="7"/>
  <c r="J558" i="7"/>
  <c r="B558" i="7"/>
  <c r="A558" i="7"/>
  <c r="AA557" i="7"/>
  <c r="Z557" i="7"/>
  <c r="Y557" i="7"/>
  <c r="X557" i="7"/>
  <c r="X557" i="7" a="1"/>
  <c r="W557" i="7"/>
  <c r="W557" i="7" a="1"/>
  <c r="L557" i="7"/>
  <c r="K557" i="7"/>
  <c r="J557" i="7"/>
  <c r="B557" i="7"/>
  <c r="A557" i="7"/>
  <c r="Z556" i="7"/>
  <c r="AA556" i="7" s="1"/>
  <c r="Y556" i="7"/>
  <c r="X556" i="7" a="1"/>
  <c r="X556" i="7" s="1"/>
  <c r="W556" i="7" a="1"/>
  <c r="W556" i="7" s="1"/>
  <c r="L556" i="7"/>
  <c r="K556" i="7"/>
  <c r="J556" i="7"/>
  <c r="B556" i="7"/>
  <c r="A556" i="7"/>
  <c r="AA555" i="7"/>
  <c r="Z555" i="7"/>
  <c r="Y555" i="7"/>
  <c r="X555" i="7"/>
  <c r="X555" i="7" a="1"/>
  <c r="W555" i="7"/>
  <c r="W555" i="7" a="1"/>
  <c r="L555" i="7"/>
  <c r="K555" i="7"/>
  <c r="J555" i="7"/>
  <c r="B555" i="7"/>
  <c r="A555" i="7"/>
  <c r="Z554" i="7"/>
  <c r="AA554" i="7" s="1"/>
  <c r="Y554" i="7"/>
  <c r="X554" i="7" a="1"/>
  <c r="X554" i="7" s="1"/>
  <c r="W554" i="7" a="1"/>
  <c r="W554" i="7" s="1"/>
  <c r="L554" i="7"/>
  <c r="K554" i="7"/>
  <c r="J554" i="7"/>
  <c r="B554" i="7"/>
  <c r="A554" i="7"/>
  <c r="AA553" i="7"/>
  <c r="Z553" i="7"/>
  <c r="Y553" i="7"/>
  <c r="X553" i="7"/>
  <c r="X553" i="7" a="1"/>
  <c r="W553" i="7"/>
  <c r="W553" i="7" a="1"/>
  <c r="L553" i="7"/>
  <c r="K553" i="7"/>
  <c r="J553" i="7"/>
  <c r="B553" i="7"/>
  <c r="A553" i="7"/>
  <c r="Z552" i="7"/>
  <c r="AA552" i="7" s="1"/>
  <c r="Y552" i="7"/>
  <c r="X552" i="7" a="1"/>
  <c r="X552" i="7" s="1"/>
  <c r="W552" i="7" a="1"/>
  <c r="W552" i="7" s="1"/>
  <c r="L552" i="7"/>
  <c r="K552" i="7"/>
  <c r="J552" i="7"/>
  <c r="B552" i="7"/>
  <c r="A552" i="7"/>
  <c r="AA551" i="7"/>
  <c r="Z551" i="7"/>
  <c r="Y551" i="7"/>
  <c r="X551" i="7"/>
  <c r="X551" i="7" a="1"/>
  <c r="W551" i="7"/>
  <c r="W551" i="7" a="1"/>
  <c r="L551" i="7"/>
  <c r="K551" i="7"/>
  <c r="J551" i="7"/>
  <c r="B551" i="7"/>
  <c r="A551" i="7"/>
  <c r="Z550" i="7"/>
  <c r="AA550" i="7" s="1"/>
  <c r="Y550" i="7"/>
  <c r="X550" i="7" a="1"/>
  <c r="X550" i="7" s="1"/>
  <c r="W550" i="7" a="1"/>
  <c r="W550" i="7" s="1"/>
  <c r="L550" i="7"/>
  <c r="K550" i="7"/>
  <c r="J550" i="7"/>
  <c r="B550" i="7"/>
  <c r="A550" i="7"/>
  <c r="AA549" i="7"/>
  <c r="Z549" i="7"/>
  <c r="Y549" i="7"/>
  <c r="X549" i="7"/>
  <c r="X549" i="7" a="1"/>
  <c r="W549" i="7"/>
  <c r="W549" i="7" a="1"/>
  <c r="L549" i="7"/>
  <c r="K549" i="7"/>
  <c r="J549" i="7"/>
  <c r="B549" i="7"/>
  <c r="A549" i="7"/>
  <c r="Z548" i="7"/>
  <c r="AA548" i="7" s="1"/>
  <c r="Y548" i="7"/>
  <c r="X548" i="7" a="1"/>
  <c r="X548" i="7" s="1"/>
  <c r="W548" i="7" a="1"/>
  <c r="W548" i="7" s="1"/>
  <c r="L548" i="7"/>
  <c r="K548" i="7"/>
  <c r="J548" i="7"/>
  <c r="B548" i="7"/>
  <c r="A548" i="7"/>
  <c r="AA547" i="7"/>
  <c r="Z547" i="7"/>
  <c r="Y547" i="7"/>
  <c r="X547" i="7"/>
  <c r="X547" i="7" a="1"/>
  <c r="W547" i="7"/>
  <c r="W547" i="7" a="1"/>
  <c r="L547" i="7"/>
  <c r="K547" i="7"/>
  <c r="J547" i="7"/>
  <c r="B547" i="7"/>
  <c r="A547" i="7"/>
  <c r="Z546" i="7"/>
  <c r="AA546" i="7" s="1"/>
  <c r="Y546" i="7"/>
  <c r="X546" i="7" a="1"/>
  <c r="X546" i="7" s="1"/>
  <c r="W546" i="7" a="1"/>
  <c r="W546" i="7" s="1"/>
  <c r="L546" i="7"/>
  <c r="K546" i="7"/>
  <c r="J546" i="7"/>
  <c r="B546" i="7"/>
  <c r="A546" i="7"/>
  <c r="AA545" i="7"/>
  <c r="Z545" i="7"/>
  <c r="Y545" i="7"/>
  <c r="X545" i="7"/>
  <c r="X545" i="7" a="1"/>
  <c r="W545" i="7"/>
  <c r="W545" i="7" a="1"/>
  <c r="L545" i="7"/>
  <c r="K545" i="7"/>
  <c r="J545" i="7"/>
  <c r="B545" i="7"/>
  <c r="A545" i="7"/>
  <c r="Z544" i="7"/>
  <c r="AA544" i="7" s="1"/>
  <c r="Y544" i="7"/>
  <c r="X544" i="7" a="1"/>
  <c r="X544" i="7" s="1"/>
  <c r="W544" i="7" a="1"/>
  <c r="W544" i="7" s="1"/>
  <c r="L544" i="7"/>
  <c r="K544" i="7"/>
  <c r="J544" i="7"/>
  <c r="B544" i="7"/>
  <c r="A544" i="7"/>
  <c r="AA543" i="7"/>
  <c r="Z543" i="7"/>
  <c r="Y543" i="7"/>
  <c r="X543" i="7"/>
  <c r="X543" i="7" a="1"/>
  <c r="W543" i="7"/>
  <c r="W543" i="7" a="1"/>
  <c r="L543" i="7"/>
  <c r="K543" i="7"/>
  <c r="J543" i="7"/>
  <c r="B543" i="7"/>
  <c r="A543" i="7"/>
  <c r="Z542" i="7"/>
  <c r="AA542" i="7" s="1"/>
  <c r="Y542" i="7"/>
  <c r="X542" i="7" a="1"/>
  <c r="X542" i="7" s="1"/>
  <c r="W542" i="7" a="1"/>
  <c r="W542" i="7" s="1"/>
  <c r="L542" i="7"/>
  <c r="K542" i="7"/>
  <c r="J542" i="7"/>
  <c r="B542" i="7"/>
  <c r="A542" i="7"/>
  <c r="AA541" i="7"/>
  <c r="Z541" i="7"/>
  <c r="Y541" i="7"/>
  <c r="X541" i="7"/>
  <c r="X541" i="7" a="1"/>
  <c r="W541" i="7"/>
  <c r="W541" i="7" a="1"/>
  <c r="L541" i="7"/>
  <c r="K541" i="7"/>
  <c r="J541" i="7"/>
  <c r="B541" i="7"/>
  <c r="A541" i="7"/>
  <c r="Z540" i="7"/>
  <c r="AA540" i="7" s="1"/>
  <c r="Y540" i="7"/>
  <c r="X540" i="7" a="1"/>
  <c r="X540" i="7" s="1"/>
  <c r="W540" i="7" a="1"/>
  <c r="W540" i="7" s="1"/>
  <c r="L540" i="7"/>
  <c r="K540" i="7"/>
  <c r="J540" i="7"/>
  <c r="B540" i="7"/>
  <c r="A540" i="7"/>
  <c r="AA539" i="7"/>
  <c r="Z539" i="7"/>
  <c r="Y539" i="7"/>
  <c r="X539" i="7"/>
  <c r="X539" i="7" a="1"/>
  <c r="W539" i="7"/>
  <c r="W539" i="7" a="1"/>
  <c r="L539" i="7"/>
  <c r="K539" i="7"/>
  <c r="J539" i="7"/>
  <c r="B539" i="7"/>
  <c r="A539" i="7"/>
  <c r="Z538" i="7"/>
  <c r="AA538" i="7" s="1"/>
  <c r="Y538" i="7"/>
  <c r="X538" i="7" a="1"/>
  <c r="X538" i="7" s="1"/>
  <c r="W538" i="7" a="1"/>
  <c r="W538" i="7" s="1"/>
  <c r="L538" i="7"/>
  <c r="K538" i="7"/>
  <c r="J538" i="7"/>
  <c r="B538" i="7"/>
  <c r="A538" i="7"/>
  <c r="AA537" i="7"/>
  <c r="Z537" i="7"/>
  <c r="Y537" i="7"/>
  <c r="X537" i="7"/>
  <c r="X537" i="7" a="1"/>
  <c r="W537" i="7"/>
  <c r="W537" i="7" a="1"/>
  <c r="L537" i="7"/>
  <c r="K537" i="7"/>
  <c r="J537" i="7"/>
  <c r="B537" i="7"/>
  <c r="A537" i="7"/>
  <c r="Z536" i="7"/>
  <c r="AA536" i="7" s="1"/>
  <c r="Y536" i="7"/>
  <c r="X536" i="7" a="1"/>
  <c r="X536" i="7" s="1"/>
  <c r="W536" i="7" a="1"/>
  <c r="W536" i="7" s="1"/>
  <c r="L536" i="7"/>
  <c r="K536" i="7"/>
  <c r="J536" i="7"/>
  <c r="B536" i="7"/>
  <c r="A536" i="7"/>
  <c r="AA535" i="7"/>
  <c r="Z535" i="7"/>
  <c r="Y535" i="7"/>
  <c r="X535" i="7"/>
  <c r="X535" i="7" a="1"/>
  <c r="W535" i="7"/>
  <c r="W535" i="7" a="1"/>
  <c r="L535" i="7"/>
  <c r="K535" i="7"/>
  <c r="J535" i="7"/>
  <c r="B535" i="7"/>
  <c r="A535" i="7"/>
  <c r="Z534" i="7"/>
  <c r="AA534" i="7" s="1"/>
  <c r="Y534" i="7"/>
  <c r="X534" i="7" a="1"/>
  <c r="X534" i="7" s="1"/>
  <c r="W534" i="7" a="1"/>
  <c r="W534" i="7" s="1"/>
  <c r="L534" i="7"/>
  <c r="K534" i="7"/>
  <c r="J534" i="7"/>
  <c r="B534" i="7"/>
  <c r="A534" i="7"/>
  <c r="AA533" i="7"/>
  <c r="Z533" i="7"/>
  <c r="Y533" i="7"/>
  <c r="X533" i="7"/>
  <c r="X533" i="7" a="1"/>
  <c r="W533" i="7"/>
  <c r="W533" i="7" a="1"/>
  <c r="L533" i="7"/>
  <c r="K533" i="7"/>
  <c r="J533" i="7"/>
  <c r="B533" i="7"/>
  <c r="A533" i="7"/>
  <c r="Z532" i="7"/>
  <c r="AA532" i="7" s="1"/>
  <c r="Y532" i="7"/>
  <c r="X532" i="7" a="1"/>
  <c r="X532" i="7" s="1"/>
  <c r="W532" i="7" a="1"/>
  <c r="W532" i="7" s="1"/>
  <c r="L532" i="7"/>
  <c r="K532" i="7"/>
  <c r="J532" i="7"/>
  <c r="B532" i="7"/>
  <c r="A532" i="7"/>
  <c r="AA531" i="7"/>
  <c r="Z531" i="7"/>
  <c r="Y531" i="7"/>
  <c r="X531" i="7"/>
  <c r="X531" i="7" a="1"/>
  <c r="W531" i="7"/>
  <c r="W531" i="7" a="1"/>
  <c r="L531" i="7"/>
  <c r="K531" i="7"/>
  <c r="J531" i="7"/>
  <c r="B531" i="7"/>
  <c r="A531" i="7"/>
  <c r="Z530" i="7"/>
  <c r="AA530" i="7" s="1"/>
  <c r="Y530" i="7"/>
  <c r="X530" i="7" a="1"/>
  <c r="X530" i="7" s="1"/>
  <c r="W530" i="7" a="1"/>
  <c r="W530" i="7" s="1"/>
  <c r="L530" i="7"/>
  <c r="K530" i="7"/>
  <c r="J530" i="7"/>
  <c r="B530" i="7"/>
  <c r="A530" i="7"/>
  <c r="AA529" i="7"/>
  <c r="Z529" i="7"/>
  <c r="Y529" i="7"/>
  <c r="X529" i="7"/>
  <c r="X529" i="7" a="1"/>
  <c r="W529" i="7"/>
  <c r="W529" i="7" a="1"/>
  <c r="L529" i="7"/>
  <c r="K529" i="7"/>
  <c r="J529" i="7"/>
  <c r="B529" i="7"/>
  <c r="A529" i="7"/>
  <c r="Z528" i="7"/>
  <c r="AA528" i="7" s="1"/>
  <c r="Y528" i="7"/>
  <c r="X528" i="7" a="1"/>
  <c r="X528" i="7" s="1"/>
  <c r="W528" i="7" a="1"/>
  <c r="W528" i="7" s="1"/>
  <c r="L528" i="7"/>
  <c r="K528" i="7"/>
  <c r="J528" i="7"/>
  <c r="B528" i="7"/>
  <c r="A528" i="7"/>
  <c r="AA527" i="7"/>
  <c r="Z527" i="7"/>
  <c r="Y527" i="7"/>
  <c r="X527" i="7" a="1"/>
  <c r="X527" i="7" s="1"/>
  <c r="W527" i="7"/>
  <c r="W527" i="7" a="1"/>
  <c r="L527" i="7"/>
  <c r="K527" i="7"/>
  <c r="J527" i="7"/>
  <c r="B527" i="7"/>
  <c r="A527" i="7"/>
  <c r="Z526" i="7"/>
  <c r="AA526" i="7" s="1"/>
  <c r="Y526" i="7"/>
  <c r="X526" i="7" a="1"/>
  <c r="X526" i="7" s="1"/>
  <c r="W526" i="7" a="1"/>
  <c r="W526" i="7" s="1"/>
  <c r="L526" i="7"/>
  <c r="K526" i="7"/>
  <c r="J526" i="7"/>
  <c r="B526" i="7"/>
  <c r="A526" i="7"/>
  <c r="AA525" i="7"/>
  <c r="Z525" i="7"/>
  <c r="Y525" i="7"/>
  <c r="X525" i="7" a="1"/>
  <c r="X525" i="7" s="1"/>
  <c r="W525" i="7"/>
  <c r="W525" i="7" a="1"/>
  <c r="L525" i="7"/>
  <c r="K525" i="7"/>
  <c r="J525" i="7"/>
  <c r="B525" i="7"/>
  <c r="A525" i="7"/>
  <c r="Z524" i="7"/>
  <c r="AA524" i="7" s="1"/>
  <c r="Y524" i="7"/>
  <c r="X524" i="7" a="1"/>
  <c r="X524" i="7" s="1"/>
  <c r="W524" i="7" a="1"/>
  <c r="W524" i="7" s="1"/>
  <c r="L524" i="7"/>
  <c r="K524" i="7"/>
  <c r="J524" i="7"/>
  <c r="B524" i="7"/>
  <c r="A524" i="7"/>
  <c r="AA523" i="7"/>
  <c r="Z523" i="7"/>
  <c r="Y523" i="7"/>
  <c r="X523" i="7" a="1"/>
  <c r="X523" i="7" s="1"/>
  <c r="W523" i="7"/>
  <c r="W523" i="7" a="1"/>
  <c r="L523" i="7"/>
  <c r="K523" i="7"/>
  <c r="J523" i="7"/>
  <c r="B523" i="7"/>
  <c r="A523" i="7"/>
  <c r="Z522" i="7"/>
  <c r="AA522" i="7" s="1"/>
  <c r="Y522" i="7"/>
  <c r="X522" i="7" a="1"/>
  <c r="X522" i="7" s="1"/>
  <c r="W522" i="7" a="1"/>
  <c r="W522" i="7" s="1"/>
  <c r="L522" i="7"/>
  <c r="K522" i="7"/>
  <c r="J522" i="7"/>
  <c r="B522" i="7"/>
  <c r="A522" i="7"/>
  <c r="AA521" i="7"/>
  <c r="Z521" i="7"/>
  <c r="Y521" i="7"/>
  <c r="X521" i="7" a="1"/>
  <c r="X521" i="7" s="1"/>
  <c r="W521" i="7"/>
  <c r="W521" i="7" a="1"/>
  <c r="L521" i="7"/>
  <c r="K521" i="7"/>
  <c r="J521" i="7"/>
  <c r="B521" i="7"/>
  <c r="A521" i="7"/>
  <c r="Z520" i="7"/>
  <c r="AA520" i="7" s="1"/>
  <c r="Y520" i="7"/>
  <c r="X520" i="7" a="1"/>
  <c r="X520" i="7" s="1"/>
  <c r="W520" i="7" a="1"/>
  <c r="W520" i="7" s="1"/>
  <c r="L520" i="7"/>
  <c r="K520" i="7"/>
  <c r="J520" i="7"/>
  <c r="B520" i="7"/>
  <c r="A520" i="7"/>
  <c r="AA519" i="7"/>
  <c r="Z519" i="7"/>
  <c r="Y519" i="7"/>
  <c r="X519" i="7" a="1"/>
  <c r="X519" i="7" s="1"/>
  <c r="W519" i="7"/>
  <c r="W519" i="7" a="1"/>
  <c r="L519" i="7"/>
  <c r="K519" i="7"/>
  <c r="J519" i="7"/>
  <c r="B519" i="7"/>
  <c r="A519" i="7"/>
  <c r="Z518" i="7"/>
  <c r="AA518" i="7" s="1"/>
  <c r="Y518" i="7"/>
  <c r="X518" i="7" a="1"/>
  <c r="X518" i="7" s="1"/>
  <c r="W518" i="7" a="1"/>
  <c r="W518" i="7" s="1"/>
  <c r="L518" i="7"/>
  <c r="K518" i="7"/>
  <c r="J518" i="7"/>
  <c r="B518" i="7"/>
  <c r="A518" i="7"/>
  <c r="AA517" i="7"/>
  <c r="Z517" i="7"/>
  <c r="Y517" i="7"/>
  <c r="X517" i="7" a="1"/>
  <c r="X517" i="7" s="1"/>
  <c r="W517" i="7"/>
  <c r="W517" i="7" a="1"/>
  <c r="L517" i="7"/>
  <c r="K517" i="7"/>
  <c r="J517" i="7"/>
  <c r="B517" i="7"/>
  <c r="A517" i="7"/>
  <c r="Z516" i="7"/>
  <c r="AA516" i="7" s="1"/>
  <c r="Y516" i="7"/>
  <c r="X516" i="7"/>
  <c r="X516" i="7" a="1"/>
  <c r="W516" i="7" a="1"/>
  <c r="W516" i="7" s="1"/>
  <c r="L516" i="7"/>
  <c r="K516" i="7"/>
  <c r="J516" i="7"/>
  <c r="B516" i="7"/>
  <c r="A516" i="7"/>
  <c r="AA515" i="7"/>
  <c r="Z515" i="7"/>
  <c r="Y515" i="7"/>
  <c r="X515" i="7" a="1"/>
  <c r="X515" i="7" s="1"/>
  <c r="W515" i="7"/>
  <c r="W515" i="7" a="1"/>
  <c r="L515" i="7"/>
  <c r="K515" i="7"/>
  <c r="J515" i="7"/>
  <c r="B515" i="7"/>
  <c r="A515" i="7"/>
  <c r="Z514" i="7"/>
  <c r="AA514" i="7" s="1"/>
  <c r="Y514" i="7"/>
  <c r="X514" i="7" a="1"/>
  <c r="X514" i="7" s="1"/>
  <c r="W514" i="7" a="1"/>
  <c r="W514" i="7" s="1"/>
  <c r="L514" i="7"/>
  <c r="K514" i="7"/>
  <c r="J514" i="7"/>
  <c r="B514" i="7"/>
  <c r="A514" i="7"/>
  <c r="AA513" i="7"/>
  <c r="Z513" i="7"/>
  <c r="Y513" i="7"/>
  <c r="X513" i="7" a="1"/>
  <c r="X513" i="7" s="1"/>
  <c r="W513" i="7"/>
  <c r="W513" i="7" a="1"/>
  <c r="L513" i="7"/>
  <c r="K513" i="7"/>
  <c r="J513" i="7"/>
  <c r="B513" i="7"/>
  <c r="A513" i="7"/>
  <c r="Z512" i="7"/>
  <c r="AA512" i="7" s="1"/>
  <c r="Y512" i="7"/>
  <c r="X512" i="7" a="1"/>
  <c r="X512" i="7" s="1"/>
  <c r="W512" i="7" a="1"/>
  <c r="W512" i="7" s="1"/>
  <c r="L512" i="7"/>
  <c r="K512" i="7"/>
  <c r="J512" i="7"/>
  <c r="B512" i="7"/>
  <c r="A512" i="7"/>
  <c r="AA511" i="7"/>
  <c r="Z511" i="7"/>
  <c r="Y511" i="7"/>
  <c r="X511" i="7" a="1"/>
  <c r="X511" i="7" s="1"/>
  <c r="W511" i="7"/>
  <c r="W511" i="7" a="1"/>
  <c r="L511" i="7"/>
  <c r="K511" i="7"/>
  <c r="J511" i="7"/>
  <c r="B511" i="7"/>
  <c r="A511" i="7"/>
  <c r="Z510" i="7"/>
  <c r="AA510" i="7" s="1"/>
  <c r="Y510" i="7"/>
  <c r="X510" i="7" a="1"/>
  <c r="X510" i="7" s="1"/>
  <c r="W510" i="7" a="1"/>
  <c r="W510" i="7" s="1"/>
  <c r="L510" i="7"/>
  <c r="K510" i="7"/>
  <c r="J510" i="7"/>
  <c r="B510" i="7"/>
  <c r="A510" i="7"/>
  <c r="AA509" i="7"/>
  <c r="Z509" i="7"/>
  <c r="Y509" i="7"/>
  <c r="X509" i="7" a="1"/>
  <c r="X509" i="7" s="1"/>
  <c r="W509" i="7"/>
  <c r="W509" i="7" a="1"/>
  <c r="L509" i="7"/>
  <c r="K509" i="7"/>
  <c r="J509" i="7"/>
  <c r="B509" i="7"/>
  <c r="A509" i="7"/>
  <c r="Z508" i="7"/>
  <c r="AA508" i="7" s="1"/>
  <c r="Y508" i="7"/>
  <c r="X508" i="7"/>
  <c r="X508" i="7" a="1"/>
  <c r="W508" i="7" a="1"/>
  <c r="W508" i="7" s="1"/>
  <c r="L508" i="7"/>
  <c r="K508" i="7"/>
  <c r="J508" i="7"/>
  <c r="B508" i="7"/>
  <c r="A508" i="7"/>
  <c r="AA507" i="7"/>
  <c r="Z507" i="7"/>
  <c r="Y507" i="7"/>
  <c r="X507" i="7" a="1"/>
  <c r="X507" i="7" s="1"/>
  <c r="W507" i="7"/>
  <c r="W507" i="7" a="1"/>
  <c r="L507" i="7"/>
  <c r="K507" i="7"/>
  <c r="J507" i="7"/>
  <c r="B507" i="7"/>
  <c r="A507" i="7"/>
  <c r="Z506" i="7"/>
  <c r="AA506" i="7" s="1"/>
  <c r="Y506" i="7"/>
  <c r="X506" i="7" a="1"/>
  <c r="X506" i="7" s="1"/>
  <c r="W506" i="7" a="1"/>
  <c r="W506" i="7" s="1"/>
  <c r="L506" i="7"/>
  <c r="K506" i="7"/>
  <c r="J506" i="7"/>
  <c r="B506" i="7"/>
  <c r="A506" i="7"/>
  <c r="AA505" i="7"/>
  <c r="Z505" i="7"/>
  <c r="Y505" i="7"/>
  <c r="X505" i="7" a="1"/>
  <c r="X505" i="7" s="1"/>
  <c r="W505" i="7"/>
  <c r="W505" i="7" a="1"/>
  <c r="L505" i="7"/>
  <c r="K505" i="7"/>
  <c r="J505" i="7"/>
  <c r="B505" i="7"/>
  <c r="A505" i="7"/>
  <c r="Z504" i="7"/>
  <c r="AA504" i="7" s="1"/>
  <c r="Y504" i="7"/>
  <c r="X504" i="7"/>
  <c r="X504" i="7" a="1"/>
  <c r="W504" i="7" a="1"/>
  <c r="W504" i="7" s="1"/>
  <c r="L504" i="7"/>
  <c r="K504" i="7"/>
  <c r="J504" i="7"/>
  <c r="B504" i="7"/>
  <c r="A504" i="7"/>
  <c r="AA503" i="7"/>
  <c r="Z503" i="7"/>
  <c r="Y503" i="7"/>
  <c r="X503" i="7" a="1"/>
  <c r="X503" i="7" s="1"/>
  <c r="W503" i="7"/>
  <c r="W503" i="7" a="1"/>
  <c r="L503" i="7"/>
  <c r="K503" i="7"/>
  <c r="J503" i="7"/>
  <c r="B503" i="7"/>
  <c r="A503" i="7"/>
  <c r="Z502" i="7"/>
  <c r="AA502" i="7" s="1"/>
  <c r="Y502" i="7"/>
  <c r="X502" i="7" a="1"/>
  <c r="X502" i="7" s="1"/>
  <c r="W502" i="7" a="1"/>
  <c r="W502" i="7" s="1"/>
  <c r="L502" i="7"/>
  <c r="K502" i="7"/>
  <c r="J502" i="7"/>
  <c r="B502" i="7"/>
  <c r="A502" i="7"/>
  <c r="AA501" i="7"/>
  <c r="Z501" i="7"/>
  <c r="Y501" i="7"/>
  <c r="X501" i="7" a="1"/>
  <c r="X501" i="7" s="1"/>
  <c r="W501" i="7"/>
  <c r="W501" i="7" a="1"/>
  <c r="L501" i="7"/>
  <c r="K501" i="7"/>
  <c r="J501" i="7"/>
  <c r="B501" i="7"/>
  <c r="A501" i="7"/>
  <c r="Z500" i="7"/>
  <c r="AA500" i="7" s="1"/>
  <c r="Y500" i="7"/>
  <c r="X500" i="7"/>
  <c r="X500" i="7" a="1"/>
  <c r="W500" i="7" a="1"/>
  <c r="W500" i="7" s="1"/>
  <c r="L500" i="7"/>
  <c r="K500" i="7"/>
  <c r="J500" i="7"/>
  <c r="B500" i="7"/>
  <c r="A500" i="7"/>
  <c r="AA499" i="7"/>
  <c r="Z499" i="7"/>
  <c r="Y499" i="7"/>
  <c r="X499" i="7" a="1"/>
  <c r="X499" i="7" s="1"/>
  <c r="W499" i="7"/>
  <c r="W499" i="7" a="1"/>
  <c r="L499" i="7"/>
  <c r="K499" i="7"/>
  <c r="J499" i="7"/>
  <c r="B499" i="7"/>
  <c r="A499" i="7"/>
  <c r="Z498" i="7"/>
  <c r="AA498" i="7" s="1"/>
  <c r="Y498" i="7"/>
  <c r="X498" i="7" a="1"/>
  <c r="X498" i="7" s="1"/>
  <c r="W498" i="7" a="1"/>
  <c r="W498" i="7" s="1"/>
  <c r="L498" i="7"/>
  <c r="K498" i="7"/>
  <c r="J498" i="7"/>
  <c r="B498" i="7"/>
  <c r="A498" i="7"/>
  <c r="AA497" i="7"/>
  <c r="Z497" i="7"/>
  <c r="Y497" i="7"/>
  <c r="X497" i="7" a="1"/>
  <c r="X497" i="7" s="1"/>
  <c r="W497" i="7"/>
  <c r="W497" i="7" a="1"/>
  <c r="L497" i="7"/>
  <c r="K497" i="7"/>
  <c r="J497" i="7"/>
  <c r="B497" i="7"/>
  <c r="A497" i="7"/>
  <c r="Z496" i="7"/>
  <c r="AA496" i="7" s="1"/>
  <c r="Y496" i="7"/>
  <c r="X496" i="7" a="1"/>
  <c r="X496" i="7" s="1"/>
  <c r="W496" i="7" a="1"/>
  <c r="W496" i="7" s="1"/>
  <c r="L496" i="7"/>
  <c r="K496" i="7"/>
  <c r="J496" i="7"/>
  <c r="B496" i="7"/>
  <c r="A496" i="7"/>
  <c r="AA495" i="7"/>
  <c r="Z495" i="7"/>
  <c r="Y495" i="7"/>
  <c r="X495" i="7" a="1"/>
  <c r="X495" i="7" s="1"/>
  <c r="W495" i="7"/>
  <c r="W495" i="7" a="1"/>
  <c r="L495" i="7"/>
  <c r="K495" i="7"/>
  <c r="J495" i="7"/>
  <c r="B495" i="7"/>
  <c r="A495" i="7"/>
  <c r="Z494" i="7"/>
  <c r="AA494" i="7" s="1"/>
  <c r="Y494" i="7"/>
  <c r="X494" i="7" a="1"/>
  <c r="X494" i="7" s="1"/>
  <c r="W494" i="7" a="1"/>
  <c r="W494" i="7" s="1"/>
  <c r="L494" i="7"/>
  <c r="K494" i="7"/>
  <c r="J494" i="7"/>
  <c r="B494" i="7"/>
  <c r="A494" i="7"/>
  <c r="AA493" i="7"/>
  <c r="Z493" i="7"/>
  <c r="Y493" i="7"/>
  <c r="X493" i="7" a="1"/>
  <c r="X493" i="7" s="1"/>
  <c r="W493" i="7"/>
  <c r="W493" i="7" a="1"/>
  <c r="L493" i="7"/>
  <c r="K493" i="7"/>
  <c r="J493" i="7"/>
  <c r="B493" i="7"/>
  <c r="A493" i="7"/>
  <c r="Z492" i="7"/>
  <c r="AA492" i="7" s="1"/>
  <c r="Y492" i="7"/>
  <c r="X492" i="7"/>
  <c r="X492" i="7" a="1"/>
  <c r="W492" i="7" a="1"/>
  <c r="W492" i="7" s="1"/>
  <c r="L492" i="7"/>
  <c r="K492" i="7"/>
  <c r="J492" i="7"/>
  <c r="B492" i="7"/>
  <c r="A492" i="7"/>
  <c r="AA491" i="7"/>
  <c r="Z491" i="7"/>
  <c r="Y491" i="7"/>
  <c r="X491" i="7" a="1"/>
  <c r="X491" i="7" s="1"/>
  <c r="W491" i="7"/>
  <c r="W491" i="7" a="1"/>
  <c r="L491" i="7"/>
  <c r="K491" i="7"/>
  <c r="J491" i="7"/>
  <c r="B491" i="7"/>
  <c r="A491" i="7"/>
  <c r="Z490" i="7"/>
  <c r="AA490" i="7" s="1"/>
  <c r="Y490" i="7"/>
  <c r="X490" i="7" a="1"/>
  <c r="X490" i="7" s="1"/>
  <c r="W490" i="7" a="1"/>
  <c r="W490" i="7" s="1"/>
  <c r="L490" i="7"/>
  <c r="K490" i="7"/>
  <c r="J490" i="7"/>
  <c r="B490" i="7"/>
  <c r="A490" i="7"/>
  <c r="AA489" i="7"/>
  <c r="Z489" i="7"/>
  <c r="Y489" i="7"/>
  <c r="X489" i="7" a="1"/>
  <c r="X489" i="7" s="1"/>
  <c r="W489" i="7"/>
  <c r="W489" i="7" a="1"/>
  <c r="L489" i="7"/>
  <c r="K489" i="7"/>
  <c r="J489" i="7"/>
  <c r="B489" i="7"/>
  <c r="A489" i="7"/>
  <c r="Z488" i="7"/>
  <c r="AA488" i="7" s="1"/>
  <c r="Y488" i="7"/>
  <c r="X488" i="7"/>
  <c r="X488" i="7" a="1"/>
  <c r="W488" i="7" a="1"/>
  <c r="W488" i="7" s="1"/>
  <c r="L488" i="7"/>
  <c r="K488" i="7"/>
  <c r="J488" i="7"/>
  <c r="B488" i="7"/>
  <c r="A488" i="7"/>
  <c r="AA487" i="7"/>
  <c r="Z487" i="7"/>
  <c r="Y487" i="7"/>
  <c r="X487" i="7" a="1"/>
  <c r="X487" i="7" s="1"/>
  <c r="W487" i="7"/>
  <c r="W487" i="7" a="1"/>
  <c r="L487" i="7"/>
  <c r="K487" i="7"/>
  <c r="J487" i="7"/>
  <c r="B487" i="7"/>
  <c r="A487" i="7"/>
  <c r="Z486" i="7"/>
  <c r="AA486" i="7" s="1"/>
  <c r="Y486" i="7"/>
  <c r="X486" i="7" a="1"/>
  <c r="X486" i="7" s="1"/>
  <c r="W486" i="7" a="1"/>
  <c r="W486" i="7" s="1"/>
  <c r="L486" i="7"/>
  <c r="K486" i="7"/>
  <c r="J486" i="7"/>
  <c r="B486" i="7"/>
  <c r="A486" i="7"/>
  <c r="AA485" i="7"/>
  <c r="Z485" i="7"/>
  <c r="Y485" i="7"/>
  <c r="X485" i="7" a="1"/>
  <c r="X485" i="7" s="1"/>
  <c r="W485" i="7"/>
  <c r="W485" i="7" a="1"/>
  <c r="L485" i="7"/>
  <c r="K485" i="7"/>
  <c r="J485" i="7"/>
  <c r="B485" i="7"/>
  <c r="A485" i="7"/>
  <c r="Z484" i="7"/>
  <c r="AA484" i="7" s="1"/>
  <c r="Y484" i="7"/>
  <c r="X484" i="7"/>
  <c r="X484" i="7" a="1"/>
  <c r="W484" i="7" a="1"/>
  <c r="W484" i="7" s="1"/>
  <c r="L484" i="7"/>
  <c r="K484" i="7"/>
  <c r="J484" i="7"/>
  <c r="B484" i="7"/>
  <c r="A484" i="7"/>
  <c r="AA483" i="7"/>
  <c r="Z483" i="7"/>
  <c r="Y483" i="7"/>
  <c r="X483" i="7" a="1"/>
  <c r="X483" i="7" s="1"/>
  <c r="W483" i="7"/>
  <c r="W483" i="7" a="1"/>
  <c r="L483" i="7"/>
  <c r="K483" i="7"/>
  <c r="J483" i="7"/>
  <c r="B483" i="7"/>
  <c r="A483" i="7"/>
  <c r="Z482" i="7"/>
  <c r="AA482" i="7" s="1"/>
  <c r="Y482" i="7"/>
  <c r="X482" i="7" a="1"/>
  <c r="X482" i="7" s="1"/>
  <c r="W482" i="7" a="1"/>
  <c r="W482" i="7" s="1"/>
  <c r="L482" i="7"/>
  <c r="K482" i="7"/>
  <c r="J482" i="7"/>
  <c r="B482" i="7"/>
  <c r="A482" i="7"/>
  <c r="AA481" i="7"/>
  <c r="Z481" i="7"/>
  <c r="Y481" i="7"/>
  <c r="X481" i="7" a="1"/>
  <c r="X481" i="7" s="1"/>
  <c r="W481" i="7"/>
  <c r="W481" i="7" a="1"/>
  <c r="L481" i="7"/>
  <c r="K481" i="7"/>
  <c r="J481" i="7"/>
  <c r="B481" i="7"/>
  <c r="A481" i="7"/>
  <c r="Z480" i="7"/>
  <c r="AA480" i="7" s="1"/>
  <c r="Y480" i="7"/>
  <c r="X480" i="7" a="1"/>
  <c r="X480" i="7" s="1"/>
  <c r="W480" i="7" a="1"/>
  <c r="W480" i="7" s="1"/>
  <c r="L480" i="7"/>
  <c r="K480" i="7"/>
  <c r="J480" i="7"/>
  <c r="B480" i="7"/>
  <c r="A480" i="7"/>
  <c r="AA479" i="7"/>
  <c r="Z479" i="7"/>
  <c r="Y479" i="7"/>
  <c r="X479" i="7" a="1"/>
  <c r="X479" i="7" s="1"/>
  <c r="W479" i="7"/>
  <c r="W479" i="7" a="1"/>
  <c r="L479" i="7"/>
  <c r="K479" i="7"/>
  <c r="J479" i="7"/>
  <c r="B479" i="7"/>
  <c r="A479" i="7"/>
  <c r="Z478" i="7"/>
  <c r="AA478" i="7" s="1"/>
  <c r="Y478" i="7"/>
  <c r="X478" i="7" a="1"/>
  <c r="X478" i="7" s="1"/>
  <c r="W478" i="7" a="1"/>
  <c r="W478" i="7" s="1"/>
  <c r="L478" i="7"/>
  <c r="K478" i="7"/>
  <c r="J478" i="7"/>
  <c r="B478" i="7"/>
  <c r="A478" i="7"/>
  <c r="AA477" i="7"/>
  <c r="Z477" i="7"/>
  <c r="Y477" i="7"/>
  <c r="X477" i="7" a="1"/>
  <c r="X477" i="7" s="1"/>
  <c r="W477" i="7"/>
  <c r="W477" i="7" a="1"/>
  <c r="L477" i="7"/>
  <c r="K477" i="7"/>
  <c r="J477" i="7"/>
  <c r="B477" i="7"/>
  <c r="A477" i="7"/>
  <c r="Z476" i="7"/>
  <c r="AA476" i="7" s="1"/>
  <c r="Y476" i="7"/>
  <c r="X476" i="7"/>
  <c r="X476" i="7" a="1"/>
  <c r="W476" i="7" a="1"/>
  <c r="W476" i="7" s="1"/>
  <c r="L476" i="7"/>
  <c r="K476" i="7"/>
  <c r="J476" i="7"/>
  <c r="B476" i="7"/>
  <c r="A476" i="7"/>
  <c r="AA475" i="7"/>
  <c r="Z475" i="7"/>
  <c r="Y475" i="7"/>
  <c r="X475" i="7" a="1"/>
  <c r="X475" i="7" s="1"/>
  <c r="W475" i="7"/>
  <c r="W475" i="7" a="1"/>
  <c r="L475" i="7"/>
  <c r="K475" i="7"/>
  <c r="J475" i="7"/>
  <c r="B475" i="7"/>
  <c r="A475" i="7"/>
  <c r="Z474" i="7"/>
  <c r="AA474" i="7" s="1"/>
  <c r="Y474" i="7"/>
  <c r="X474" i="7" a="1"/>
  <c r="X474" i="7" s="1"/>
  <c r="W474" i="7" a="1"/>
  <c r="W474" i="7" s="1"/>
  <c r="L474" i="7"/>
  <c r="K474" i="7"/>
  <c r="J474" i="7"/>
  <c r="B474" i="7"/>
  <c r="A474" i="7"/>
  <c r="AA473" i="7"/>
  <c r="Z473" i="7"/>
  <c r="Y473" i="7"/>
  <c r="X473" i="7" a="1"/>
  <c r="X473" i="7" s="1"/>
  <c r="W473" i="7"/>
  <c r="W473" i="7" a="1"/>
  <c r="L473" i="7"/>
  <c r="K473" i="7"/>
  <c r="J473" i="7"/>
  <c r="B473" i="7"/>
  <c r="A473" i="7"/>
  <c r="Z472" i="7"/>
  <c r="AA472" i="7" s="1"/>
  <c r="Y472" i="7"/>
  <c r="X472" i="7"/>
  <c r="X472" i="7" a="1"/>
  <c r="W472" i="7" a="1"/>
  <c r="W472" i="7" s="1"/>
  <c r="L472" i="7"/>
  <c r="K472" i="7"/>
  <c r="J472" i="7"/>
  <c r="B472" i="7"/>
  <c r="A472" i="7"/>
  <c r="AA471" i="7"/>
  <c r="Z471" i="7"/>
  <c r="Y471" i="7"/>
  <c r="X471" i="7" a="1"/>
  <c r="X471" i="7" s="1"/>
  <c r="W471" i="7"/>
  <c r="W471" i="7" a="1"/>
  <c r="L471" i="7"/>
  <c r="K471" i="7"/>
  <c r="J471" i="7"/>
  <c r="B471" i="7"/>
  <c r="A471" i="7"/>
  <c r="Z470" i="7"/>
  <c r="AA470" i="7" s="1"/>
  <c r="Y470" i="7"/>
  <c r="X470" i="7" a="1"/>
  <c r="X470" i="7" s="1"/>
  <c r="W470" i="7" a="1"/>
  <c r="W470" i="7" s="1"/>
  <c r="L470" i="7"/>
  <c r="K470" i="7"/>
  <c r="J470" i="7"/>
  <c r="B470" i="7"/>
  <c r="A470" i="7"/>
  <c r="AA469" i="7"/>
  <c r="Z469" i="7"/>
  <c r="Y469" i="7"/>
  <c r="X469" i="7" a="1"/>
  <c r="X469" i="7" s="1"/>
  <c r="W469" i="7"/>
  <c r="W469" i="7" a="1"/>
  <c r="L469" i="7"/>
  <c r="K469" i="7"/>
  <c r="J469" i="7"/>
  <c r="B469" i="7"/>
  <c r="A469" i="7"/>
  <c r="Z468" i="7"/>
  <c r="AA468" i="7" s="1"/>
  <c r="Y468" i="7"/>
  <c r="X468" i="7"/>
  <c r="X468" i="7" a="1"/>
  <c r="W468" i="7" a="1"/>
  <c r="W468" i="7" s="1"/>
  <c r="L468" i="7"/>
  <c r="K468" i="7"/>
  <c r="J468" i="7"/>
  <c r="B468" i="7"/>
  <c r="A468" i="7"/>
  <c r="AA467" i="7"/>
  <c r="Z467" i="7"/>
  <c r="Y467" i="7"/>
  <c r="X467" i="7" a="1"/>
  <c r="X467" i="7" s="1"/>
  <c r="W467" i="7"/>
  <c r="W467" i="7" a="1"/>
  <c r="L467" i="7"/>
  <c r="K467" i="7"/>
  <c r="J467" i="7"/>
  <c r="B467" i="7"/>
  <c r="A467" i="7"/>
  <c r="Z466" i="7"/>
  <c r="AA466" i="7" s="1"/>
  <c r="Y466" i="7"/>
  <c r="X466" i="7" a="1"/>
  <c r="X466" i="7" s="1"/>
  <c r="W466" i="7" a="1"/>
  <c r="W466" i="7" s="1"/>
  <c r="L466" i="7"/>
  <c r="K466" i="7"/>
  <c r="J466" i="7"/>
  <c r="B466" i="7"/>
  <c r="A466" i="7"/>
  <c r="AA465" i="7"/>
  <c r="Z465" i="7"/>
  <c r="Y465" i="7"/>
  <c r="X465" i="7" a="1"/>
  <c r="X465" i="7" s="1"/>
  <c r="W465" i="7"/>
  <c r="W465" i="7" a="1"/>
  <c r="L465" i="7"/>
  <c r="K465" i="7"/>
  <c r="J465" i="7"/>
  <c r="B465" i="7"/>
  <c r="A465" i="7"/>
  <c r="Z464" i="7"/>
  <c r="AA464" i="7" s="1"/>
  <c r="Y464" i="7"/>
  <c r="X464" i="7" a="1"/>
  <c r="X464" i="7" s="1"/>
  <c r="W464" i="7" a="1"/>
  <c r="W464" i="7" s="1"/>
  <c r="L464" i="7"/>
  <c r="K464" i="7"/>
  <c r="J464" i="7"/>
  <c r="B464" i="7"/>
  <c r="A464" i="7"/>
  <c r="AA463" i="7"/>
  <c r="Z463" i="7"/>
  <c r="Y463" i="7"/>
  <c r="X463" i="7" a="1"/>
  <c r="X463" i="7" s="1"/>
  <c r="W463" i="7"/>
  <c r="W463" i="7" a="1"/>
  <c r="L463" i="7"/>
  <c r="K463" i="7"/>
  <c r="J463" i="7"/>
  <c r="B463" i="7"/>
  <c r="A463" i="7"/>
  <c r="Z462" i="7"/>
  <c r="AA462" i="7" s="1"/>
  <c r="Y462" i="7"/>
  <c r="X462" i="7" a="1"/>
  <c r="X462" i="7" s="1"/>
  <c r="W462" i="7" a="1"/>
  <c r="W462" i="7" s="1"/>
  <c r="L462" i="7"/>
  <c r="K462" i="7"/>
  <c r="J462" i="7"/>
  <c r="B462" i="7"/>
  <c r="A462" i="7"/>
  <c r="AA461" i="7"/>
  <c r="Z461" i="7"/>
  <c r="Y461" i="7"/>
  <c r="X461" i="7" a="1"/>
  <c r="X461" i="7" s="1"/>
  <c r="W461" i="7"/>
  <c r="W461" i="7" a="1"/>
  <c r="L461" i="7"/>
  <c r="K461" i="7"/>
  <c r="J461" i="7"/>
  <c r="B461" i="7"/>
  <c r="A461" i="7"/>
  <c r="Z460" i="7"/>
  <c r="AA460" i="7" s="1"/>
  <c r="Y460" i="7"/>
  <c r="X460" i="7"/>
  <c r="X460" i="7" a="1"/>
  <c r="W460" i="7" a="1"/>
  <c r="W460" i="7" s="1"/>
  <c r="L460" i="7"/>
  <c r="K460" i="7"/>
  <c r="J460" i="7"/>
  <c r="B460" i="7"/>
  <c r="A460" i="7"/>
  <c r="AA459" i="7"/>
  <c r="Z459" i="7"/>
  <c r="Y459" i="7"/>
  <c r="X459" i="7" a="1"/>
  <c r="X459" i="7" s="1"/>
  <c r="W459" i="7"/>
  <c r="W459" i="7" a="1"/>
  <c r="L459" i="7"/>
  <c r="K459" i="7"/>
  <c r="J459" i="7"/>
  <c r="B459" i="7"/>
  <c r="A459" i="7"/>
  <c r="Z458" i="7"/>
  <c r="AA458" i="7" s="1"/>
  <c r="Y458" i="7"/>
  <c r="X458" i="7" a="1"/>
  <c r="X458" i="7" s="1"/>
  <c r="W458" i="7" a="1"/>
  <c r="W458" i="7" s="1"/>
  <c r="L458" i="7"/>
  <c r="K458" i="7"/>
  <c r="J458" i="7"/>
  <c r="B458" i="7"/>
  <c r="A458" i="7"/>
  <c r="AA457" i="7"/>
  <c r="Z457" i="7"/>
  <c r="Y457" i="7"/>
  <c r="X457" i="7" a="1"/>
  <c r="X457" i="7" s="1"/>
  <c r="W457" i="7"/>
  <c r="W457" i="7" a="1"/>
  <c r="L457" i="7"/>
  <c r="K457" i="7"/>
  <c r="J457" i="7"/>
  <c r="B457" i="7"/>
  <c r="A457" i="7"/>
  <c r="Z456" i="7"/>
  <c r="AA456" i="7" s="1"/>
  <c r="Y456" i="7"/>
  <c r="X456" i="7"/>
  <c r="X456" i="7" a="1"/>
  <c r="W456" i="7" a="1"/>
  <c r="W456" i="7" s="1"/>
  <c r="L456" i="7"/>
  <c r="K456" i="7"/>
  <c r="J456" i="7"/>
  <c r="B456" i="7"/>
  <c r="A456" i="7"/>
  <c r="AA455" i="7"/>
  <c r="Z455" i="7"/>
  <c r="Y455" i="7"/>
  <c r="X455" i="7" a="1"/>
  <c r="X455" i="7" s="1"/>
  <c r="W455" i="7"/>
  <c r="W455" i="7" a="1"/>
  <c r="L455" i="7"/>
  <c r="K455" i="7"/>
  <c r="J455" i="7"/>
  <c r="B455" i="7"/>
  <c r="A455" i="7"/>
  <c r="Z454" i="7"/>
  <c r="AA454" i="7" s="1"/>
  <c r="Y454" i="7"/>
  <c r="X454" i="7"/>
  <c r="X454" i="7" a="1"/>
  <c r="W454" i="7" a="1"/>
  <c r="W454" i="7" s="1"/>
  <c r="L454" i="7"/>
  <c r="K454" i="7"/>
  <c r="J454" i="7"/>
  <c r="B454" i="7"/>
  <c r="A454" i="7"/>
  <c r="AA453" i="7"/>
  <c r="Z453" i="7"/>
  <c r="Y453" i="7"/>
  <c r="X453" i="7" a="1"/>
  <c r="X453" i="7" s="1"/>
  <c r="W453" i="7"/>
  <c r="W453" i="7" a="1"/>
  <c r="L453" i="7"/>
  <c r="K453" i="7"/>
  <c r="J453" i="7"/>
  <c r="B453" i="7"/>
  <c r="A453" i="7"/>
  <c r="Z452" i="7"/>
  <c r="AA452" i="7" s="1"/>
  <c r="Y452" i="7"/>
  <c r="X452" i="7"/>
  <c r="X452" i="7" a="1"/>
  <c r="W452" i="7" a="1"/>
  <c r="W452" i="7" s="1"/>
  <c r="L452" i="7"/>
  <c r="K452" i="7"/>
  <c r="J452" i="7"/>
  <c r="B452" i="7"/>
  <c r="A452" i="7"/>
  <c r="AA451" i="7"/>
  <c r="Z451" i="7"/>
  <c r="Y451" i="7"/>
  <c r="X451" i="7" a="1"/>
  <c r="X451" i="7" s="1"/>
  <c r="W451" i="7"/>
  <c r="W451" i="7" a="1"/>
  <c r="L451" i="7"/>
  <c r="K451" i="7"/>
  <c r="J451" i="7"/>
  <c r="B451" i="7"/>
  <c r="A451" i="7"/>
  <c r="Z450" i="7"/>
  <c r="AA450" i="7" s="1"/>
  <c r="Y450" i="7"/>
  <c r="X450" i="7" a="1"/>
  <c r="X450" i="7" s="1"/>
  <c r="W450" i="7" a="1"/>
  <c r="W450" i="7" s="1"/>
  <c r="L450" i="7"/>
  <c r="K450" i="7"/>
  <c r="J450" i="7"/>
  <c r="B450" i="7"/>
  <c r="A450" i="7"/>
  <c r="AA449" i="7"/>
  <c r="Z449" i="7"/>
  <c r="Y449" i="7"/>
  <c r="X449" i="7" a="1"/>
  <c r="X449" i="7" s="1"/>
  <c r="W449" i="7"/>
  <c r="W449" i="7" a="1"/>
  <c r="L449" i="7"/>
  <c r="K449" i="7"/>
  <c r="J449" i="7"/>
  <c r="B449" i="7"/>
  <c r="A449" i="7"/>
  <c r="Z448" i="7"/>
  <c r="AA448" i="7" s="1"/>
  <c r="Y448" i="7"/>
  <c r="X448" i="7"/>
  <c r="X448" i="7" a="1"/>
  <c r="W448" i="7" a="1"/>
  <c r="W448" i="7" s="1"/>
  <c r="L448" i="7"/>
  <c r="K448" i="7"/>
  <c r="J448" i="7"/>
  <c r="B448" i="7"/>
  <c r="A448" i="7"/>
  <c r="AA447" i="7"/>
  <c r="Z447" i="7"/>
  <c r="Y447" i="7"/>
  <c r="X447" i="7" a="1"/>
  <c r="X447" i="7" s="1"/>
  <c r="W447" i="7"/>
  <c r="W447" i="7" a="1"/>
  <c r="L447" i="7"/>
  <c r="K447" i="7"/>
  <c r="J447" i="7"/>
  <c r="B447" i="7"/>
  <c r="A447" i="7"/>
  <c r="AA446" i="7"/>
  <c r="Z446" i="7"/>
  <c r="Y446" i="7"/>
  <c r="X446" i="7"/>
  <c r="X446" i="7" a="1"/>
  <c r="W446" i="7" a="1"/>
  <c r="W446" i="7" s="1"/>
  <c r="L446" i="7"/>
  <c r="K446" i="7"/>
  <c r="J446" i="7"/>
  <c r="B446" i="7"/>
  <c r="A446" i="7"/>
  <c r="AA445" i="7"/>
  <c r="Z445" i="7"/>
  <c r="Y445" i="7"/>
  <c r="X445" i="7" a="1"/>
  <c r="X445" i="7" s="1"/>
  <c r="W445" i="7"/>
  <c r="W445" i="7" a="1"/>
  <c r="L445" i="7"/>
  <c r="K445" i="7"/>
  <c r="J445" i="7"/>
  <c r="B445" i="7"/>
  <c r="A445" i="7"/>
  <c r="Z444" i="7"/>
  <c r="AA444" i="7" s="1"/>
  <c r="Y444" i="7"/>
  <c r="X444" i="7"/>
  <c r="X444" i="7" a="1"/>
  <c r="W444" i="7" a="1"/>
  <c r="W444" i="7" s="1"/>
  <c r="L444" i="7"/>
  <c r="K444" i="7"/>
  <c r="J444" i="7"/>
  <c r="B444" i="7"/>
  <c r="A444" i="7"/>
  <c r="AA443" i="7"/>
  <c r="Z443" i="7"/>
  <c r="Y443" i="7"/>
  <c r="X443" i="7" a="1"/>
  <c r="X443" i="7" s="1"/>
  <c r="W443" i="7"/>
  <c r="W443" i="7" a="1"/>
  <c r="L443" i="7"/>
  <c r="K443" i="7"/>
  <c r="J443" i="7"/>
  <c r="B443" i="7"/>
  <c r="A443" i="7"/>
  <c r="Z442" i="7"/>
  <c r="AA442" i="7" s="1"/>
  <c r="Y442" i="7"/>
  <c r="X442" i="7" a="1"/>
  <c r="X442" i="7" s="1"/>
  <c r="W442" i="7" a="1"/>
  <c r="W442" i="7" s="1"/>
  <c r="L442" i="7"/>
  <c r="K442" i="7"/>
  <c r="J442" i="7"/>
  <c r="B442" i="7"/>
  <c r="A442" i="7"/>
  <c r="AA441" i="7"/>
  <c r="Z441" i="7"/>
  <c r="Y441" i="7"/>
  <c r="X441" i="7" a="1"/>
  <c r="X441" i="7" s="1"/>
  <c r="W441" i="7"/>
  <c r="W441" i="7" a="1"/>
  <c r="L441" i="7"/>
  <c r="K441" i="7"/>
  <c r="J441" i="7"/>
  <c r="B441" i="7"/>
  <c r="A441" i="7"/>
  <c r="Z440" i="7"/>
  <c r="AA440" i="7" s="1"/>
  <c r="Y440" i="7"/>
  <c r="X440" i="7"/>
  <c r="X440" i="7" a="1"/>
  <c r="W440" i="7" a="1"/>
  <c r="W440" i="7" s="1"/>
  <c r="L440" i="7"/>
  <c r="K440" i="7"/>
  <c r="J440" i="7"/>
  <c r="B440" i="7"/>
  <c r="A440" i="7"/>
  <c r="AA439" i="7"/>
  <c r="Z439" i="7"/>
  <c r="Y439" i="7"/>
  <c r="X439" i="7" a="1"/>
  <c r="X439" i="7" s="1"/>
  <c r="W439" i="7"/>
  <c r="W439" i="7" a="1"/>
  <c r="L439" i="7"/>
  <c r="K439" i="7"/>
  <c r="J439" i="7"/>
  <c r="B439" i="7"/>
  <c r="A439" i="7"/>
  <c r="AA438" i="7"/>
  <c r="Z438" i="7"/>
  <c r="Y438" i="7"/>
  <c r="X438" i="7"/>
  <c r="X438" i="7" a="1"/>
  <c r="W438" i="7" a="1"/>
  <c r="W438" i="7" s="1"/>
  <c r="L438" i="7"/>
  <c r="K438" i="7"/>
  <c r="J438" i="7"/>
  <c r="B438" i="7"/>
  <c r="A438" i="7"/>
  <c r="AA437" i="7"/>
  <c r="Z437" i="7"/>
  <c r="Y437" i="7"/>
  <c r="X437" i="7" a="1"/>
  <c r="X437" i="7" s="1"/>
  <c r="W437" i="7"/>
  <c r="W437" i="7" a="1"/>
  <c r="L437" i="7"/>
  <c r="K437" i="7"/>
  <c r="J437" i="7"/>
  <c r="B437" i="7"/>
  <c r="A437" i="7"/>
  <c r="Z436" i="7"/>
  <c r="AA436" i="7" s="1"/>
  <c r="Y436" i="7"/>
  <c r="X436" i="7"/>
  <c r="X436" i="7" a="1"/>
  <c r="W436" i="7" a="1"/>
  <c r="W436" i="7" s="1"/>
  <c r="L436" i="7"/>
  <c r="K436" i="7"/>
  <c r="J436" i="7"/>
  <c r="B436" i="7"/>
  <c r="A436" i="7"/>
  <c r="AA435" i="7"/>
  <c r="Z435" i="7"/>
  <c r="Y435" i="7"/>
  <c r="X435" i="7" a="1"/>
  <c r="X435" i="7" s="1"/>
  <c r="W435" i="7"/>
  <c r="W435" i="7" a="1"/>
  <c r="L435" i="7"/>
  <c r="K435" i="7"/>
  <c r="J435" i="7"/>
  <c r="B435" i="7"/>
  <c r="A435" i="7"/>
  <c r="Z434" i="7"/>
  <c r="AA434" i="7" s="1"/>
  <c r="Y434" i="7"/>
  <c r="X434" i="7" a="1"/>
  <c r="X434" i="7" s="1"/>
  <c r="W434" i="7" a="1"/>
  <c r="W434" i="7" s="1"/>
  <c r="L434" i="7"/>
  <c r="K434" i="7"/>
  <c r="J434" i="7"/>
  <c r="B434" i="7"/>
  <c r="A434" i="7"/>
  <c r="AA433" i="7"/>
  <c r="Z433" i="7"/>
  <c r="Y433" i="7"/>
  <c r="X433" i="7" a="1"/>
  <c r="X433" i="7" s="1"/>
  <c r="W433" i="7"/>
  <c r="W433" i="7" a="1"/>
  <c r="L433" i="7"/>
  <c r="K433" i="7"/>
  <c r="J433" i="7"/>
  <c r="B433" i="7"/>
  <c r="A433" i="7"/>
  <c r="Z432" i="7"/>
  <c r="AA432" i="7" s="1"/>
  <c r="Y432" i="7"/>
  <c r="X432" i="7"/>
  <c r="X432" i="7" a="1"/>
  <c r="W432" i="7" a="1"/>
  <c r="W432" i="7" s="1"/>
  <c r="L432" i="7"/>
  <c r="K432" i="7"/>
  <c r="J432" i="7"/>
  <c r="B432" i="7"/>
  <c r="A432" i="7"/>
  <c r="AA431" i="7"/>
  <c r="Z431" i="7"/>
  <c r="Y431" i="7"/>
  <c r="X431" i="7" a="1"/>
  <c r="X431" i="7" s="1"/>
  <c r="W431" i="7"/>
  <c r="W431" i="7" a="1"/>
  <c r="L431" i="7"/>
  <c r="K431" i="7"/>
  <c r="J431" i="7"/>
  <c r="B431" i="7"/>
  <c r="A431" i="7"/>
  <c r="Z430" i="7"/>
  <c r="AA430" i="7" s="1"/>
  <c r="Y430" i="7"/>
  <c r="X430" i="7"/>
  <c r="X430" i="7" a="1"/>
  <c r="W430" i="7" a="1"/>
  <c r="W430" i="7" s="1"/>
  <c r="L430" i="7"/>
  <c r="K430" i="7"/>
  <c r="J430" i="7"/>
  <c r="B430" i="7"/>
  <c r="A430" i="7"/>
  <c r="AA429" i="7"/>
  <c r="Z429" i="7"/>
  <c r="Y429" i="7"/>
  <c r="X429" i="7" a="1"/>
  <c r="X429" i="7" s="1"/>
  <c r="W429" i="7"/>
  <c r="W429" i="7" a="1"/>
  <c r="L429" i="7"/>
  <c r="K429" i="7"/>
  <c r="J429" i="7"/>
  <c r="B429" i="7"/>
  <c r="A429" i="7"/>
  <c r="Z428" i="7"/>
  <c r="AA428" i="7" s="1"/>
  <c r="Y428" i="7"/>
  <c r="X428" i="7"/>
  <c r="X428" i="7" a="1"/>
  <c r="W428" i="7"/>
  <c r="W428" i="7" a="1"/>
  <c r="L428" i="7"/>
  <c r="K428" i="7"/>
  <c r="J428" i="7"/>
  <c r="B428" i="7"/>
  <c r="A428" i="7"/>
  <c r="Z427" i="7"/>
  <c r="AA427" i="7" s="1"/>
  <c r="Y427" i="7"/>
  <c r="X427" i="7" a="1"/>
  <c r="X427" i="7" s="1"/>
  <c r="W427" i="7"/>
  <c r="W427" i="7" a="1"/>
  <c r="L427" i="7"/>
  <c r="K427" i="7"/>
  <c r="J427" i="7"/>
  <c r="B427" i="7"/>
  <c r="A427" i="7"/>
  <c r="AA426" i="7"/>
  <c r="Z426" i="7"/>
  <c r="Y426" i="7"/>
  <c r="X426" i="7"/>
  <c r="X426" i="7" a="1"/>
  <c r="W426" i="7" a="1"/>
  <c r="W426" i="7" s="1"/>
  <c r="L426" i="7"/>
  <c r="K426" i="7"/>
  <c r="J426" i="7"/>
  <c r="B426" i="7"/>
  <c r="A426" i="7"/>
  <c r="AA425" i="7"/>
  <c r="Z425" i="7"/>
  <c r="Y425" i="7"/>
  <c r="X425" i="7" a="1"/>
  <c r="X425" i="7" s="1"/>
  <c r="W425" i="7"/>
  <c r="W425" i="7" a="1"/>
  <c r="L425" i="7"/>
  <c r="K425" i="7"/>
  <c r="J425" i="7"/>
  <c r="B425" i="7"/>
  <c r="A425" i="7"/>
  <c r="Z424" i="7"/>
  <c r="AA424" i="7" s="1"/>
  <c r="Y424" i="7"/>
  <c r="X424" i="7" a="1"/>
  <c r="X424" i="7" s="1"/>
  <c r="W424" i="7"/>
  <c r="W424" i="7" a="1"/>
  <c r="L424" i="7"/>
  <c r="K424" i="7"/>
  <c r="J424" i="7"/>
  <c r="B424" i="7"/>
  <c r="A424" i="7"/>
  <c r="AA423" i="7"/>
  <c r="Z423" i="7"/>
  <c r="Y423" i="7"/>
  <c r="X423" i="7" a="1"/>
  <c r="X423" i="7" s="1"/>
  <c r="W423" i="7" a="1"/>
  <c r="W423" i="7" s="1"/>
  <c r="L423" i="7"/>
  <c r="K423" i="7"/>
  <c r="J423" i="7"/>
  <c r="B423" i="7"/>
  <c r="A423" i="7"/>
  <c r="AA422" i="7"/>
  <c r="Z422" i="7"/>
  <c r="Y422" i="7"/>
  <c r="X422" i="7" a="1"/>
  <c r="X422" i="7" s="1"/>
  <c r="W422" i="7" a="1"/>
  <c r="W422" i="7" s="1"/>
  <c r="L422" i="7"/>
  <c r="K422" i="7"/>
  <c r="J422" i="7"/>
  <c r="B422" i="7"/>
  <c r="A422" i="7"/>
  <c r="Z421" i="7"/>
  <c r="AA421" i="7" s="1"/>
  <c r="Y421" i="7"/>
  <c r="X421" i="7" a="1"/>
  <c r="X421" i="7" s="1"/>
  <c r="W421" i="7"/>
  <c r="W421" i="7" a="1"/>
  <c r="L421" i="7"/>
  <c r="K421" i="7"/>
  <c r="J421" i="7"/>
  <c r="B421" i="7"/>
  <c r="A421" i="7"/>
  <c r="Z420" i="7"/>
  <c r="AA420" i="7" s="1"/>
  <c r="Y420" i="7"/>
  <c r="X420" i="7"/>
  <c r="X420" i="7" a="1"/>
  <c r="W420" i="7" a="1"/>
  <c r="W420" i="7" s="1"/>
  <c r="L420" i="7"/>
  <c r="K420" i="7"/>
  <c r="J420" i="7"/>
  <c r="B420" i="7"/>
  <c r="A420" i="7"/>
  <c r="Z419" i="7"/>
  <c r="AA419" i="7" s="1"/>
  <c r="Y419" i="7"/>
  <c r="X419" i="7" a="1"/>
  <c r="X419" i="7" s="1"/>
  <c r="W419" i="7" a="1"/>
  <c r="W419" i="7" s="1"/>
  <c r="L419" i="7"/>
  <c r="K419" i="7"/>
  <c r="J419" i="7"/>
  <c r="B419" i="7"/>
  <c r="A419" i="7"/>
  <c r="AA418" i="7"/>
  <c r="Z418" i="7"/>
  <c r="Y418" i="7"/>
  <c r="X418" i="7" a="1"/>
  <c r="X418" i="7" s="1"/>
  <c r="W418" i="7" a="1"/>
  <c r="W418" i="7" s="1"/>
  <c r="L418" i="7"/>
  <c r="K418" i="7"/>
  <c r="J418" i="7"/>
  <c r="B418" i="7"/>
  <c r="A418" i="7"/>
  <c r="AA417" i="7"/>
  <c r="Z417" i="7"/>
  <c r="Y417" i="7"/>
  <c r="X417" i="7" a="1"/>
  <c r="X417" i="7" s="1"/>
  <c r="W417" i="7"/>
  <c r="W417" i="7" a="1"/>
  <c r="L417" i="7"/>
  <c r="K417" i="7"/>
  <c r="J417" i="7"/>
  <c r="B417" i="7"/>
  <c r="A417" i="7"/>
  <c r="Z416" i="7"/>
  <c r="AA416" i="7" s="1"/>
  <c r="Y416" i="7"/>
  <c r="X416" i="7"/>
  <c r="X416" i="7" a="1"/>
  <c r="W416" i="7"/>
  <c r="W416" i="7" a="1"/>
  <c r="L416" i="7"/>
  <c r="K416" i="7"/>
  <c r="J416" i="7"/>
  <c r="B416" i="7"/>
  <c r="A416" i="7"/>
  <c r="Z415" i="7"/>
  <c r="AA415" i="7" s="1"/>
  <c r="Y415" i="7"/>
  <c r="X415" i="7" a="1"/>
  <c r="X415" i="7" s="1"/>
  <c r="W415" i="7" a="1"/>
  <c r="W415" i="7" s="1"/>
  <c r="L415" i="7"/>
  <c r="K415" i="7"/>
  <c r="J415" i="7"/>
  <c r="B415" i="7"/>
  <c r="A415" i="7"/>
  <c r="Z414" i="7"/>
  <c r="AA414" i="7" s="1"/>
  <c r="Y414" i="7"/>
  <c r="X414" i="7" a="1"/>
  <c r="X414" i="7" s="1"/>
  <c r="W414" i="7" a="1"/>
  <c r="W414" i="7" s="1"/>
  <c r="L414" i="7"/>
  <c r="K414" i="7"/>
  <c r="J414" i="7"/>
  <c r="B414" i="7"/>
  <c r="A414" i="7"/>
  <c r="AA413" i="7"/>
  <c r="Z413" i="7"/>
  <c r="Y413" i="7"/>
  <c r="X413" i="7" a="1"/>
  <c r="X413" i="7" s="1"/>
  <c r="W413" i="7" a="1"/>
  <c r="W413" i="7" s="1"/>
  <c r="L413" i="7"/>
  <c r="K413" i="7"/>
  <c r="J413" i="7"/>
  <c r="B413" i="7"/>
  <c r="A413" i="7"/>
  <c r="Z412" i="7"/>
  <c r="AA412" i="7" s="1"/>
  <c r="Y412" i="7"/>
  <c r="X412" i="7"/>
  <c r="X412" i="7" a="1"/>
  <c r="W412" i="7"/>
  <c r="W412" i="7" a="1"/>
  <c r="L412" i="7"/>
  <c r="K412" i="7"/>
  <c r="J412" i="7"/>
  <c r="B412" i="7"/>
  <c r="A412" i="7"/>
  <c r="Z411" i="7"/>
  <c r="AA411" i="7" s="1"/>
  <c r="Y411" i="7"/>
  <c r="X411" i="7" a="1"/>
  <c r="X411" i="7" s="1"/>
  <c r="W411" i="7" a="1"/>
  <c r="W411" i="7" s="1"/>
  <c r="L411" i="7"/>
  <c r="K411" i="7"/>
  <c r="J411" i="7"/>
  <c r="B411" i="7"/>
  <c r="A411" i="7"/>
  <c r="AA410" i="7"/>
  <c r="Z410" i="7"/>
  <c r="Y410" i="7"/>
  <c r="X410" i="7" a="1"/>
  <c r="X410" i="7" s="1"/>
  <c r="W410" i="7" a="1"/>
  <c r="W410" i="7" s="1"/>
  <c r="L410" i="7"/>
  <c r="K410" i="7"/>
  <c r="J410" i="7"/>
  <c r="B410" i="7"/>
  <c r="A410" i="7"/>
  <c r="AA409" i="7"/>
  <c r="Z409" i="7"/>
  <c r="Y409" i="7"/>
  <c r="X409" i="7" a="1"/>
  <c r="X409" i="7" s="1"/>
  <c r="W409" i="7"/>
  <c r="W409" i="7" a="1"/>
  <c r="L409" i="7"/>
  <c r="K409" i="7"/>
  <c r="J409" i="7"/>
  <c r="B409" i="7"/>
  <c r="A409" i="7"/>
  <c r="Z408" i="7"/>
  <c r="AA408" i="7" s="1"/>
  <c r="Y408" i="7"/>
  <c r="X408" i="7" a="1"/>
  <c r="X408" i="7" s="1"/>
  <c r="W408" i="7"/>
  <c r="W408" i="7" a="1"/>
  <c r="L408" i="7"/>
  <c r="K408" i="7"/>
  <c r="J408" i="7"/>
  <c r="B408" i="7"/>
  <c r="A408" i="7"/>
  <c r="Z407" i="7"/>
  <c r="AA407" i="7" s="1"/>
  <c r="Y407" i="7"/>
  <c r="X407" i="7" a="1"/>
  <c r="X407" i="7" s="1"/>
  <c r="W407" i="7" a="1"/>
  <c r="W407" i="7" s="1"/>
  <c r="L407" i="7"/>
  <c r="K407" i="7"/>
  <c r="J407" i="7"/>
  <c r="B407" i="7"/>
  <c r="A407" i="7"/>
  <c r="AA406" i="7"/>
  <c r="Z406" i="7"/>
  <c r="Y406" i="7"/>
  <c r="X406" i="7" a="1"/>
  <c r="X406" i="7" s="1"/>
  <c r="W406" i="7"/>
  <c r="W406" i="7" a="1"/>
  <c r="L406" i="7"/>
  <c r="K406" i="7"/>
  <c r="J406" i="7"/>
  <c r="B406" i="7"/>
  <c r="A406" i="7"/>
  <c r="Z405" i="7"/>
  <c r="AA405" i="7" s="1"/>
  <c r="Y405" i="7"/>
  <c r="X405" i="7" a="1"/>
  <c r="X405" i="7" s="1"/>
  <c r="W405" i="7"/>
  <c r="W405" i="7" a="1"/>
  <c r="L405" i="7"/>
  <c r="K405" i="7"/>
  <c r="J405" i="7"/>
  <c r="B405" i="7"/>
  <c r="A405" i="7"/>
  <c r="Z404" i="7"/>
  <c r="AA404" i="7" s="1"/>
  <c r="Y404" i="7"/>
  <c r="X404" i="7"/>
  <c r="X404" i="7" a="1"/>
  <c r="W404" i="7" a="1"/>
  <c r="W404" i="7" s="1"/>
  <c r="L404" i="7"/>
  <c r="K404" i="7"/>
  <c r="J404" i="7"/>
  <c r="B404" i="7"/>
  <c r="A404" i="7"/>
  <c r="Z403" i="7"/>
  <c r="AA403" i="7" s="1"/>
  <c r="Y403" i="7"/>
  <c r="X403" i="7" a="1"/>
  <c r="X403" i="7" s="1"/>
  <c r="W403" i="7" a="1"/>
  <c r="W403" i="7" s="1"/>
  <c r="L403" i="7"/>
  <c r="K403" i="7"/>
  <c r="J403" i="7"/>
  <c r="B403" i="7"/>
  <c r="A403" i="7"/>
  <c r="AA402" i="7"/>
  <c r="Z402" i="7"/>
  <c r="Y402" i="7"/>
  <c r="X402" i="7" a="1"/>
  <c r="X402" i="7" s="1"/>
  <c r="W402" i="7" a="1"/>
  <c r="W402" i="7" s="1"/>
  <c r="L402" i="7"/>
  <c r="K402" i="7"/>
  <c r="J402" i="7"/>
  <c r="B402" i="7"/>
  <c r="A402" i="7"/>
  <c r="AA401" i="7"/>
  <c r="Z401" i="7"/>
  <c r="Y401" i="7"/>
  <c r="X401" i="7" a="1"/>
  <c r="X401" i="7" s="1"/>
  <c r="W401" i="7"/>
  <c r="W401" i="7" a="1"/>
  <c r="L401" i="7"/>
  <c r="K401" i="7"/>
  <c r="J401" i="7"/>
  <c r="B401" i="7"/>
  <c r="A401" i="7"/>
  <c r="AA400" i="7"/>
  <c r="Z400" i="7"/>
  <c r="Y400" i="7"/>
  <c r="X400" i="7"/>
  <c r="X400" i="7" a="1"/>
  <c r="W400" i="7"/>
  <c r="W400" i="7" a="1"/>
  <c r="L400" i="7"/>
  <c r="K400" i="7"/>
  <c r="J400" i="7"/>
  <c r="B400" i="7"/>
  <c r="A400" i="7"/>
  <c r="Z399" i="7"/>
  <c r="AA399" i="7" s="1"/>
  <c r="Y399" i="7"/>
  <c r="X399" i="7" a="1"/>
  <c r="X399" i="7" s="1"/>
  <c r="W399" i="7"/>
  <c r="W399" i="7" a="1"/>
  <c r="L399" i="7"/>
  <c r="K399" i="7"/>
  <c r="J399" i="7"/>
  <c r="B399" i="7"/>
  <c r="A399" i="7"/>
  <c r="Z398" i="7"/>
  <c r="AA398" i="7" s="1"/>
  <c r="Y398" i="7"/>
  <c r="X398" i="7" a="1"/>
  <c r="X398" i="7" s="1"/>
  <c r="W398" i="7" a="1"/>
  <c r="W398" i="7" s="1"/>
  <c r="L398" i="7"/>
  <c r="K398" i="7"/>
  <c r="J398" i="7"/>
  <c r="B398" i="7"/>
  <c r="A398" i="7"/>
  <c r="AA397" i="7"/>
  <c r="Z397" i="7"/>
  <c r="Y397" i="7"/>
  <c r="X397" i="7" a="1"/>
  <c r="X397" i="7" s="1"/>
  <c r="W397" i="7" a="1"/>
  <c r="W397" i="7" s="1"/>
  <c r="L397" i="7"/>
  <c r="K397" i="7"/>
  <c r="J397" i="7"/>
  <c r="B397" i="7"/>
  <c r="A397" i="7"/>
  <c r="Z396" i="7"/>
  <c r="AA396" i="7" s="1"/>
  <c r="Y396" i="7"/>
  <c r="X396" i="7"/>
  <c r="X396" i="7" a="1"/>
  <c r="W396" i="7"/>
  <c r="W396" i="7" a="1"/>
  <c r="L396" i="7"/>
  <c r="K396" i="7"/>
  <c r="J396" i="7"/>
  <c r="B396" i="7"/>
  <c r="A396" i="7"/>
  <c r="Z395" i="7"/>
  <c r="AA395" i="7" s="1"/>
  <c r="Y395" i="7"/>
  <c r="X395" i="7" a="1"/>
  <c r="X395" i="7" s="1"/>
  <c r="W395" i="7" a="1"/>
  <c r="W395" i="7" s="1"/>
  <c r="L395" i="7"/>
  <c r="K395" i="7"/>
  <c r="J395" i="7"/>
  <c r="B395" i="7"/>
  <c r="A395" i="7"/>
  <c r="AA394" i="7"/>
  <c r="Z394" i="7"/>
  <c r="Y394" i="7"/>
  <c r="X394" i="7"/>
  <c r="X394" i="7" a="1"/>
  <c r="W394" i="7" a="1"/>
  <c r="W394" i="7" s="1"/>
  <c r="L394" i="7"/>
  <c r="K394" i="7"/>
  <c r="J394" i="7"/>
  <c r="B394" i="7"/>
  <c r="A394" i="7"/>
  <c r="AA393" i="7"/>
  <c r="Z393" i="7"/>
  <c r="Y393" i="7"/>
  <c r="X393" i="7" a="1"/>
  <c r="X393" i="7" s="1"/>
  <c r="W393" i="7" a="1"/>
  <c r="W393" i="7" s="1"/>
  <c r="L393" i="7"/>
  <c r="K393" i="7"/>
  <c r="J393" i="7"/>
  <c r="B393" i="7"/>
  <c r="A393" i="7"/>
  <c r="AA392" i="7"/>
  <c r="Z392" i="7"/>
  <c r="Y392" i="7"/>
  <c r="X392" i="7"/>
  <c r="X392" i="7" a="1"/>
  <c r="W392" i="7" a="1"/>
  <c r="W392" i="7" s="1"/>
  <c r="L392" i="7"/>
  <c r="K392" i="7"/>
  <c r="J392" i="7"/>
  <c r="B392" i="7"/>
  <c r="A392" i="7"/>
  <c r="AA391" i="7"/>
  <c r="Z391" i="7"/>
  <c r="Y391" i="7"/>
  <c r="X391" i="7" a="1"/>
  <c r="X391" i="7" s="1"/>
  <c r="W391" i="7" a="1"/>
  <c r="W391" i="7" s="1"/>
  <c r="L391" i="7"/>
  <c r="K391" i="7"/>
  <c r="J391" i="7"/>
  <c r="B391" i="7"/>
  <c r="A391" i="7"/>
  <c r="AA390" i="7"/>
  <c r="Z390" i="7"/>
  <c r="Y390" i="7"/>
  <c r="X390" i="7" a="1"/>
  <c r="X390" i="7" s="1"/>
  <c r="W390" i="7" a="1"/>
  <c r="W390" i="7" s="1"/>
  <c r="L390" i="7"/>
  <c r="K390" i="7"/>
  <c r="J390" i="7"/>
  <c r="B390" i="7"/>
  <c r="A390" i="7"/>
  <c r="AA389" i="7"/>
  <c r="Z389" i="7"/>
  <c r="Y389" i="7"/>
  <c r="X389" i="7" a="1"/>
  <c r="X389" i="7" s="1"/>
  <c r="W389" i="7" a="1"/>
  <c r="W389" i="7" s="1"/>
  <c r="L389" i="7"/>
  <c r="K389" i="7"/>
  <c r="J389" i="7"/>
  <c r="B389" i="7"/>
  <c r="A389" i="7"/>
  <c r="AA388" i="7"/>
  <c r="Z388" i="7"/>
  <c r="Y388" i="7"/>
  <c r="X388" i="7"/>
  <c r="X388" i="7" a="1"/>
  <c r="W388" i="7" a="1"/>
  <c r="W388" i="7" s="1"/>
  <c r="L388" i="7"/>
  <c r="K388" i="7"/>
  <c r="J388" i="7"/>
  <c r="B388" i="7"/>
  <c r="A388" i="7"/>
  <c r="AA387" i="7"/>
  <c r="Z387" i="7"/>
  <c r="Y387" i="7"/>
  <c r="X387" i="7" a="1"/>
  <c r="X387" i="7" s="1"/>
  <c r="W387" i="7" a="1"/>
  <c r="W387" i="7" s="1"/>
  <c r="L387" i="7"/>
  <c r="K387" i="7"/>
  <c r="J387" i="7"/>
  <c r="B387" i="7"/>
  <c r="A387" i="7"/>
  <c r="AA386" i="7"/>
  <c r="Z386" i="7"/>
  <c r="Y386" i="7"/>
  <c r="X386" i="7"/>
  <c r="X386" i="7" a="1"/>
  <c r="W386" i="7" a="1"/>
  <c r="W386" i="7" s="1"/>
  <c r="L386" i="7"/>
  <c r="K386" i="7"/>
  <c r="J386" i="7"/>
  <c r="B386" i="7"/>
  <c r="A386" i="7"/>
  <c r="AA385" i="7"/>
  <c r="Z385" i="7"/>
  <c r="Y385" i="7"/>
  <c r="X385" i="7" a="1"/>
  <c r="X385" i="7" s="1"/>
  <c r="W385" i="7" a="1"/>
  <c r="W385" i="7" s="1"/>
  <c r="L385" i="7"/>
  <c r="K385" i="7"/>
  <c r="J385" i="7"/>
  <c r="B385" i="7"/>
  <c r="A385" i="7"/>
  <c r="AA384" i="7"/>
  <c r="Z384" i="7"/>
  <c r="Y384" i="7"/>
  <c r="X384" i="7" a="1"/>
  <c r="X384" i="7" s="1"/>
  <c r="W384" i="7" a="1"/>
  <c r="W384" i="7" s="1"/>
  <c r="L384" i="7"/>
  <c r="K384" i="7"/>
  <c r="J384" i="7"/>
  <c r="B384" i="7"/>
  <c r="A384" i="7"/>
  <c r="AA383" i="7"/>
  <c r="Z383" i="7"/>
  <c r="Y383" i="7"/>
  <c r="X383" i="7" a="1"/>
  <c r="X383" i="7" s="1"/>
  <c r="W383" i="7" a="1"/>
  <c r="W383" i="7" s="1"/>
  <c r="L383" i="7"/>
  <c r="K383" i="7"/>
  <c r="J383" i="7"/>
  <c r="B383" i="7"/>
  <c r="A383" i="7"/>
  <c r="AA382" i="7"/>
  <c r="Z382" i="7"/>
  <c r="Y382" i="7"/>
  <c r="X382" i="7" a="1"/>
  <c r="X382" i="7" s="1"/>
  <c r="W382" i="7" a="1"/>
  <c r="W382" i="7" s="1"/>
  <c r="L382" i="7"/>
  <c r="K382" i="7"/>
  <c r="J382" i="7"/>
  <c r="B382" i="7"/>
  <c r="A382" i="7"/>
  <c r="AA381" i="7"/>
  <c r="Z381" i="7"/>
  <c r="Y381" i="7"/>
  <c r="X381" i="7" a="1"/>
  <c r="X381" i="7" s="1"/>
  <c r="W381" i="7" a="1"/>
  <c r="W381" i="7" s="1"/>
  <c r="L381" i="7"/>
  <c r="K381" i="7"/>
  <c r="J381" i="7"/>
  <c r="B381" i="7"/>
  <c r="A381" i="7"/>
  <c r="AA380" i="7"/>
  <c r="Z380" i="7"/>
  <c r="Y380" i="7"/>
  <c r="X380" i="7" a="1"/>
  <c r="X380" i="7" s="1"/>
  <c r="W380" i="7" a="1"/>
  <c r="W380" i="7" s="1"/>
  <c r="L380" i="7"/>
  <c r="K380" i="7"/>
  <c r="J380" i="7"/>
  <c r="B380" i="7"/>
  <c r="A380" i="7"/>
  <c r="AA379" i="7"/>
  <c r="Z379" i="7"/>
  <c r="Y379" i="7"/>
  <c r="X379" i="7" a="1"/>
  <c r="X379" i="7" s="1"/>
  <c r="W379" i="7" a="1"/>
  <c r="W379" i="7" s="1"/>
  <c r="L379" i="7"/>
  <c r="K379" i="7"/>
  <c r="J379" i="7"/>
  <c r="B379" i="7"/>
  <c r="A379" i="7"/>
  <c r="AA378" i="7"/>
  <c r="Z378" i="7"/>
  <c r="Y378" i="7"/>
  <c r="X378" i="7"/>
  <c r="X378" i="7" a="1"/>
  <c r="W378" i="7" a="1"/>
  <c r="W378" i="7" s="1"/>
  <c r="L378" i="7"/>
  <c r="K378" i="7"/>
  <c r="J378" i="7"/>
  <c r="B378" i="7"/>
  <c r="A378" i="7"/>
  <c r="AA377" i="7"/>
  <c r="Z377" i="7"/>
  <c r="Y377" i="7"/>
  <c r="X377" i="7" a="1"/>
  <c r="X377" i="7" s="1"/>
  <c r="W377" i="7" a="1"/>
  <c r="W377" i="7" s="1"/>
  <c r="L377" i="7"/>
  <c r="K377" i="7"/>
  <c r="J377" i="7"/>
  <c r="B377" i="7"/>
  <c r="A377" i="7"/>
  <c r="AA376" i="7"/>
  <c r="Z376" i="7"/>
  <c r="Y376" i="7"/>
  <c r="X376" i="7"/>
  <c r="X376" i="7" a="1"/>
  <c r="W376" i="7" a="1"/>
  <c r="W376" i="7" s="1"/>
  <c r="L376" i="7"/>
  <c r="K376" i="7"/>
  <c r="J376" i="7"/>
  <c r="B376" i="7"/>
  <c r="A376" i="7"/>
  <c r="AA375" i="7"/>
  <c r="Z375" i="7"/>
  <c r="Y375" i="7"/>
  <c r="X375" i="7" a="1"/>
  <c r="X375" i="7" s="1"/>
  <c r="W375" i="7" a="1"/>
  <c r="W375" i="7" s="1"/>
  <c r="L375" i="7"/>
  <c r="K375" i="7"/>
  <c r="J375" i="7"/>
  <c r="B375" i="7"/>
  <c r="A375" i="7"/>
  <c r="AA374" i="7"/>
  <c r="Z374" i="7"/>
  <c r="Y374" i="7"/>
  <c r="X374" i="7" a="1"/>
  <c r="X374" i="7" s="1"/>
  <c r="W374" i="7" a="1"/>
  <c r="W374" i="7" s="1"/>
  <c r="L374" i="7"/>
  <c r="K374" i="7"/>
  <c r="J374" i="7"/>
  <c r="B374" i="7"/>
  <c r="A374" i="7"/>
  <c r="AA373" i="7"/>
  <c r="Z373" i="7"/>
  <c r="Y373" i="7"/>
  <c r="X373" i="7" a="1"/>
  <c r="X373" i="7" s="1"/>
  <c r="W373" i="7" a="1"/>
  <c r="W373" i="7" s="1"/>
  <c r="L373" i="7"/>
  <c r="K373" i="7"/>
  <c r="J373" i="7"/>
  <c r="B373" i="7"/>
  <c r="A373" i="7"/>
  <c r="AA372" i="7"/>
  <c r="Z372" i="7"/>
  <c r="Y372" i="7"/>
  <c r="X372" i="7"/>
  <c r="X372" i="7" a="1"/>
  <c r="W372" i="7" a="1"/>
  <c r="W372" i="7" s="1"/>
  <c r="L372" i="7"/>
  <c r="K372" i="7"/>
  <c r="J372" i="7"/>
  <c r="B372" i="7"/>
  <c r="A372" i="7"/>
  <c r="AA371" i="7"/>
  <c r="Z371" i="7"/>
  <c r="Y371" i="7"/>
  <c r="X371" i="7" a="1"/>
  <c r="X371" i="7" s="1"/>
  <c r="W371" i="7" a="1"/>
  <c r="W371" i="7" s="1"/>
  <c r="L371" i="7"/>
  <c r="K371" i="7"/>
  <c r="J371" i="7"/>
  <c r="B371" i="7"/>
  <c r="A371" i="7"/>
  <c r="AA370" i="7"/>
  <c r="Z370" i="7"/>
  <c r="Y370" i="7"/>
  <c r="X370" i="7" a="1"/>
  <c r="X370" i="7" s="1"/>
  <c r="W370" i="7" a="1"/>
  <c r="W370" i="7" s="1"/>
  <c r="L370" i="7"/>
  <c r="K370" i="7"/>
  <c r="J370" i="7"/>
  <c r="B370" i="7"/>
  <c r="A370" i="7"/>
  <c r="AA369" i="7"/>
  <c r="Z369" i="7"/>
  <c r="Y369" i="7"/>
  <c r="X369" i="7" a="1"/>
  <c r="X369" i="7" s="1"/>
  <c r="W369" i="7" a="1"/>
  <c r="W369" i="7" s="1"/>
  <c r="L369" i="7"/>
  <c r="K369" i="7"/>
  <c r="J369" i="7"/>
  <c r="B369" i="7"/>
  <c r="A369" i="7"/>
  <c r="AA368" i="7"/>
  <c r="Z368" i="7"/>
  <c r="Y368" i="7"/>
  <c r="X368" i="7" a="1"/>
  <c r="X368" i="7" s="1"/>
  <c r="W368" i="7" a="1"/>
  <c r="W368" i="7" s="1"/>
  <c r="L368" i="7"/>
  <c r="K368" i="7"/>
  <c r="J368" i="7"/>
  <c r="B368" i="7"/>
  <c r="A368" i="7"/>
  <c r="AA367" i="7"/>
  <c r="Z367" i="7"/>
  <c r="Y367" i="7"/>
  <c r="X367" i="7" a="1"/>
  <c r="X367" i="7" s="1"/>
  <c r="W367" i="7" a="1"/>
  <c r="W367" i="7" s="1"/>
  <c r="L367" i="7"/>
  <c r="K367" i="7"/>
  <c r="J367" i="7"/>
  <c r="B367" i="7"/>
  <c r="A367" i="7"/>
  <c r="AA366" i="7"/>
  <c r="Z366" i="7"/>
  <c r="Y366" i="7"/>
  <c r="X366" i="7" a="1"/>
  <c r="X366" i="7" s="1"/>
  <c r="W366" i="7" a="1"/>
  <c r="W366" i="7" s="1"/>
  <c r="L366" i="7"/>
  <c r="K366" i="7"/>
  <c r="J366" i="7"/>
  <c r="B366" i="7"/>
  <c r="A366" i="7"/>
  <c r="AA365" i="7"/>
  <c r="Z365" i="7"/>
  <c r="Y365" i="7"/>
  <c r="X365" i="7" a="1"/>
  <c r="X365" i="7" s="1"/>
  <c r="W365" i="7" a="1"/>
  <c r="W365" i="7" s="1"/>
  <c r="L365" i="7"/>
  <c r="K365" i="7"/>
  <c r="J365" i="7"/>
  <c r="B365" i="7"/>
  <c r="A365" i="7"/>
  <c r="AA364" i="7"/>
  <c r="Z364" i="7"/>
  <c r="Y364" i="7"/>
  <c r="X364" i="7" a="1"/>
  <c r="X364" i="7" s="1"/>
  <c r="W364" i="7" a="1"/>
  <c r="W364" i="7" s="1"/>
  <c r="L364" i="7"/>
  <c r="K364" i="7"/>
  <c r="J364" i="7"/>
  <c r="B364" i="7"/>
  <c r="A364" i="7"/>
  <c r="AA363" i="7"/>
  <c r="Z363" i="7"/>
  <c r="Y363" i="7"/>
  <c r="X363" i="7" a="1"/>
  <c r="X363" i="7" s="1"/>
  <c r="W363" i="7" a="1"/>
  <c r="W363" i="7" s="1"/>
  <c r="L363" i="7"/>
  <c r="K363" i="7"/>
  <c r="J363" i="7"/>
  <c r="B363" i="7"/>
  <c r="A363" i="7"/>
  <c r="AA362" i="7"/>
  <c r="Z362" i="7"/>
  <c r="Y362" i="7"/>
  <c r="X362" i="7"/>
  <c r="X362" i="7" a="1"/>
  <c r="W362" i="7" a="1"/>
  <c r="W362" i="7" s="1"/>
  <c r="L362" i="7"/>
  <c r="K362" i="7"/>
  <c r="J362" i="7"/>
  <c r="B362" i="7"/>
  <c r="A362" i="7"/>
  <c r="AA361" i="7"/>
  <c r="Z361" i="7"/>
  <c r="Y361" i="7"/>
  <c r="X361" i="7" a="1"/>
  <c r="X361" i="7" s="1"/>
  <c r="W361" i="7" a="1"/>
  <c r="W361" i="7" s="1"/>
  <c r="L361" i="7"/>
  <c r="K361" i="7"/>
  <c r="J361" i="7"/>
  <c r="B361" i="7"/>
  <c r="A361" i="7"/>
  <c r="AA360" i="7"/>
  <c r="Z360" i="7"/>
  <c r="Y360" i="7"/>
  <c r="X360" i="7"/>
  <c r="X360" i="7" a="1"/>
  <c r="W360" i="7" a="1"/>
  <c r="W360" i="7" s="1"/>
  <c r="L360" i="7"/>
  <c r="K360" i="7"/>
  <c r="J360" i="7"/>
  <c r="B360" i="7"/>
  <c r="A360" i="7"/>
  <c r="AA359" i="7"/>
  <c r="Z359" i="7"/>
  <c r="Y359" i="7"/>
  <c r="X359" i="7" a="1"/>
  <c r="X359" i="7" s="1"/>
  <c r="W359" i="7" a="1"/>
  <c r="W359" i="7" s="1"/>
  <c r="L359" i="7"/>
  <c r="K359" i="7"/>
  <c r="J359" i="7"/>
  <c r="B359" i="7"/>
  <c r="A359" i="7"/>
  <c r="AA358" i="7"/>
  <c r="Z358" i="7"/>
  <c r="Y358" i="7"/>
  <c r="X358" i="7" a="1"/>
  <c r="X358" i="7" s="1"/>
  <c r="W358" i="7" a="1"/>
  <c r="W358" i="7" s="1"/>
  <c r="L358" i="7"/>
  <c r="K358" i="7"/>
  <c r="J358" i="7"/>
  <c r="B358" i="7"/>
  <c r="A358" i="7"/>
  <c r="AA357" i="7"/>
  <c r="Z357" i="7"/>
  <c r="Y357" i="7"/>
  <c r="X357" i="7" a="1"/>
  <c r="X357" i="7" s="1"/>
  <c r="W357" i="7" a="1"/>
  <c r="W357" i="7" s="1"/>
  <c r="L357" i="7"/>
  <c r="K357" i="7"/>
  <c r="J357" i="7"/>
  <c r="B357" i="7"/>
  <c r="A357" i="7"/>
  <c r="AA356" i="7"/>
  <c r="Z356" i="7"/>
  <c r="Y356" i="7"/>
  <c r="X356" i="7"/>
  <c r="X356" i="7" a="1"/>
  <c r="W356" i="7" a="1"/>
  <c r="W356" i="7" s="1"/>
  <c r="L356" i="7"/>
  <c r="K356" i="7"/>
  <c r="J356" i="7"/>
  <c r="B356" i="7"/>
  <c r="A356" i="7"/>
  <c r="AA355" i="7"/>
  <c r="Z355" i="7"/>
  <c r="Y355" i="7"/>
  <c r="X355" i="7" a="1"/>
  <c r="X355" i="7" s="1"/>
  <c r="W355" i="7" a="1"/>
  <c r="W355" i="7" s="1"/>
  <c r="L355" i="7"/>
  <c r="K355" i="7"/>
  <c r="J355" i="7"/>
  <c r="B355" i="7"/>
  <c r="A355" i="7"/>
  <c r="AA354" i="7"/>
  <c r="Z354" i="7"/>
  <c r="Y354" i="7"/>
  <c r="X354" i="7" a="1"/>
  <c r="X354" i="7" s="1"/>
  <c r="W354" i="7" a="1"/>
  <c r="W354" i="7" s="1"/>
  <c r="L354" i="7"/>
  <c r="K354" i="7"/>
  <c r="J354" i="7"/>
  <c r="B354" i="7"/>
  <c r="A354" i="7"/>
  <c r="AA353" i="7"/>
  <c r="Z353" i="7"/>
  <c r="Y353" i="7"/>
  <c r="X353" i="7" a="1"/>
  <c r="X353" i="7" s="1"/>
  <c r="W353" i="7" a="1"/>
  <c r="W353" i="7" s="1"/>
  <c r="L353" i="7"/>
  <c r="K353" i="7"/>
  <c r="J353" i="7"/>
  <c r="B353" i="7"/>
  <c r="A353" i="7"/>
  <c r="AA352" i="7"/>
  <c r="Z352" i="7"/>
  <c r="Y352" i="7"/>
  <c r="X352" i="7" a="1"/>
  <c r="X352" i="7" s="1"/>
  <c r="W352" i="7" a="1"/>
  <c r="W352" i="7" s="1"/>
  <c r="L352" i="7"/>
  <c r="K352" i="7"/>
  <c r="J352" i="7"/>
  <c r="B352" i="7"/>
  <c r="A352" i="7"/>
  <c r="AA351" i="7"/>
  <c r="Z351" i="7"/>
  <c r="Y351" i="7"/>
  <c r="X351" i="7" a="1"/>
  <c r="X351" i="7" s="1"/>
  <c r="W351" i="7" a="1"/>
  <c r="W351" i="7" s="1"/>
  <c r="L351" i="7"/>
  <c r="K351" i="7"/>
  <c r="J351" i="7"/>
  <c r="B351" i="7"/>
  <c r="A351" i="7"/>
  <c r="AA350" i="7"/>
  <c r="Z350" i="7"/>
  <c r="Y350" i="7"/>
  <c r="X350" i="7" a="1"/>
  <c r="X350" i="7" s="1"/>
  <c r="W350" i="7" a="1"/>
  <c r="W350" i="7" s="1"/>
  <c r="L350" i="7"/>
  <c r="K350" i="7"/>
  <c r="J350" i="7"/>
  <c r="B350" i="7"/>
  <c r="A350" i="7"/>
  <c r="AA349" i="7"/>
  <c r="Z349" i="7"/>
  <c r="Y349" i="7"/>
  <c r="X349" i="7" a="1"/>
  <c r="X349" i="7" s="1"/>
  <c r="W349" i="7" a="1"/>
  <c r="W349" i="7" s="1"/>
  <c r="L349" i="7"/>
  <c r="K349" i="7"/>
  <c r="J349" i="7"/>
  <c r="B349" i="7"/>
  <c r="A349" i="7"/>
  <c r="AA348" i="7"/>
  <c r="Z348" i="7"/>
  <c r="Y348" i="7"/>
  <c r="X348" i="7" a="1"/>
  <c r="X348" i="7" s="1"/>
  <c r="W348" i="7" a="1"/>
  <c r="W348" i="7" s="1"/>
  <c r="L348" i="7"/>
  <c r="K348" i="7"/>
  <c r="J348" i="7"/>
  <c r="B348" i="7"/>
  <c r="A348" i="7"/>
  <c r="AA347" i="7"/>
  <c r="Z347" i="7"/>
  <c r="Y347" i="7"/>
  <c r="X347" i="7" a="1"/>
  <c r="X347" i="7" s="1"/>
  <c r="W347" i="7" a="1"/>
  <c r="W347" i="7" s="1"/>
  <c r="L347" i="7"/>
  <c r="K347" i="7"/>
  <c r="J347" i="7"/>
  <c r="B347" i="7"/>
  <c r="A347" i="7"/>
  <c r="AA346" i="7"/>
  <c r="Z346" i="7"/>
  <c r="Y346" i="7"/>
  <c r="X346" i="7"/>
  <c r="X346" i="7" a="1"/>
  <c r="W346" i="7" a="1"/>
  <c r="W346" i="7" s="1"/>
  <c r="L346" i="7"/>
  <c r="K346" i="7"/>
  <c r="J346" i="7"/>
  <c r="B346" i="7"/>
  <c r="A346" i="7"/>
  <c r="AA345" i="7"/>
  <c r="Z345" i="7"/>
  <c r="Y345" i="7"/>
  <c r="X345" i="7" a="1"/>
  <c r="X345" i="7" s="1"/>
  <c r="W345" i="7" a="1"/>
  <c r="W345" i="7" s="1"/>
  <c r="L345" i="7"/>
  <c r="K345" i="7"/>
  <c r="J345" i="7"/>
  <c r="B345" i="7"/>
  <c r="A345" i="7"/>
  <c r="AA344" i="7"/>
  <c r="Z344" i="7"/>
  <c r="Y344" i="7"/>
  <c r="X344" i="7"/>
  <c r="X344" i="7" a="1"/>
  <c r="W344" i="7" a="1"/>
  <c r="W344" i="7" s="1"/>
  <c r="L344" i="7"/>
  <c r="K344" i="7"/>
  <c r="J344" i="7"/>
  <c r="B344" i="7"/>
  <c r="A344" i="7"/>
  <c r="AA343" i="7"/>
  <c r="Z343" i="7"/>
  <c r="Y343" i="7"/>
  <c r="X343" i="7" a="1"/>
  <c r="X343" i="7" s="1"/>
  <c r="W343" i="7" a="1"/>
  <c r="W343" i="7" s="1"/>
  <c r="L343" i="7"/>
  <c r="K343" i="7"/>
  <c r="J343" i="7"/>
  <c r="B343" i="7"/>
  <c r="A343" i="7"/>
  <c r="AA342" i="7"/>
  <c r="Z342" i="7"/>
  <c r="Y342" i="7"/>
  <c r="X342" i="7"/>
  <c r="X342" i="7" a="1"/>
  <c r="W342" i="7" a="1"/>
  <c r="W342" i="7" s="1"/>
  <c r="L342" i="7"/>
  <c r="K342" i="7"/>
  <c r="J342" i="7"/>
  <c r="B342" i="7"/>
  <c r="A342" i="7"/>
  <c r="AA341" i="7"/>
  <c r="Z341" i="7"/>
  <c r="Y341" i="7"/>
  <c r="X341" i="7" a="1"/>
  <c r="X341" i="7" s="1"/>
  <c r="W341" i="7" a="1"/>
  <c r="W341" i="7" s="1"/>
  <c r="L341" i="7"/>
  <c r="K341" i="7"/>
  <c r="J341" i="7"/>
  <c r="B341" i="7"/>
  <c r="A341" i="7"/>
  <c r="AA340" i="7"/>
  <c r="Z340" i="7"/>
  <c r="Y340" i="7"/>
  <c r="X340" i="7"/>
  <c r="X340" i="7" a="1"/>
  <c r="W340" i="7" a="1"/>
  <c r="W340" i="7" s="1"/>
  <c r="L340" i="7"/>
  <c r="K340" i="7"/>
  <c r="J340" i="7"/>
  <c r="B340" i="7"/>
  <c r="A340" i="7"/>
  <c r="AA339" i="7"/>
  <c r="Z339" i="7"/>
  <c r="Y339" i="7"/>
  <c r="X339" i="7" a="1"/>
  <c r="X339" i="7" s="1"/>
  <c r="W339" i="7" a="1"/>
  <c r="W339" i="7" s="1"/>
  <c r="L339" i="7"/>
  <c r="K339" i="7"/>
  <c r="J339" i="7"/>
  <c r="B339" i="7"/>
  <c r="A339" i="7"/>
  <c r="AA338" i="7"/>
  <c r="Z338" i="7"/>
  <c r="Y338" i="7"/>
  <c r="X338" i="7"/>
  <c r="X338" i="7" a="1"/>
  <c r="W338" i="7" a="1"/>
  <c r="W338" i="7" s="1"/>
  <c r="L338" i="7"/>
  <c r="K338" i="7"/>
  <c r="J338" i="7"/>
  <c r="B338" i="7"/>
  <c r="A338" i="7"/>
  <c r="AA337" i="7"/>
  <c r="Z337" i="7"/>
  <c r="Y337" i="7"/>
  <c r="X337" i="7" a="1"/>
  <c r="X337" i="7" s="1"/>
  <c r="W337" i="7" a="1"/>
  <c r="W337" i="7" s="1"/>
  <c r="L337" i="7"/>
  <c r="K337" i="7"/>
  <c r="J337" i="7"/>
  <c r="B337" i="7"/>
  <c r="A337" i="7"/>
  <c r="AA336" i="7"/>
  <c r="Z336" i="7"/>
  <c r="Y336" i="7"/>
  <c r="X336" i="7" a="1"/>
  <c r="X336" i="7" s="1"/>
  <c r="W336" i="7" a="1"/>
  <c r="W336" i="7" s="1"/>
  <c r="L336" i="7"/>
  <c r="K336" i="7"/>
  <c r="J336" i="7"/>
  <c r="B336" i="7"/>
  <c r="A336" i="7"/>
  <c r="AA335" i="7"/>
  <c r="Z335" i="7"/>
  <c r="Y335" i="7"/>
  <c r="X335" i="7" a="1"/>
  <c r="X335" i="7" s="1"/>
  <c r="W335" i="7" a="1"/>
  <c r="W335" i="7" s="1"/>
  <c r="L335" i="7"/>
  <c r="K335" i="7"/>
  <c r="J335" i="7"/>
  <c r="B335" i="7"/>
  <c r="A335" i="7"/>
  <c r="AA334" i="7"/>
  <c r="Z334" i="7"/>
  <c r="Y334" i="7"/>
  <c r="X334" i="7" a="1"/>
  <c r="X334" i="7" s="1"/>
  <c r="W334" i="7" a="1"/>
  <c r="W334" i="7" s="1"/>
  <c r="L334" i="7"/>
  <c r="K334" i="7"/>
  <c r="J334" i="7"/>
  <c r="B334" i="7"/>
  <c r="A334" i="7"/>
  <c r="AA333" i="7"/>
  <c r="Z333" i="7"/>
  <c r="Y333" i="7"/>
  <c r="X333" i="7" a="1"/>
  <c r="X333" i="7" s="1"/>
  <c r="W333" i="7" a="1"/>
  <c r="W333" i="7" s="1"/>
  <c r="L333" i="7"/>
  <c r="K333" i="7"/>
  <c r="J333" i="7"/>
  <c r="B333" i="7"/>
  <c r="A333" i="7"/>
  <c r="AA332" i="7"/>
  <c r="Z332" i="7"/>
  <c r="Y332" i="7"/>
  <c r="X332" i="7" a="1"/>
  <c r="X332" i="7" s="1"/>
  <c r="W332" i="7" a="1"/>
  <c r="W332" i="7" s="1"/>
  <c r="L332" i="7"/>
  <c r="K332" i="7"/>
  <c r="J332" i="7"/>
  <c r="B332" i="7"/>
  <c r="A332" i="7"/>
  <c r="AA331" i="7"/>
  <c r="Z331" i="7"/>
  <c r="Y331" i="7"/>
  <c r="X331" i="7" a="1"/>
  <c r="X331" i="7" s="1"/>
  <c r="W331" i="7" a="1"/>
  <c r="W331" i="7" s="1"/>
  <c r="L331" i="7"/>
  <c r="K331" i="7"/>
  <c r="J331" i="7"/>
  <c r="B331" i="7"/>
  <c r="A331" i="7"/>
  <c r="AA330" i="7"/>
  <c r="Z330" i="7"/>
  <c r="Y330" i="7"/>
  <c r="X330" i="7"/>
  <c r="X330" i="7" a="1"/>
  <c r="W330" i="7" a="1"/>
  <c r="W330" i="7" s="1"/>
  <c r="L330" i="7"/>
  <c r="K330" i="7"/>
  <c r="J330" i="7"/>
  <c r="B330" i="7"/>
  <c r="A330" i="7"/>
  <c r="AA329" i="7"/>
  <c r="Z329" i="7"/>
  <c r="Y329" i="7"/>
  <c r="X329" i="7" a="1"/>
  <c r="X329" i="7" s="1"/>
  <c r="W329" i="7" a="1"/>
  <c r="W329" i="7" s="1"/>
  <c r="L329" i="7"/>
  <c r="K329" i="7"/>
  <c r="J329" i="7"/>
  <c r="B329" i="7"/>
  <c r="A329" i="7"/>
  <c r="AA328" i="7"/>
  <c r="Z328" i="7"/>
  <c r="Y328" i="7"/>
  <c r="X328" i="7"/>
  <c r="X328" i="7" a="1"/>
  <c r="W328" i="7" a="1"/>
  <c r="W328" i="7" s="1"/>
  <c r="L328" i="7"/>
  <c r="K328" i="7"/>
  <c r="J328" i="7"/>
  <c r="B328" i="7"/>
  <c r="A328" i="7"/>
  <c r="AA327" i="7"/>
  <c r="Z327" i="7"/>
  <c r="Y327" i="7"/>
  <c r="X327" i="7" a="1"/>
  <c r="X327" i="7" s="1"/>
  <c r="W327" i="7" a="1"/>
  <c r="W327" i="7" s="1"/>
  <c r="L327" i="7"/>
  <c r="K327" i="7"/>
  <c r="J327" i="7"/>
  <c r="B327" i="7"/>
  <c r="A327" i="7"/>
  <c r="AA326" i="7"/>
  <c r="Z326" i="7"/>
  <c r="Y326" i="7"/>
  <c r="X326" i="7"/>
  <c r="X326" i="7" a="1"/>
  <c r="W326" i="7" a="1"/>
  <c r="W326" i="7" s="1"/>
  <c r="L326" i="7"/>
  <c r="K326" i="7"/>
  <c r="J326" i="7"/>
  <c r="B326" i="7"/>
  <c r="A326" i="7"/>
  <c r="AA325" i="7"/>
  <c r="Z325" i="7"/>
  <c r="Y325" i="7"/>
  <c r="X325" i="7" a="1"/>
  <c r="X325" i="7" s="1"/>
  <c r="W325" i="7" a="1"/>
  <c r="W325" i="7" s="1"/>
  <c r="L325" i="7"/>
  <c r="K325" i="7"/>
  <c r="J325" i="7"/>
  <c r="B325" i="7"/>
  <c r="A325" i="7"/>
  <c r="AA324" i="7"/>
  <c r="Z324" i="7"/>
  <c r="Y324" i="7"/>
  <c r="X324" i="7"/>
  <c r="X324" i="7" a="1"/>
  <c r="W324" i="7" a="1"/>
  <c r="W324" i="7" s="1"/>
  <c r="L324" i="7"/>
  <c r="K324" i="7"/>
  <c r="J324" i="7"/>
  <c r="B324" i="7"/>
  <c r="A324" i="7"/>
  <c r="AA323" i="7"/>
  <c r="Z323" i="7"/>
  <c r="Y323" i="7"/>
  <c r="X323" i="7" a="1"/>
  <c r="X323" i="7" s="1"/>
  <c r="W323" i="7" a="1"/>
  <c r="W323" i="7" s="1"/>
  <c r="L323" i="7"/>
  <c r="K323" i="7"/>
  <c r="J323" i="7"/>
  <c r="B323" i="7"/>
  <c r="A323" i="7"/>
  <c r="AA322" i="7"/>
  <c r="Z322" i="7"/>
  <c r="Y322" i="7"/>
  <c r="X322" i="7"/>
  <c r="X322" i="7" a="1"/>
  <c r="W322" i="7" a="1"/>
  <c r="W322" i="7" s="1"/>
  <c r="L322" i="7"/>
  <c r="K322" i="7"/>
  <c r="J322" i="7"/>
  <c r="B322" i="7"/>
  <c r="A322" i="7"/>
  <c r="AA321" i="7"/>
  <c r="Z321" i="7"/>
  <c r="Y321" i="7"/>
  <c r="X321" i="7" a="1"/>
  <c r="X321" i="7" s="1"/>
  <c r="W321" i="7" a="1"/>
  <c r="W321" i="7" s="1"/>
  <c r="L321" i="7"/>
  <c r="K321" i="7"/>
  <c r="J321" i="7"/>
  <c r="B321" i="7"/>
  <c r="A321" i="7"/>
  <c r="AA320" i="7"/>
  <c r="Z320" i="7"/>
  <c r="Y320" i="7"/>
  <c r="X320" i="7" a="1"/>
  <c r="X320" i="7" s="1"/>
  <c r="W320" i="7" a="1"/>
  <c r="W320" i="7" s="1"/>
  <c r="L320" i="7"/>
  <c r="K320" i="7"/>
  <c r="J320" i="7"/>
  <c r="B320" i="7"/>
  <c r="A320" i="7"/>
  <c r="AA319" i="7"/>
  <c r="Z319" i="7"/>
  <c r="Y319" i="7"/>
  <c r="X319" i="7" a="1"/>
  <c r="X319" i="7" s="1"/>
  <c r="W319" i="7" a="1"/>
  <c r="W319" i="7" s="1"/>
  <c r="L319" i="7"/>
  <c r="K319" i="7"/>
  <c r="J319" i="7"/>
  <c r="B319" i="7"/>
  <c r="A319" i="7"/>
  <c r="AA318" i="7"/>
  <c r="Z318" i="7"/>
  <c r="Y318" i="7"/>
  <c r="X318" i="7" a="1"/>
  <c r="X318" i="7" s="1"/>
  <c r="W318" i="7" a="1"/>
  <c r="W318" i="7" s="1"/>
  <c r="L318" i="7"/>
  <c r="K318" i="7"/>
  <c r="J318" i="7"/>
  <c r="B318" i="7"/>
  <c r="A318" i="7"/>
  <c r="AA317" i="7"/>
  <c r="Z317" i="7"/>
  <c r="Y317" i="7"/>
  <c r="X317" i="7" a="1"/>
  <c r="X317" i="7" s="1"/>
  <c r="W317" i="7" a="1"/>
  <c r="W317" i="7" s="1"/>
  <c r="L317" i="7"/>
  <c r="K317" i="7"/>
  <c r="J317" i="7"/>
  <c r="B317" i="7"/>
  <c r="A317" i="7"/>
  <c r="AA316" i="7"/>
  <c r="Z316" i="7"/>
  <c r="Y316" i="7"/>
  <c r="X316" i="7" a="1"/>
  <c r="X316" i="7" s="1"/>
  <c r="W316" i="7" a="1"/>
  <c r="W316" i="7" s="1"/>
  <c r="L316" i="7"/>
  <c r="K316" i="7"/>
  <c r="J316" i="7"/>
  <c r="B316" i="7"/>
  <c r="A316" i="7"/>
  <c r="AA315" i="7"/>
  <c r="Z315" i="7"/>
  <c r="Y315" i="7"/>
  <c r="X315" i="7" a="1"/>
  <c r="X315" i="7" s="1"/>
  <c r="W315" i="7" a="1"/>
  <c r="W315" i="7" s="1"/>
  <c r="L315" i="7"/>
  <c r="K315" i="7"/>
  <c r="J315" i="7"/>
  <c r="B315" i="7"/>
  <c r="A315" i="7"/>
  <c r="AA314" i="7"/>
  <c r="Z314" i="7"/>
  <c r="Y314" i="7"/>
  <c r="X314" i="7"/>
  <c r="X314" i="7" a="1"/>
  <c r="W314" i="7" a="1"/>
  <c r="W314" i="7" s="1"/>
  <c r="L314" i="7"/>
  <c r="K314" i="7"/>
  <c r="J314" i="7"/>
  <c r="B314" i="7"/>
  <c r="A314" i="7"/>
  <c r="AA313" i="7"/>
  <c r="Z313" i="7"/>
  <c r="Y313" i="7"/>
  <c r="X313" i="7" a="1"/>
  <c r="X313" i="7" s="1"/>
  <c r="W313" i="7" a="1"/>
  <c r="W313" i="7" s="1"/>
  <c r="L313" i="7"/>
  <c r="K313" i="7"/>
  <c r="J313" i="7"/>
  <c r="B313" i="7"/>
  <c r="A313" i="7"/>
  <c r="AA312" i="7"/>
  <c r="Z312" i="7"/>
  <c r="Y312" i="7"/>
  <c r="X312" i="7"/>
  <c r="X312" i="7" a="1"/>
  <c r="W312" i="7" a="1"/>
  <c r="W312" i="7" s="1"/>
  <c r="L312" i="7"/>
  <c r="K312" i="7"/>
  <c r="J312" i="7"/>
  <c r="B312" i="7"/>
  <c r="A312" i="7"/>
  <c r="AA311" i="7"/>
  <c r="Z311" i="7"/>
  <c r="Y311" i="7"/>
  <c r="X311" i="7" a="1"/>
  <c r="X311" i="7" s="1"/>
  <c r="W311" i="7" a="1"/>
  <c r="W311" i="7" s="1"/>
  <c r="L311" i="7"/>
  <c r="K311" i="7"/>
  <c r="J311" i="7"/>
  <c r="B311" i="7"/>
  <c r="A311" i="7"/>
  <c r="AA310" i="7"/>
  <c r="Z310" i="7"/>
  <c r="Y310" i="7"/>
  <c r="X310" i="7"/>
  <c r="X310" i="7" a="1"/>
  <c r="W310" i="7" a="1"/>
  <c r="W310" i="7" s="1"/>
  <c r="L310" i="7"/>
  <c r="K310" i="7"/>
  <c r="J310" i="7"/>
  <c r="B310" i="7"/>
  <c r="A310" i="7"/>
  <c r="AA309" i="7"/>
  <c r="Z309" i="7"/>
  <c r="Y309" i="7"/>
  <c r="X309" i="7" a="1"/>
  <c r="X309" i="7" s="1"/>
  <c r="W309" i="7" a="1"/>
  <c r="W309" i="7" s="1"/>
  <c r="L309" i="7"/>
  <c r="K309" i="7"/>
  <c r="J309" i="7"/>
  <c r="B309" i="7"/>
  <c r="A309" i="7"/>
  <c r="AA308" i="7"/>
  <c r="Z308" i="7"/>
  <c r="Y308" i="7"/>
  <c r="X308" i="7"/>
  <c r="X308" i="7" a="1"/>
  <c r="W308" i="7" a="1"/>
  <c r="W308" i="7" s="1"/>
  <c r="L308" i="7"/>
  <c r="K308" i="7"/>
  <c r="J308" i="7"/>
  <c r="B308" i="7"/>
  <c r="A308" i="7"/>
  <c r="AA307" i="7"/>
  <c r="Z307" i="7"/>
  <c r="Y307" i="7"/>
  <c r="X307" i="7" a="1"/>
  <c r="X307" i="7" s="1"/>
  <c r="W307" i="7" a="1"/>
  <c r="W307" i="7" s="1"/>
  <c r="L307" i="7"/>
  <c r="K307" i="7"/>
  <c r="J307" i="7"/>
  <c r="B307" i="7"/>
  <c r="A307" i="7"/>
  <c r="AA306" i="7"/>
  <c r="Z306" i="7"/>
  <c r="Y306" i="7"/>
  <c r="X306" i="7"/>
  <c r="X306" i="7" a="1"/>
  <c r="W306" i="7" a="1"/>
  <c r="W306" i="7" s="1"/>
  <c r="L306" i="7"/>
  <c r="K306" i="7"/>
  <c r="J306" i="7"/>
  <c r="B306" i="7"/>
  <c r="A306" i="7"/>
  <c r="AA305" i="7"/>
  <c r="Z305" i="7"/>
  <c r="Y305" i="7"/>
  <c r="X305" i="7" a="1"/>
  <c r="X305" i="7" s="1"/>
  <c r="W305" i="7" a="1"/>
  <c r="W305" i="7" s="1"/>
  <c r="L305" i="7"/>
  <c r="K305" i="7"/>
  <c r="J305" i="7"/>
  <c r="B305" i="7"/>
  <c r="A305" i="7"/>
  <c r="AA304" i="7"/>
  <c r="Z304" i="7"/>
  <c r="Y304" i="7"/>
  <c r="X304" i="7" a="1"/>
  <c r="X304" i="7" s="1"/>
  <c r="W304" i="7" a="1"/>
  <c r="W304" i="7" s="1"/>
  <c r="L304" i="7"/>
  <c r="K304" i="7"/>
  <c r="J304" i="7"/>
  <c r="B304" i="7"/>
  <c r="A304" i="7"/>
  <c r="AA303" i="7"/>
  <c r="Z303" i="7"/>
  <c r="Y303" i="7"/>
  <c r="X303" i="7" a="1"/>
  <c r="X303" i="7" s="1"/>
  <c r="W303" i="7" a="1"/>
  <c r="W303" i="7" s="1"/>
  <c r="L303" i="7"/>
  <c r="K303" i="7"/>
  <c r="J303" i="7"/>
  <c r="B303" i="7"/>
  <c r="A303" i="7"/>
  <c r="AA302" i="7"/>
  <c r="Z302" i="7"/>
  <c r="Y302" i="7"/>
  <c r="X302" i="7" a="1"/>
  <c r="X302" i="7" s="1"/>
  <c r="W302" i="7" a="1"/>
  <c r="W302" i="7" s="1"/>
  <c r="L302" i="7"/>
  <c r="K302" i="7"/>
  <c r="J302" i="7"/>
  <c r="B302" i="7"/>
  <c r="A302" i="7"/>
  <c r="AA301" i="7"/>
  <c r="Z301" i="7"/>
  <c r="Y301" i="7"/>
  <c r="X301" i="7" a="1"/>
  <c r="X301" i="7" s="1"/>
  <c r="W301" i="7" a="1"/>
  <c r="W301" i="7" s="1"/>
  <c r="L301" i="7"/>
  <c r="K301" i="7"/>
  <c r="J301" i="7"/>
  <c r="B301" i="7"/>
  <c r="A301" i="7"/>
  <c r="AA300" i="7"/>
  <c r="Z300" i="7"/>
  <c r="Y300" i="7"/>
  <c r="X300" i="7" a="1"/>
  <c r="X300" i="7" s="1"/>
  <c r="W300" i="7" a="1"/>
  <c r="W300" i="7" s="1"/>
  <c r="L300" i="7"/>
  <c r="K300" i="7"/>
  <c r="J300" i="7"/>
  <c r="B300" i="7"/>
  <c r="A300" i="7"/>
  <c r="AA299" i="7"/>
  <c r="Z299" i="7"/>
  <c r="Y299" i="7"/>
  <c r="X299" i="7" a="1"/>
  <c r="X299" i="7" s="1"/>
  <c r="W299" i="7" a="1"/>
  <c r="W299" i="7" s="1"/>
  <c r="L299" i="7"/>
  <c r="K299" i="7"/>
  <c r="J299" i="7"/>
  <c r="B299" i="7"/>
  <c r="A299" i="7"/>
  <c r="AA298" i="7"/>
  <c r="Z298" i="7"/>
  <c r="Y298" i="7"/>
  <c r="X298" i="7"/>
  <c r="X298" i="7" a="1"/>
  <c r="W298" i="7" a="1"/>
  <c r="W298" i="7" s="1"/>
  <c r="L298" i="7"/>
  <c r="K298" i="7"/>
  <c r="J298" i="7"/>
  <c r="B298" i="7"/>
  <c r="A298" i="7"/>
  <c r="AA297" i="7"/>
  <c r="Z297" i="7"/>
  <c r="Y297" i="7"/>
  <c r="X297" i="7" a="1"/>
  <c r="X297" i="7" s="1"/>
  <c r="W297" i="7" a="1"/>
  <c r="W297" i="7" s="1"/>
  <c r="L297" i="7"/>
  <c r="K297" i="7"/>
  <c r="J297" i="7"/>
  <c r="B297" i="7"/>
  <c r="A297" i="7"/>
  <c r="AA296" i="7"/>
  <c r="Z296" i="7"/>
  <c r="Y296" i="7"/>
  <c r="X296" i="7"/>
  <c r="X296" i="7" a="1"/>
  <c r="W296" i="7" a="1"/>
  <c r="W296" i="7" s="1"/>
  <c r="L296" i="7"/>
  <c r="K296" i="7"/>
  <c r="J296" i="7"/>
  <c r="B296" i="7"/>
  <c r="A296" i="7"/>
  <c r="AA295" i="7"/>
  <c r="Z295" i="7"/>
  <c r="Y295" i="7"/>
  <c r="X295" i="7" a="1"/>
  <c r="X295" i="7" s="1"/>
  <c r="W295" i="7" a="1"/>
  <c r="W295" i="7" s="1"/>
  <c r="L295" i="7"/>
  <c r="K295" i="7"/>
  <c r="J295" i="7"/>
  <c r="B295" i="7"/>
  <c r="A295" i="7"/>
  <c r="AA294" i="7"/>
  <c r="Z294" i="7"/>
  <c r="Y294" i="7"/>
  <c r="X294" i="7"/>
  <c r="X294" i="7" a="1"/>
  <c r="W294" i="7" a="1"/>
  <c r="W294" i="7" s="1"/>
  <c r="L294" i="7"/>
  <c r="K294" i="7"/>
  <c r="J294" i="7"/>
  <c r="B294" i="7"/>
  <c r="A294" i="7"/>
  <c r="AA293" i="7"/>
  <c r="Z293" i="7"/>
  <c r="Y293" i="7"/>
  <c r="X293" i="7" a="1"/>
  <c r="X293" i="7" s="1"/>
  <c r="W293" i="7" a="1"/>
  <c r="W293" i="7" s="1"/>
  <c r="L293" i="7"/>
  <c r="K293" i="7"/>
  <c r="J293" i="7"/>
  <c r="B293" i="7"/>
  <c r="A293" i="7"/>
  <c r="AA292" i="7"/>
  <c r="Z292" i="7"/>
  <c r="Y292" i="7"/>
  <c r="X292" i="7"/>
  <c r="X292" i="7" a="1"/>
  <c r="W292" i="7" a="1"/>
  <c r="W292" i="7" s="1"/>
  <c r="L292" i="7"/>
  <c r="K292" i="7"/>
  <c r="J292" i="7"/>
  <c r="B292" i="7"/>
  <c r="A292" i="7"/>
  <c r="AA291" i="7"/>
  <c r="Z291" i="7"/>
  <c r="Y291" i="7"/>
  <c r="X291" i="7" a="1"/>
  <c r="X291" i="7" s="1"/>
  <c r="W291" i="7" a="1"/>
  <c r="W291" i="7" s="1"/>
  <c r="L291" i="7"/>
  <c r="K291" i="7"/>
  <c r="J291" i="7"/>
  <c r="B291" i="7"/>
  <c r="A291" i="7"/>
  <c r="AA290" i="7"/>
  <c r="Z290" i="7"/>
  <c r="Y290" i="7"/>
  <c r="X290" i="7"/>
  <c r="X290" i="7" a="1"/>
  <c r="W290" i="7" a="1"/>
  <c r="W290" i="7" s="1"/>
  <c r="L290" i="7"/>
  <c r="K290" i="7"/>
  <c r="J290" i="7"/>
  <c r="B290" i="7"/>
  <c r="A290" i="7"/>
  <c r="AA289" i="7"/>
  <c r="Z289" i="7"/>
  <c r="Y289" i="7"/>
  <c r="X289" i="7" a="1"/>
  <c r="X289" i="7" s="1"/>
  <c r="W289" i="7"/>
  <c r="W289" i="7" a="1"/>
  <c r="L289" i="7"/>
  <c r="K289" i="7"/>
  <c r="J289" i="7"/>
  <c r="B289" i="7"/>
  <c r="A289" i="7"/>
  <c r="AA288" i="7"/>
  <c r="Z288" i="7"/>
  <c r="Y288" i="7"/>
  <c r="X288" i="7"/>
  <c r="X288" i="7" a="1"/>
  <c r="W288" i="7" a="1"/>
  <c r="W288" i="7" s="1"/>
  <c r="L288" i="7"/>
  <c r="K288" i="7"/>
  <c r="J288" i="7"/>
  <c r="B288" i="7"/>
  <c r="A288" i="7"/>
  <c r="AA287" i="7"/>
  <c r="Z287" i="7"/>
  <c r="Y287" i="7"/>
  <c r="X287" i="7" a="1"/>
  <c r="X287" i="7" s="1"/>
  <c r="W287" i="7" a="1"/>
  <c r="W287" i="7" s="1"/>
  <c r="L287" i="7"/>
  <c r="K287" i="7"/>
  <c r="J287" i="7"/>
  <c r="B287" i="7"/>
  <c r="A287" i="7"/>
  <c r="AA286" i="7"/>
  <c r="Z286" i="7"/>
  <c r="Y286" i="7"/>
  <c r="X286" i="7"/>
  <c r="X286" i="7" a="1"/>
  <c r="W286" i="7" a="1"/>
  <c r="W286" i="7" s="1"/>
  <c r="L286" i="7"/>
  <c r="K286" i="7"/>
  <c r="J286" i="7"/>
  <c r="B286" i="7"/>
  <c r="A286" i="7"/>
  <c r="AA285" i="7"/>
  <c r="Z285" i="7"/>
  <c r="Y285" i="7"/>
  <c r="X285" i="7" a="1"/>
  <c r="X285" i="7" s="1"/>
  <c r="W285" i="7"/>
  <c r="W285" i="7" a="1"/>
  <c r="L285" i="7"/>
  <c r="K285" i="7"/>
  <c r="J285" i="7"/>
  <c r="B285" i="7"/>
  <c r="A285" i="7"/>
  <c r="Z284" i="7"/>
  <c r="AA284" i="7" s="1"/>
  <c r="Y284" i="7"/>
  <c r="X284" i="7" a="1"/>
  <c r="X284" i="7" s="1"/>
  <c r="W284" i="7"/>
  <c r="W284" i="7" a="1"/>
  <c r="L284" i="7"/>
  <c r="K284" i="7"/>
  <c r="J284" i="7"/>
  <c r="B284" i="7"/>
  <c r="A284" i="7"/>
  <c r="AA283" i="7"/>
  <c r="Z283" i="7"/>
  <c r="Y283" i="7"/>
  <c r="X283" i="7" a="1"/>
  <c r="X283" i="7" s="1"/>
  <c r="W283" i="7" a="1"/>
  <c r="W283" i="7" s="1"/>
  <c r="L283" i="7"/>
  <c r="K283" i="7"/>
  <c r="J283" i="7"/>
  <c r="B283" i="7"/>
  <c r="A283" i="7"/>
  <c r="AA282" i="7"/>
  <c r="Z282" i="7"/>
  <c r="Y282" i="7"/>
  <c r="X282" i="7"/>
  <c r="X282" i="7" a="1"/>
  <c r="W282" i="7"/>
  <c r="W282" i="7" a="1"/>
  <c r="L282" i="7"/>
  <c r="K282" i="7"/>
  <c r="J282" i="7"/>
  <c r="B282" i="7"/>
  <c r="A282" i="7"/>
  <c r="Z281" i="7"/>
  <c r="AA281" i="7" s="1"/>
  <c r="Y281" i="7"/>
  <c r="X281" i="7" a="1"/>
  <c r="X281" i="7" s="1"/>
  <c r="W281" i="7"/>
  <c r="W281" i="7" a="1"/>
  <c r="L281" i="7"/>
  <c r="K281" i="7"/>
  <c r="J281" i="7"/>
  <c r="B281" i="7"/>
  <c r="A281" i="7"/>
  <c r="Z280" i="7"/>
  <c r="AA280" i="7" s="1"/>
  <c r="Y280" i="7"/>
  <c r="X280" i="7"/>
  <c r="X280" i="7" a="1"/>
  <c r="W280" i="7" a="1"/>
  <c r="W280" i="7" s="1"/>
  <c r="L280" i="7"/>
  <c r="K280" i="7"/>
  <c r="J280" i="7"/>
  <c r="B280" i="7"/>
  <c r="A280" i="7"/>
  <c r="AA279" i="7"/>
  <c r="Z279" i="7"/>
  <c r="Y279" i="7"/>
  <c r="X279" i="7" a="1"/>
  <c r="X279" i="7" s="1"/>
  <c r="W279" i="7" a="1"/>
  <c r="W279" i="7" s="1"/>
  <c r="L279" i="7"/>
  <c r="K279" i="7"/>
  <c r="J279" i="7"/>
  <c r="B279" i="7"/>
  <c r="A279" i="7"/>
  <c r="AA278" i="7"/>
  <c r="Z278" i="7"/>
  <c r="Y278" i="7"/>
  <c r="X278" i="7" a="1"/>
  <c r="X278" i="7" s="1"/>
  <c r="W278" i="7"/>
  <c r="W278" i="7" a="1"/>
  <c r="L278" i="7"/>
  <c r="K278" i="7"/>
  <c r="J278" i="7"/>
  <c r="B278" i="7"/>
  <c r="A278" i="7"/>
  <c r="AA277" i="7"/>
  <c r="Z277" i="7"/>
  <c r="Y277" i="7"/>
  <c r="X277" i="7" a="1"/>
  <c r="X277" i="7" s="1"/>
  <c r="W277" i="7"/>
  <c r="W277" i="7" a="1"/>
  <c r="L277" i="7"/>
  <c r="K277" i="7"/>
  <c r="J277" i="7"/>
  <c r="B277" i="7"/>
  <c r="A277" i="7"/>
  <c r="AA276" i="7"/>
  <c r="Z276" i="7"/>
  <c r="Y276" i="7"/>
  <c r="X276" i="7"/>
  <c r="X276" i="7" a="1"/>
  <c r="W276" i="7"/>
  <c r="W276" i="7" a="1"/>
  <c r="L276" i="7"/>
  <c r="K276" i="7"/>
  <c r="J276" i="7"/>
  <c r="B276" i="7"/>
  <c r="A276" i="7"/>
  <c r="Z275" i="7"/>
  <c r="AA275" i="7" s="1"/>
  <c r="Y275" i="7"/>
  <c r="X275" i="7" a="1"/>
  <c r="X275" i="7" s="1"/>
  <c r="W275" i="7"/>
  <c r="W275" i="7" a="1"/>
  <c r="L275" i="7"/>
  <c r="K275" i="7"/>
  <c r="J275" i="7"/>
  <c r="B275" i="7"/>
  <c r="A275" i="7"/>
  <c r="Z274" i="7"/>
  <c r="AA274" i="7" s="1"/>
  <c r="Y274" i="7"/>
  <c r="X274" i="7" a="1"/>
  <c r="X274" i="7" s="1"/>
  <c r="W274" i="7" a="1"/>
  <c r="W274" i="7" s="1"/>
  <c r="L274" i="7"/>
  <c r="K274" i="7"/>
  <c r="J274" i="7"/>
  <c r="B274" i="7"/>
  <c r="A274" i="7"/>
  <c r="AA273" i="7"/>
  <c r="Z273" i="7"/>
  <c r="Y273" i="7"/>
  <c r="X273" i="7" a="1"/>
  <c r="X273" i="7" s="1"/>
  <c r="W273" i="7" a="1"/>
  <c r="W273" i="7" s="1"/>
  <c r="L273" i="7"/>
  <c r="K273" i="7"/>
  <c r="J273" i="7"/>
  <c r="B273" i="7"/>
  <c r="A273" i="7"/>
  <c r="AA272" i="7"/>
  <c r="Z272" i="7"/>
  <c r="Y272" i="7"/>
  <c r="X272" i="7"/>
  <c r="X272" i="7" a="1"/>
  <c r="W272" i="7"/>
  <c r="W272" i="7" a="1"/>
  <c r="L272" i="7"/>
  <c r="K272" i="7"/>
  <c r="J272" i="7"/>
  <c r="B272" i="7"/>
  <c r="A272" i="7"/>
  <c r="Z271" i="7"/>
  <c r="AA271" i="7" s="1"/>
  <c r="Y271" i="7"/>
  <c r="X271" i="7" a="1"/>
  <c r="X271" i="7" s="1"/>
  <c r="W271" i="7"/>
  <c r="W271" i="7" a="1"/>
  <c r="L271" i="7"/>
  <c r="K271" i="7"/>
  <c r="J271" i="7"/>
  <c r="B271" i="7"/>
  <c r="A271" i="7"/>
  <c r="AA270" i="7"/>
  <c r="Z270" i="7"/>
  <c r="Y270" i="7"/>
  <c r="X270" i="7"/>
  <c r="X270" i="7" a="1"/>
  <c r="W270" i="7" a="1"/>
  <c r="W270" i="7" s="1"/>
  <c r="L270" i="7"/>
  <c r="K270" i="7"/>
  <c r="J270" i="7"/>
  <c r="B270" i="7"/>
  <c r="A270" i="7"/>
  <c r="AA269" i="7"/>
  <c r="Z269" i="7"/>
  <c r="Y269" i="7"/>
  <c r="X269" i="7" a="1"/>
  <c r="X269" i="7" s="1"/>
  <c r="W269" i="7"/>
  <c r="W269" i="7" a="1"/>
  <c r="L269" i="7"/>
  <c r="K269" i="7"/>
  <c r="J269" i="7"/>
  <c r="B269" i="7"/>
  <c r="A269" i="7"/>
  <c r="Z268" i="7"/>
  <c r="AA268" i="7" s="1"/>
  <c r="Y268" i="7"/>
  <c r="X268" i="7" a="1"/>
  <c r="X268" i="7" s="1"/>
  <c r="W268" i="7"/>
  <c r="W268" i="7" a="1"/>
  <c r="L268" i="7"/>
  <c r="K268" i="7"/>
  <c r="J268" i="7"/>
  <c r="B268" i="7"/>
  <c r="A268" i="7"/>
  <c r="AA267" i="7"/>
  <c r="Z267" i="7"/>
  <c r="Y267" i="7"/>
  <c r="X267" i="7" a="1"/>
  <c r="X267" i="7" s="1"/>
  <c r="W267" i="7" a="1"/>
  <c r="W267" i="7" s="1"/>
  <c r="L267" i="7"/>
  <c r="K267" i="7"/>
  <c r="J267" i="7"/>
  <c r="B267" i="7"/>
  <c r="A267" i="7"/>
  <c r="AA266" i="7"/>
  <c r="Z266" i="7"/>
  <c r="Y266" i="7"/>
  <c r="X266" i="7"/>
  <c r="X266" i="7" a="1"/>
  <c r="W266" i="7"/>
  <c r="W266" i="7" a="1"/>
  <c r="L266" i="7"/>
  <c r="K266" i="7"/>
  <c r="J266" i="7"/>
  <c r="B266" i="7"/>
  <c r="A266" i="7"/>
  <c r="Z265" i="7"/>
  <c r="AA265" i="7" s="1"/>
  <c r="Y265" i="7"/>
  <c r="X265" i="7" a="1"/>
  <c r="X265" i="7" s="1"/>
  <c r="W265" i="7"/>
  <c r="W265" i="7" a="1"/>
  <c r="L265" i="7"/>
  <c r="K265" i="7"/>
  <c r="J265" i="7"/>
  <c r="B265" i="7"/>
  <c r="A265" i="7"/>
  <c r="Z264" i="7"/>
  <c r="AA264" i="7" s="1"/>
  <c r="Y264" i="7"/>
  <c r="X264" i="7"/>
  <c r="X264" i="7" a="1"/>
  <c r="W264" i="7" a="1"/>
  <c r="W264" i="7" s="1"/>
  <c r="L264" i="7"/>
  <c r="K264" i="7"/>
  <c r="J264" i="7"/>
  <c r="B264" i="7"/>
  <c r="A264" i="7"/>
  <c r="AA263" i="7"/>
  <c r="Z263" i="7"/>
  <c r="Y263" i="7"/>
  <c r="X263" i="7" a="1"/>
  <c r="X263" i="7" s="1"/>
  <c r="W263" i="7" a="1"/>
  <c r="W263" i="7" s="1"/>
  <c r="L263" i="7"/>
  <c r="K263" i="7"/>
  <c r="J263" i="7"/>
  <c r="B263" i="7"/>
  <c r="A263" i="7"/>
  <c r="AA262" i="7"/>
  <c r="Z262" i="7"/>
  <c r="Y262" i="7"/>
  <c r="X262" i="7" a="1"/>
  <c r="X262" i="7" s="1"/>
  <c r="W262" i="7"/>
  <c r="W262" i="7" a="1"/>
  <c r="L262" i="7"/>
  <c r="K262" i="7"/>
  <c r="J262" i="7"/>
  <c r="B262" i="7"/>
  <c r="A262" i="7"/>
  <c r="AA261" i="7"/>
  <c r="Z261" i="7"/>
  <c r="Y261" i="7"/>
  <c r="X261" i="7" a="1"/>
  <c r="X261" i="7" s="1"/>
  <c r="W261" i="7"/>
  <c r="W261" i="7" a="1"/>
  <c r="L261" i="7"/>
  <c r="K261" i="7"/>
  <c r="J261" i="7"/>
  <c r="B261" i="7"/>
  <c r="A261" i="7"/>
  <c r="AA260" i="7"/>
  <c r="Z260" i="7"/>
  <c r="Y260" i="7"/>
  <c r="X260" i="7"/>
  <c r="X260" i="7" a="1"/>
  <c r="W260" i="7"/>
  <c r="W260" i="7" a="1"/>
  <c r="L260" i="7"/>
  <c r="K260" i="7"/>
  <c r="J260" i="7"/>
  <c r="B260" i="7"/>
  <c r="A260" i="7"/>
  <c r="Z259" i="7"/>
  <c r="AA259" i="7" s="1"/>
  <c r="Y259" i="7"/>
  <c r="X259" i="7" a="1"/>
  <c r="X259" i="7" s="1"/>
  <c r="W259" i="7"/>
  <c r="W259" i="7" a="1"/>
  <c r="L259" i="7"/>
  <c r="K259" i="7"/>
  <c r="J259" i="7"/>
  <c r="B259" i="7"/>
  <c r="A259" i="7"/>
  <c r="AA258" i="7"/>
  <c r="Z258" i="7"/>
  <c r="Y258" i="7"/>
  <c r="X258" i="7"/>
  <c r="X258" i="7" a="1"/>
  <c r="W258" i="7"/>
  <c r="W258" i="7" a="1"/>
  <c r="L258" i="7"/>
  <c r="K258" i="7"/>
  <c r="J258" i="7"/>
  <c r="B258" i="7"/>
  <c r="A258" i="7"/>
  <c r="Z257" i="7"/>
  <c r="AA257" i="7" s="1"/>
  <c r="Y257" i="7"/>
  <c r="X257" i="7" a="1"/>
  <c r="X257" i="7" s="1"/>
  <c r="W257" i="7"/>
  <c r="W257" i="7" a="1"/>
  <c r="L257" i="7"/>
  <c r="K257" i="7"/>
  <c r="J257" i="7"/>
  <c r="B257" i="7"/>
  <c r="A257" i="7"/>
  <c r="AA256" i="7"/>
  <c r="Z256" i="7"/>
  <c r="Y256" i="7"/>
  <c r="X256" i="7"/>
  <c r="X256" i="7" a="1"/>
  <c r="W256" i="7"/>
  <c r="W256" i="7" a="1"/>
  <c r="L256" i="7"/>
  <c r="K256" i="7"/>
  <c r="J256" i="7"/>
  <c r="B256" i="7"/>
  <c r="A256" i="7"/>
  <c r="Z255" i="7"/>
  <c r="AA255" i="7" s="1"/>
  <c r="Y255" i="7"/>
  <c r="X255" i="7" a="1"/>
  <c r="X255" i="7" s="1"/>
  <c r="W255" i="7"/>
  <c r="W255" i="7" a="1"/>
  <c r="L255" i="7"/>
  <c r="K255" i="7"/>
  <c r="J255" i="7"/>
  <c r="B255" i="7"/>
  <c r="A255" i="7"/>
  <c r="AA254" i="7"/>
  <c r="Z254" i="7"/>
  <c r="Y254" i="7"/>
  <c r="X254" i="7"/>
  <c r="X254" i="7" a="1"/>
  <c r="W254" i="7"/>
  <c r="W254" i="7" a="1"/>
  <c r="L254" i="7"/>
  <c r="K254" i="7"/>
  <c r="J254" i="7"/>
  <c r="B254" i="7"/>
  <c r="A254" i="7"/>
  <c r="Z253" i="7"/>
  <c r="AA253" i="7" s="1"/>
  <c r="Y253" i="7"/>
  <c r="X253" i="7" a="1"/>
  <c r="X253" i="7" s="1"/>
  <c r="W253" i="7"/>
  <c r="W253" i="7" a="1"/>
  <c r="L253" i="7"/>
  <c r="K253" i="7"/>
  <c r="J253" i="7"/>
  <c r="B253" i="7"/>
  <c r="A253" i="7"/>
  <c r="AA252" i="7"/>
  <c r="Z252" i="7"/>
  <c r="Y252" i="7"/>
  <c r="X252" i="7"/>
  <c r="X252" i="7" a="1"/>
  <c r="W252" i="7"/>
  <c r="W252" i="7" a="1"/>
  <c r="L252" i="7"/>
  <c r="K252" i="7"/>
  <c r="J252" i="7"/>
  <c r="B252" i="7"/>
  <c r="A252" i="7"/>
  <c r="Z251" i="7"/>
  <c r="AA251" i="7" s="1"/>
  <c r="Y251" i="7"/>
  <c r="X251" i="7" a="1"/>
  <c r="X251" i="7" s="1"/>
  <c r="W251" i="7"/>
  <c r="W251" i="7" a="1"/>
  <c r="L251" i="7"/>
  <c r="K251" i="7"/>
  <c r="J251" i="7"/>
  <c r="B251" i="7"/>
  <c r="A251" i="7"/>
  <c r="AA250" i="7"/>
  <c r="Z250" i="7"/>
  <c r="Y250" i="7"/>
  <c r="X250" i="7"/>
  <c r="X250" i="7" a="1"/>
  <c r="W250" i="7"/>
  <c r="W250" i="7" a="1"/>
  <c r="L250" i="7"/>
  <c r="K250" i="7"/>
  <c r="J250" i="7"/>
  <c r="B250" i="7"/>
  <c r="A250" i="7"/>
  <c r="Z249" i="7"/>
  <c r="AA249" i="7" s="1"/>
  <c r="Y249" i="7"/>
  <c r="X249" i="7" a="1"/>
  <c r="X249" i="7" s="1"/>
  <c r="W249" i="7"/>
  <c r="W249" i="7" a="1"/>
  <c r="L249" i="7"/>
  <c r="K249" i="7"/>
  <c r="J249" i="7"/>
  <c r="B249" i="7"/>
  <c r="A249" i="7"/>
  <c r="AA248" i="7"/>
  <c r="Z248" i="7"/>
  <c r="Y248" i="7"/>
  <c r="X248" i="7"/>
  <c r="X248" i="7" a="1"/>
  <c r="W248" i="7"/>
  <c r="W248" i="7" a="1"/>
  <c r="L248" i="7"/>
  <c r="K248" i="7"/>
  <c r="J248" i="7"/>
  <c r="B248" i="7"/>
  <c r="A248" i="7"/>
  <c r="Z247" i="7"/>
  <c r="AA247" i="7" s="1"/>
  <c r="Y247" i="7"/>
  <c r="X247" i="7" a="1"/>
  <c r="X247" i="7" s="1"/>
  <c r="W247" i="7"/>
  <c r="W247" i="7" a="1"/>
  <c r="L247" i="7"/>
  <c r="K247" i="7"/>
  <c r="J247" i="7"/>
  <c r="B247" i="7"/>
  <c r="A247" i="7"/>
  <c r="AA246" i="7"/>
  <c r="Z246" i="7"/>
  <c r="Y246" i="7"/>
  <c r="X246" i="7"/>
  <c r="X246" i="7" a="1"/>
  <c r="W246" i="7"/>
  <c r="W246" i="7" a="1"/>
  <c r="L246" i="7"/>
  <c r="K246" i="7"/>
  <c r="J246" i="7"/>
  <c r="B246" i="7"/>
  <c r="A246" i="7"/>
  <c r="Z245" i="7"/>
  <c r="AA245" i="7" s="1"/>
  <c r="Y245" i="7"/>
  <c r="X245" i="7" a="1"/>
  <c r="X245" i="7" s="1"/>
  <c r="W245" i="7"/>
  <c r="W245" i="7" a="1"/>
  <c r="L245" i="7"/>
  <c r="K245" i="7"/>
  <c r="J245" i="7"/>
  <c r="B245" i="7"/>
  <c r="A245" i="7"/>
  <c r="AA244" i="7"/>
  <c r="Z244" i="7"/>
  <c r="Y244" i="7"/>
  <c r="X244" i="7"/>
  <c r="X244" i="7" a="1"/>
  <c r="W244" i="7"/>
  <c r="W244" i="7" a="1"/>
  <c r="L244" i="7"/>
  <c r="K244" i="7"/>
  <c r="J244" i="7"/>
  <c r="B244" i="7"/>
  <c r="A244" i="7"/>
  <c r="Z243" i="7"/>
  <c r="AA243" i="7" s="1"/>
  <c r="Y243" i="7"/>
  <c r="X243" i="7" a="1"/>
  <c r="X243" i="7" s="1"/>
  <c r="W243" i="7"/>
  <c r="W243" i="7" a="1"/>
  <c r="L243" i="7"/>
  <c r="K243" i="7"/>
  <c r="J243" i="7"/>
  <c r="B243" i="7"/>
  <c r="A243" i="7"/>
  <c r="AA242" i="7"/>
  <c r="Z242" i="7"/>
  <c r="Y242" i="7"/>
  <c r="X242" i="7"/>
  <c r="X242" i="7" a="1"/>
  <c r="W242" i="7"/>
  <c r="W242" i="7" a="1"/>
  <c r="L242" i="7"/>
  <c r="K242" i="7"/>
  <c r="J242" i="7"/>
  <c r="B242" i="7"/>
  <c r="A242" i="7"/>
  <c r="Z241" i="7"/>
  <c r="AA241" i="7" s="1"/>
  <c r="Y241" i="7"/>
  <c r="X241" i="7" a="1"/>
  <c r="X241" i="7" s="1"/>
  <c r="W241" i="7"/>
  <c r="W241" i="7" a="1"/>
  <c r="L241" i="7"/>
  <c r="K241" i="7"/>
  <c r="J241" i="7"/>
  <c r="B241" i="7"/>
  <c r="A241" i="7"/>
  <c r="AA240" i="7"/>
  <c r="Z240" i="7"/>
  <c r="Y240" i="7"/>
  <c r="X240" i="7"/>
  <c r="X240" i="7" a="1"/>
  <c r="W240" i="7"/>
  <c r="W240" i="7" a="1"/>
  <c r="L240" i="7"/>
  <c r="K240" i="7"/>
  <c r="J240" i="7"/>
  <c r="B240" i="7"/>
  <c r="A240" i="7"/>
  <c r="Z239" i="7"/>
  <c r="AA239" i="7" s="1"/>
  <c r="Y239" i="7"/>
  <c r="X239" i="7" a="1"/>
  <c r="X239" i="7" s="1"/>
  <c r="W239" i="7"/>
  <c r="W239" i="7" a="1"/>
  <c r="L239" i="7"/>
  <c r="K239" i="7"/>
  <c r="J239" i="7"/>
  <c r="B239" i="7"/>
  <c r="A239" i="7"/>
  <c r="AA238" i="7"/>
  <c r="Z238" i="7"/>
  <c r="Y238" i="7"/>
  <c r="X238" i="7"/>
  <c r="X238" i="7" a="1"/>
  <c r="W238" i="7"/>
  <c r="W238" i="7" a="1"/>
  <c r="L238" i="7"/>
  <c r="K238" i="7"/>
  <c r="J238" i="7"/>
  <c r="B238" i="7"/>
  <c r="A238" i="7"/>
  <c r="Z237" i="7"/>
  <c r="AA237" i="7" s="1"/>
  <c r="Y237" i="7"/>
  <c r="X237" i="7" a="1"/>
  <c r="X237" i="7" s="1"/>
  <c r="W237" i="7"/>
  <c r="W237" i="7" a="1"/>
  <c r="L237" i="7"/>
  <c r="K237" i="7"/>
  <c r="J237" i="7"/>
  <c r="B237" i="7"/>
  <c r="A237" i="7"/>
  <c r="AA236" i="7"/>
  <c r="Z236" i="7"/>
  <c r="Y236" i="7"/>
  <c r="X236" i="7"/>
  <c r="X236" i="7" a="1"/>
  <c r="W236" i="7"/>
  <c r="W236" i="7" a="1"/>
  <c r="L236" i="7"/>
  <c r="K236" i="7"/>
  <c r="J236" i="7"/>
  <c r="B236" i="7"/>
  <c r="A236" i="7"/>
  <c r="Z235" i="7"/>
  <c r="AA235" i="7" s="1"/>
  <c r="Y235" i="7"/>
  <c r="X235" i="7" a="1"/>
  <c r="X235" i="7" s="1"/>
  <c r="W235" i="7"/>
  <c r="W235" i="7" a="1"/>
  <c r="L235" i="7"/>
  <c r="K235" i="7"/>
  <c r="J235" i="7"/>
  <c r="B235" i="7"/>
  <c r="A235" i="7"/>
  <c r="AA234" i="7"/>
  <c r="Z234" i="7"/>
  <c r="Y234" i="7"/>
  <c r="X234" i="7"/>
  <c r="X234" i="7" a="1"/>
  <c r="W234" i="7"/>
  <c r="W234" i="7" a="1"/>
  <c r="L234" i="7"/>
  <c r="K234" i="7"/>
  <c r="J234" i="7"/>
  <c r="B234" i="7"/>
  <c r="A234" i="7"/>
  <c r="Z233" i="7"/>
  <c r="AA233" i="7" s="1"/>
  <c r="Y233" i="7"/>
  <c r="X233" i="7" a="1"/>
  <c r="X233" i="7" s="1"/>
  <c r="W233" i="7"/>
  <c r="W233" i="7" a="1"/>
  <c r="L233" i="7"/>
  <c r="K233" i="7"/>
  <c r="J233" i="7"/>
  <c r="B233" i="7"/>
  <c r="A233" i="7"/>
  <c r="AA232" i="7"/>
  <c r="Z232" i="7"/>
  <c r="Y232" i="7"/>
  <c r="X232" i="7"/>
  <c r="X232" i="7" a="1"/>
  <c r="W232" i="7"/>
  <c r="W232" i="7" a="1"/>
  <c r="L232" i="7"/>
  <c r="K232" i="7"/>
  <c r="J232" i="7"/>
  <c r="B232" i="7"/>
  <c r="A232" i="7"/>
  <c r="Z231" i="7"/>
  <c r="AA231" i="7" s="1"/>
  <c r="Y231" i="7"/>
  <c r="X231" i="7" a="1"/>
  <c r="X231" i="7" s="1"/>
  <c r="W231" i="7"/>
  <c r="W231" i="7" a="1"/>
  <c r="L231" i="7"/>
  <c r="K231" i="7"/>
  <c r="J231" i="7"/>
  <c r="B231" i="7"/>
  <c r="A231" i="7"/>
  <c r="AA230" i="7"/>
  <c r="Z230" i="7"/>
  <c r="Y230" i="7"/>
  <c r="X230" i="7"/>
  <c r="X230" i="7" a="1"/>
  <c r="W230" i="7"/>
  <c r="W230" i="7" a="1"/>
  <c r="L230" i="7"/>
  <c r="K230" i="7"/>
  <c r="J230" i="7"/>
  <c r="B230" i="7"/>
  <c r="A230" i="7"/>
  <c r="Z229" i="7"/>
  <c r="AA229" i="7" s="1"/>
  <c r="Y229" i="7"/>
  <c r="X229" i="7" a="1"/>
  <c r="X229" i="7" s="1"/>
  <c r="W229" i="7"/>
  <c r="W229" i="7" a="1"/>
  <c r="L229" i="7"/>
  <c r="K229" i="7"/>
  <c r="J229" i="7"/>
  <c r="B229" i="7"/>
  <c r="A229" i="7"/>
  <c r="AA228" i="7"/>
  <c r="Z228" i="7"/>
  <c r="Y228" i="7"/>
  <c r="X228" i="7"/>
  <c r="X228" i="7" a="1"/>
  <c r="W228" i="7"/>
  <c r="W228" i="7" a="1"/>
  <c r="L228" i="7"/>
  <c r="K228" i="7"/>
  <c r="J228" i="7"/>
  <c r="B228" i="7"/>
  <c r="A228" i="7"/>
  <c r="Z227" i="7"/>
  <c r="AA227" i="7" s="1"/>
  <c r="Y227" i="7"/>
  <c r="X227" i="7" a="1"/>
  <c r="X227" i="7" s="1"/>
  <c r="W227" i="7"/>
  <c r="W227" i="7" a="1"/>
  <c r="L227" i="7"/>
  <c r="K227" i="7"/>
  <c r="J227" i="7"/>
  <c r="B227" i="7"/>
  <c r="A227" i="7"/>
  <c r="AA226" i="7"/>
  <c r="Z226" i="7"/>
  <c r="Y226" i="7"/>
  <c r="X226" i="7" a="1"/>
  <c r="X226" i="7" s="1"/>
  <c r="W226" i="7"/>
  <c r="W226" i="7" a="1"/>
  <c r="L226" i="7"/>
  <c r="K226" i="7"/>
  <c r="J226" i="7"/>
  <c r="B226" i="7"/>
  <c r="A226" i="7"/>
  <c r="Z225" i="7"/>
  <c r="AA225" i="7" s="1"/>
  <c r="Y225" i="7"/>
  <c r="X225" i="7" a="1"/>
  <c r="X225" i="7" s="1"/>
  <c r="W225" i="7"/>
  <c r="W225" i="7" a="1"/>
  <c r="L225" i="7"/>
  <c r="K225" i="7"/>
  <c r="J225" i="7"/>
  <c r="B225" i="7"/>
  <c r="A225" i="7"/>
  <c r="AA224" i="7"/>
  <c r="Z224" i="7"/>
  <c r="Y224" i="7"/>
  <c r="X224" i="7" a="1"/>
  <c r="X224" i="7" s="1"/>
  <c r="W224" i="7"/>
  <c r="W224" i="7" a="1"/>
  <c r="L224" i="7"/>
  <c r="K224" i="7"/>
  <c r="J224" i="7"/>
  <c r="B224" i="7"/>
  <c r="A224" i="7"/>
  <c r="Z223" i="7"/>
  <c r="AA223" i="7" s="1"/>
  <c r="Y223" i="7"/>
  <c r="X223" i="7" a="1"/>
  <c r="X223" i="7" s="1"/>
  <c r="W223" i="7"/>
  <c r="W223" i="7" a="1"/>
  <c r="L223" i="7"/>
  <c r="K223" i="7"/>
  <c r="J223" i="7"/>
  <c r="B223" i="7"/>
  <c r="A223" i="7"/>
  <c r="AA222" i="7"/>
  <c r="Z222" i="7"/>
  <c r="Y222" i="7"/>
  <c r="X222" i="7" a="1"/>
  <c r="X222" i="7" s="1"/>
  <c r="W222" i="7"/>
  <c r="W222" i="7" a="1"/>
  <c r="L222" i="7"/>
  <c r="K222" i="7"/>
  <c r="J222" i="7"/>
  <c r="B222" i="7"/>
  <c r="A222" i="7"/>
  <c r="Z221" i="7"/>
  <c r="AA221" i="7" s="1"/>
  <c r="Y221" i="7"/>
  <c r="X221" i="7" a="1"/>
  <c r="X221" i="7" s="1"/>
  <c r="W221" i="7"/>
  <c r="W221" i="7" a="1"/>
  <c r="L221" i="7"/>
  <c r="K221" i="7"/>
  <c r="J221" i="7"/>
  <c r="B221" i="7"/>
  <c r="A221" i="7"/>
  <c r="AA220" i="7"/>
  <c r="Z220" i="7"/>
  <c r="Y220" i="7"/>
  <c r="X220" i="7" a="1"/>
  <c r="X220" i="7" s="1"/>
  <c r="W220" i="7"/>
  <c r="W220" i="7" a="1"/>
  <c r="L220" i="7"/>
  <c r="K220" i="7"/>
  <c r="J220" i="7"/>
  <c r="B220" i="7"/>
  <c r="A220" i="7"/>
  <c r="Z219" i="7"/>
  <c r="AA219" i="7" s="1"/>
  <c r="Y219" i="7"/>
  <c r="X219" i="7" a="1"/>
  <c r="X219" i="7" s="1"/>
  <c r="W219" i="7"/>
  <c r="W219" i="7" a="1"/>
  <c r="L219" i="7"/>
  <c r="K219" i="7"/>
  <c r="J219" i="7"/>
  <c r="B219" i="7"/>
  <c r="A219" i="7"/>
  <c r="AA218" i="7"/>
  <c r="Z218" i="7"/>
  <c r="Y218" i="7"/>
  <c r="X218" i="7" a="1"/>
  <c r="X218" i="7" s="1"/>
  <c r="W218" i="7"/>
  <c r="W218" i="7" a="1"/>
  <c r="L218" i="7"/>
  <c r="K218" i="7"/>
  <c r="J218" i="7"/>
  <c r="B218" i="7"/>
  <c r="A218" i="7"/>
  <c r="Z217" i="7"/>
  <c r="AA217" i="7" s="1"/>
  <c r="Y217" i="7"/>
  <c r="X217" i="7" a="1"/>
  <c r="X217" i="7" s="1"/>
  <c r="W217" i="7"/>
  <c r="W217" i="7" a="1"/>
  <c r="L217" i="7"/>
  <c r="K217" i="7"/>
  <c r="J217" i="7"/>
  <c r="B217" i="7"/>
  <c r="A217" i="7"/>
  <c r="AA216" i="7"/>
  <c r="Z216" i="7"/>
  <c r="Y216" i="7"/>
  <c r="X216" i="7" a="1"/>
  <c r="X216" i="7" s="1"/>
  <c r="W216" i="7"/>
  <c r="W216" i="7" a="1"/>
  <c r="L216" i="7"/>
  <c r="K216" i="7"/>
  <c r="J216" i="7"/>
  <c r="B216" i="7"/>
  <c r="A216" i="7"/>
  <c r="Z215" i="7"/>
  <c r="AA215" i="7" s="1"/>
  <c r="Y215" i="7"/>
  <c r="X215" i="7" a="1"/>
  <c r="X215" i="7" s="1"/>
  <c r="W215" i="7"/>
  <c r="W215" i="7" a="1"/>
  <c r="L215" i="7"/>
  <c r="K215" i="7"/>
  <c r="J215" i="7"/>
  <c r="B215" i="7"/>
  <c r="A215" i="7"/>
  <c r="AA214" i="7"/>
  <c r="Z214" i="7"/>
  <c r="Y214" i="7"/>
  <c r="X214" i="7" a="1"/>
  <c r="X214" i="7" s="1"/>
  <c r="W214" i="7"/>
  <c r="W214" i="7" a="1"/>
  <c r="L214" i="7"/>
  <c r="K214" i="7"/>
  <c r="J214" i="7"/>
  <c r="B214" i="7"/>
  <c r="A214" i="7"/>
  <c r="Z213" i="7"/>
  <c r="AA213" i="7" s="1"/>
  <c r="Y213" i="7"/>
  <c r="X213" i="7" a="1"/>
  <c r="X213" i="7" s="1"/>
  <c r="W213" i="7"/>
  <c r="W213" i="7" a="1"/>
  <c r="L213" i="7"/>
  <c r="K213" i="7"/>
  <c r="J213" i="7"/>
  <c r="B213" i="7"/>
  <c r="A213" i="7"/>
  <c r="AA212" i="7"/>
  <c r="Z212" i="7"/>
  <c r="Y212" i="7"/>
  <c r="X212" i="7" a="1"/>
  <c r="X212" i="7" s="1"/>
  <c r="W212" i="7"/>
  <c r="W212" i="7" a="1"/>
  <c r="L212" i="7"/>
  <c r="K212" i="7"/>
  <c r="J212" i="7"/>
  <c r="B212" i="7"/>
  <c r="A212" i="7"/>
  <c r="Z211" i="7"/>
  <c r="AA211" i="7" s="1"/>
  <c r="Y211" i="7"/>
  <c r="X211" i="7" a="1"/>
  <c r="X211" i="7" s="1"/>
  <c r="W211" i="7"/>
  <c r="W211" i="7" a="1"/>
  <c r="L211" i="7"/>
  <c r="K211" i="7"/>
  <c r="J211" i="7"/>
  <c r="B211" i="7"/>
  <c r="A211" i="7"/>
  <c r="AA210" i="7"/>
  <c r="Z210" i="7"/>
  <c r="Y210" i="7"/>
  <c r="X210" i="7" a="1"/>
  <c r="X210" i="7" s="1"/>
  <c r="W210" i="7"/>
  <c r="W210" i="7" a="1"/>
  <c r="L210" i="7"/>
  <c r="K210" i="7"/>
  <c r="J210" i="7"/>
  <c r="A210" i="7"/>
  <c r="Z209" i="7"/>
  <c r="AA209" i="7" s="1"/>
  <c r="Y209" i="7"/>
  <c r="X209" i="7"/>
  <c r="X209" i="7" a="1"/>
  <c r="W209" i="7"/>
  <c r="W209" i="7" a="1"/>
  <c r="L209" i="7"/>
  <c r="K209" i="7"/>
  <c r="J209" i="7"/>
  <c r="A209" i="7"/>
  <c r="AA208" i="7"/>
  <c r="Z208" i="7"/>
  <c r="Y208" i="7"/>
  <c r="X208" i="7"/>
  <c r="X208" i="7" a="1"/>
  <c r="W208" i="7" a="1"/>
  <c r="W208" i="7" s="1"/>
  <c r="L208" i="7"/>
  <c r="K208" i="7"/>
  <c r="J208" i="7"/>
  <c r="A208" i="7"/>
  <c r="AA207" i="7"/>
  <c r="Z207" i="7"/>
  <c r="Y207" i="7"/>
  <c r="X207" i="7" a="1"/>
  <c r="X207" i="7" s="1"/>
  <c r="W207" i="7"/>
  <c r="W207" i="7" a="1"/>
  <c r="L207" i="7"/>
  <c r="K207" i="7"/>
  <c r="J207" i="7"/>
  <c r="A207" i="7"/>
  <c r="Z206" i="7"/>
  <c r="AA206" i="7" s="1"/>
  <c r="Y206" i="7"/>
  <c r="X206" i="7" a="1"/>
  <c r="X206" i="7" s="1"/>
  <c r="W206" i="7"/>
  <c r="W206" i="7" a="1"/>
  <c r="L206" i="7"/>
  <c r="K206" i="7"/>
  <c r="J206" i="7"/>
  <c r="A206" i="7"/>
  <c r="Z205" i="7"/>
  <c r="AA205" i="7" s="1"/>
  <c r="Y205" i="7"/>
  <c r="X205" i="7" a="1"/>
  <c r="X205" i="7" s="1"/>
  <c r="W205" i="7" a="1"/>
  <c r="W205" i="7" s="1"/>
  <c r="L205" i="7"/>
  <c r="K205" i="7"/>
  <c r="J205" i="7"/>
  <c r="A205" i="7"/>
  <c r="Z204" i="7"/>
  <c r="AA204" i="7" s="1"/>
  <c r="Y204" i="7"/>
  <c r="X204" i="7"/>
  <c r="X204" i="7" a="1"/>
  <c r="W204" i="7" a="1"/>
  <c r="W204" i="7" s="1"/>
  <c r="L204" i="7"/>
  <c r="K204" i="7"/>
  <c r="J204" i="7"/>
  <c r="A204" i="7"/>
  <c r="AA203" i="7"/>
  <c r="Z203" i="7"/>
  <c r="Y203" i="7"/>
  <c r="X203" i="7"/>
  <c r="X203" i="7" a="1"/>
  <c r="W203" i="7" a="1"/>
  <c r="W203" i="7" s="1"/>
  <c r="L203" i="7"/>
  <c r="K203" i="7"/>
  <c r="J203" i="7"/>
  <c r="A203" i="7"/>
  <c r="AA202" i="7"/>
  <c r="Z202" i="7"/>
  <c r="Y202" i="7"/>
  <c r="X202" i="7" a="1"/>
  <c r="X202" i="7" s="1"/>
  <c r="W202" i="7"/>
  <c r="W202" i="7" a="1"/>
  <c r="L202" i="7"/>
  <c r="K202" i="7"/>
  <c r="J202" i="7"/>
  <c r="A202" i="7"/>
  <c r="Z201" i="7"/>
  <c r="AA201" i="7" s="1"/>
  <c r="Y201" i="7"/>
  <c r="X201" i="7"/>
  <c r="X201" i="7" a="1"/>
  <c r="W201" i="7"/>
  <c r="W201" i="7" a="1"/>
  <c r="L201" i="7"/>
  <c r="K201" i="7"/>
  <c r="J201" i="7"/>
  <c r="A201" i="7"/>
  <c r="AA200" i="7"/>
  <c r="Z200" i="7"/>
  <c r="Y200" i="7"/>
  <c r="X200" i="7"/>
  <c r="X200" i="7" a="1"/>
  <c r="W200" i="7" a="1"/>
  <c r="W200" i="7" s="1"/>
  <c r="L200" i="7"/>
  <c r="K200" i="7"/>
  <c r="J200" i="7"/>
  <c r="A200" i="7"/>
  <c r="AA199" i="7"/>
  <c r="Z199" i="7"/>
  <c r="Y199" i="7"/>
  <c r="X199" i="7" a="1"/>
  <c r="X199" i="7" s="1"/>
  <c r="W199" i="7"/>
  <c r="W199" i="7" a="1"/>
  <c r="L199" i="7"/>
  <c r="K199" i="7"/>
  <c r="J199" i="7"/>
  <c r="A199" i="7"/>
  <c r="Z198" i="7"/>
  <c r="AA198" i="7" s="1"/>
  <c r="Y198" i="7"/>
  <c r="X198" i="7" a="1"/>
  <c r="X198" i="7" s="1"/>
  <c r="W198" i="7"/>
  <c r="W198" i="7" a="1"/>
  <c r="L198" i="7"/>
  <c r="K198" i="7"/>
  <c r="J198" i="7"/>
  <c r="A198" i="7"/>
  <c r="Z197" i="7"/>
  <c r="AA197" i="7" s="1"/>
  <c r="Y197" i="7"/>
  <c r="X197" i="7" a="1"/>
  <c r="X197" i="7" s="1"/>
  <c r="W197" i="7" a="1"/>
  <c r="W197" i="7" s="1"/>
  <c r="L197" i="7"/>
  <c r="K197" i="7"/>
  <c r="J197" i="7"/>
  <c r="A197" i="7"/>
  <c r="Z196" i="7"/>
  <c r="AA196" i="7" s="1"/>
  <c r="Y196" i="7"/>
  <c r="X196" i="7"/>
  <c r="X196" i="7" a="1"/>
  <c r="W196" i="7" a="1"/>
  <c r="W196" i="7" s="1"/>
  <c r="L196" i="7"/>
  <c r="K196" i="7"/>
  <c r="J196" i="7"/>
  <c r="A196" i="7"/>
  <c r="AA195" i="7"/>
  <c r="Z195" i="7"/>
  <c r="Y195" i="7"/>
  <c r="X195" i="7"/>
  <c r="X195" i="7" a="1"/>
  <c r="W195" i="7" a="1"/>
  <c r="W195" i="7" s="1"/>
  <c r="L195" i="7"/>
  <c r="K195" i="7"/>
  <c r="J195" i="7"/>
  <c r="A195" i="7"/>
  <c r="AA194" i="7"/>
  <c r="Z194" i="7"/>
  <c r="Y194" i="7"/>
  <c r="X194" i="7" a="1"/>
  <c r="X194" i="7" s="1"/>
  <c r="W194" i="7"/>
  <c r="W194" i="7" a="1"/>
  <c r="L194" i="7"/>
  <c r="K194" i="7"/>
  <c r="J194" i="7"/>
  <c r="A194" i="7"/>
  <c r="Z193" i="7"/>
  <c r="AA193" i="7" s="1"/>
  <c r="Y193" i="7"/>
  <c r="X193" i="7"/>
  <c r="X193" i="7" a="1"/>
  <c r="W193" i="7"/>
  <c r="W193" i="7" a="1"/>
  <c r="L193" i="7"/>
  <c r="K193" i="7"/>
  <c r="J193" i="7"/>
  <c r="A193" i="7"/>
  <c r="AA192" i="7"/>
  <c r="Z192" i="7"/>
  <c r="Y192" i="7"/>
  <c r="X192" i="7"/>
  <c r="X192" i="7" a="1"/>
  <c r="W192" i="7" a="1"/>
  <c r="W192" i="7" s="1"/>
  <c r="L192" i="7"/>
  <c r="K192" i="7"/>
  <c r="J192" i="7"/>
  <c r="A192" i="7"/>
  <c r="AA191" i="7"/>
  <c r="Z191" i="7"/>
  <c r="Y191" i="7"/>
  <c r="X191" i="7" a="1"/>
  <c r="X191" i="7" s="1"/>
  <c r="W191" i="7"/>
  <c r="W191" i="7" a="1"/>
  <c r="L191" i="7"/>
  <c r="K191" i="7"/>
  <c r="J191" i="7"/>
  <c r="A191" i="7"/>
  <c r="Z190" i="7"/>
  <c r="AA190" i="7" s="1"/>
  <c r="Y190" i="7"/>
  <c r="X190" i="7" a="1"/>
  <c r="X190" i="7" s="1"/>
  <c r="W190" i="7"/>
  <c r="W190" i="7" a="1"/>
  <c r="L190" i="7"/>
  <c r="K190" i="7"/>
  <c r="J190" i="7"/>
  <c r="A190" i="7"/>
  <c r="Z189" i="7"/>
  <c r="AA189" i="7" s="1"/>
  <c r="Y189" i="7"/>
  <c r="X189" i="7" a="1"/>
  <c r="X189" i="7" s="1"/>
  <c r="W189" i="7" a="1"/>
  <c r="W189" i="7" s="1"/>
  <c r="L189" i="7"/>
  <c r="K189" i="7"/>
  <c r="J189" i="7"/>
  <c r="A189" i="7"/>
  <c r="Z188" i="7"/>
  <c r="AA188" i="7" s="1"/>
  <c r="Y188" i="7"/>
  <c r="X188" i="7"/>
  <c r="X188" i="7" a="1"/>
  <c r="W188" i="7" a="1"/>
  <c r="W188" i="7" s="1"/>
  <c r="L188" i="7"/>
  <c r="K188" i="7"/>
  <c r="J188" i="7"/>
  <c r="A188" i="7"/>
  <c r="AA187" i="7"/>
  <c r="Z187" i="7"/>
  <c r="Y187" i="7"/>
  <c r="X187" i="7"/>
  <c r="X187" i="7" a="1"/>
  <c r="W187" i="7" a="1"/>
  <c r="W187" i="7" s="1"/>
  <c r="L187" i="7"/>
  <c r="K187" i="7"/>
  <c r="J187" i="7"/>
  <c r="A187" i="7"/>
  <c r="AA186" i="7"/>
  <c r="Z186" i="7"/>
  <c r="Y186" i="7"/>
  <c r="X186" i="7" a="1"/>
  <c r="X186" i="7" s="1"/>
  <c r="W186" i="7"/>
  <c r="W186" i="7" a="1"/>
  <c r="L186" i="7"/>
  <c r="K186" i="7"/>
  <c r="J186" i="7"/>
  <c r="A186" i="7"/>
  <c r="Z185" i="7"/>
  <c r="AA185" i="7" s="1"/>
  <c r="Y185" i="7"/>
  <c r="X185" i="7"/>
  <c r="X185" i="7" a="1"/>
  <c r="W185" i="7"/>
  <c r="W185" i="7" a="1"/>
  <c r="L185" i="7"/>
  <c r="K185" i="7"/>
  <c r="J185" i="7"/>
  <c r="A185" i="7"/>
  <c r="AA184" i="7"/>
  <c r="Z184" i="7"/>
  <c r="Y184" i="7"/>
  <c r="X184" i="7"/>
  <c r="X184" i="7" a="1"/>
  <c r="W184" i="7" a="1"/>
  <c r="W184" i="7" s="1"/>
  <c r="L184" i="7"/>
  <c r="K184" i="7"/>
  <c r="J184" i="7"/>
  <c r="A184" i="7"/>
  <c r="AA183" i="7"/>
  <c r="Z183" i="7"/>
  <c r="Y183" i="7"/>
  <c r="X183" i="7" a="1"/>
  <c r="X183" i="7" s="1"/>
  <c r="W183" i="7"/>
  <c r="W183" i="7" a="1"/>
  <c r="L183" i="7"/>
  <c r="K183" i="7"/>
  <c r="J183" i="7"/>
  <c r="A183" i="7"/>
  <c r="Z182" i="7"/>
  <c r="AA182" i="7" s="1"/>
  <c r="Y182" i="7"/>
  <c r="X182" i="7" a="1"/>
  <c r="X182" i="7" s="1"/>
  <c r="W182" i="7"/>
  <c r="W182" i="7" a="1"/>
  <c r="L182" i="7"/>
  <c r="K182" i="7"/>
  <c r="J182" i="7"/>
  <c r="A182" i="7"/>
  <c r="Z181" i="7"/>
  <c r="AA181" i="7" s="1"/>
  <c r="Y181" i="7"/>
  <c r="X181" i="7" a="1"/>
  <c r="X181" i="7" s="1"/>
  <c r="W181" i="7" a="1"/>
  <c r="W181" i="7" s="1"/>
  <c r="L181" i="7"/>
  <c r="K181" i="7"/>
  <c r="J181" i="7"/>
  <c r="A181" i="7"/>
  <c r="Z180" i="7"/>
  <c r="AA180" i="7" s="1"/>
  <c r="Y180" i="7"/>
  <c r="X180" i="7"/>
  <c r="X180" i="7" a="1"/>
  <c r="W180" i="7" a="1"/>
  <c r="W180" i="7" s="1"/>
  <c r="L180" i="7"/>
  <c r="K180" i="7"/>
  <c r="J180" i="7"/>
  <c r="A180" i="7"/>
  <c r="AA179" i="7"/>
  <c r="Z179" i="7"/>
  <c r="Y179" i="7"/>
  <c r="X179" i="7"/>
  <c r="X179" i="7" a="1"/>
  <c r="W179" i="7" a="1"/>
  <c r="W179" i="7" s="1"/>
  <c r="L179" i="7"/>
  <c r="K179" i="7"/>
  <c r="J179" i="7"/>
  <c r="A179" i="7"/>
  <c r="AA178" i="7"/>
  <c r="Z178" i="7"/>
  <c r="Y178" i="7"/>
  <c r="X178" i="7"/>
  <c r="X178" i="7" a="1"/>
  <c r="W178" i="7"/>
  <c r="W178" i="7" a="1"/>
  <c r="L178" i="7"/>
  <c r="K178" i="7"/>
  <c r="J178" i="7"/>
  <c r="A178" i="7"/>
  <c r="AA177" i="7"/>
  <c r="Z177" i="7"/>
  <c r="Y177" i="7"/>
  <c r="X177" i="7"/>
  <c r="X177" i="7" a="1"/>
  <c r="W177" i="7"/>
  <c r="W177" i="7" a="1"/>
  <c r="L177" i="7"/>
  <c r="K177" i="7"/>
  <c r="J177" i="7"/>
  <c r="A177" i="7"/>
  <c r="AA176" i="7"/>
  <c r="Z176" i="7"/>
  <c r="Y176" i="7"/>
  <c r="X176" i="7"/>
  <c r="X176" i="7" a="1"/>
  <c r="W176" i="7"/>
  <c r="W176" i="7" a="1"/>
  <c r="L176" i="7"/>
  <c r="K176" i="7"/>
  <c r="J176" i="7"/>
  <c r="A176" i="7"/>
  <c r="AA175" i="7"/>
  <c r="Z175" i="7"/>
  <c r="Y175" i="7"/>
  <c r="X175" i="7" a="1"/>
  <c r="X175" i="7" s="1"/>
  <c r="W175" i="7"/>
  <c r="W175" i="7" a="1"/>
  <c r="L175" i="7"/>
  <c r="K175" i="7"/>
  <c r="J175" i="7"/>
  <c r="A175" i="7"/>
  <c r="Z174" i="7"/>
  <c r="AA174" i="7" s="1"/>
  <c r="Y174" i="7"/>
  <c r="X174" i="7" a="1"/>
  <c r="X174" i="7" s="1"/>
  <c r="W174" i="7"/>
  <c r="W174" i="7" a="1"/>
  <c r="L174" i="7"/>
  <c r="K174" i="7"/>
  <c r="J174" i="7"/>
  <c r="A174" i="7"/>
  <c r="Z173" i="7"/>
  <c r="AA173" i="7" s="1"/>
  <c r="Y173" i="7"/>
  <c r="X173" i="7" a="1"/>
  <c r="X173" i="7" s="1"/>
  <c r="W173" i="7" a="1"/>
  <c r="W173" i="7" s="1"/>
  <c r="L173" i="7"/>
  <c r="K173" i="7"/>
  <c r="J173" i="7"/>
  <c r="A173" i="7"/>
  <c r="Z172" i="7"/>
  <c r="AA172" i="7" s="1"/>
  <c r="Y172" i="7"/>
  <c r="X172" i="7"/>
  <c r="X172" i="7" a="1"/>
  <c r="W172" i="7" a="1"/>
  <c r="W172" i="7" s="1"/>
  <c r="L172" i="7"/>
  <c r="K172" i="7"/>
  <c r="J172" i="7"/>
  <c r="A172" i="7"/>
  <c r="AA171" i="7"/>
  <c r="Z171" i="7"/>
  <c r="Y171" i="7"/>
  <c r="X171" i="7"/>
  <c r="X171" i="7" a="1"/>
  <c r="W171" i="7" a="1"/>
  <c r="W171" i="7" s="1"/>
  <c r="L171" i="7"/>
  <c r="K171" i="7"/>
  <c r="J171" i="7"/>
  <c r="A171" i="7"/>
  <c r="AA170" i="7"/>
  <c r="Z170" i="7"/>
  <c r="Y170" i="7"/>
  <c r="X170" i="7"/>
  <c r="X170" i="7" a="1"/>
  <c r="W170" i="7"/>
  <c r="W170" i="7" a="1"/>
  <c r="L170" i="7"/>
  <c r="K170" i="7"/>
  <c r="J170" i="7"/>
  <c r="A170" i="7"/>
  <c r="AA169" i="7"/>
  <c r="Z169" i="7"/>
  <c r="Y169" i="7"/>
  <c r="X169" i="7"/>
  <c r="X169" i="7" a="1"/>
  <c r="W169" i="7"/>
  <c r="W169" i="7" a="1"/>
  <c r="L169" i="7"/>
  <c r="K169" i="7"/>
  <c r="J169" i="7"/>
  <c r="A169" i="7"/>
  <c r="AA168" i="7"/>
  <c r="Z168" i="7"/>
  <c r="Y168" i="7"/>
  <c r="X168" i="7"/>
  <c r="X168" i="7" a="1"/>
  <c r="W168" i="7"/>
  <c r="W168" i="7" a="1"/>
  <c r="L168" i="7"/>
  <c r="K168" i="7"/>
  <c r="J168" i="7"/>
  <c r="A168" i="7"/>
  <c r="AA167" i="7"/>
  <c r="Z167" i="7"/>
  <c r="Y167" i="7"/>
  <c r="X167" i="7" a="1"/>
  <c r="X167" i="7" s="1"/>
  <c r="W167" i="7"/>
  <c r="W167" i="7" a="1"/>
  <c r="L167" i="7"/>
  <c r="K167" i="7"/>
  <c r="J167" i="7"/>
  <c r="A167" i="7"/>
  <c r="Z166" i="7"/>
  <c r="AA166" i="7" s="1"/>
  <c r="Y166" i="7"/>
  <c r="X166" i="7" a="1"/>
  <c r="X166" i="7" s="1"/>
  <c r="W166" i="7"/>
  <c r="W166" i="7" a="1"/>
  <c r="L166" i="7"/>
  <c r="K166" i="7"/>
  <c r="J166" i="7"/>
  <c r="A166" i="7"/>
  <c r="Z165" i="7"/>
  <c r="AA165" i="7" s="1"/>
  <c r="Y165" i="7"/>
  <c r="X165" i="7" a="1"/>
  <c r="X165" i="7" s="1"/>
  <c r="W165" i="7" a="1"/>
  <c r="W165" i="7" s="1"/>
  <c r="L165" i="7"/>
  <c r="K165" i="7"/>
  <c r="J165" i="7"/>
  <c r="A165" i="7"/>
  <c r="Z164" i="7"/>
  <c r="AA164" i="7" s="1"/>
  <c r="Y164" i="7"/>
  <c r="X164" i="7"/>
  <c r="X164" i="7" a="1"/>
  <c r="W164" i="7" a="1"/>
  <c r="W164" i="7" s="1"/>
  <c r="L164" i="7"/>
  <c r="K164" i="7"/>
  <c r="J164" i="7"/>
  <c r="A164" i="7"/>
  <c r="AA163" i="7"/>
  <c r="Z163" i="7"/>
  <c r="Y163" i="7"/>
  <c r="X163" i="7"/>
  <c r="X163" i="7" a="1"/>
  <c r="W163" i="7" a="1"/>
  <c r="W163" i="7" s="1"/>
  <c r="L163" i="7"/>
  <c r="K163" i="7"/>
  <c r="J163" i="7"/>
  <c r="A163" i="7"/>
  <c r="AA162" i="7"/>
  <c r="Z162" i="7"/>
  <c r="Y162" i="7"/>
  <c r="X162" i="7"/>
  <c r="X162" i="7" a="1"/>
  <c r="W162" i="7"/>
  <c r="W162" i="7" a="1"/>
  <c r="L162" i="7"/>
  <c r="K162" i="7"/>
  <c r="J162" i="7"/>
  <c r="A162" i="7"/>
  <c r="AA161" i="7"/>
  <c r="Z161" i="7"/>
  <c r="Y161" i="7"/>
  <c r="X161" i="7"/>
  <c r="X161" i="7" a="1"/>
  <c r="W161" i="7"/>
  <c r="W161" i="7" a="1"/>
  <c r="L161" i="7"/>
  <c r="K161" i="7"/>
  <c r="J161" i="7"/>
  <c r="A161" i="7"/>
  <c r="AA160" i="7"/>
  <c r="Z160" i="7"/>
  <c r="Y160" i="7"/>
  <c r="X160" i="7"/>
  <c r="X160" i="7" a="1"/>
  <c r="W160" i="7"/>
  <c r="W160" i="7" a="1"/>
  <c r="L160" i="7"/>
  <c r="K160" i="7"/>
  <c r="J160" i="7"/>
  <c r="A160" i="7"/>
  <c r="AA159" i="7"/>
  <c r="Z159" i="7"/>
  <c r="Y159" i="7"/>
  <c r="X159" i="7" a="1"/>
  <c r="X159" i="7" s="1"/>
  <c r="W159" i="7"/>
  <c r="W159" i="7" a="1"/>
  <c r="L159" i="7"/>
  <c r="K159" i="7"/>
  <c r="J159" i="7"/>
  <c r="A159" i="7"/>
  <c r="Z158" i="7"/>
  <c r="AA158" i="7" s="1"/>
  <c r="Y158" i="7"/>
  <c r="X158" i="7" a="1"/>
  <c r="X158" i="7" s="1"/>
  <c r="W158" i="7"/>
  <c r="W158" i="7" a="1"/>
  <c r="L158" i="7"/>
  <c r="K158" i="7"/>
  <c r="J158" i="7"/>
  <c r="A158" i="7"/>
  <c r="Z157" i="7"/>
  <c r="AA157" i="7" s="1"/>
  <c r="Y157" i="7"/>
  <c r="X157" i="7" a="1"/>
  <c r="X157" i="7" s="1"/>
  <c r="W157" i="7" a="1"/>
  <c r="W157" i="7" s="1"/>
  <c r="L157" i="7"/>
  <c r="K157" i="7"/>
  <c r="J157" i="7"/>
  <c r="A157" i="7"/>
  <c r="Z156" i="7"/>
  <c r="AA156" i="7" s="1"/>
  <c r="Y156" i="7"/>
  <c r="X156" i="7"/>
  <c r="X156" i="7" a="1"/>
  <c r="W156" i="7" a="1"/>
  <c r="W156" i="7" s="1"/>
  <c r="L156" i="7"/>
  <c r="K156" i="7"/>
  <c r="J156" i="7"/>
  <c r="A156" i="7"/>
  <c r="Z155" i="7"/>
  <c r="AA155" i="7" s="1"/>
  <c r="Y155" i="7"/>
  <c r="X155" i="7"/>
  <c r="X155" i="7" a="1"/>
  <c r="W155" i="7" a="1"/>
  <c r="W155" i="7" s="1"/>
  <c r="L155" i="7"/>
  <c r="K155" i="7"/>
  <c r="J155" i="7"/>
  <c r="A155" i="7"/>
  <c r="AA154" i="7"/>
  <c r="Z154" i="7"/>
  <c r="Y154" i="7"/>
  <c r="X154" i="7"/>
  <c r="X154" i="7" a="1"/>
  <c r="W154" i="7"/>
  <c r="W154" i="7" a="1"/>
  <c r="L154" i="7"/>
  <c r="K154" i="7"/>
  <c r="J154" i="7"/>
  <c r="A154" i="7"/>
  <c r="AA153" i="7"/>
  <c r="Z153" i="7"/>
  <c r="Y153" i="7"/>
  <c r="X153" i="7"/>
  <c r="X153" i="7" a="1"/>
  <c r="W153" i="7"/>
  <c r="W153" i="7" a="1"/>
  <c r="L153" i="7"/>
  <c r="K153" i="7"/>
  <c r="J153" i="7"/>
  <c r="A153" i="7"/>
  <c r="AA152" i="7"/>
  <c r="Z152" i="7"/>
  <c r="Y152" i="7"/>
  <c r="X152" i="7"/>
  <c r="X152" i="7" a="1"/>
  <c r="W152" i="7"/>
  <c r="W152" i="7" a="1"/>
  <c r="L152" i="7"/>
  <c r="K152" i="7"/>
  <c r="J152" i="7"/>
  <c r="A152" i="7"/>
  <c r="AA151" i="7"/>
  <c r="Z151" i="7"/>
  <c r="Y151" i="7"/>
  <c r="X151" i="7" a="1"/>
  <c r="X151" i="7" s="1"/>
  <c r="W151" i="7"/>
  <c r="W151" i="7" a="1"/>
  <c r="L151" i="7"/>
  <c r="K151" i="7"/>
  <c r="J151" i="7"/>
  <c r="A151" i="7"/>
  <c r="Z150" i="7"/>
  <c r="AA150" i="7" s="1"/>
  <c r="Y150" i="7"/>
  <c r="X150" i="7" a="1"/>
  <c r="X150" i="7" s="1"/>
  <c r="W150" i="7"/>
  <c r="W150" i="7" a="1"/>
  <c r="L150" i="7"/>
  <c r="K150" i="7"/>
  <c r="J150" i="7"/>
  <c r="A150" i="7"/>
  <c r="Z149" i="7"/>
  <c r="AA149" i="7" s="1"/>
  <c r="Y149" i="7"/>
  <c r="X149" i="7" a="1"/>
  <c r="X149" i="7" s="1"/>
  <c r="W149" i="7" a="1"/>
  <c r="W149" i="7" s="1"/>
  <c r="L149" i="7"/>
  <c r="K149" i="7"/>
  <c r="J149" i="7"/>
  <c r="A149" i="7"/>
  <c r="Z148" i="7"/>
  <c r="AA148" i="7" s="1"/>
  <c r="Y148" i="7"/>
  <c r="X148" i="7" a="1"/>
  <c r="X148" i="7" s="1"/>
  <c r="W148" i="7" a="1"/>
  <c r="W148" i="7" s="1"/>
  <c r="L148" i="7"/>
  <c r="K148" i="7"/>
  <c r="J148" i="7"/>
  <c r="A148" i="7"/>
  <c r="AA147" i="7"/>
  <c r="Z147" i="7"/>
  <c r="Y147" i="7"/>
  <c r="X147" i="7"/>
  <c r="X147" i="7" a="1"/>
  <c r="W147" i="7" a="1"/>
  <c r="W147" i="7" s="1"/>
  <c r="L147" i="7"/>
  <c r="K147" i="7"/>
  <c r="J147" i="7"/>
  <c r="A147" i="7"/>
  <c r="AA146" i="7"/>
  <c r="Z146" i="7"/>
  <c r="Y146" i="7"/>
  <c r="X146" i="7"/>
  <c r="X146" i="7" a="1"/>
  <c r="W146" i="7" a="1"/>
  <c r="W146" i="7" s="1"/>
  <c r="L146" i="7"/>
  <c r="K146" i="7"/>
  <c r="J146" i="7"/>
  <c r="A146" i="7"/>
  <c r="AA145" i="7"/>
  <c r="Z145" i="7"/>
  <c r="Y145" i="7"/>
  <c r="X145" i="7"/>
  <c r="X145" i="7" a="1"/>
  <c r="W145" i="7"/>
  <c r="W145" i="7" a="1"/>
  <c r="L145" i="7"/>
  <c r="K145" i="7"/>
  <c r="J145" i="7"/>
  <c r="A145" i="7"/>
  <c r="AA144" i="7"/>
  <c r="Z144" i="7"/>
  <c r="Y144" i="7"/>
  <c r="X144" i="7"/>
  <c r="X144" i="7" a="1"/>
  <c r="W144" i="7"/>
  <c r="W144" i="7" a="1"/>
  <c r="L144" i="7"/>
  <c r="K144" i="7"/>
  <c r="J144" i="7"/>
  <c r="A144" i="7"/>
  <c r="AA143" i="7"/>
  <c r="Z143" i="7"/>
  <c r="Y143" i="7"/>
  <c r="X143" i="7" a="1"/>
  <c r="X143" i="7" s="1"/>
  <c r="W143" i="7"/>
  <c r="W143" i="7" a="1"/>
  <c r="L143" i="7"/>
  <c r="K143" i="7"/>
  <c r="J143" i="7"/>
  <c r="A143" i="7"/>
  <c r="Z142" i="7"/>
  <c r="AA142" i="7" s="1"/>
  <c r="Y142" i="7"/>
  <c r="X142" i="7" a="1"/>
  <c r="X142" i="7" s="1"/>
  <c r="W142" i="7"/>
  <c r="W142" i="7" a="1"/>
  <c r="L142" i="7"/>
  <c r="K142" i="7"/>
  <c r="J142" i="7"/>
  <c r="A142" i="7"/>
  <c r="Z141" i="7"/>
  <c r="AA141" i="7" s="1"/>
  <c r="Y141" i="7"/>
  <c r="X141" i="7" a="1"/>
  <c r="X141" i="7" s="1"/>
  <c r="W141" i="7" a="1"/>
  <c r="W141" i="7" s="1"/>
  <c r="L141" i="7"/>
  <c r="K141" i="7"/>
  <c r="J141" i="7"/>
  <c r="A141" i="7"/>
  <c r="Z140" i="7"/>
  <c r="AA140" i="7" s="1"/>
  <c r="Y140" i="7"/>
  <c r="X140" i="7"/>
  <c r="X140" i="7" a="1"/>
  <c r="W140" i="7" a="1"/>
  <c r="W140" i="7" s="1"/>
  <c r="L140" i="7"/>
  <c r="K140" i="7"/>
  <c r="J140" i="7"/>
  <c r="A140" i="7"/>
  <c r="Z139" i="7"/>
  <c r="AA139" i="7" s="1"/>
  <c r="Y139" i="7"/>
  <c r="X139" i="7"/>
  <c r="X139" i="7" a="1"/>
  <c r="W139" i="7" a="1"/>
  <c r="W139" i="7" s="1"/>
  <c r="L139" i="7"/>
  <c r="K139" i="7"/>
  <c r="J139" i="7"/>
  <c r="A139" i="7"/>
  <c r="AA138" i="7"/>
  <c r="Z138" i="7"/>
  <c r="Y138" i="7"/>
  <c r="X138" i="7"/>
  <c r="X138" i="7" a="1"/>
  <c r="W138" i="7"/>
  <c r="W138" i="7" a="1"/>
  <c r="L138" i="7"/>
  <c r="K138" i="7"/>
  <c r="J138" i="7"/>
  <c r="A138" i="7"/>
  <c r="AA137" i="7"/>
  <c r="Z137" i="7"/>
  <c r="Y137" i="7"/>
  <c r="X137" i="7"/>
  <c r="X137" i="7" a="1"/>
  <c r="W137" i="7"/>
  <c r="W137" i="7" a="1"/>
  <c r="L137" i="7"/>
  <c r="K137" i="7"/>
  <c r="J137" i="7"/>
  <c r="A137" i="7"/>
  <c r="AA136" i="7"/>
  <c r="Z136" i="7"/>
  <c r="Y136" i="7"/>
  <c r="X136" i="7"/>
  <c r="X136" i="7" a="1"/>
  <c r="W136" i="7"/>
  <c r="W136" i="7" a="1"/>
  <c r="L136" i="7"/>
  <c r="K136" i="7"/>
  <c r="J136" i="7"/>
  <c r="A136" i="7"/>
  <c r="AA135" i="7"/>
  <c r="Z135" i="7"/>
  <c r="Y135" i="7"/>
  <c r="X135" i="7" a="1"/>
  <c r="X135" i="7" s="1"/>
  <c r="W135" i="7"/>
  <c r="W135" i="7" a="1"/>
  <c r="L135" i="7"/>
  <c r="K135" i="7"/>
  <c r="J135" i="7"/>
  <c r="A135" i="7"/>
  <c r="Z134" i="7"/>
  <c r="AA134" i="7" s="1"/>
  <c r="Y134" i="7"/>
  <c r="X134" i="7" a="1"/>
  <c r="X134" i="7" s="1"/>
  <c r="W134" i="7"/>
  <c r="W134" i="7" a="1"/>
  <c r="L134" i="7"/>
  <c r="K134" i="7"/>
  <c r="J134" i="7"/>
  <c r="A134" i="7"/>
  <c r="Z133" i="7"/>
  <c r="AA133" i="7" s="1"/>
  <c r="Y133" i="7"/>
  <c r="X133" i="7" a="1"/>
  <c r="X133" i="7" s="1"/>
  <c r="W133" i="7" a="1"/>
  <c r="W133" i="7" s="1"/>
  <c r="L133" i="7"/>
  <c r="K133" i="7"/>
  <c r="J133" i="7"/>
  <c r="A133" i="7"/>
  <c r="Z132" i="7"/>
  <c r="AA132" i="7" s="1"/>
  <c r="Y132" i="7"/>
  <c r="X132" i="7" a="1"/>
  <c r="X132" i="7" s="1"/>
  <c r="W132" i="7" a="1"/>
  <c r="W132" i="7" s="1"/>
  <c r="L132" i="7"/>
  <c r="K132" i="7"/>
  <c r="J132" i="7"/>
  <c r="A132" i="7"/>
  <c r="AA131" i="7"/>
  <c r="Z131" i="7"/>
  <c r="Y131" i="7"/>
  <c r="X131" i="7"/>
  <c r="X131" i="7" a="1"/>
  <c r="W131" i="7" a="1"/>
  <c r="W131" i="7" s="1"/>
  <c r="L131" i="7"/>
  <c r="K131" i="7"/>
  <c r="J131" i="7"/>
  <c r="A131" i="7"/>
  <c r="AA130" i="7"/>
  <c r="Z130" i="7"/>
  <c r="Y130" i="7"/>
  <c r="X130" i="7"/>
  <c r="X130" i="7" a="1"/>
  <c r="W130" i="7"/>
  <c r="W130" i="7" a="1"/>
  <c r="L130" i="7"/>
  <c r="K130" i="7"/>
  <c r="J130" i="7"/>
  <c r="A130" i="7"/>
  <c r="AA129" i="7"/>
  <c r="Z129" i="7"/>
  <c r="Y129" i="7"/>
  <c r="X129" i="7"/>
  <c r="X129" i="7" a="1"/>
  <c r="W129" i="7"/>
  <c r="W129" i="7" a="1"/>
  <c r="L129" i="7"/>
  <c r="K129" i="7"/>
  <c r="J129" i="7"/>
  <c r="A129" i="7"/>
  <c r="AA128" i="7"/>
  <c r="Z128" i="7"/>
  <c r="Y128" i="7"/>
  <c r="X128" i="7"/>
  <c r="X128" i="7" a="1"/>
  <c r="W128" i="7"/>
  <c r="W128" i="7" a="1"/>
  <c r="L128" i="7"/>
  <c r="K128" i="7"/>
  <c r="J128" i="7"/>
  <c r="A128" i="7"/>
  <c r="AA127" i="7"/>
  <c r="Z127" i="7"/>
  <c r="Y127" i="7"/>
  <c r="X127" i="7" a="1"/>
  <c r="X127" i="7" s="1"/>
  <c r="W127" i="7"/>
  <c r="W127" i="7" a="1"/>
  <c r="L127" i="7"/>
  <c r="K127" i="7"/>
  <c r="J127" i="7"/>
  <c r="A127" i="7"/>
  <c r="Z126" i="7"/>
  <c r="AA126" i="7" s="1"/>
  <c r="Y126" i="7"/>
  <c r="X126" i="7" a="1"/>
  <c r="X126" i="7" s="1"/>
  <c r="W126" i="7"/>
  <c r="W126" i="7" a="1"/>
  <c r="L126" i="7"/>
  <c r="K126" i="7"/>
  <c r="J126" i="7"/>
  <c r="A126" i="7"/>
  <c r="Z125" i="7"/>
  <c r="AA125" i="7" s="1"/>
  <c r="Y125" i="7"/>
  <c r="X125" i="7" a="1"/>
  <c r="X125" i="7" s="1"/>
  <c r="W125" i="7" a="1"/>
  <c r="W125" i="7" s="1"/>
  <c r="L125" i="7"/>
  <c r="K125" i="7"/>
  <c r="J125" i="7"/>
  <c r="A125" i="7"/>
  <c r="Z124" i="7"/>
  <c r="AA124" i="7" s="1"/>
  <c r="Y124" i="7"/>
  <c r="X124" i="7"/>
  <c r="X124" i="7" a="1"/>
  <c r="W124" i="7" a="1"/>
  <c r="W124" i="7" s="1"/>
  <c r="L124" i="7"/>
  <c r="K124" i="7"/>
  <c r="J124" i="7"/>
  <c r="A124" i="7"/>
  <c r="AA123" i="7"/>
  <c r="Z123" i="7"/>
  <c r="Y123" i="7"/>
  <c r="X123" i="7"/>
  <c r="X123" i="7" a="1"/>
  <c r="W123" i="7" a="1"/>
  <c r="W123" i="7" s="1"/>
  <c r="L123" i="7"/>
  <c r="K123" i="7"/>
  <c r="J123" i="7"/>
  <c r="A123" i="7"/>
  <c r="AA122" i="7"/>
  <c r="Z122" i="7"/>
  <c r="Y122" i="7"/>
  <c r="X122" i="7"/>
  <c r="X122" i="7" a="1"/>
  <c r="W122" i="7" a="1"/>
  <c r="W122" i="7" s="1"/>
  <c r="L122" i="7"/>
  <c r="K122" i="7"/>
  <c r="J122" i="7"/>
  <c r="A122" i="7"/>
  <c r="AA121" i="7"/>
  <c r="Z121" i="7"/>
  <c r="Y121" i="7"/>
  <c r="X121" i="7"/>
  <c r="X121" i="7" a="1"/>
  <c r="W121" i="7"/>
  <c r="W121" i="7" a="1"/>
  <c r="L121" i="7"/>
  <c r="K121" i="7"/>
  <c r="J121" i="7"/>
  <c r="A121" i="7"/>
  <c r="AA120" i="7"/>
  <c r="Z120" i="7"/>
  <c r="Y120" i="7"/>
  <c r="X120" i="7"/>
  <c r="X120" i="7" a="1"/>
  <c r="W120" i="7"/>
  <c r="W120" i="7" a="1"/>
  <c r="L120" i="7"/>
  <c r="K120" i="7"/>
  <c r="J120" i="7"/>
  <c r="A120" i="7"/>
  <c r="AA119" i="7"/>
  <c r="Z119" i="7"/>
  <c r="Y119" i="7"/>
  <c r="X119" i="7" a="1"/>
  <c r="X119" i="7" s="1"/>
  <c r="W119" i="7"/>
  <c r="W119" i="7" a="1"/>
  <c r="L119" i="7"/>
  <c r="K119" i="7"/>
  <c r="J119" i="7"/>
  <c r="A119" i="7"/>
  <c r="Z118" i="7"/>
  <c r="AA118" i="7" s="1"/>
  <c r="Y118" i="7"/>
  <c r="X118" i="7" a="1"/>
  <c r="X118" i="7" s="1"/>
  <c r="W118" i="7"/>
  <c r="W118" i="7" a="1"/>
  <c r="L118" i="7"/>
  <c r="K118" i="7"/>
  <c r="J118" i="7"/>
  <c r="A118" i="7"/>
  <c r="Z117" i="7"/>
  <c r="AA117" i="7" s="1"/>
  <c r="Y117" i="7"/>
  <c r="X117" i="7" a="1"/>
  <c r="X117" i="7" s="1"/>
  <c r="W117" i="7" a="1"/>
  <c r="W117" i="7" s="1"/>
  <c r="L117" i="7"/>
  <c r="K117" i="7"/>
  <c r="J117" i="7"/>
  <c r="A117" i="7"/>
  <c r="Z116" i="7"/>
  <c r="AA116" i="7" s="1"/>
  <c r="Y116" i="7"/>
  <c r="X116" i="7"/>
  <c r="X116" i="7" a="1"/>
  <c r="W116" i="7" a="1"/>
  <c r="W116" i="7" s="1"/>
  <c r="L116" i="7"/>
  <c r="K116" i="7"/>
  <c r="J116" i="7"/>
  <c r="A116" i="7"/>
  <c r="Z115" i="7"/>
  <c r="AA115" i="7" s="1"/>
  <c r="Y115" i="7"/>
  <c r="X115" i="7"/>
  <c r="X115" i="7" a="1"/>
  <c r="W115" i="7" a="1"/>
  <c r="W115" i="7" s="1"/>
  <c r="L115" i="7"/>
  <c r="K115" i="7"/>
  <c r="J115" i="7"/>
  <c r="A115" i="7"/>
  <c r="AA114" i="7"/>
  <c r="Z114" i="7"/>
  <c r="Y114" i="7"/>
  <c r="X114" i="7"/>
  <c r="X114" i="7" a="1"/>
  <c r="W114" i="7"/>
  <c r="W114" i="7" a="1"/>
  <c r="L114" i="7"/>
  <c r="K114" i="7"/>
  <c r="J114" i="7"/>
  <c r="A114" i="7"/>
  <c r="AA113" i="7"/>
  <c r="Z113" i="7"/>
  <c r="Y113" i="7"/>
  <c r="X113" i="7"/>
  <c r="X113" i="7" a="1"/>
  <c r="W113" i="7"/>
  <c r="W113" i="7" a="1"/>
  <c r="L113" i="7"/>
  <c r="K113" i="7"/>
  <c r="J113" i="7"/>
  <c r="A113" i="7"/>
  <c r="AA112" i="7"/>
  <c r="Z112" i="7"/>
  <c r="Y112" i="7"/>
  <c r="X112" i="7"/>
  <c r="X112" i="7" a="1"/>
  <c r="W112" i="7"/>
  <c r="W112" i="7" a="1"/>
  <c r="L112" i="7"/>
  <c r="K112" i="7"/>
  <c r="J112" i="7"/>
  <c r="A112" i="7"/>
  <c r="AA111" i="7"/>
  <c r="Z111" i="7"/>
  <c r="Y111" i="7"/>
  <c r="X111" i="7" a="1"/>
  <c r="X111" i="7" s="1"/>
  <c r="W111" i="7"/>
  <c r="W111" i="7" a="1"/>
  <c r="L111" i="7"/>
  <c r="K111" i="7"/>
  <c r="J111" i="7"/>
  <c r="A111" i="7"/>
  <c r="Z110" i="7"/>
  <c r="AA110" i="7" s="1"/>
  <c r="Y110" i="7"/>
  <c r="X110" i="7" a="1"/>
  <c r="X110" i="7" s="1"/>
  <c r="W110" i="7"/>
  <c r="W110" i="7" a="1"/>
  <c r="L110" i="7"/>
  <c r="K110" i="7"/>
  <c r="J110" i="7"/>
  <c r="A110" i="7"/>
  <c r="Z109" i="7"/>
  <c r="AA109" i="7" s="1"/>
  <c r="Y109" i="7"/>
  <c r="X109" i="7" a="1"/>
  <c r="X109" i="7" s="1"/>
  <c r="W109" i="7" a="1"/>
  <c r="W109" i="7" s="1"/>
  <c r="L109" i="7"/>
  <c r="K109" i="7"/>
  <c r="J109" i="7"/>
  <c r="A109" i="7"/>
  <c r="Z108" i="7"/>
  <c r="AA108" i="7" s="1"/>
  <c r="Y108" i="7"/>
  <c r="X108" i="7" a="1"/>
  <c r="X108" i="7" s="1"/>
  <c r="W108" i="7" a="1"/>
  <c r="W108" i="7" s="1"/>
  <c r="L108" i="7"/>
  <c r="K108" i="7"/>
  <c r="J108" i="7"/>
  <c r="A108" i="7"/>
  <c r="AA107" i="7"/>
  <c r="Z107" i="7"/>
  <c r="Y107" i="7"/>
  <c r="X107" i="7"/>
  <c r="X107" i="7" a="1"/>
  <c r="W107" i="7" a="1"/>
  <c r="W107" i="7" s="1"/>
  <c r="L107" i="7"/>
  <c r="K107" i="7"/>
  <c r="J107" i="7"/>
  <c r="A107" i="7"/>
  <c r="AA106" i="7"/>
  <c r="Z106" i="7"/>
  <c r="Y106" i="7"/>
  <c r="X106" i="7"/>
  <c r="X106" i="7" a="1"/>
  <c r="W106" i="7"/>
  <c r="W106" i="7" a="1"/>
  <c r="L106" i="7"/>
  <c r="K106" i="7"/>
  <c r="J106" i="7"/>
  <c r="A106" i="7"/>
  <c r="AA105" i="7"/>
  <c r="Z105" i="7"/>
  <c r="Y105" i="7"/>
  <c r="X105" i="7"/>
  <c r="X105" i="7" a="1"/>
  <c r="W105" i="7"/>
  <c r="W105" i="7" a="1"/>
  <c r="L105" i="7"/>
  <c r="K105" i="7"/>
  <c r="J105" i="7"/>
  <c r="A105" i="7"/>
  <c r="AA104" i="7"/>
  <c r="Z104" i="7"/>
  <c r="Y104" i="7"/>
  <c r="X104" i="7"/>
  <c r="X104" i="7" a="1"/>
  <c r="W104" i="7"/>
  <c r="W104" i="7" a="1"/>
  <c r="L104" i="7"/>
  <c r="K104" i="7"/>
  <c r="J104" i="7"/>
  <c r="A104" i="7"/>
  <c r="AA103" i="7"/>
  <c r="Z103" i="7"/>
  <c r="Y103" i="7"/>
  <c r="X103" i="7" a="1"/>
  <c r="X103" i="7" s="1"/>
  <c r="W103" i="7"/>
  <c r="W103" i="7" a="1"/>
  <c r="L103" i="7"/>
  <c r="K103" i="7"/>
  <c r="J103" i="7"/>
  <c r="A103" i="7"/>
  <c r="Z102" i="7"/>
  <c r="AA102" i="7" s="1"/>
  <c r="Y102" i="7"/>
  <c r="X102" i="7" a="1"/>
  <c r="X102" i="7" s="1"/>
  <c r="W102" i="7"/>
  <c r="W102" i="7" a="1"/>
  <c r="L102" i="7"/>
  <c r="K102" i="7"/>
  <c r="J102" i="7"/>
  <c r="A102" i="7"/>
  <c r="Z101" i="7"/>
  <c r="AA101" i="7" s="1"/>
  <c r="Y101" i="7"/>
  <c r="X101" i="7" a="1"/>
  <c r="X101" i="7" s="1"/>
  <c r="W101" i="7" a="1"/>
  <c r="W101" i="7" s="1"/>
  <c r="L101" i="7"/>
  <c r="K101" i="7"/>
  <c r="J101" i="7"/>
  <c r="A101" i="7"/>
  <c r="Z100" i="7"/>
  <c r="AA100" i="7" s="1"/>
  <c r="Y100" i="7"/>
  <c r="X100" i="7"/>
  <c r="X100" i="7" a="1"/>
  <c r="W100" i="7" a="1"/>
  <c r="W100" i="7" s="1"/>
  <c r="L100" i="7"/>
  <c r="K100" i="7"/>
  <c r="J100" i="7"/>
  <c r="A100" i="7"/>
  <c r="AA99" i="7"/>
  <c r="Z99" i="7"/>
  <c r="Y99" i="7"/>
  <c r="X99" i="7"/>
  <c r="X99" i="7" a="1"/>
  <c r="W99" i="7" a="1"/>
  <c r="W99" i="7" s="1"/>
  <c r="L99" i="7"/>
  <c r="K99" i="7"/>
  <c r="J99" i="7"/>
  <c r="A99" i="7"/>
  <c r="AA98" i="7"/>
  <c r="Z98" i="7"/>
  <c r="Y98" i="7"/>
  <c r="X98" i="7"/>
  <c r="X98" i="7" a="1"/>
  <c r="W98" i="7" a="1"/>
  <c r="W98" i="7" s="1"/>
  <c r="L98" i="7"/>
  <c r="K98" i="7"/>
  <c r="J98" i="7"/>
  <c r="A98" i="7"/>
  <c r="AA97" i="7"/>
  <c r="Z97" i="7"/>
  <c r="Y97" i="7"/>
  <c r="X97" i="7"/>
  <c r="X97" i="7" a="1"/>
  <c r="W97" i="7"/>
  <c r="W97" i="7" a="1"/>
  <c r="L97" i="7"/>
  <c r="K97" i="7"/>
  <c r="J97" i="7"/>
  <c r="A97" i="7"/>
  <c r="AA96" i="7"/>
  <c r="Z96" i="7"/>
  <c r="Y96" i="7"/>
  <c r="X96" i="7"/>
  <c r="X96" i="7" a="1"/>
  <c r="W96" i="7"/>
  <c r="W96" i="7" a="1"/>
  <c r="L96" i="7"/>
  <c r="K96" i="7"/>
  <c r="J96" i="7"/>
  <c r="A96" i="7"/>
  <c r="AA95" i="7"/>
  <c r="Z95" i="7"/>
  <c r="Y95" i="7"/>
  <c r="X95" i="7" a="1"/>
  <c r="X95" i="7" s="1"/>
  <c r="W95" i="7"/>
  <c r="W95" i="7" a="1"/>
  <c r="L95" i="7"/>
  <c r="K95" i="7"/>
  <c r="J95" i="7"/>
  <c r="A95" i="7"/>
  <c r="Z94" i="7"/>
  <c r="AA94" i="7" s="1"/>
  <c r="Y94" i="7"/>
  <c r="X94" i="7" a="1"/>
  <c r="X94" i="7" s="1"/>
  <c r="W94" i="7"/>
  <c r="W94" i="7" a="1"/>
  <c r="L94" i="7"/>
  <c r="K94" i="7"/>
  <c r="J94" i="7"/>
  <c r="A94" i="7"/>
  <c r="Z93" i="7"/>
  <c r="AA93" i="7" s="1"/>
  <c r="Y93" i="7"/>
  <c r="X93" i="7" a="1"/>
  <c r="X93" i="7" s="1"/>
  <c r="W93" i="7"/>
  <c r="W93" i="7" a="1"/>
  <c r="L93" i="7"/>
  <c r="K93" i="7"/>
  <c r="J93" i="7"/>
  <c r="A93" i="7"/>
  <c r="Z92" i="7"/>
  <c r="AA92" i="7" s="1"/>
  <c r="Y92" i="7"/>
  <c r="X92" i="7"/>
  <c r="X92" i="7" a="1"/>
  <c r="W92" i="7" a="1"/>
  <c r="W92" i="7" s="1"/>
  <c r="L92" i="7"/>
  <c r="K92" i="7"/>
  <c r="J92" i="7"/>
  <c r="A92" i="7"/>
  <c r="AA91" i="7"/>
  <c r="Z91" i="7"/>
  <c r="Y91" i="7"/>
  <c r="X91" i="7"/>
  <c r="X91" i="7" a="1"/>
  <c r="W91" i="7" a="1"/>
  <c r="W91" i="7" s="1"/>
  <c r="L91" i="7"/>
  <c r="K91" i="7"/>
  <c r="J91" i="7"/>
  <c r="A91" i="7"/>
  <c r="AA90" i="7"/>
  <c r="Z90" i="7"/>
  <c r="Y90" i="7"/>
  <c r="X90" i="7" a="1"/>
  <c r="X90" i="7" s="1"/>
  <c r="W90" i="7" a="1"/>
  <c r="W90" i="7" s="1"/>
  <c r="L90" i="7"/>
  <c r="K90" i="7"/>
  <c r="J90" i="7"/>
  <c r="A90" i="7"/>
  <c r="Z89" i="7"/>
  <c r="AA89" i="7" s="1"/>
  <c r="Y89" i="7"/>
  <c r="X89" i="7"/>
  <c r="X89" i="7" a="1"/>
  <c r="W89" i="7"/>
  <c r="W89" i="7" a="1"/>
  <c r="L89" i="7"/>
  <c r="K89" i="7"/>
  <c r="J89" i="7"/>
  <c r="A89" i="7"/>
  <c r="AA88" i="7"/>
  <c r="Z88" i="7"/>
  <c r="Y88" i="7"/>
  <c r="X88" i="7"/>
  <c r="X88" i="7" a="1"/>
  <c r="W88" i="7" a="1"/>
  <c r="W88" i="7" s="1"/>
  <c r="L88" i="7"/>
  <c r="K88" i="7"/>
  <c r="J88" i="7"/>
  <c r="A88" i="7"/>
  <c r="AA87" i="7"/>
  <c r="Z87" i="7"/>
  <c r="Y87" i="7"/>
  <c r="X87" i="7"/>
  <c r="X87" i="7" a="1"/>
  <c r="W87" i="7"/>
  <c r="W87" i="7" a="1"/>
  <c r="L87" i="7"/>
  <c r="K87" i="7"/>
  <c r="J87" i="7"/>
  <c r="A87" i="7"/>
  <c r="AA86" i="7"/>
  <c r="Z86" i="7"/>
  <c r="Y86" i="7"/>
  <c r="X86" i="7" a="1"/>
  <c r="X86" i="7" s="1"/>
  <c r="W86" i="7"/>
  <c r="W86" i="7" a="1"/>
  <c r="L86" i="7"/>
  <c r="K86" i="7"/>
  <c r="J86" i="7"/>
  <c r="A86" i="7"/>
  <c r="Z85" i="7"/>
  <c r="AA85" i="7" s="1"/>
  <c r="Y85" i="7"/>
  <c r="X85" i="7" a="1"/>
  <c r="X85" i="7" s="1"/>
  <c r="W85" i="7"/>
  <c r="W85" i="7" a="1"/>
  <c r="L85" i="7"/>
  <c r="K85" i="7"/>
  <c r="J85" i="7"/>
  <c r="A85" i="7"/>
  <c r="Z84" i="7"/>
  <c r="AA84" i="7" s="1"/>
  <c r="Y84" i="7"/>
  <c r="X84" i="7"/>
  <c r="X84" i="7" a="1"/>
  <c r="W84" i="7" a="1"/>
  <c r="W84" i="7" s="1"/>
  <c r="L84" i="7"/>
  <c r="K84" i="7"/>
  <c r="J84" i="7"/>
  <c r="A84" i="7"/>
  <c r="Z83" i="7"/>
  <c r="AA83" i="7" s="1"/>
  <c r="Y83" i="7"/>
  <c r="X83" i="7" a="1"/>
  <c r="X83" i="7" s="1"/>
  <c r="W83" i="7" a="1"/>
  <c r="W83" i="7" s="1"/>
  <c r="L83" i="7"/>
  <c r="K83" i="7"/>
  <c r="J83" i="7"/>
  <c r="A83" i="7"/>
  <c r="Z82" i="7"/>
  <c r="AA82" i="7" s="1"/>
  <c r="Y82" i="7"/>
  <c r="X82" i="7" a="1"/>
  <c r="X82" i="7" s="1"/>
  <c r="W82" i="7"/>
  <c r="W82" i="7" a="1"/>
  <c r="L82" i="7"/>
  <c r="K82" i="7"/>
  <c r="J82" i="7"/>
  <c r="A82" i="7"/>
  <c r="Z81" i="7"/>
  <c r="AA81" i="7" s="1"/>
  <c r="Y81" i="7"/>
  <c r="X81" i="7"/>
  <c r="X81" i="7" a="1"/>
  <c r="W81" i="7" a="1"/>
  <c r="W81" i="7" s="1"/>
  <c r="L81" i="7"/>
  <c r="K81" i="7"/>
  <c r="J81" i="7"/>
  <c r="A81" i="7"/>
  <c r="AA80" i="7"/>
  <c r="Z80" i="7"/>
  <c r="Y80" i="7"/>
  <c r="X80" i="7"/>
  <c r="X80" i="7" a="1"/>
  <c r="W80" i="7" a="1"/>
  <c r="W80" i="7" s="1"/>
  <c r="L80" i="7"/>
  <c r="K80" i="7"/>
  <c r="J80" i="7"/>
  <c r="A80" i="7"/>
  <c r="AA79" i="7"/>
  <c r="Z79" i="7"/>
  <c r="Y79" i="7"/>
  <c r="X79" i="7"/>
  <c r="X79" i="7" a="1"/>
  <c r="W79" i="7"/>
  <c r="W79" i="7" a="1"/>
  <c r="L79" i="7"/>
  <c r="K79" i="7"/>
  <c r="J79" i="7"/>
  <c r="A79" i="7"/>
  <c r="AA78" i="7"/>
  <c r="Z78" i="7"/>
  <c r="Y78" i="7"/>
  <c r="X78" i="7" a="1"/>
  <c r="X78" i="7" s="1"/>
  <c r="W78" i="7"/>
  <c r="W78" i="7" a="1"/>
  <c r="L78" i="7"/>
  <c r="K78" i="7"/>
  <c r="J78" i="7"/>
  <c r="A78" i="7"/>
  <c r="Z77" i="7"/>
  <c r="AA77" i="7" s="1"/>
  <c r="Y77" i="7"/>
  <c r="X77" i="7" a="1"/>
  <c r="X77" i="7" s="1"/>
  <c r="W77" i="7" a="1"/>
  <c r="W77" i="7" s="1"/>
  <c r="L77" i="7"/>
  <c r="K77" i="7"/>
  <c r="J77" i="7"/>
  <c r="A77" i="7"/>
  <c r="Z76" i="7"/>
  <c r="AA76" i="7" s="1"/>
  <c r="Y76" i="7"/>
  <c r="X76" i="7" a="1"/>
  <c r="X76" i="7" s="1"/>
  <c r="W76" i="7" a="1"/>
  <c r="W76" i="7" s="1"/>
  <c r="L76" i="7"/>
  <c r="K76" i="7"/>
  <c r="J76" i="7"/>
  <c r="A76" i="7"/>
  <c r="Z75" i="7"/>
  <c r="AA75" i="7" s="1"/>
  <c r="Y75" i="7"/>
  <c r="X75" i="7" a="1"/>
  <c r="X75" i="7" s="1"/>
  <c r="W75" i="7" a="1"/>
  <c r="W75" i="7" s="1"/>
  <c r="L75" i="7"/>
  <c r="K75" i="7"/>
  <c r="J75" i="7"/>
  <c r="A75" i="7"/>
  <c r="AA74" i="7"/>
  <c r="Z74" i="7"/>
  <c r="Y74" i="7"/>
  <c r="X74" i="7"/>
  <c r="X74" i="7" a="1"/>
  <c r="W74" i="7"/>
  <c r="W74" i="7" a="1"/>
  <c r="L74" i="7"/>
  <c r="K74" i="7"/>
  <c r="J74" i="7"/>
  <c r="A74" i="7"/>
  <c r="AA73" i="7"/>
  <c r="Z73" i="7"/>
  <c r="Y73" i="7"/>
  <c r="X73" i="7"/>
  <c r="X73" i="7" a="1"/>
  <c r="W73" i="7"/>
  <c r="W73" i="7" a="1"/>
  <c r="L73" i="7"/>
  <c r="K73" i="7"/>
  <c r="J73" i="7"/>
  <c r="A73" i="7"/>
  <c r="AA72" i="7"/>
  <c r="Z72" i="7"/>
  <c r="Y72" i="7"/>
  <c r="X72" i="7"/>
  <c r="X72" i="7" a="1"/>
  <c r="W72" i="7"/>
  <c r="W72" i="7" a="1"/>
  <c r="L72" i="7"/>
  <c r="K72" i="7"/>
  <c r="J72" i="7"/>
  <c r="A72" i="7"/>
  <c r="AA71" i="7"/>
  <c r="Z71" i="7"/>
  <c r="Y71" i="7"/>
  <c r="X71" i="7" a="1"/>
  <c r="X71" i="7" s="1"/>
  <c r="W71" i="7"/>
  <c r="W71" i="7" a="1"/>
  <c r="L71" i="7"/>
  <c r="K71" i="7"/>
  <c r="J71" i="7"/>
  <c r="A71" i="7"/>
  <c r="Z70" i="7"/>
  <c r="AA70" i="7" s="1"/>
  <c r="Y70" i="7"/>
  <c r="X70" i="7" a="1"/>
  <c r="X70" i="7" s="1"/>
  <c r="W70" i="7"/>
  <c r="W70" i="7" a="1"/>
  <c r="L70" i="7"/>
  <c r="K70" i="7"/>
  <c r="J70" i="7"/>
  <c r="A70" i="7"/>
  <c r="Z69" i="7"/>
  <c r="AA69" i="7" s="1"/>
  <c r="Y69" i="7"/>
  <c r="X69" i="7" a="1"/>
  <c r="X69" i="7" s="1"/>
  <c r="W69" i="7" a="1"/>
  <c r="W69" i="7" s="1"/>
  <c r="L69" i="7"/>
  <c r="K69" i="7"/>
  <c r="J69" i="7"/>
  <c r="A69" i="7"/>
  <c r="Z68" i="7"/>
  <c r="AA68" i="7" s="1"/>
  <c r="Y68" i="7"/>
  <c r="X68" i="7" a="1"/>
  <c r="X68" i="7" s="1"/>
  <c r="W68" i="7" a="1"/>
  <c r="W68" i="7" s="1"/>
  <c r="L68" i="7"/>
  <c r="K68" i="7"/>
  <c r="J68" i="7"/>
  <c r="A68" i="7"/>
  <c r="AA67" i="7"/>
  <c r="Z67" i="7"/>
  <c r="Y67" i="7"/>
  <c r="X67" i="7"/>
  <c r="X67" i="7" a="1"/>
  <c r="W67" i="7" a="1"/>
  <c r="W67" i="7" s="1"/>
  <c r="L67" i="7"/>
  <c r="K67" i="7"/>
  <c r="J67" i="7"/>
  <c r="A67" i="7"/>
  <c r="AA66" i="7"/>
  <c r="Z66" i="7"/>
  <c r="Y66" i="7"/>
  <c r="X66" i="7"/>
  <c r="X66" i="7" a="1"/>
  <c r="W66" i="7" a="1"/>
  <c r="W66" i="7" s="1"/>
  <c r="L66" i="7"/>
  <c r="K66" i="7"/>
  <c r="J66" i="7"/>
  <c r="A66" i="7"/>
  <c r="AA65" i="7"/>
  <c r="Z65" i="7"/>
  <c r="Y65" i="7"/>
  <c r="X65" i="7"/>
  <c r="X65" i="7" a="1"/>
  <c r="W65" i="7"/>
  <c r="W65" i="7" a="1"/>
  <c r="L65" i="7"/>
  <c r="K65" i="7"/>
  <c r="J65" i="7"/>
  <c r="A65" i="7"/>
  <c r="AA64" i="7"/>
  <c r="Z64" i="7"/>
  <c r="Y64" i="7"/>
  <c r="X64" i="7"/>
  <c r="X64" i="7" a="1"/>
  <c r="W64" i="7"/>
  <c r="W64" i="7" a="1"/>
  <c r="L64" i="7"/>
  <c r="K64" i="7"/>
  <c r="J64" i="7"/>
  <c r="A64" i="7"/>
  <c r="AA63" i="7"/>
  <c r="Z63" i="7"/>
  <c r="Y63" i="7"/>
  <c r="X63" i="7"/>
  <c r="X63" i="7" a="1"/>
  <c r="W63" i="7"/>
  <c r="W63" i="7" a="1"/>
  <c r="L63" i="7"/>
  <c r="K63" i="7"/>
  <c r="J63" i="7"/>
  <c r="A63" i="7"/>
  <c r="AA62" i="7"/>
  <c r="Z62" i="7"/>
  <c r="Y62" i="7"/>
  <c r="X62" i="7" a="1"/>
  <c r="X62" i="7" s="1"/>
  <c r="W62" i="7"/>
  <c r="W62" i="7" a="1"/>
  <c r="L62" i="7"/>
  <c r="K62" i="7"/>
  <c r="J62" i="7"/>
  <c r="A62" i="7"/>
  <c r="Z61" i="7"/>
  <c r="AA61" i="7" s="1"/>
  <c r="Y61" i="7"/>
  <c r="X61" i="7" a="1"/>
  <c r="X61" i="7" s="1"/>
  <c r="W61" i="7"/>
  <c r="W61" i="7" a="1"/>
  <c r="L61" i="7"/>
  <c r="K61" i="7"/>
  <c r="J61" i="7"/>
  <c r="A61" i="7"/>
  <c r="Z60" i="7"/>
  <c r="AA60" i="7" s="1"/>
  <c r="Y60" i="7"/>
  <c r="X60" i="7"/>
  <c r="X60" i="7" a="1"/>
  <c r="W60" i="7" a="1"/>
  <c r="W60" i="7" s="1"/>
  <c r="L60" i="7"/>
  <c r="K60" i="7"/>
  <c r="J60" i="7"/>
  <c r="A60" i="7"/>
  <c r="AA59" i="7"/>
  <c r="Z59" i="7"/>
  <c r="Y59" i="7"/>
  <c r="X59" i="7"/>
  <c r="X59" i="7" a="1"/>
  <c r="W59" i="7" a="1"/>
  <c r="W59" i="7" s="1"/>
  <c r="L59" i="7"/>
  <c r="K59" i="7"/>
  <c r="J59" i="7"/>
  <c r="A59" i="7"/>
  <c r="Z58" i="7"/>
  <c r="AA58" i="7" s="1"/>
  <c r="Y58" i="7"/>
  <c r="X58" i="7" a="1"/>
  <c r="X58" i="7" s="1"/>
  <c r="W58" i="7" a="1"/>
  <c r="W58" i="7" s="1"/>
  <c r="L58" i="7"/>
  <c r="K58" i="7"/>
  <c r="J58" i="7"/>
  <c r="A58" i="7"/>
  <c r="Z57" i="7"/>
  <c r="AA57" i="7" s="1"/>
  <c r="Y57" i="7"/>
  <c r="X57" i="7"/>
  <c r="X57" i="7" a="1"/>
  <c r="W57" i="7" a="1"/>
  <c r="W57" i="7" s="1"/>
  <c r="L57" i="7"/>
  <c r="K57" i="7"/>
  <c r="J57" i="7"/>
  <c r="A57" i="7"/>
  <c r="AA56" i="7"/>
  <c r="Z56" i="7"/>
  <c r="Y56" i="7"/>
  <c r="X56" i="7"/>
  <c r="X56" i="7" a="1"/>
  <c r="W56" i="7" a="1"/>
  <c r="W56" i="7" s="1"/>
  <c r="L56" i="7"/>
  <c r="K56" i="7"/>
  <c r="J56" i="7"/>
  <c r="A56" i="7"/>
  <c r="AA55" i="7"/>
  <c r="Z55" i="7"/>
  <c r="Y55" i="7"/>
  <c r="X55" i="7"/>
  <c r="X55" i="7" a="1"/>
  <c r="W55" i="7"/>
  <c r="W55" i="7" a="1"/>
  <c r="L55" i="7"/>
  <c r="K55" i="7"/>
  <c r="J55" i="7"/>
  <c r="A55" i="7"/>
  <c r="AA54" i="7"/>
  <c r="Z54" i="7"/>
  <c r="Y54" i="7"/>
  <c r="X54" i="7" a="1"/>
  <c r="X54" i="7" s="1"/>
  <c r="W54" i="7"/>
  <c r="W54" i="7" a="1"/>
  <c r="L54" i="7"/>
  <c r="K54" i="7"/>
  <c r="J54" i="7"/>
  <c r="A54" i="7"/>
  <c r="Z53" i="7"/>
  <c r="AA53" i="7" s="1"/>
  <c r="Y53" i="7"/>
  <c r="X53" i="7" a="1"/>
  <c r="X53" i="7" s="1"/>
  <c r="W53" i="7"/>
  <c r="W53" i="7" a="1"/>
  <c r="L53" i="7"/>
  <c r="K53" i="7"/>
  <c r="J53" i="7"/>
  <c r="A53" i="7"/>
  <c r="Z52" i="7"/>
  <c r="AA52" i="7" s="1"/>
  <c r="Y52" i="7"/>
  <c r="X52" i="7"/>
  <c r="X52" i="7" a="1"/>
  <c r="W52" i="7" a="1"/>
  <c r="W52" i="7" s="1"/>
  <c r="L52" i="7"/>
  <c r="K52" i="7"/>
  <c r="J52" i="7"/>
  <c r="A52" i="7"/>
  <c r="Z51" i="7"/>
  <c r="AA51" i="7" s="1"/>
  <c r="Y51" i="7"/>
  <c r="X51" i="7" a="1"/>
  <c r="X51" i="7" s="1"/>
  <c r="W51" i="7" a="1"/>
  <c r="W51" i="7" s="1"/>
  <c r="L51" i="7"/>
  <c r="K51" i="7"/>
  <c r="J51" i="7"/>
  <c r="A51" i="7"/>
  <c r="Z50" i="7"/>
  <c r="AA50" i="7" s="1"/>
  <c r="Y50" i="7"/>
  <c r="X50" i="7" a="1"/>
  <c r="X50" i="7" s="1"/>
  <c r="W50" i="7"/>
  <c r="W50" i="7" a="1"/>
  <c r="L50" i="7"/>
  <c r="K50" i="7"/>
  <c r="J50" i="7"/>
  <c r="A50" i="7"/>
  <c r="Z49" i="7"/>
  <c r="AA49" i="7" s="1"/>
  <c r="Y49" i="7"/>
  <c r="X49" i="7"/>
  <c r="X49" i="7" a="1"/>
  <c r="W49" i="7" a="1"/>
  <c r="W49" i="7" s="1"/>
  <c r="L49" i="7"/>
  <c r="K49" i="7"/>
  <c r="J49" i="7"/>
  <c r="A49" i="7"/>
  <c r="AA48" i="7"/>
  <c r="Z48" i="7"/>
  <c r="Y48" i="7"/>
  <c r="X48" i="7"/>
  <c r="X48" i="7" a="1"/>
  <c r="W48" i="7" a="1"/>
  <c r="W48" i="7" s="1"/>
  <c r="L48" i="7"/>
  <c r="K48" i="7"/>
  <c r="J48" i="7"/>
  <c r="A48" i="7"/>
  <c r="AA47" i="7"/>
  <c r="Z47" i="7"/>
  <c r="Y47" i="7"/>
  <c r="X47" i="7"/>
  <c r="X47" i="7" a="1"/>
  <c r="W47" i="7"/>
  <c r="W47" i="7" a="1"/>
  <c r="L47" i="7"/>
  <c r="K47" i="7"/>
  <c r="J47" i="7"/>
  <c r="A47" i="7"/>
  <c r="AA46" i="7"/>
  <c r="Z46" i="7"/>
  <c r="Y46" i="7"/>
  <c r="X46" i="7" a="1"/>
  <c r="X46" i="7" s="1"/>
  <c r="W46" i="7"/>
  <c r="W46" i="7" a="1"/>
  <c r="L46" i="7"/>
  <c r="K46" i="7"/>
  <c r="J46" i="7"/>
  <c r="A46" i="7"/>
  <c r="Z45" i="7"/>
  <c r="AA45" i="7" s="1"/>
  <c r="Y45" i="7"/>
  <c r="X45" i="7" a="1"/>
  <c r="X45" i="7" s="1"/>
  <c r="W45" i="7" a="1"/>
  <c r="W45" i="7" s="1"/>
  <c r="L45" i="7"/>
  <c r="K45" i="7"/>
  <c r="J45" i="7"/>
  <c r="A45" i="7"/>
  <c r="Z44" i="7"/>
  <c r="AA44" i="7" s="1"/>
  <c r="Y44" i="7"/>
  <c r="X44" i="7" a="1"/>
  <c r="X44" i="7" s="1"/>
  <c r="W44" i="7" a="1"/>
  <c r="W44" i="7" s="1"/>
  <c r="L44" i="7"/>
  <c r="K44" i="7"/>
  <c r="J44" i="7"/>
  <c r="A44" i="7"/>
  <c r="Z43" i="7"/>
  <c r="AA43" i="7" s="1"/>
  <c r="Y43" i="7"/>
  <c r="X43" i="7" a="1"/>
  <c r="X43" i="7" s="1"/>
  <c r="W43" i="7" a="1"/>
  <c r="W43" i="7" s="1"/>
  <c r="L43" i="7"/>
  <c r="K43" i="7"/>
  <c r="J43" i="7"/>
  <c r="A43" i="7"/>
  <c r="AA42" i="7"/>
  <c r="Z42" i="7"/>
  <c r="Y42" i="7"/>
  <c r="X42" i="7"/>
  <c r="X42" i="7" a="1"/>
  <c r="W42" i="7"/>
  <c r="W42" i="7" a="1"/>
  <c r="L42" i="7"/>
  <c r="K42" i="7"/>
  <c r="J42" i="7"/>
  <c r="A42" i="7"/>
  <c r="AA41" i="7"/>
  <c r="Z41" i="7"/>
  <c r="Y41" i="7"/>
  <c r="X41" i="7"/>
  <c r="X41" i="7" a="1"/>
  <c r="W41" i="7"/>
  <c r="W41" i="7" a="1"/>
  <c r="L41" i="7"/>
  <c r="K41" i="7"/>
  <c r="J41" i="7"/>
  <c r="A41" i="7"/>
  <c r="AA40" i="7"/>
  <c r="Z40" i="7"/>
  <c r="Y40" i="7"/>
  <c r="X40" i="7"/>
  <c r="X40" i="7" a="1"/>
  <c r="W40" i="7"/>
  <c r="W40" i="7" a="1"/>
  <c r="L40" i="7"/>
  <c r="K40" i="7"/>
  <c r="J40" i="7"/>
  <c r="A40" i="7"/>
  <c r="Z39" i="7"/>
  <c r="AA39" i="7" s="1"/>
  <c r="Y39" i="7"/>
  <c r="X39" i="7" a="1"/>
  <c r="X39" i="7" s="1"/>
  <c r="W39" i="7"/>
  <c r="W39" i="7" a="1"/>
  <c r="L39" i="7"/>
  <c r="K39" i="7"/>
  <c r="J39" i="7"/>
  <c r="A39" i="7"/>
  <c r="Z38" i="7"/>
  <c r="AA38" i="7" s="1"/>
  <c r="Y38" i="7"/>
  <c r="X38" i="7" a="1"/>
  <c r="X38" i="7" s="1"/>
  <c r="W38" i="7" a="1"/>
  <c r="W38" i="7" s="1"/>
  <c r="L38" i="7"/>
  <c r="K38" i="7"/>
  <c r="J38" i="7"/>
  <c r="A38" i="7"/>
  <c r="AJ37" i="7"/>
  <c r="AL37" i="7" s="1"/>
  <c r="AG37" i="7"/>
  <c r="AD37" i="7"/>
  <c r="AA37" i="7"/>
  <c r="Z37" i="7"/>
  <c r="Y37" i="7"/>
  <c r="X37" i="7"/>
  <c r="X37" i="7" a="1"/>
  <c r="W37" i="7"/>
  <c r="W37" i="7" a="1"/>
  <c r="L37" i="7"/>
  <c r="K37" i="7"/>
  <c r="J37" i="7"/>
  <c r="A37" i="7"/>
  <c r="AJ36" i="7"/>
  <c r="AG36" i="7"/>
  <c r="AD36" i="7"/>
  <c r="AF36" i="7" s="1"/>
  <c r="AA36" i="7"/>
  <c r="Z36" i="7"/>
  <c r="Y36" i="7"/>
  <c r="X36" i="7" a="1"/>
  <c r="X36" i="7" s="1"/>
  <c r="W36" i="7"/>
  <c r="W36" i="7" a="1"/>
  <c r="L36" i="7"/>
  <c r="K36" i="7"/>
  <c r="J36" i="7"/>
  <c r="A36" i="7"/>
  <c r="AJ35" i="7"/>
  <c r="AG35" i="7"/>
  <c r="AD35" i="7"/>
  <c r="Z35" i="7"/>
  <c r="AA35" i="7" s="1"/>
  <c r="Y35" i="7"/>
  <c r="X35" i="7"/>
  <c r="X35" i="7" a="1"/>
  <c r="W35" i="7" a="1"/>
  <c r="W35" i="7" s="1"/>
  <c r="L35" i="7"/>
  <c r="K35" i="7"/>
  <c r="J35" i="7"/>
  <c r="A35" i="7"/>
  <c r="AJ34" i="7"/>
  <c r="AG34" i="7"/>
  <c r="AI34" i="7" s="1"/>
  <c r="AD34" i="7"/>
  <c r="AA34" i="7"/>
  <c r="Z34" i="7"/>
  <c r="Y34" i="7"/>
  <c r="X34" i="7"/>
  <c r="X34" i="7" a="1"/>
  <c r="W34" i="7"/>
  <c r="W34" i="7" a="1"/>
  <c r="L34" i="7"/>
  <c r="K34" i="7"/>
  <c r="J34" i="7"/>
  <c r="A34" i="7"/>
  <c r="AJ33" i="7"/>
  <c r="AG33" i="7"/>
  <c r="AD33" i="7"/>
  <c r="Y33" i="7"/>
  <c r="X33" i="7" a="1"/>
  <c r="X33" i="7" s="1"/>
  <c r="W33" i="7" a="1"/>
  <c r="W33" i="7" s="1"/>
  <c r="K33" i="7"/>
  <c r="Z33" i="7" s="1"/>
  <c r="AA33" i="7" s="1"/>
  <c r="J33" i="7"/>
  <c r="L33" i="7" s="1"/>
  <c r="A33" i="7"/>
  <c r="AJ32" i="7"/>
  <c r="AL32" i="7" s="1"/>
  <c r="AG32" i="7"/>
  <c r="AD32" i="7"/>
  <c r="Y32" i="7"/>
  <c r="X32" i="7" a="1"/>
  <c r="X32" i="7" s="1"/>
  <c r="W32" i="7" a="1"/>
  <c r="W32" i="7" s="1"/>
  <c r="K32" i="7"/>
  <c r="Z32" i="7" s="1"/>
  <c r="AA32" i="7" s="1"/>
  <c r="J32" i="7"/>
  <c r="L32" i="7" s="1"/>
  <c r="A32" i="7"/>
  <c r="AJ31" i="7"/>
  <c r="AG31" i="7"/>
  <c r="AD31" i="7"/>
  <c r="Y31" i="7"/>
  <c r="X31" i="7" a="1"/>
  <c r="X31" i="7" s="1"/>
  <c r="W31" i="7" a="1"/>
  <c r="W31" i="7" s="1"/>
  <c r="K31" i="7"/>
  <c r="Z31" i="7" s="1"/>
  <c r="AA31" i="7" s="1"/>
  <c r="J31" i="7"/>
  <c r="A31" i="7"/>
  <c r="AJ30" i="7"/>
  <c r="AG30" i="7"/>
  <c r="AD30" i="7"/>
  <c r="Y30" i="7"/>
  <c r="X30" i="7" a="1"/>
  <c r="X30" i="7" s="1"/>
  <c r="W30" i="7" a="1"/>
  <c r="W30" i="7" s="1"/>
  <c r="K30" i="7"/>
  <c r="Z30" i="7" s="1"/>
  <c r="AA30" i="7" s="1"/>
  <c r="J30" i="7"/>
  <c r="L30" i="7" s="1"/>
  <c r="A30" i="7"/>
  <c r="AJ29" i="7"/>
  <c r="AG29" i="7"/>
  <c r="AD29" i="7"/>
  <c r="Y29" i="7"/>
  <c r="X29" i="7" a="1"/>
  <c r="X29" i="7" s="1"/>
  <c r="W29" i="7" a="1"/>
  <c r="W29" i="7" s="1"/>
  <c r="L29" i="7"/>
  <c r="K29" i="7"/>
  <c r="J29" i="7"/>
  <c r="Z29" i="7" s="1"/>
  <c r="AA29" i="7" s="1"/>
  <c r="A29" i="7"/>
  <c r="AJ28" i="7"/>
  <c r="AG28" i="7"/>
  <c r="AD28" i="7"/>
  <c r="AF28" i="7" s="1"/>
  <c r="Z28" i="7"/>
  <c r="AA28" i="7" s="1"/>
  <c r="Y28" i="7"/>
  <c r="X28" i="7" a="1"/>
  <c r="X28" i="7" s="1"/>
  <c r="W28" i="7" a="1"/>
  <c r="W28" i="7" s="1"/>
  <c r="K28" i="7"/>
  <c r="J28" i="7"/>
  <c r="L28" i="7" s="1"/>
  <c r="A28" i="7"/>
  <c r="AJ27" i="7"/>
  <c r="AG27" i="7"/>
  <c r="AD27" i="7"/>
  <c r="Z27" i="7"/>
  <c r="AA27" i="7" s="1"/>
  <c r="Y27" i="7"/>
  <c r="X27" i="7" a="1"/>
  <c r="X27" i="7" s="1"/>
  <c r="W27" i="7" a="1"/>
  <c r="W27" i="7" s="1"/>
  <c r="K27" i="7"/>
  <c r="J27" i="7"/>
  <c r="L27" i="7" s="1"/>
  <c r="A27" i="7"/>
  <c r="AJ26" i="7"/>
  <c r="AG26" i="7"/>
  <c r="AI26" i="7" s="1"/>
  <c r="AD26" i="7"/>
  <c r="Y26" i="7"/>
  <c r="X26" i="7" a="1"/>
  <c r="X26" i="7" s="1"/>
  <c r="W26" i="7" a="1"/>
  <c r="W26" i="7" s="1"/>
  <c r="K26" i="7"/>
  <c r="Z26" i="7" s="1"/>
  <c r="AA26" i="7" s="1"/>
  <c r="J26" i="7"/>
  <c r="A26" i="7"/>
  <c r="AJ25" i="7"/>
  <c r="AG25" i="7"/>
  <c r="AD25" i="7"/>
  <c r="Y25" i="7"/>
  <c r="X25" i="7" a="1"/>
  <c r="X25" i="7" s="1"/>
  <c r="W25" i="7" a="1"/>
  <c r="W25" i="7" s="1"/>
  <c r="K25" i="7"/>
  <c r="J25" i="7"/>
  <c r="L25" i="7" s="1"/>
  <c r="A25" i="7"/>
  <c r="AJ24" i="7"/>
  <c r="AL24" i="7" s="1"/>
  <c r="AG24" i="7"/>
  <c r="AI24" i="7" s="1"/>
  <c r="AD24" i="7"/>
  <c r="Y24" i="7"/>
  <c r="X24" i="7" a="1"/>
  <c r="X24" i="7" s="1"/>
  <c r="W24" i="7" a="1"/>
  <c r="W24" i="7" s="1"/>
  <c r="K24" i="7"/>
  <c r="J24" i="7"/>
  <c r="L24" i="7" s="1"/>
  <c r="A24" i="7"/>
  <c r="AJ23" i="7"/>
  <c r="AG23" i="7"/>
  <c r="AD23" i="7"/>
  <c r="Y23" i="7"/>
  <c r="X23" i="7" a="1"/>
  <c r="X23" i="7" s="1"/>
  <c r="W23" i="7" a="1"/>
  <c r="W23" i="7" s="1"/>
  <c r="K23" i="7"/>
  <c r="J23" i="7"/>
  <c r="L23" i="7" s="1"/>
  <c r="A23" i="7"/>
  <c r="AJ22" i="7"/>
  <c r="AG22" i="7"/>
  <c r="AD22" i="7"/>
  <c r="Y22" i="7"/>
  <c r="X22" i="7" a="1"/>
  <c r="X22" i="7" s="1"/>
  <c r="W22" i="7" a="1"/>
  <c r="W22" i="7" s="1"/>
  <c r="L22" i="7"/>
  <c r="K22" i="7"/>
  <c r="J22" i="7"/>
  <c r="Z22" i="7" s="1"/>
  <c r="AA22" i="7" s="1"/>
  <c r="A22" i="7"/>
  <c r="AJ21" i="7"/>
  <c r="AG21" i="7"/>
  <c r="AD21" i="7"/>
  <c r="Y21" i="7"/>
  <c r="X21" i="7" a="1"/>
  <c r="X21" i="7" s="1"/>
  <c r="W21" i="7" a="1"/>
  <c r="W21" i="7" s="1"/>
  <c r="K21" i="7"/>
  <c r="Z21" i="7" s="1"/>
  <c r="AA21" i="7" s="1"/>
  <c r="J21" i="7"/>
  <c r="A21" i="7"/>
  <c r="AJ20" i="7"/>
  <c r="AG20" i="7"/>
  <c r="AD20" i="7"/>
  <c r="AF20" i="7" s="1"/>
  <c r="Y20" i="7"/>
  <c r="X20" i="7" a="1"/>
  <c r="X20" i="7" s="1"/>
  <c r="W20" i="7" a="1"/>
  <c r="W20" i="7" s="1"/>
  <c r="K20" i="7"/>
  <c r="J20" i="7"/>
  <c r="L20" i="7" s="1"/>
  <c r="A20" i="7"/>
  <c r="AJ19" i="7"/>
  <c r="AG19" i="7"/>
  <c r="AD19" i="7"/>
  <c r="Y19" i="7"/>
  <c r="X19" i="7" a="1"/>
  <c r="X19" i="7" s="1"/>
  <c r="W19" i="7" a="1"/>
  <c r="W19" i="7" s="1"/>
  <c r="L19" i="7"/>
  <c r="K19" i="7"/>
  <c r="J19" i="7"/>
  <c r="A19" i="7"/>
  <c r="AJ18" i="7"/>
  <c r="AG18" i="7"/>
  <c r="AI18" i="7" s="1"/>
  <c r="AD18" i="7"/>
  <c r="Y18" i="7"/>
  <c r="X18" i="7" a="1"/>
  <c r="X18" i="7" s="1"/>
  <c r="W18" i="7" a="1"/>
  <c r="W18" i="7" s="1"/>
  <c r="K18" i="7"/>
  <c r="L18" i="7" s="1"/>
  <c r="J18" i="7"/>
  <c r="A18" i="7"/>
  <c r="AJ17" i="7"/>
  <c r="AG17" i="7"/>
  <c r="AD17" i="7"/>
  <c r="Y17" i="7"/>
  <c r="X17" i="7" a="1"/>
  <c r="X17" i="7" s="1"/>
  <c r="W17" i="7" a="1"/>
  <c r="W17" i="7" s="1"/>
  <c r="K17" i="7"/>
  <c r="J17" i="7"/>
  <c r="A17" i="7"/>
  <c r="AJ16" i="7"/>
  <c r="AL16" i="7" s="1"/>
  <c r="AG16" i="7"/>
  <c r="AD16" i="7"/>
  <c r="Y16" i="7"/>
  <c r="X16" i="7" a="1"/>
  <c r="X16" i="7" s="1"/>
  <c r="W16" i="7" a="1"/>
  <c r="W16" i="7" s="1"/>
  <c r="K16" i="7"/>
  <c r="J16" i="7"/>
  <c r="L16" i="7" s="1"/>
  <c r="A16" i="7"/>
  <c r="AJ15" i="7"/>
  <c r="AG15" i="7"/>
  <c r="AD15" i="7"/>
  <c r="Y15" i="7"/>
  <c r="X15" i="7" a="1"/>
  <c r="X15" i="7" s="1"/>
  <c r="W15" i="7" a="1"/>
  <c r="W15" i="7" s="1"/>
  <c r="L15" i="7"/>
  <c r="K15" i="7"/>
  <c r="J15" i="7"/>
  <c r="A15" i="7"/>
  <c r="AJ14" i="7"/>
  <c r="AG14" i="7"/>
  <c r="AD14" i="7"/>
  <c r="Y14" i="7"/>
  <c r="X14" i="7" a="1"/>
  <c r="X14" i="7" s="1"/>
  <c r="W14" i="7" a="1"/>
  <c r="W14" i="7" s="1"/>
  <c r="K14" i="7"/>
  <c r="J14" i="7"/>
  <c r="A14" i="7"/>
  <c r="AJ13" i="7"/>
  <c r="AG13" i="7"/>
  <c r="AD13" i="7"/>
  <c r="Y13" i="7"/>
  <c r="X13" i="7" a="1"/>
  <c r="X13" i="7" s="1"/>
  <c r="W13" i="7" a="1"/>
  <c r="W13" i="7" s="1"/>
  <c r="K13" i="7"/>
  <c r="Z13" i="7" s="1"/>
  <c r="AA13" i="7" s="1"/>
  <c r="J13" i="7"/>
  <c r="A13" i="7"/>
  <c r="AJ12" i="7"/>
  <c r="AG12" i="7"/>
  <c r="AD12" i="7"/>
  <c r="AF12" i="7" s="1"/>
  <c r="Y12" i="7"/>
  <c r="X12" i="7" a="1"/>
  <c r="X12" i="7" s="1"/>
  <c r="W12" i="7" a="1"/>
  <c r="W12" i="7" s="1"/>
  <c r="K12" i="7"/>
  <c r="Z12" i="7" s="1"/>
  <c r="AA12" i="7" s="1"/>
  <c r="J12" i="7"/>
  <c r="A12" i="7"/>
  <c r="AJ11" i="7"/>
  <c r="AG11" i="7"/>
  <c r="AD11" i="7"/>
  <c r="AF11" i="7" s="1"/>
  <c r="Y11" i="7"/>
  <c r="X11" i="7" a="1"/>
  <c r="X11" i="7" s="1"/>
  <c r="W11" i="7" a="1"/>
  <c r="W11" i="7" s="1"/>
  <c r="K11" i="7"/>
  <c r="Z11" i="7" s="1"/>
  <c r="AA11" i="7" s="1"/>
  <c r="J11" i="7"/>
  <c r="L11" i="7" s="1"/>
  <c r="A11" i="7"/>
  <c r="AJ10" i="7"/>
  <c r="AG10" i="7"/>
  <c r="AI10" i="7" s="1"/>
  <c r="AD10" i="7"/>
  <c r="Y10" i="7"/>
  <c r="X10" i="7" a="1"/>
  <c r="X10" i="7" s="1"/>
  <c r="W10" i="7" a="1"/>
  <c r="W10" i="7" s="1"/>
  <c r="K10" i="7"/>
  <c r="J10" i="7"/>
  <c r="A10" i="7"/>
  <c r="AJ9" i="7"/>
  <c r="AG9" i="7"/>
  <c r="AI9" i="7" s="1"/>
  <c r="AD9" i="7"/>
  <c r="Y9" i="7"/>
  <c r="X9" i="7" a="1"/>
  <c r="X9" i="7" s="1"/>
  <c r="W9" i="7" a="1"/>
  <c r="W9" i="7" s="1"/>
  <c r="K9" i="7"/>
  <c r="J9" i="7"/>
  <c r="A9" i="7"/>
  <c r="AJ8" i="7"/>
  <c r="AL8" i="7" s="1"/>
  <c r="AG8" i="7"/>
  <c r="AD8" i="7"/>
  <c r="Y8" i="7"/>
  <c r="X8" i="7" a="1"/>
  <c r="X8" i="7" s="1"/>
  <c r="W8" i="7" a="1"/>
  <c r="W8" i="7" s="1"/>
  <c r="K8" i="7"/>
  <c r="J8" i="7"/>
  <c r="L8" i="7" s="1"/>
  <c r="A8" i="7"/>
  <c r="AK33" i="7"/>
  <c r="AK32" i="7"/>
  <c r="AK25" i="7"/>
  <c r="AK24" i="7"/>
  <c r="AK17" i="7"/>
  <c r="AK16" i="7"/>
  <c r="AK9" i="7"/>
  <c r="AK8" i="7"/>
  <c r="AK7" i="7" a="1"/>
  <c r="AK37" i="7" s="1"/>
  <c r="AJ7" i="7"/>
  <c r="AH35" i="7"/>
  <c r="AI35" i="7" s="1"/>
  <c r="AH34" i="7"/>
  <c r="AH33" i="7"/>
  <c r="AH32" i="7"/>
  <c r="AH27" i="7"/>
  <c r="AH26" i="7"/>
  <c r="AH25" i="7"/>
  <c r="AH24" i="7"/>
  <c r="AH19" i="7"/>
  <c r="AH18" i="7"/>
  <c r="AH17" i="7"/>
  <c r="AH16" i="7"/>
  <c r="AH11" i="7"/>
  <c r="AH10" i="7"/>
  <c r="AH9" i="7"/>
  <c r="AH8" i="7"/>
  <c r="AH7" i="7" a="1"/>
  <c r="AH31" i="7" s="1"/>
  <c r="AG7" i="7"/>
  <c r="AE37" i="7"/>
  <c r="AE36" i="7"/>
  <c r="AE35" i="7"/>
  <c r="AE34" i="7"/>
  <c r="AE29" i="7"/>
  <c r="AE28" i="7"/>
  <c r="AE27" i="7"/>
  <c r="AE26" i="7"/>
  <c r="AE24" i="7"/>
  <c r="AE21" i="7"/>
  <c r="AE20" i="7"/>
  <c r="AE19" i="7"/>
  <c r="AE18" i="7"/>
  <c r="AE16" i="7"/>
  <c r="AE13" i="7"/>
  <c r="AE12" i="7"/>
  <c r="AE11" i="7"/>
  <c r="AE10" i="7"/>
  <c r="AE8" i="7"/>
  <c r="AE7" i="7" a="1"/>
  <c r="AE33" i="7" s="1"/>
  <c r="AD7" i="7"/>
  <c r="Y7" i="7"/>
  <c r="X7" i="7" a="1"/>
  <c r="X7" i="7" s="1"/>
  <c r="W7" i="7" a="1"/>
  <c r="W7" i="7" s="1"/>
  <c r="L7" i="7"/>
  <c r="K7" i="7"/>
  <c r="J7" i="7"/>
  <c r="A7" i="7"/>
  <c r="Y6" i="7"/>
  <c r="X6" i="7" a="1"/>
  <c r="X6" i="7" s="1"/>
  <c r="W6" i="7" a="1"/>
  <c r="W6" i="7" s="1"/>
  <c r="K6" i="7"/>
  <c r="L6" i="7" s="1"/>
  <c r="J6" i="7"/>
  <c r="A6" i="7"/>
  <c r="Y5" i="7"/>
  <c r="X5" i="7" a="1"/>
  <c r="X5" i="7" s="1"/>
  <c r="W5" i="7" a="1"/>
  <c r="W5" i="7" s="1"/>
  <c r="K5" i="7"/>
  <c r="J5" i="7"/>
  <c r="A5" i="7"/>
  <c r="Z598" i="6"/>
  <c r="AA598" i="6" s="1"/>
  <c r="Y598" i="6"/>
  <c r="X598" i="6" a="1"/>
  <c r="X598" i="6" s="1"/>
  <c r="W598" i="6" a="1"/>
  <c r="W598" i="6" s="1"/>
  <c r="L598" i="6"/>
  <c r="K598" i="6"/>
  <c r="J598" i="6"/>
  <c r="B598" i="6"/>
  <c r="A598" i="6"/>
  <c r="AA597" i="6"/>
  <c r="Z597" i="6"/>
  <c r="Y597" i="6"/>
  <c r="X597" i="6" a="1"/>
  <c r="X597" i="6" s="1"/>
  <c r="W597" i="6" a="1"/>
  <c r="W597" i="6" s="1"/>
  <c r="L597" i="6"/>
  <c r="K597" i="6"/>
  <c r="J597" i="6"/>
  <c r="B597" i="6"/>
  <c r="A597" i="6"/>
  <c r="Z596" i="6"/>
  <c r="AA596" i="6" s="1"/>
  <c r="Y596" i="6"/>
  <c r="X596" i="6" a="1"/>
  <c r="X596" i="6" s="1"/>
  <c r="W596" i="6" a="1"/>
  <c r="W596" i="6" s="1"/>
  <c r="L596" i="6"/>
  <c r="K596" i="6"/>
  <c r="J596" i="6"/>
  <c r="B596" i="6"/>
  <c r="A596" i="6"/>
  <c r="AA595" i="6"/>
  <c r="Z595" i="6"/>
  <c r="Y595" i="6"/>
  <c r="X595" i="6" a="1"/>
  <c r="X595" i="6" s="1"/>
  <c r="W595" i="6" a="1"/>
  <c r="W595" i="6" s="1"/>
  <c r="L595" i="6"/>
  <c r="K595" i="6"/>
  <c r="J595" i="6"/>
  <c r="B595" i="6"/>
  <c r="A595" i="6"/>
  <c r="Z594" i="6"/>
  <c r="AA594" i="6" s="1"/>
  <c r="Y594" i="6"/>
  <c r="X594" i="6" a="1"/>
  <c r="X594" i="6" s="1"/>
  <c r="W594" i="6" a="1"/>
  <c r="W594" i="6" s="1"/>
  <c r="L594" i="6"/>
  <c r="K594" i="6"/>
  <c r="J594" i="6"/>
  <c r="B594" i="6"/>
  <c r="A594" i="6"/>
  <c r="AA593" i="6"/>
  <c r="Z593" i="6"/>
  <c r="Y593" i="6"/>
  <c r="X593" i="6" a="1"/>
  <c r="X593" i="6" s="1"/>
  <c r="W593" i="6" a="1"/>
  <c r="W593" i="6" s="1"/>
  <c r="L593" i="6"/>
  <c r="K593" i="6"/>
  <c r="J593" i="6"/>
  <c r="B593" i="6"/>
  <c r="A593" i="6"/>
  <c r="Z592" i="6"/>
  <c r="AA592" i="6" s="1"/>
  <c r="Y592" i="6"/>
  <c r="X592" i="6" a="1"/>
  <c r="X592" i="6" s="1"/>
  <c r="W592" i="6" a="1"/>
  <c r="W592" i="6" s="1"/>
  <c r="L592" i="6"/>
  <c r="K592" i="6"/>
  <c r="J592" i="6"/>
  <c r="B592" i="6"/>
  <c r="A592" i="6"/>
  <c r="AA591" i="6"/>
  <c r="Z591" i="6"/>
  <c r="Y591" i="6"/>
  <c r="X591" i="6" a="1"/>
  <c r="X591" i="6" s="1"/>
  <c r="W591" i="6" a="1"/>
  <c r="W591" i="6" s="1"/>
  <c r="L591" i="6"/>
  <c r="K591" i="6"/>
  <c r="J591" i="6"/>
  <c r="B591" i="6"/>
  <c r="A591" i="6"/>
  <c r="Z590" i="6"/>
  <c r="AA590" i="6" s="1"/>
  <c r="Y590" i="6"/>
  <c r="X590" i="6" a="1"/>
  <c r="X590" i="6" s="1"/>
  <c r="W590" i="6" a="1"/>
  <c r="W590" i="6" s="1"/>
  <c r="L590" i="6"/>
  <c r="K590" i="6"/>
  <c r="J590" i="6"/>
  <c r="B590" i="6"/>
  <c r="A590" i="6"/>
  <c r="AA589" i="6"/>
  <c r="Z589" i="6"/>
  <c r="Y589" i="6"/>
  <c r="X589" i="6" a="1"/>
  <c r="X589" i="6" s="1"/>
  <c r="W589" i="6" a="1"/>
  <c r="W589" i="6" s="1"/>
  <c r="L589" i="6"/>
  <c r="K589" i="6"/>
  <c r="J589" i="6"/>
  <c r="B589" i="6"/>
  <c r="A589" i="6"/>
  <c r="Z588" i="6"/>
  <c r="AA588" i="6" s="1"/>
  <c r="Y588" i="6"/>
  <c r="X588" i="6" a="1"/>
  <c r="X588" i="6" s="1"/>
  <c r="W588" i="6" a="1"/>
  <c r="W588" i="6" s="1"/>
  <c r="L588" i="6"/>
  <c r="K588" i="6"/>
  <c r="J588" i="6"/>
  <c r="B588" i="6"/>
  <c r="A588" i="6"/>
  <c r="AA587" i="6"/>
  <c r="Z587" i="6"/>
  <c r="Y587" i="6"/>
  <c r="X587" i="6" a="1"/>
  <c r="X587" i="6" s="1"/>
  <c r="W587" i="6" a="1"/>
  <c r="W587" i="6" s="1"/>
  <c r="L587" i="6"/>
  <c r="K587" i="6"/>
  <c r="J587" i="6"/>
  <c r="B587" i="6"/>
  <c r="A587" i="6"/>
  <c r="Z586" i="6"/>
  <c r="AA586" i="6" s="1"/>
  <c r="Y586" i="6"/>
  <c r="X586" i="6" a="1"/>
  <c r="X586" i="6" s="1"/>
  <c r="W586" i="6" a="1"/>
  <c r="W586" i="6" s="1"/>
  <c r="L586" i="6"/>
  <c r="K586" i="6"/>
  <c r="J586" i="6"/>
  <c r="B586" i="6"/>
  <c r="A586" i="6"/>
  <c r="AA585" i="6"/>
  <c r="Z585" i="6"/>
  <c r="Y585" i="6"/>
  <c r="X585" i="6" a="1"/>
  <c r="X585" i="6" s="1"/>
  <c r="W585" i="6" a="1"/>
  <c r="W585" i="6" s="1"/>
  <c r="L585" i="6"/>
  <c r="K585" i="6"/>
  <c r="J585" i="6"/>
  <c r="B585" i="6"/>
  <c r="A585" i="6"/>
  <c r="Z584" i="6"/>
  <c r="AA584" i="6" s="1"/>
  <c r="Y584" i="6"/>
  <c r="X584" i="6" a="1"/>
  <c r="X584" i="6" s="1"/>
  <c r="W584" i="6" a="1"/>
  <c r="W584" i="6" s="1"/>
  <c r="L584" i="6"/>
  <c r="K584" i="6"/>
  <c r="J584" i="6"/>
  <c r="B584" i="6"/>
  <c r="A584" i="6"/>
  <c r="AA583" i="6"/>
  <c r="Z583" i="6"/>
  <c r="Y583" i="6"/>
  <c r="X583" i="6" a="1"/>
  <c r="X583" i="6" s="1"/>
  <c r="W583" i="6" a="1"/>
  <c r="W583" i="6" s="1"/>
  <c r="L583" i="6"/>
  <c r="K583" i="6"/>
  <c r="J583" i="6"/>
  <c r="B583" i="6"/>
  <c r="A583" i="6"/>
  <c r="Z582" i="6"/>
  <c r="AA582" i="6" s="1"/>
  <c r="Y582" i="6"/>
  <c r="X582" i="6" a="1"/>
  <c r="X582" i="6" s="1"/>
  <c r="W582" i="6" a="1"/>
  <c r="W582" i="6" s="1"/>
  <c r="L582" i="6"/>
  <c r="K582" i="6"/>
  <c r="J582" i="6"/>
  <c r="B582" i="6"/>
  <c r="A582" i="6"/>
  <c r="AA581" i="6"/>
  <c r="Z581" i="6"/>
  <c r="Y581" i="6"/>
  <c r="X581" i="6" a="1"/>
  <c r="X581" i="6" s="1"/>
  <c r="W581" i="6" a="1"/>
  <c r="W581" i="6" s="1"/>
  <c r="L581" i="6"/>
  <c r="K581" i="6"/>
  <c r="J581" i="6"/>
  <c r="B581" i="6"/>
  <c r="A581" i="6"/>
  <c r="Z580" i="6"/>
  <c r="AA580" i="6" s="1"/>
  <c r="Y580" i="6"/>
  <c r="X580" i="6" a="1"/>
  <c r="X580" i="6" s="1"/>
  <c r="W580" i="6" a="1"/>
  <c r="W580" i="6" s="1"/>
  <c r="L580" i="6"/>
  <c r="K580" i="6"/>
  <c r="J580" i="6"/>
  <c r="B580" i="6"/>
  <c r="A580" i="6"/>
  <c r="AA579" i="6"/>
  <c r="Z579" i="6"/>
  <c r="Y579" i="6"/>
  <c r="X579" i="6" a="1"/>
  <c r="X579" i="6" s="1"/>
  <c r="W579" i="6" a="1"/>
  <c r="W579" i="6" s="1"/>
  <c r="L579" i="6"/>
  <c r="K579" i="6"/>
  <c r="J579" i="6"/>
  <c r="B579" i="6"/>
  <c r="A579" i="6"/>
  <c r="Z578" i="6"/>
  <c r="AA578" i="6" s="1"/>
  <c r="Y578" i="6"/>
  <c r="X578" i="6" a="1"/>
  <c r="X578" i="6" s="1"/>
  <c r="W578" i="6" a="1"/>
  <c r="W578" i="6" s="1"/>
  <c r="L578" i="6"/>
  <c r="K578" i="6"/>
  <c r="J578" i="6"/>
  <c r="B578" i="6"/>
  <c r="A578" i="6"/>
  <c r="AA577" i="6"/>
  <c r="Z577" i="6"/>
  <c r="Y577" i="6"/>
  <c r="X577" i="6" a="1"/>
  <c r="X577" i="6" s="1"/>
  <c r="W577" i="6" a="1"/>
  <c r="W577" i="6" s="1"/>
  <c r="L577" i="6"/>
  <c r="K577" i="6"/>
  <c r="J577" i="6"/>
  <c r="B577" i="6"/>
  <c r="A577" i="6"/>
  <c r="Z576" i="6"/>
  <c r="AA576" i="6" s="1"/>
  <c r="Y576" i="6"/>
  <c r="X576" i="6" a="1"/>
  <c r="X576" i="6" s="1"/>
  <c r="W576" i="6" a="1"/>
  <c r="W576" i="6" s="1"/>
  <c r="L576" i="6"/>
  <c r="K576" i="6"/>
  <c r="J576" i="6"/>
  <c r="B576" i="6"/>
  <c r="A576" i="6"/>
  <c r="AA575" i="6"/>
  <c r="Z575" i="6"/>
  <c r="Y575" i="6"/>
  <c r="X575" i="6" a="1"/>
  <c r="X575" i="6" s="1"/>
  <c r="W575" i="6" a="1"/>
  <c r="W575" i="6" s="1"/>
  <c r="L575" i="6"/>
  <c r="K575" i="6"/>
  <c r="J575" i="6"/>
  <c r="B575" i="6"/>
  <c r="A575" i="6"/>
  <c r="Z574" i="6"/>
  <c r="AA574" i="6" s="1"/>
  <c r="Y574" i="6"/>
  <c r="X574" i="6" a="1"/>
  <c r="X574" i="6" s="1"/>
  <c r="W574" i="6" a="1"/>
  <c r="W574" i="6" s="1"/>
  <c r="L574" i="6"/>
  <c r="K574" i="6"/>
  <c r="J574" i="6"/>
  <c r="B574" i="6"/>
  <c r="A574" i="6"/>
  <c r="AA573" i="6"/>
  <c r="Z573" i="6"/>
  <c r="Y573" i="6"/>
  <c r="X573" i="6" a="1"/>
  <c r="X573" i="6" s="1"/>
  <c r="W573" i="6" a="1"/>
  <c r="W573" i="6" s="1"/>
  <c r="L573" i="6"/>
  <c r="K573" i="6"/>
  <c r="J573" i="6"/>
  <c r="B573" i="6"/>
  <c r="A573" i="6"/>
  <c r="Z572" i="6"/>
  <c r="AA572" i="6" s="1"/>
  <c r="Y572" i="6"/>
  <c r="X572" i="6" a="1"/>
  <c r="X572" i="6" s="1"/>
  <c r="W572" i="6" a="1"/>
  <c r="W572" i="6" s="1"/>
  <c r="L572" i="6"/>
  <c r="K572" i="6"/>
  <c r="J572" i="6"/>
  <c r="B572" i="6"/>
  <c r="A572" i="6"/>
  <c r="AA571" i="6"/>
  <c r="Z571" i="6"/>
  <c r="Y571" i="6"/>
  <c r="X571" i="6" a="1"/>
  <c r="X571" i="6" s="1"/>
  <c r="W571" i="6" a="1"/>
  <c r="W571" i="6" s="1"/>
  <c r="L571" i="6"/>
  <c r="K571" i="6"/>
  <c r="J571" i="6"/>
  <c r="B571" i="6"/>
  <c r="A571" i="6"/>
  <c r="Z570" i="6"/>
  <c r="AA570" i="6" s="1"/>
  <c r="Y570" i="6"/>
  <c r="X570" i="6" a="1"/>
  <c r="X570" i="6" s="1"/>
  <c r="W570" i="6" a="1"/>
  <c r="W570" i="6" s="1"/>
  <c r="L570" i="6"/>
  <c r="K570" i="6"/>
  <c r="J570" i="6"/>
  <c r="B570" i="6"/>
  <c r="A570" i="6"/>
  <c r="AA569" i="6"/>
  <c r="Z569" i="6"/>
  <c r="Y569" i="6"/>
  <c r="X569" i="6" a="1"/>
  <c r="X569" i="6" s="1"/>
  <c r="W569" i="6" a="1"/>
  <c r="W569" i="6" s="1"/>
  <c r="L569" i="6"/>
  <c r="K569" i="6"/>
  <c r="J569" i="6"/>
  <c r="B569" i="6"/>
  <c r="A569" i="6"/>
  <c r="Z568" i="6"/>
  <c r="AA568" i="6" s="1"/>
  <c r="Y568" i="6"/>
  <c r="X568" i="6" a="1"/>
  <c r="X568" i="6" s="1"/>
  <c r="W568" i="6" a="1"/>
  <c r="W568" i="6" s="1"/>
  <c r="L568" i="6"/>
  <c r="K568" i="6"/>
  <c r="J568" i="6"/>
  <c r="B568" i="6"/>
  <c r="A568" i="6"/>
  <c r="AA567" i="6"/>
  <c r="Z567" i="6"/>
  <c r="Y567" i="6"/>
  <c r="X567" i="6" a="1"/>
  <c r="X567" i="6" s="1"/>
  <c r="W567" i="6" a="1"/>
  <c r="W567" i="6" s="1"/>
  <c r="L567" i="6"/>
  <c r="K567" i="6"/>
  <c r="J567" i="6"/>
  <c r="B567" i="6"/>
  <c r="A567" i="6"/>
  <c r="Z566" i="6"/>
  <c r="AA566" i="6" s="1"/>
  <c r="Y566" i="6"/>
  <c r="X566" i="6" a="1"/>
  <c r="X566" i="6" s="1"/>
  <c r="W566" i="6" a="1"/>
  <c r="W566" i="6" s="1"/>
  <c r="L566" i="6"/>
  <c r="K566" i="6"/>
  <c r="J566" i="6"/>
  <c r="B566" i="6"/>
  <c r="A566" i="6"/>
  <c r="AA565" i="6"/>
  <c r="Z565" i="6"/>
  <c r="Y565" i="6"/>
  <c r="X565" i="6" a="1"/>
  <c r="X565" i="6" s="1"/>
  <c r="W565" i="6" a="1"/>
  <c r="W565" i="6" s="1"/>
  <c r="L565" i="6"/>
  <c r="K565" i="6"/>
  <c r="J565" i="6"/>
  <c r="B565" i="6"/>
  <c r="A565" i="6"/>
  <c r="Z564" i="6"/>
  <c r="AA564" i="6" s="1"/>
  <c r="Y564" i="6"/>
  <c r="X564" i="6" a="1"/>
  <c r="X564" i="6" s="1"/>
  <c r="W564" i="6" a="1"/>
  <c r="W564" i="6" s="1"/>
  <c r="L564" i="6"/>
  <c r="K564" i="6"/>
  <c r="J564" i="6"/>
  <c r="B564" i="6"/>
  <c r="A564" i="6"/>
  <c r="AA563" i="6"/>
  <c r="Z563" i="6"/>
  <c r="Y563" i="6"/>
  <c r="X563" i="6" a="1"/>
  <c r="X563" i="6" s="1"/>
  <c r="W563" i="6" a="1"/>
  <c r="W563" i="6" s="1"/>
  <c r="L563" i="6"/>
  <c r="K563" i="6"/>
  <c r="J563" i="6"/>
  <c r="B563" i="6"/>
  <c r="A563" i="6"/>
  <c r="Z562" i="6"/>
  <c r="AA562" i="6" s="1"/>
  <c r="Y562" i="6"/>
  <c r="X562" i="6" a="1"/>
  <c r="X562" i="6" s="1"/>
  <c r="W562" i="6" a="1"/>
  <c r="W562" i="6" s="1"/>
  <c r="L562" i="6"/>
  <c r="K562" i="6"/>
  <c r="J562" i="6"/>
  <c r="B562" i="6"/>
  <c r="A562" i="6"/>
  <c r="AA561" i="6"/>
  <c r="Z561" i="6"/>
  <c r="Y561" i="6"/>
  <c r="X561" i="6" a="1"/>
  <c r="X561" i="6" s="1"/>
  <c r="W561" i="6" a="1"/>
  <c r="W561" i="6" s="1"/>
  <c r="L561" i="6"/>
  <c r="K561" i="6"/>
  <c r="J561" i="6"/>
  <c r="B561" i="6"/>
  <c r="A561" i="6"/>
  <c r="Z560" i="6"/>
  <c r="AA560" i="6" s="1"/>
  <c r="Y560" i="6"/>
  <c r="X560" i="6" a="1"/>
  <c r="X560" i="6" s="1"/>
  <c r="W560" i="6" a="1"/>
  <c r="W560" i="6" s="1"/>
  <c r="L560" i="6"/>
  <c r="K560" i="6"/>
  <c r="J560" i="6"/>
  <c r="B560" i="6"/>
  <c r="A560" i="6"/>
  <c r="AA559" i="6"/>
  <c r="Z559" i="6"/>
  <c r="Y559" i="6"/>
  <c r="X559" i="6" a="1"/>
  <c r="X559" i="6" s="1"/>
  <c r="W559" i="6" a="1"/>
  <c r="W559" i="6" s="1"/>
  <c r="L559" i="6"/>
  <c r="K559" i="6"/>
  <c r="J559" i="6"/>
  <c r="B559" i="6"/>
  <c r="A559" i="6"/>
  <c r="Z558" i="6"/>
  <c r="AA558" i="6" s="1"/>
  <c r="Y558" i="6"/>
  <c r="X558" i="6" a="1"/>
  <c r="X558" i="6" s="1"/>
  <c r="W558" i="6" a="1"/>
  <c r="W558" i="6" s="1"/>
  <c r="L558" i="6"/>
  <c r="K558" i="6"/>
  <c r="J558" i="6"/>
  <c r="B558" i="6"/>
  <c r="A558" i="6"/>
  <c r="AA557" i="6"/>
  <c r="Z557" i="6"/>
  <c r="Y557" i="6"/>
  <c r="X557" i="6" a="1"/>
  <c r="X557" i="6" s="1"/>
  <c r="W557" i="6" a="1"/>
  <c r="W557" i="6" s="1"/>
  <c r="L557" i="6"/>
  <c r="K557" i="6"/>
  <c r="J557" i="6"/>
  <c r="B557" i="6"/>
  <c r="A557" i="6"/>
  <c r="Z556" i="6"/>
  <c r="AA556" i="6" s="1"/>
  <c r="Y556" i="6"/>
  <c r="X556" i="6" a="1"/>
  <c r="X556" i="6" s="1"/>
  <c r="W556" i="6" a="1"/>
  <c r="W556" i="6" s="1"/>
  <c r="L556" i="6"/>
  <c r="K556" i="6"/>
  <c r="J556" i="6"/>
  <c r="B556" i="6"/>
  <c r="A556" i="6"/>
  <c r="AA555" i="6"/>
  <c r="Z555" i="6"/>
  <c r="Y555" i="6"/>
  <c r="X555" i="6" a="1"/>
  <c r="X555" i="6" s="1"/>
  <c r="W555" i="6" a="1"/>
  <c r="W555" i="6" s="1"/>
  <c r="L555" i="6"/>
  <c r="K555" i="6"/>
  <c r="J555" i="6"/>
  <c r="B555" i="6"/>
  <c r="A555" i="6"/>
  <c r="Z554" i="6"/>
  <c r="AA554" i="6" s="1"/>
  <c r="Y554" i="6"/>
  <c r="X554" i="6" a="1"/>
  <c r="X554" i="6" s="1"/>
  <c r="W554" i="6" a="1"/>
  <c r="W554" i="6" s="1"/>
  <c r="L554" i="6"/>
  <c r="K554" i="6"/>
  <c r="J554" i="6"/>
  <c r="B554" i="6"/>
  <c r="A554" i="6"/>
  <c r="AA553" i="6"/>
  <c r="Z553" i="6"/>
  <c r="Y553" i="6"/>
  <c r="X553" i="6" a="1"/>
  <c r="X553" i="6" s="1"/>
  <c r="W553" i="6" a="1"/>
  <c r="W553" i="6" s="1"/>
  <c r="L553" i="6"/>
  <c r="K553" i="6"/>
  <c r="J553" i="6"/>
  <c r="B553" i="6"/>
  <c r="A553" i="6"/>
  <c r="Z552" i="6"/>
  <c r="AA552" i="6" s="1"/>
  <c r="Y552" i="6"/>
  <c r="X552" i="6" a="1"/>
  <c r="X552" i="6" s="1"/>
  <c r="W552" i="6" a="1"/>
  <c r="W552" i="6" s="1"/>
  <c r="L552" i="6"/>
  <c r="K552" i="6"/>
  <c r="J552" i="6"/>
  <c r="B552" i="6"/>
  <c r="A552" i="6"/>
  <c r="AA551" i="6"/>
  <c r="Z551" i="6"/>
  <c r="Y551" i="6"/>
  <c r="X551" i="6" a="1"/>
  <c r="X551" i="6" s="1"/>
  <c r="W551" i="6" a="1"/>
  <c r="W551" i="6" s="1"/>
  <c r="L551" i="6"/>
  <c r="K551" i="6"/>
  <c r="J551" i="6"/>
  <c r="B551" i="6"/>
  <c r="A551" i="6"/>
  <c r="Z550" i="6"/>
  <c r="AA550" i="6" s="1"/>
  <c r="Y550" i="6"/>
  <c r="X550" i="6" a="1"/>
  <c r="X550" i="6" s="1"/>
  <c r="W550" i="6" a="1"/>
  <c r="W550" i="6" s="1"/>
  <c r="L550" i="6"/>
  <c r="K550" i="6"/>
  <c r="J550" i="6"/>
  <c r="B550" i="6"/>
  <c r="A550" i="6"/>
  <c r="AA549" i="6"/>
  <c r="Z549" i="6"/>
  <c r="Y549" i="6"/>
  <c r="X549" i="6" a="1"/>
  <c r="X549" i="6" s="1"/>
  <c r="W549" i="6" a="1"/>
  <c r="W549" i="6" s="1"/>
  <c r="L549" i="6"/>
  <c r="K549" i="6"/>
  <c r="J549" i="6"/>
  <c r="B549" i="6"/>
  <c r="A549" i="6"/>
  <c r="Z548" i="6"/>
  <c r="AA548" i="6" s="1"/>
  <c r="Y548" i="6"/>
  <c r="X548" i="6" a="1"/>
  <c r="X548" i="6" s="1"/>
  <c r="W548" i="6" a="1"/>
  <c r="W548" i="6" s="1"/>
  <c r="L548" i="6"/>
  <c r="K548" i="6"/>
  <c r="J548" i="6"/>
  <c r="B548" i="6"/>
  <c r="A548" i="6"/>
  <c r="AA547" i="6"/>
  <c r="Z547" i="6"/>
  <c r="Y547" i="6"/>
  <c r="X547" i="6" a="1"/>
  <c r="X547" i="6" s="1"/>
  <c r="W547" i="6" a="1"/>
  <c r="W547" i="6" s="1"/>
  <c r="L547" i="6"/>
  <c r="K547" i="6"/>
  <c r="J547" i="6"/>
  <c r="B547" i="6"/>
  <c r="A547" i="6"/>
  <c r="Z546" i="6"/>
  <c r="AA546" i="6" s="1"/>
  <c r="Y546" i="6"/>
  <c r="X546" i="6" a="1"/>
  <c r="X546" i="6" s="1"/>
  <c r="W546" i="6" a="1"/>
  <c r="W546" i="6" s="1"/>
  <c r="L546" i="6"/>
  <c r="K546" i="6"/>
  <c r="J546" i="6"/>
  <c r="B546" i="6"/>
  <c r="A546" i="6"/>
  <c r="AA545" i="6"/>
  <c r="Z545" i="6"/>
  <c r="Y545" i="6"/>
  <c r="X545" i="6" a="1"/>
  <c r="X545" i="6" s="1"/>
  <c r="W545" i="6" a="1"/>
  <c r="W545" i="6" s="1"/>
  <c r="L545" i="6"/>
  <c r="K545" i="6"/>
  <c r="J545" i="6"/>
  <c r="B545" i="6"/>
  <c r="A545" i="6"/>
  <c r="Z544" i="6"/>
  <c r="AA544" i="6" s="1"/>
  <c r="Y544" i="6"/>
  <c r="X544" i="6" a="1"/>
  <c r="X544" i="6" s="1"/>
  <c r="W544" i="6" a="1"/>
  <c r="W544" i="6" s="1"/>
  <c r="L544" i="6"/>
  <c r="K544" i="6"/>
  <c r="J544" i="6"/>
  <c r="B544" i="6"/>
  <c r="A544" i="6"/>
  <c r="AA543" i="6"/>
  <c r="Z543" i="6"/>
  <c r="Y543" i="6"/>
  <c r="X543" i="6" a="1"/>
  <c r="X543" i="6" s="1"/>
  <c r="W543" i="6" a="1"/>
  <c r="W543" i="6" s="1"/>
  <c r="L543" i="6"/>
  <c r="K543" i="6"/>
  <c r="J543" i="6"/>
  <c r="B543" i="6"/>
  <c r="A543" i="6"/>
  <c r="Z542" i="6"/>
  <c r="AA542" i="6" s="1"/>
  <c r="Y542" i="6"/>
  <c r="X542" i="6" a="1"/>
  <c r="X542" i="6" s="1"/>
  <c r="W542" i="6" a="1"/>
  <c r="W542" i="6" s="1"/>
  <c r="L542" i="6"/>
  <c r="K542" i="6"/>
  <c r="J542" i="6"/>
  <c r="B542" i="6"/>
  <c r="A542" i="6"/>
  <c r="AA541" i="6"/>
  <c r="Z541" i="6"/>
  <c r="Y541" i="6"/>
  <c r="X541" i="6" a="1"/>
  <c r="X541" i="6" s="1"/>
  <c r="W541" i="6" a="1"/>
  <c r="W541" i="6" s="1"/>
  <c r="L541" i="6"/>
  <c r="K541" i="6"/>
  <c r="J541" i="6"/>
  <c r="B541" i="6"/>
  <c r="A541" i="6"/>
  <c r="Z540" i="6"/>
  <c r="AA540" i="6" s="1"/>
  <c r="Y540" i="6"/>
  <c r="X540" i="6" a="1"/>
  <c r="X540" i="6" s="1"/>
  <c r="W540" i="6" a="1"/>
  <c r="W540" i="6" s="1"/>
  <c r="L540" i="6"/>
  <c r="K540" i="6"/>
  <c r="J540" i="6"/>
  <c r="B540" i="6"/>
  <c r="A540" i="6"/>
  <c r="AA539" i="6"/>
  <c r="Z539" i="6"/>
  <c r="Y539" i="6"/>
  <c r="X539" i="6" a="1"/>
  <c r="X539" i="6" s="1"/>
  <c r="W539" i="6" a="1"/>
  <c r="W539" i="6" s="1"/>
  <c r="L539" i="6"/>
  <c r="K539" i="6"/>
  <c r="J539" i="6"/>
  <c r="B539" i="6"/>
  <c r="A539" i="6"/>
  <c r="Z538" i="6"/>
  <c r="AA538" i="6" s="1"/>
  <c r="Y538" i="6"/>
  <c r="X538" i="6" a="1"/>
  <c r="X538" i="6" s="1"/>
  <c r="W538" i="6" a="1"/>
  <c r="W538" i="6" s="1"/>
  <c r="L538" i="6"/>
  <c r="K538" i="6"/>
  <c r="J538" i="6"/>
  <c r="B538" i="6"/>
  <c r="A538" i="6"/>
  <c r="AA537" i="6"/>
  <c r="Z537" i="6"/>
  <c r="Y537" i="6"/>
  <c r="X537" i="6" a="1"/>
  <c r="X537" i="6" s="1"/>
  <c r="W537" i="6" a="1"/>
  <c r="W537" i="6" s="1"/>
  <c r="L537" i="6"/>
  <c r="K537" i="6"/>
  <c r="J537" i="6"/>
  <c r="B537" i="6"/>
  <c r="A537" i="6"/>
  <c r="Z536" i="6"/>
  <c r="AA536" i="6" s="1"/>
  <c r="Y536" i="6"/>
  <c r="X536" i="6" a="1"/>
  <c r="X536" i="6" s="1"/>
  <c r="W536" i="6" a="1"/>
  <c r="W536" i="6" s="1"/>
  <c r="L536" i="6"/>
  <c r="K536" i="6"/>
  <c r="J536" i="6"/>
  <c r="B536" i="6"/>
  <c r="A536" i="6"/>
  <c r="AA535" i="6"/>
  <c r="Z535" i="6"/>
  <c r="Y535" i="6"/>
  <c r="X535" i="6" a="1"/>
  <c r="X535" i="6" s="1"/>
  <c r="W535" i="6" a="1"/>
  <c r="W535" i="6" s="1"/>
  <c r="L535" i="6"/>
  <c r="K535" i="6"/>
  <c r="J535" i="6"/>
  <c r="B535" i="6"/>
  <c r="A535" i="6"/>
  <c r="Z534" i="6"/>
  <c r="AA534" i="6" s="1"/>
  <c r="Y534" i="6"/>
  <c r="X534" i="6" a="1"/>
  <c r="X534" i="6" s="1"/>
  <c r="W534" i="6" a="1"/>
  <c r="W534" i="6" s="1"/>
  <c r="L534" i="6"/>
  <c r="K534" i="6"/>
  <c r="J534" i="6"/>
  <c r="B534" i="6"/>
  <c r="A534" i="6"/>
  <c r="AA533" i="6"/>
  <c r="Z533" i="6"/>
  <c r="Y533" i="6"/>
  <c r="X533" i="6" a="1"/>
  <c r="X533" i="6" s="1"/>
  <c r="W533" i="6" a="1"/>
  <c r="W533" i="6" s="1"/>
  <c r="L533" i="6"/>
  <c r="K533" i="6"/>
  <c r="J533" i="6"/>
  <c r="B533" i="6"/>
  <c r="A533" i="6"/>
  <c r="Z532" i="6"/>
  <c r="AA532" i="6" s="1"/>
  <c r="Y532" i="6"/>
  <c r="X532" i="6" a="1"/>
  <c r="X532" i="6" s="1"/>
  <c r="W532" i="6" a="1"/>
  <c r="W532" i="6" s="1"/>
  <c r="L532" i="6"/>
  <c r="K532" i="6"/>
  <c r="J532" i="6"/>
  <c r="B532" i="6"/>
  <c r="A532" i="6"/>
  <c r="AA531" i="6"/>
  <c r="Z531" i="6"/>
  <c r="Y531" i="6"/>
  <c r="X531" i="6" a="1"/>
  <c r="X531" i="6" s="1"/>
  <c r="W531" i="6" a="1"/>
  <c r="W531" i="6" s="1"/>
  <c r="L531" i="6"/>
  <c r="K531" i="6"/>
  <c r="J531" i="6"/>
  <c r="B531" i="6"/>
  <c r="A531" i="6"/>
  <c r="Z530" i="6"/>
  <c r="AA530" i="6" s="1"/>
  <c r="Y530" i="6"/>
  <c r="X530" i="6" a="1"/>
  <c r="X530" i="6" s="1"/>
  <c r="W530" i="6" a="1"/>
  <c r="W530" i="6" s="1"/>
  <c r="L530" i="6"/>
  <c r="K530" i="6"/>
  <c r="J530" i="6"/>
  <c r="B530" i="6"/>
  <c r="A530" i="6"/>
  <c r="AA529" i="6"/>
  <c r="Z529" i="6"/>
  <c r="Y529" i="6"/>
  <c r="X529" i="6" a="1"/>
  <c r="X529" i="6" s="1"/>
  <c r="W529" i="6" a="1"/>
  <c r="W529" i="6" s="1"/>
  <c r="L529" i="6"/>
  <c r="K529" i="6"/>
  <c r="J529" i="6"/>
  <c r="B529" i="6"/>
  <c r="A529" i="6"/>
  <c r="Z528" i="6"/>
  <c r="AA528" i="6" s="1"/>
  <c r="Y528" i="6"/>
  <c r="X528" i="6" a="1"/>
  <c r="X528" i="6" s="1"/>
  <c r="W528" i="6" a="1"/>
  <c r="W528" i="6" s="1"/>
  <c r="L528" i="6"/>
  <c r="K528" i="6"/>
  <c r="J528" i="6"/>
  <c r="B528" i="6"/>
  <c r="A528" i="6"/>
  <c r="AA527" i="6"/>
  <c r="Z527" i="6"/>
  <c r="Y527" i="6"/>
  <c r="X527" i="6" a="1"/>
  <c r="X527" i="6" s="1"/>
  <c r="W527" i="6" a="1"/>
  <c r="W527" i="6" s="1"/>
  <c r="L527" i="6"/>
  <c r="K527" i="6"/>
  <c r="J527" i="6"/>
  <c r="B527" i="6"/>
  <c r="A527" i="6"/>
  <c r="Z526" i="6"/>
  <c r="AA526" i="6" s="1"/>
  <c r="Y526" i="6"/>
  <c r="X526" i="6" a="1"/>
  <c r="X526" i="6" s="1"/>
  <c r="W526" i="6" a="1"/>
  <c r="W526" i="6" s="1"/>
  <c r="L526" i="6"/>
  <c r="K526" i="6"/>
  <c r="J526" i="6"/>
  <c r="B526" i="6"/>
  <c r="A526" i="6"/>
  <c r="AA525" i="6"/>
  <c r="Z525" i="6"/>
  <c r="Y525" i="6"/>
  <c r="X525" i="6" a="1"/>
  <c r="X525" i="6" s="1"/>
  <c r="W525" i="6" a="1"/>
  <c r="W525" i="6" s="1"/>
  <c r="L525" i="6"/>
  <c r="K525" i="6"/>
  <c r="J525" i="6"/>
  <c r="B525" i="6"/>
  <c r="A525" i="6"/>
  <c r="Z524" i="6"/>
  <c r="AA524" i="6" s="1"/>
  <c r="Y524" i="6"/>
  <c r="X524" i="6" a="1"/>
  <c r="X524" i="6" s="1"/>
  <c r="W524" i="6" a="1"/>
  <c r="W524" i="6" s="1"/>
  <c r="L524" i="6"/>
  <c r="K524" i="6"/>
  <c r="J524" i="6"/>
  <c r="B524" i="6"/>
  <c r="A524" i="6"/>
  <c r="AA523" i="6"/>
  <c r="Z523" i="6"/>
  <c r="Y523" i="6"/>
  <c r="X523" i="6" a="1"/>
  <c r="X523" i="6" s="1"/>
  <c r="W523" i="6" a="1"/>
  <c r="W523" i="6" s="1"/>
  <c r="L523" i="6"/>
  <c r="K523" i="6"/>
  <c r="J523" i="6"/>
  <c r="B523" i="6"/>
  <c r="A523" i="6"/>
  <c r="Z522" i="6"/>
  <c r="AA522" i="6" s="1"/>
  <c r="Y522" i="6"/>
  <c r="X522" i="6" a="1"/>
  <c r="X522" i="6" s="1"/>
  <c r="W522" i="6" a="1"/>
  <c r="W522" i="6" s="1"/>
  <c r="L522" i="6"/>
  <c r="K522" i="6"/>
  <c r="J522" i="6"/>
  <c r="B522" i="6"/>
  <c r="A522" i="6"/>
  <c r="AA521" i="6"/>
  <c r="Z521" i="6"/>
  <c r="Y521" i="6"/>
  <c r="X521" i="6" a="1"/>
  <c r="X521" i="6" s="1"/>
  <c r="W521" i="6" a="1"/>
  <c r="W521" i="6" s="1"/>
  <c r="L521" i="6"/>
  <c r="K521" i="6"/>
  <c r="J521" i="6"/>
  <c r="B521" i="6"/>
  <c r="A521" i="6"/>
  <c r="Z520" i="6"/>
  <c r="AA520" i="6" s="1"/>
  <c r="Y520" i="6"/>
  <c r="X520" i="6" a="1"/>
  <c r="X520" i="6" s="1"/>
  <c r="W520" i="6" a="1"/>
  <c r="W520" i="6" s="1"/>
  <c r="L520" i="6"/>
  <c r="K520" i="6"/>
  <c r="J520" i="6"/>
  <c r="B520" i="6"/>
  <c r="A520" i="6"/>
  <c r="AA519" i="6"/>
  <c r="Z519" i="6"/>
  <c r="Y519" i="6"/>
  <c r="X519" i="6" a="1"/>
  <c r="X519" i="6" s="1"/>
  <c r="W519" i="6" a="1"/>
  <c r="W519" i="6" s="1"/>
  <c r="L519" i="6"/>
  <c r="K519" i="6"/>
  <c r="J519" i="6"/>
  <c r="B519" i="6"/>
  <c r="A519" i="6"/>
  <c r="Z518" i="6"/>
  <c r="AA518" i="6" s="1"/>
  <c r="Y518" i="6"/>
  <c r="X518" i="6" a="1"/>
  <c r="X518" i="6" s="1"/>
  <c r="W518" i="6" a="1"/>
  <c r="W518" i="6" s="1"/>
  <c r="L518" i="6"/>
  <c r="K518" i="6"/>
  <c r="J518" i="6"/>
  <c r="B518" i="6"/>
  <c r="A518" i="6"/>
  <c r="AA517" i="6"/>
  <c r="Z517" i="6"/>
  <c r="Y517" i="6"/>
  <c r="X517" i="6" a="1"/>
  <c r="X517" i="6" s="1"/>
  <c r="W517" i="6" a="1"/>
  <c r="W517" i="6" s="1"/>
  <c r="L517" i="6"/>
  <c r="K517" i="6"/>
  <c r="J517" i="6"/>
  <c r="B517" i="6"/>
  <c r="A517" i="6"/>
  <c r="Z516" i="6"/>
  <c r="AA516" i="6" s="1"/>
  <c r="Y516" i="6"/>
  <c r="X516" i="6" a="1"/>
  <c r="X516" i="6" s="1"/>
  <c r="W516" i="6" a="1"/>
  <c r="W516" i="6" s="1"/>
  <c r="L516" i="6"/>
  <c r="K516" i="6"/>
  <c r="J516" i="6"/>
  <c r="B516" i="6"/>
  <c r="A516" i="6"/>
  <c r="AA515" i="6"/>
  <c r="Z515" i="6"/>
  <c r="Y515" i="6"/>
  <c r="X515" i="6" a="1"/>
  <c r="X515" i="6" s="1"/>
  <c r="W515" i="6" a="1"/>
  <c r="W515" i="6" s="1"/>
  <c r="L515" i="6"/>
  <c r="K515" i="6"/>
  <c r="J515" i="6"/>
  <c r="B515" i="6"/>
  <c r="A515" i="6"/>
  <c r="Z514" i="6"/>
  <c r="AA514" i="6" s="1"/>
  <c r="Y514" i="6"/>
  <c r="X514" i="6" a="1"/>
  <c r="X514" i="6" s="1"/>
  <c r="W514" i="6" a="1"/>
  <c r="W514" i="6" s="1"/>
  <c r="L514" i="6"/>
  <c r="K514" i="6"/>
  <c r="J514" i="6"/>
  <c r="B514" i="6"/>
  <c r="A514" i="6"/>
  <c r="AA513" i="6"/>
  <c r="Z513" i="6"/>
  <c r="Y513" i="6"/>
  <c r="X513" i="6" a="1"/>
  <c r="X513" i="6" s="1"/>
  <c r="W513" i="6" a="1"/>
  <c r="W513" i="6" s="1"/>
  <c r="L513" i="6"/>
  <c r="K513" i="6"/>
  <c r="J513" i="6"/>
  <c r="B513" i="6"/>
  <c r="A513" i="6"/>
  <c r="Z512" i="6"/>
  <c r="AA512" i="6" s="1"/>
  <c r="Y512" i="6"/>
  <c r="X512" i="6" a="1"/>
  <c r="X512" i="6" s="1"/>
  <c r="W512" i="6" a="1"/>
  <c r="W512" i="6" s="1"/>
  <c r="L512" i="6"/>
  <c r="K512" i="6"/>
  <c r="J512" i="6"/>
  <c r="B512" i="6"/>
  <c r="A512" i="6"/>
  <c r="AA511" i="6"/>
  <c r="Z511" i="6"/>
  <c r="Y511" i="6"/>
  <c r="X511" i="6" a="1"/>
  <c r="X511" i="6" s="1"/>
  <c r="W511" i="6" a="1"/>
  <c r="W511" i="6" s="1"/>
  <c r="L511" i="6"/>
  <c r="K511" i="6"/>
  <c r="J511" i="6"/>
  <c r="B511" i="6"/>
  <c r="A511" i="6"/>
  <c r="AA510" i="6"/>
  <c r="Z510" i="6"/>
  <c r="Y510" i="6"/>
  <c r="X510" i="6" a="1"/>
  <c r="X510" i="6" s="1"/>
  <c r="W510" i="6" a="1"/>
  <c r="W510" i="6" s="1"/>
  <c r="L510" i="6"/>
  <c r="K510" i="6"/>
  <c r="J510" i="6"/>
  <c r="B510" i="6"/>
  <c r="A510" i="6"/>
  <c r="AA509" i="6"/>
  <c r="Z509" i="6"/>
  <c r="Y509" i="6"/>
  <c r="X509" i="6" a="1"/>
  <c r="X509" i="6" s="1"/>
  <c r="W509" i="6" a="1"/>
  <c r="W509" i="6" s="1"/>
  <c r="L509" i="6"/>
  <c r="K509" i="6"/>
  <c r="J509" i="6"/>
  <c r="B509" i="6"/>
  <c r="A509" i="6"/>
  <c r="Z508" i="6"/>
  <c r="AA508" i="6" s="1"/>
  <c r="Y508" i="6"/>
  <c r="X508" i="6" a="1"/>
  <c r="X508" i="6" s="1"/>
  <c r="W508" i="6" a="1"/>
  <c r="W508" i="6" s="1"/>
  <c r="L508" i="6"/>
  <c r="K508" i="6"/>
  <c r="J508" i="6"/>
  <c r="B508" i="6"/>
  <c r="A508" i="6"/>
  <c r="AA507" i="6"/>
  <c r="Z507" i="6"/>
  <c r="Y507" i="6"/>
  <c r="X507" i="6" a="1"/>
  <c r="X507" i="6" s="1"/>
  <c r="W507" i="6" a="1"/>
  <c r="W507" i="6" s="1"/>
  <c r="L507" i="6"/>
  <c r="K507" i="6"/>
  <c r="J507" i="6"/>
  <c r="B507" i="6"/>
  <c r="A507" i="6"/>
  <c r="Z506" i="6"/>
  <c r="AA506" i="6" s="1"/>
  <c r="Y506" i="6"/>
  <c r="X506" i="6" a="1"/>
  <c r="X506" i="6" s="1"/>
  <c r="W506" i="6" a="1"/>
  <c r="W506" i="6" s="1"/>
  <c r="L506" i="6"/>
  <c r="K506" i="6"/>
  <c r="J506" i="6"/>
  <c r="B506" i="6"/>
  <c r="A506" i="6"/>
  <c r="AA505" i="6"/>
  <c r="Z505" i="6"/>
  <c r="Y505" i="6"/>
  <c r="X505" i="6" a="1"/>
  <c r="X505" i="6" s="1"/>
  <c r="W505" i="6" a="1"/>
  <c r="W505" i="6" s="1"/>
  <c r="L505" i="6"/>
  <c r="K505" i="6"/>
  <c r="J505" i="6"/>
  <c r="B505" i="6"/>
  <c r="A505" i="6"/>
  <c r="Z504" i="6"/>
  <c r="AA504" i="6" s="1"/>
  <c r="Y504" i="6"/>
  <c r="X504" i="6" a="1"/>
  <c r="X504" i="6" s="1"/>
  <c r="W504" i="6" a="1"/>
  <c r="W504" i="6" s="1"/>
  <c r="L504" i="6"/>
  <c r="K504" i="6"/>
  <c r="J504" i="6"/>
  <c r="B504" i="6"/>
  <c r="A504" i="6"/>
  <c r="AA503" i="6"/>
  <c r="Z503" i="6"/>
  <c r="Y503" i="6"/>
  <c r="X503" i="6" a="1"/>
  <c r="X503" i="6" s="1"/>
  <c r="W503" i="6" a="1"/>
  <c r="W503" i="6" s="1"/>
  <c r="L503" i="6"/>
  <c r="K503" i="6"/>
  <c r="J503" i="6"/>
  <c r="B503" i="6"/>
  <c r="A503" i="6"/>
  <c r="AA502" i="6"/>
  <c r="Z502" i="6"/>
  <c r="Y502" i="6"/>
  <c r="X502" i="6" a="1"/>
  <c r="X502" i="6" s="1"/>
  <c r="W502" i="6" a="1"/>
  <c r="W502" i="6" s="1"/>
  <c r="L502" i="6"/>
  <c r="K502" i="6"/>
  <c r="J502" i="6"/>
  <c r="B502" i="6"/>
  <c r="A502" i="6"/>
  <c r="AA501" i="6"/>
  <c r="Z501" i="6"/>
  <c r="Y501" i="6"/>
  <c r="X501" i="6" a="1"/>
  <c r="X501" i="6" s="1"/>
  <c r="W501" i="6" a="1"/>
  <c r="W501" i="6" s="1"/>
  <c r="L501" i="6"/>
  <c r="K501" i="6"/>
  <c r="J501" i="6"/>
  <c r="B501" i="6"/>
  <c r="A501" i="6"/>
  <c r="Z500" i="6"/>
  <c r="AA500" i="6" s="1"/>
  <c r="Y500" i="6"/>
  <c r="X500" i="6" a="1"/>
  <c r="X500" i="6" s="1"/>
  <c r="W500" i="6" a="1"/>
  <c r="W500" i="6" s="1"/>
  <c r="L500" i="6"/>
  <c r="K500" i="6"/>
  <c r="J500" i="6"/>
  <c r="B500" i="6"/>
  <c r="A500" i="6"/>
  <c r="AA499" i="6"/>
  <c r="Z499" i="6"/>
  <c r="Y499" i="6"/>
  <c r="X499" i="6" a="1"/>
  <c r="X499" i="6" s="1"/>
  <c r="W499" i="6" a="1"/>
  <c r="W499" i="6" s="1"/>
  <c r="L499" i="6"/>
  <c r="K499" i="6"/>
  <c r="J499" i="6"/>
  <c r="B499" i="6"/>
  <c r="A499" i="6"/>
  <c r="AA498" i="6"/>
  <c r="Z498" i="6"/>
  <c r="Y498" i="6"/>
  <c r="X498" i="6" a="1"/>
  <c r="X498" i="6" s="1"/>
  <c r="W498" i="6" a="1"/>
  <c r="W498" i="6" s="1"/>
  <c r="L498" i="6"/>
  <c r="K498" i="6"/>
  <c r="J498" i="6"/>
  <c r="B498" i="6"/>
  <c r="A498" i="6"/>
  <c r="AA497" i="6"/>
  <c r="Z497" i="6"/>
  <c r="Y497" i="6"/>
  <c r="X497" i="6" a="1"/>
  <c r="X497" i="6" s="1"/>
  <c r="W497" i="6" a="1"/>
  <c r="W497" i="6" s="1"/>
  <c r="L497" i="6"/>
  <c r="K497" i="6"/>
  <c r="J497" i="6"/>
  <c r="B497" i="6"/>
  <c r="A497" i="6"/>
  <c r="AA496" i="6"/>
  <c r="Z496" i="6"/>
  <c r="Y496" i="6"/>
  <c r="X496" i="6" a="1"/>
  <c r="X496" i="6" s="1"/>
  <c r="W496" i="6" a="1"/>
  <c r="W496" i="6" s="1"/>
  <c r="L496" i="6"/>
  <c r="K496" i="6"/>
  <c r="J496" i="6"/>
  <c r="B496" i="6"/>
  <c r="A496" i="6"/>
  <c r="AA495" i="6"/>
  <c r="Z495" i="6"/>
  <c r="Y495" i="6"/>
  <c r="X495" i="6" a="1"/>
  <c r="X495" i="6" s="1"/>
  <c r="W495" i="6" a="1"/>
  <c r="W495" i="6" s="1"/>
  <c r="L495" i="6"/>
  <c r="K495" i="6"/>
  <c r="J495" i="6"/>
  <c r="B495" i="6"/>
  <c r="A495" i="6"/>
  <c r="AA494" i="6"/>
  <c r="Z494" i="6"/>
  <c r="Y494" i="6"/>
  <c r="X494" i="6" a="1"/>
  <c r="X494" i="6" s="1"/>
  <c r="W494" i="6" a="1"/>
  <c r="W494" i="6" s="1"/>
  <c r="L494" i="6"/>
  <c r="K494" i="6"/>
  <c r="J494" i="6"/>
  <c r="B494" i="6"/>
  <c r="A494" i="6"/>
  <c r="AA493" i="6"/>
  <c r="Z493" i="6"/>
  <c r="Y493" i="6"/>
  <c r="X493" i="6" a="1"/>
  <c r="X493" i="6" s="1"/>
  <c r="W493" i="6" a="1"/>
  <c r="W493" i="6" s="1"/>
  <c r="L493" i="6"/>
  <c r="K493" i="6"/>
  <c r="J493" i="6"/>
  <c r="B493" i="6"/>
  <c r="A493" i="6"/>
  <c r="Z492" i="6"/>
  <c r="AA492" i="6" s="1"/>
  <c r="Y492" i="6"/>
  <c r="X492" i="6" a="1"/>
  <c r="X492" i="6" s="1"/>
  <c r="W492" i="6" a="1"/>
  <c r="W492" i="6" s="1"/>
  <c r="L492" i="6"/>
  <c r="K492" i="6"/>
  <c r="J492" i="6"/>
  <c r="B492" i="6"/>
  <c r="A492" i="6"/>
  <c r="AA491" i="6"/>
  <c r="Z491" i="6"/>
  <c r="Y491" i="6"/>
  <c r="X491" i="6" a="1"/>
  <c r="X491" i="6" s="1"/>
  <c r="W491" i="6" a="1"/>
  <c r="W491" i="6" s="1"/>
  <c r="L491" i="6"/>
  <c r="K491" i="6"/>
  <c r="J491" i="6"/>
  <c r="B491" i="6"/>
  <c r="A491" i="6"/>
  <c r="AA490" i="6"/>
  <c r="Z490" i="6"/>
  <c r="Y490" i="6"/>
  <c r="X490" i="6" a="1"/>
  <c r="X490" i="6" s="1"/>
  <c r="W490" i="6" a="1"/>
  <c r="W490" i="6" s="1"/>
  <c r="L490" i="6"/>
  <c r="K490" i="6"/>
  <c r="J490" i="6"/>
  <c r="B490" i="6"/>
  <c r="A490" i="6"/>
  <c r="AA489" i="6"/>
  <c r="Z489" i="6"/>
  <c r="Y489" i="6"/>
  <c r="X489" i="6" a="1"/>
  <c r="X489" i="6" s="1"/>
  <c r="W489" i="6" a="1"/>
  <c r="W489" i="6" s="1"/>
  <c r="L489" i="6"/>
  <c r="K489" i="6"/>
  <c r="J489" i="6"/>
  <c r="B489" i="6"/>
  <c r="A489" i="6"/>
  <c r="AA488" i="6"/>
  <c r="Z488" i="6"/>
  <c r="Y488" i="6"/>
  <c r="X488" i="6" a="1"/>
  <c r="X488" i="6" s="1"/>
  <c r="W488" i="6" a="1"/>
  <c r="W488" i="6" s="1"/>
  <c r="L488" i="6"/>
  <c r="K488" i="6"/>
  <c r="J488" i="6"/>
  <c r="B488" i="6"/>
  <c r="A488" i="6"/>
  <c r="AA487" i="6"/>
  <c r="Z487" i="6"/>
  <c r="Y487" i="6"/>
  <c r="X487" i="6" a="1"/>
  <c r="X487" i="6" s="1"/>
  <c r="W487" i="6" a="1"/>
  <c r="W487" i="6" s="1"/>
  <c r="L487" i="6"/>
  <c r="K487" i="6"/>
  <c r="J487" i="6"/>
  <c r="B487" i="6"/>
  <c r="A487" i="6"/>
  <c r="AA486" i="6"/>
  <c r="Z486" i="6"/>
  <c r="Y486" i="6"/>
  <c r="X486" i="6" a="1"/>
  <c r="X486" i="6" s="1"/>
  <c r="W486" i="6" a="1"/>
  <c r="W486" i="6" s="1"/>
  <c r="L486" i="6"/>
  <c r="K486" i="6"/>
  <c r="J486" i="6"/>
  <c r="B486" i="6"/>
  <c r="A486" i="6"/>
  <c r="AA485" i="6"/>
  <c r="Z485" i="6"/>
  <c r="Y485" i="6"/>
  <c r="X485" i="6" a="1"/>
  <c r="X485" i="6" s="1"/>
  <c r="W485" i="6" a="1"/>
  <c r="W485" i="6" s="1"/>
  <c r="L485" i="6"/>
  <c r="K485" i="6"/>
  <c r="J485" i="6"/>
  <c r="B485" i="6"/>
  <c r="A485" i="6"/>
  <c r="Z484" i="6"/>
  <c r="AA484" i="6" s="1"/>
  <c r="Y484" i="6"/>
  <c r="X484" i="6"/>
  <c r="X484" i="6" a="1"/>
  <c r="W484" i="6" a="1"/>
  <c r="W484" i="6" s="1"/>
  <c r="L484" i="6"/>
  <c r="K484" i="6"/>
  <c r="J484" i="6"/>
  <c r="B484" i="6"/>
  <c r="A484" i="6"/>
  <c r="Z483" i="6"/>
  <c r="AA483" i="6" s="1"/>
  <c r="Y483" i="6"/>
  <c r="X483" i="6" a="1"/>
  <c r="X483" i="6" s="1"/>
  <c r="W483" i="6" a="1"/>
  <c r="W483" i="6" s="1"/>
  <c r="L483" i="6"/>
  <c r="K483" i="6"/>
  <c r="J483" i="6"/>
  <c r="B483" i="6"/>
  <c r="A483" i="6"/>
  <c r="Z482" i="6"/>
  <c r="AA482" i="6" s="1"/>
  <c r="Y482" i="6"/>
  <c r="X482" i="6" a="1"/>
  <c r="X482" i="6" s="1"/>
  <c r="W482" i="6" a="1"/>
  <c r="W482" i="6" s="1"/>
  <c r="L482" i="6"/>
  <c r="K482" i="6"/>
  <c r="J482" i="6"/>
  <c r="B482" i="6"/>
  <c r="A482" i="6"/>
  <c r="AA481" i="6"/>
  <c r="Z481" i="6"/>
  <c r="Y481" i="6"/>
  <c r="X481" i="6" a="1"/>
  <c r="X481" i="6" s="1"/>
  <c r="W481" i="6" a="1"/>
  <c r="W481" i="6" s="1"/>
  <c r="L481" i="6"/>
  <c r="K481" i="6"/>
  <c r="J481" i="6"/>
  <c r="B481" i="6"/>
  <c r="A481" i="6"/>
  <c r="Z480" i="6"/>
  <c r="AA480" i="6" s="1"/>
  <c r="Y480" i="6"/>
  <c r="X480" i="6" a="1"/>
  <c r="X480" i="6" s="1"/>
  <c r="W480" i="6" a="1"/>
  <c r="W480" i="6" s="1"/>
  <c r="L480" i="6"/>
  <c r="K480" i="6"/>
  <c r="J480" i="6"/>
  <c r="B480" i="6"/>
  <c r="A480" i="6"/>
  <c r="Z479" i="6"/>
  <c r="AA479" i="6" s="1"/>
  <c r="Y479" i="6"/>
  <c r="X479" i="6" a="1"/>
  <c r="X479" i="6" s="1"/>
  <c r="W479" i="6" a="1"/>
  <c r="W479" i="6" s="1"/>
  <c r="L479" i="6"/>
  <c r="K479" i="6"/>
  <c r="J479" i="6"/>
  <c r="B479" i="6"/>
  <c r="A479" i="6"/>
  <c r="AA478" i="6"/>
  <c r="Z478" i="6"/>
  <c r="Y478" i="6"/>
  <c r="X478" i="6" a="1"/>
  <c r="X478" i="6" s="1"/>
  <c r="W478" i="6" a="1"/>
  <c r="W478" i="6" s="1"/>
  <c r="L478" i="6"/>
  <c r="K478" i="6"/>
  <c r="J478" i="6"/>
  <c r="B478" i="6"/>
  <c r="A478" i="6"/>
  <c r="AA477" i="6"/>
  <c r="Z477" i="6"/>
  <c r="Y477" i="6"/>
  <c r="X477" i="6" a="1"/>
  <c r="X477" i="6" s="1"/>
  <c r="W477" i="6" a="1"/>
  <c r="W477" i="6" s="1"/>
  <c r="L477" i="6"/>
  <c r="K477" i="6"/>
  <c r="J477" i="6"/>
  <c r="B477" i="6"/>
  <c r="A477" i="6"/>
  <c r="Z476" i="6"/>
  <c r="AA476" i="6" s="1"/>
  <c r="Y476" i="6"/>
  <c r="X476" i="6" a="1"/>
  <c r="X476" i="6" s="1"/>
  <c r="W476" i="6" a="1"/>
  <c r="W476" i="6" s="1"/>
  <c r="L476" i="6"/>
  <c r="K476" i="6"/>
  <c r="J476" i="6"/>
  <c r="B476" i="6"/>
  <c r="A476" i="6"/>
  <c r="Z475" i="6"/>
  <c r="AA475" i="6" s="1"/>
  <c r="Y475" i="6"/>
  <c r="X475" i="6" a="1"/>
  <c r="X475" i="6" s="1"/>
  <c r="W475" i="6" a="1"/>
  <c r="W475" i="6" s="1"/>
  <c r="L475" i="6"/>
  <c r="K475" i="6"/>
  <c r="J475" i="6"/>
  <c r="B475" i="6"/>
  <c r="A475" i="6"/>
  <c r="AA474" i="6"/>
  <c r="Z474" i="6"/>
  <c r="Y474" i="6"/>
  <c r="X474" i="6" a="1"/>
  <c r="X474" i="6" s="1"/>
  <c r="W474" i="6" a="1"/>
  <c r="W474" i="6" s="1"/>
  <c r="L474" i="6"/>
  <c r="K474" i="6"/>
  <c r="J474" i="6"/>
  <c r="B474" i="6"/>
  <c r="A474" i="6"/>
  <c r="Z473" i="6"/>
  <c r="AA473" i="6" s="1"/>
  <c r="Y473" i="6"/>
  <c r="X473" i="6" a="1"/>
  <c r="X473" i="6" s="1"/>
  <c r="W473" i="6"/>
  <c r="W473" i="6" a="1"/>
  <c r="L473" i="6"/>
  <c r="K473" i="6"/>
  <c r="J473" i="6"/>
  <c r="B473" i="6"/>
  <c r="A473" i="6"/>
  <c r="Z472" i="6"/>
  <c r="AA472" i="6" s="1"/>
  <c r="Y472" i="6"/>
  <c r="X472" i="6" a="1"/>
  <c r="X472" i="6" s="1"/>
  <c r="W472" i="6" a="1"/>
  <c r="W472" i="6" s="1"/>
  <c r="L472" i="6"/>
  <c r="K472" i="6"/>
  <c r="J472" i="6"/>
  <c r="B472" i="6"/>
  <c r="A472" i="6"/>
  <c r="Z471" i="6"/>
  <c r="AA471" i="6" s="1"/>
  <c r="Y471" i="6"/>
  <c r="X471" i="6" a="1"/>
  <c r="X471" i="6" s="1"/>
  <c r="W471" i="6" a="1"/>
  <c r="W471" i="6" s="1"/>
  <c r="L471" i="6"/>
  <c r="K471" i="6"/>
  <c r="J471" i="6"/>
  <c r="B471" i="6"/>
  <c r="A471" i="6"/>
  <c r="AA470" i="6"/>
  <c r="Z470" i="6"/>
  <c r="Y470" i="6"/>
  <c r="X470" i="6" a="1"/>
  <c r="X470" i="6" s="1"/>
  <c r="W470" i="6" a="1"/>
  <c r="W470" i="6" s="1"/>
  <c r="L470" i="6"/>
  <c r="K470" i="6"/>
  <c r="J470" i="6"/>
  <c r="B470" i="6"/>
  <c r="A470" i="6"/>
  <c r="AA469" i="6"/>
  <c r="Z469" i="6"/>
  <c r="Y469" i="6"/>
  <c r="X469" i="6" a="1"/>
  <c r="X469" i="6" s="1"/>
  <c r="W469" i="6"/>
  <c r="W469" i="6" a="1"/>
  <c r="L469" i="6"/>
  <c r="K469" i="6"/>
  <c r="J469" i="6"/>
  <c r="B469" i="6"/>
  <c r="A469" i="6"/>
  <c r="Z468" i="6"/>
  <c r="AA468" i="6" s="1"/>
  <c r="Y468" i="6"/>
  <c r="X468" i="6" a="1"/>
  <c r="X468" i="6" s="1"/>
  <c r="W468" i="6" a="1"/>
  <c r="W468" i="6" s="1"/>
  <c r="L468" i="6"/>
  <c r="K468" i="6"/>
  <c r="J468" i="6"/>
  <c r="B468" i="6"/>
  <c r="A468" i="6"/>
  <c r="Z467" i="6"/>
  <c r="AA467" i="6" s="1"/>
  <c r="Y467" i="6"/>
  <c r="X467" i="6" a="1"/>
  <c r="X467" i="6" s="1"/>
  <c r="W467" i="6" a="1"/>
  <c r="W467" i="6" s="1"/>
  <c r="L467" i="6"/>
  <c r="K467" i="6"/>
  <c r="J467" i="6"/>
  <c r="B467" i="6"/>
  <c r="A467" i="6"/>
  <c r="Z466" i="6"/>
  <c r="AA466" i="6" s="1"/>
  <c r="Y466" i="6"/>
  <c r="X466" i="6" a="1"/>
  <c r="X466" i="6" s="1"/>
  <c r="W466" i="6" a="1"/>
  <c r="W466" i="6" s="1"/>
  <c r="L466" i="6"/>
  <c r="K466" i="6"/>
  <c r="J466" i="6"/>
  <c r="B466" i="6"/>
  <c r="A466" i="6"/>
  <c r="AA465" i="6"/>
  <c r="Z465" i="6"/>
  <c r="Y465" i="6"/>
  <c r="X465" i="6" a="1"/>
  <c r="X465" i="6" s="1"/>
  <c r="W465" i="6" a="1"/>
  <c r="W465" i="6" s="1"/>
  <c r="L465" i="6"/>
  <c r="K465" i="6"/>
  <c r="J465" i="6"/>
  <c r="B465" i="6"/>
  <c r="A465" i="6"/>
  <c r="Z464" i="6"/>
  <c r="AA464" i="6" s="1"/>
  <c r="Y464" i="6"/>
  <c r="X464" i="6"/>
  <c r="X464" i="6" a="1"/>
  <c r="W464" i="6"/>
  <c r="W464" i="6" a="1"/>
  <c r="L464" i="6"/>
  <c r="K464" i="6"/>
  <c r="J464" i="6"/>
  <c r="B464" i="6"/>
  <c r="A464" i="6"/>
  <c r="Z463" i="6"/>
  <c r="AA463" i="6" s="1"/>
  <c r="Y463" i="6"/>
  <c r="X463" i="6" a="1"/>
  <c r="X463" i="6" s="1"/>
  <c r="W463" i="6" a="1"/>
  <c r="W463" i="6" s="1"/>
  <c r="L463" i="6"/>
  <c r="K463" i="6"/>
  <c r="J463" i="6"/>
  <c r="B463" i="6"/>
  <c r="A463" i="6"/>
  <c r="AA462" i="6"/>
  <c r="Z462" i="6"/>
  <c r="Y462" i="6"/>
  <c r="X462" i="6" a="1"/>
  <c r="X462" i="6" s="1"/>
  <c r="W462" i="6" a="1"/>
  <c r="W462" i="6" s="1"/>
  <c r="L462" i="6"/>
  <c r="K462" i="6"/>
  <c r="J462" i="6"/>
  <c r="B462" i="6"/>
  <c r="A462" i="6"/>
  <c r="AA461" i="6"/>
  <c r="Z461" i="6"/>
  <c r="Y461" i="6"/>
  <c r="X461" i="6" a="1"/>
  <c r="X461" i="6" s="1"/>
  <c r="W461" i="6"/>
  <c r="W461" i="6" a="1"/>
  <c r="L461" i="6"/>
  <c r="K461" i="6"/>
  <c r="J461" i="6"/>
  <c r="B461" i="6"/>
  <c r="A461" i="6"/>
  <c r="Z460" i="6"/>
  <c r="AA460" i="6" s="1"/>
  <c r="Y460" i="6"/>
  <c r="X460" i="6" a="1"/>
  <c r="X460" i="6" s="1"/>
  <c r="W460" i="6"/>
  <c r="W460" i="6" a="1"/>
  <c r="L460" i="6"/>
  <c r="K460" i="6"/>
  <c r="J460" i="6"/>
  <c r="B460" i="6"/>
  <c r="A460" i="6"/>
  <c r="Z459" i="6"/>
  <c r="AA459" i="6" s="1"/>
  <c r="Y459" i="6"/>
  <c r="X459" i="6" a="1"/>
  <c r="X459" i="6" s="1"/>
  <c r="W459" i="6" a="1"/>
  <c r="W459" i="6" s="1"/>
  <c r="L459" i="6"/>
  <c r="K459" i="6"/>
  <c r="J459" i="6"/>
  <c r="B459" i="6"/>
  <c r="A459" i="6"/>
  <c r="AA458" i="6"/>
  <c r="Z458" i="6"/>
  <c r="Y458" i="6"/>
  <c r="X458" i="6" a="1"/>
  <c r="X458" i="6" s="1"/>
  <c r="W458" i="6" a="1"/>
  <c r="W458" i="6" s="1"/>
  <c r="L458" i="6"/>
  <c r="K458" i="6"/>
  <c r="J458" i="6"/>
  <c r="B458" i="6"/>
  <c r="A458" i="6"/>
  <c r="Z457" i="6"/>
  <c r="AA457" i="6" s="1"/>
  <c r="Y457" i="6"/>
  <c r="X457" i="6" a="1"/>
  <c r="X457" i="6" s="1"/>
  <c r="W457" i="6"/>
  <c r="W457" i="6" a="1"/>
  <c r="L457" i="6"/>
  <c r="K457" i="6"/>
  <c r="J457" i="6"/>
  <c r="B457" i="6"/>
  <c r="A457" i="6"/>
  <c r="Z456" i="6"/>
  <c r="AA456" i="6" s="1"/>
  <c r="Y456" i="6"/>
  <c r="X456" i="6"/>
  <c r="X456" i="6" a="1"/>
  <c r="W456" i="6" a="1"/>
  <c r="W456" i="6" s="1"/>
  <c r="L456" i="6"/>
  <c r="K456" i="6"/>
  <c r="J456" i="6"/>
  <c r="B456" i="6"/>
  <c r="A456" i="6"/>
  <c r="Z455" i="6"/>
  <c r="AA455" i="6" s="1"/>
  <c r="Y455" i="6"/>
  <c r="X455" i="6" a="1"/>
  <c r="X455" i="6" s="1"/>
  <c r="W455" i="6" a="1"/>
  <c r="W455" i="6" s="1"/>
  <c r="L455" i="6"/>
  <c r="K455" i="6"/>
  <c r="J455" i="6"/>
  <c r="B455" i="6"/>
  <c r="A455" i="6"/>
  <c r="AA454" i="6"/>
  <c r="Z454" i="6"/>
  <c r="Y454" i="6"/>
  <c r="X454" i="6" a="1"/>
  <c r="X454" i="6" s="1"/>
  <c r="W454" i="6" a="1"/>
  <c r="W454" i="6" s="1"/>
  <c r="L454" i="6"/>
  <c r="K454" i="6"/>
  <c r="J454" i="6"/>
  <c r="B454" i="6"/>
  <c r="A454" i="6"/>
  <c r="AA453" i="6"/>
  <c r="Z453" i="6"/>
  <c r="Y453" i="6"/>
  <c r="X453" i="6" a="1"/>
  <c r="X453" i="6" s="1"/>
  <c r="W453" i="6"/>
  <c r="W453" i="6" a="1"/>
  <c r="L453" i="6"/>
  <c r="K453" i="6"/>
  <c r="J453" i="6"/>
  <c r="B453" i="6"/>
  <c r="A453" i="6"/>
  <c r="Z452" i="6"/>
  <c r="AA452" i="6" s="1"/>
  <c r="Y452" i="6"/>
  <c r="X452" i="6"/>
  <c r="X452" i="6" a="1"/>
  <c r="W452" i="6"/>
  <c r="W452" i="6" a="1"/>
  <c r="L452" i="6"/>
  <c r="K452" i="6"/>
  <c r="J452" i="6"/>
  <c r="B452" i="6"/>
  <c r="A452" i="6"/>
  <c r="Z451" i="6"/>
  <c r="AA451" i="6" s="1"/>
  <c r="Y451" i="6"/>
  <c r="X451" i="6" a="1"/>
  <c r="X451" i="6" s="1"/>
  <c r="W451" i="6" a="1"/>
  <c r="W451" i="6" s="1"/>
  <c r="L451" i="6"/>
  <c r="K451" i="6"/>
  <c r="J451" i="6"/>
  <c r="B451" i="6"/>
  <c r="A451" i="6"/>
  <c r="Z450" i="6"/>
  <c r="AA450" i="6" s="1"/>
  <c r="Y450" i="6"/>
  <c r="X450" i="6" a="1"/>
  <c r="X450" i="6" s="1"/>
  <c r="W450" i="6" a="1"/>
  <c r="W450" i="6" s="1"/>
  <c r="L450" i="6"/>
  <c r="K450" i="6"/>
  <c r="J450" i="6"/>
  <c r="B450" i="6"/>
  <c r="A450" i="6"/>
  <c r="AA449" i="6"/>
  <c r="Z449" i="6"/>
  <c r="Y449" i="6"/>
  <c r="X449" i="6" a="1"/>
  <c r="X449" i="6" s="1"/>
  <c r="W449" i="6" a="1"/>
  <c r="W449" i="6" s="1"/>
  <c r="L449" i="6"/>
  <c r="K449" i="6"/>
  <c r="J449" i="6"/>
  <c r="B449" i="6"/>
  <c r="A449" i="6"/>
  <c r="Z448" i="6"/>
  <c r="AA448" i="6" s="1"/>
  <c r="Y448" i="6"/>
  <c r="X448" i="6"/>
  <c r="X448" i="6" a="1"/>
  <c r="W448" i="6" a="1"/>
  <c r="W448" i="6" s="1"/>
  <c r="L448" i="6"/>
  <c r="K448" i="6"/>
  <c r="J448" i="6"/>
  <c r="B448" i="6"/>
  <c r="A448" i="6"/>
  <c r="Z447" i="6"/>
  <c r="AA447" i="6" s="1"/>
  <c r="Y447" i="6"/>
  <c r="X447" i="6" a="1"/>
  <c r="X447" i="6" s="1"/>
  <c r="W447" i="6" a="1"/>
  <c r="W447" i="6" s="1"/>
  <c r="L447" i="6"/>
  <c r="K447" i="6"/>
  <c r="J447" i="6"/>
  <c r="B447" i="6"/>
  <c r="A447" i="6"/>
  <c r="AA446" i="6"/>
  <c r="Z446" i="6"/>
  <c r="Y446" i="6"/>
  <c r="X446" i="6" a="1"/>
  <c r="X446" i="6" s="1"/>
  <c r="W446" i="6" a="1"/>
  <c r="W446" i="6" s="1"/>
  <c r="L446" i="6"/>
  <c r="K446" i="6"/>
  <c r="J446" i="6"/>
  <c r="B446" i="6"/>
  <c r="A446" i="6"/>
  <c r="AA445" i="6"/>
  <c r="Z445" i="6"/>
  <c r="Y445" i="6"/>
  <c r="X445" i="6" a="1"/>
  <c r="X445" i="6" s="1"/>
  <c r="W445" i="6" a="1"/>
  <c r="W445" i="6" s="1"/>
  <c r="L445" i="6"/>
  <c r="K445" i="6"/>
  <c r="J445" i="6"/>
  <c r="B445" i="6"/>
  <c r="A445" i="6"/>
  <c r="Z444" i="6"/>
  <c r="AA444" i="6" s="1"/>
  <c r="Y444" i="6"/>
  <c r="X444" i="6" a="1"/>
  <c r="X444" i="6" s="1"/>
  <c r="W444" i="6" a="1"/>
  <c r="W444" i="6" s="1"/>
  <c r="L444" i="6"/>
  <c r="K444" i="6"/>
  <c r="J444" i="6"/>
  <c r="B444" i="6"/>
  <c r="A444" i="6"/>
  <c r="Z443" i="6"/>
  <c r="AA443" i="6" s="1"/>
  <c r="Y443" i="6"/>
  <c r="X443" i="6" a="1"/>
  <c r="X443" i="6" s="1"/>
  <c r="W443" i="6" a="1"/>
  <c r="W443" i="6" s="1"/>
  <c r="L443" i="6"/>
  <c r="K443" i="6"/>
  <c r="J443" i="6"/>
  <c r="B443" i="6"/>
  <c r="A443" i="6"/>
  <c r="AA442" i="6"/>
  <c r="Z442" i="6"/>
  <c r="Y442" i="6"/>
  <c r="X442" i="6" a="1"/>
  <c r="X442" i="6" s="1"/>
  <c r="W442" i="6" a="1"/>
  <c r="W442" i="6" s="1"/>
  <c r="L442" i="6"/>
  <c r="K442" i="6"/>
  <c r="J442" i="6"/>
  <c r="B442" i="6"/>
  <c r="A442" i="6"/>
  <c r="Z441" i="6"/>
  <c r="AA441" i="6" s="1"/>
  <c r="Y441" i="6"/>
  <c r="X441" i="6" a="1"/>
  <c r="X441" i="6" s="1"/>
  <c r="W441" i="6" a="1"/>
  <c r="W441" i="6" s="1"/>
  <c r="L441" i="6"/>
  <c r="K441" i="6"/>
  <c r="J441" i="6"/>
  <c r="B441" i="6"/>
  <c r="A441" i="6"/>
  <c r="Z440" i="6"/>
  <c r="AA440" i="6" s="1"/>
  <c r="Y440" i="6"/>
  <c r="X440" i="6" a="1"/>
  <c r="X440" i="6" s="1"/>
  <c r="W440" i="6" a="1"/>
  <c r="W440" i="6" s="1"/>
  <c r="L440" i="6"/>
  <c r="K440" i="6"/>
  <c r="J440" i="6"/>
  <c r="B440" i="6"/>
  <c r="A440" i="6"/>
  <c r="Z439" i="6"/>
  <c r="AA439" i="6" s="1"/>
  <c r="Y439" i="6"/>
  <c r="X439" i="6" a="1"/>
  <c r="X439" i="6" s="1"/>
  <c r="W439" i="6" a="1"/>
  <c r="W439" i="6" s="1"/>
  <c r="L439" i="6"/>
  <c r="K439" i="6"/>
  <c r="J439" i="6"/>
  <c r="B439" i="6"/>
  <c r="A439" i="6"/>
  <c r="AA438" i="6"/>
  <c r="Z438" i="6"/>
  <c r="Y438" i="6"/>
  <c r="X438" i="6" a="1"/>
  <c r="X438" i="6" s="1"/>
  <c r="W438" i="6" a="1"/>
  <c r="W438" i="6" s="1"/>
  <c r="L438" i="6"/>
  <c r="K438" i="6"/>
  <c r="J438" i="6"/>
  <c r="B438" i="6"/>
  <c r="A438" i="6"/>
  <c r="AA437" i="6"/>
  <c r="Z437" i="6"/>
  <c r="Y437" i="6"/>
  <c r="X437" i="6" a="1"/>
  <c r="X437" i="6" s="1"/>
  <c r="W437" i="6" a="1"/>
  <c r="W437" i="6" s="1"/>
  <c r="L437" i="6"/>
  <c r="K437" i="6"/>
  <c r="J437" i="6"/>
  <c r="B437" i="6"/>
  <c r="A437" i="6"/>
  <c r="Z436" i="6"/>
  <c r="AA436" i="6" s="1"/>
  <c r="Y436" i="6"/>
  <c r="X436" i="6" a="1"/>
  <c r="X436" i="6" s="1"/>
  <c r="W436" i="6" a="1"/>
  <c r="W436" i="6" s="1"/>
  <c r="L436" i="6"/>
  <c r="K436" i="6"/>
  <c r="J436" i="6"/>
  <c r="B436" i="6"/>
  <c r="A436" i="6"/>
  <c r="Z435" i="6"/>
  <c r="AA435" i="6" s="1"/>
  <c r="Y435" i="6"/>
  <c r="X435" i="6" a="1"/>
  <c r="X435" i="6" s="1"/>
  <c r="W435" i="6" a="1"/>
  <c r="W435" i="6" s="1"/>
  <c r="L435" i="6"/>
  <c r="K435" i="6"/>
  <c r="J435" i="6"/>
  <c r="B435" i="6"/>
  <c r="A435" i="6"/>
  <c r="Z434" i="6"/>
  <c r="AA434" i="6" s="1"/>
  <c r="Y434" i="6"/>
  <c r="X434" i="6" a="1"/>
  <c r="X434" i="6" s="1"/>
  <c r="W434" i="6" a="1"/>
  <c r="W434" i="6" s="1"/>
  <c r="L434" i="6"/>
  <c r="K434" i="6"/>
  <c r="J434" i="6"/>
  <c r="B434" i="6"/>
  <c r="A434" i="6"/>
  <c r="AA433" i="6"/>
  <c r="Z433" i="6"/>
  <c r="Y433" i="6"/>
  <c r="X433" i="6" a="1"/>
  <c r="X433" i="6" s="1"/>
  <c r="W433" i="6" a="1"/>
  <c r="W433" i="6" s="1"/>
  <c r="L433" i="6"/>
  <c r="K433" i="6"/>
  <c r="J433" i="6"/>
  <c r="B433" i="6"/>
  <c r="A433" i="6"/>
  <c r="Z432" i="6"/>
  <c r="AA432" i="6" s="1"/>
  <c r="Y432" i="6"/>
  <c r="X432" i="6" a="1"/>
  <c r="X432" i="6" s="1"/>
  <c r="W432" i="6"/>
  <c r="W432" i="6" a="1"/>
  <c r="L432" i="6"/>
  <c r="K432" i="6"/>
  <c r="J432" i="6"/>
  <c r="B432" i="6"/>
  <c r="A432" i="6"/>
  <c r="Z431" i="6"/>
  <c r="AA431" i="6" s="1"/>
  <c r="Y431" i="6"/>
  <c r="X431" i="6" a="1"/>
  <c r="X431" i="6" s="1"/>
  <c r="W431" i="6" a="1"/>
  <c r="W431" i="6" s="1"/>
  <c r="L431" i="6"/>
  <c r="K431" i="6"/>
  <c r="J431" i="6"/>
  <c r="B431" i="6"/>
  <c r="A431" i="6"/>
  <c r="AA430" i="6"/>
  <c r="Z430" i="6"/>
  <c r="Y430" i="6"/>
  <c r="X430" i="6" a="1"/>
  <c r="X430" i="6" s="1"/>
  <c r="W430" i="6" a="1"/>
  <c r="W430" i="6" s="1"/>
  <c r="L430" i="6"/>
  <c r="K430" i="6"/>
  <c r="J430" i="6"/>
  <c r="B430" i="6"/>
  <c r="A430" i="6"/>
  <c r="AA429" i="6"/>
  <c r="Z429" i="6"/>
  <c r="Y429" i="6"/>
  <c r="X429" i="6" a="1"/>
  <c r="X429" i="6" s="1"/>
  <c r="W429" i="6" a="1"/>
  <c r="W429" i="6" s="1"/>
  <c r="L429" i="6"/>
  <c r="K429" i="6"/>
  <c r="J429" i="6"/>
  <c r="B429" i="6"/>
  <c r="A429" i="6"/>
  <c r="AA428" i="6"/>
  <c r="Z428" i="6"/>
  <c r="Y428" i="6"/>
  <c r="X428" i="6" a="1"/>
  <c r="X428" i="6" s="1"/>
  <c r="W428" i="6" a="1"/>
  <c r="W428" i="6" s="1"/>
  <c r="L428" i="6"/>
  <c r="K428" i="6"/>
  <c r="J428" i="6"/>
  <c r="B428" i="6"/>
  <c r="A428" i="6"/>
  <c r="AA427" i="6"/>
  <c r="Z427" i="6"/>
  <c r="Y427" i="6"/>
  <c r="X427" i="6" a="1"/>
  <c r="X427" i="6" s="1"/>
  <c r="W427" i="6" a="1"/>
  <c r="W427" i="6" s="1"/>
  <c r="L427" i="6"/>
  <c r="K427" i="6"/>
  <c r="J427" i="6"/>
  <c r="B427" i="6"/>
  <c r="A427" i="6"/>
  <c r="AA426" i="6"/>
  <c r="Z426" i="6"/>
  <c r="Y426" i="6"/>
  <c r="X426" i="6" a="1"/>
  <c r="X426" i="6" s="1"/>
  <c r="W426" i="6" a="1"/>
  <c r="W426" i="6" s="1"/>
  <c r="L426" i="6"/>
  <c r="K426" i="6"/>
  <c r="J426" i="6"/>
  <c r="B426" i="6"/>
  <c r="A426" i="6"/>
  <c r="AA425" i="6"/>
  <c r="Z425" i="6"/>
  <c r="Y425" i="6"/>
  <c r="X425" i="6" a="1"/>
  <c r="X425" i="6" s="1"/>
  <c r="W425" i="6" a="1"/>
  <c r="W425" i="6" s="1"/>
  <c r="L425" i="6"/>
  <c r="K425" i="6"/>
  <c r="J425" i="6"/>
  <c r="B425" i="6"/>
  <c r="A425" i="6"/>
  <c r="AA424" i="6"/>
  <c r="Z424" i="6"/>
  <c r="Y424" i="6"/>
  <c r="X424" i="6" a="1"/>
  <c r="X424" i="6" s="1"/>
  <c r="W424" i="6" a="1"/>
  <c r="W424" i="6" s="1"/>
  <c r="L424" i="6"/>
  <c r="K424" i="6"/>
  <c r="J424" i="6"/>
  <c r="B424" i="6"/>
  <c r="A424" i="6"/>
  <c r="AA423" i="6"/>
  <c r="Z423" i="6"/>
  <c r="Y423" i="6"/>
  <c r="X423" i="6" a="1"/>
  <c r="X423" i="6" s="1"/>
  <c r="W423" i="6" a="1"/>
  <c r="W423" i="6" s="1"/>
  <c r="L423" i="6"/>
  <c r="K423" i="6"/>
  <c r="J423" i="6"/>
  <c r="B423" i="6"/>
  <c r="A423" i="6"/>
  <c r="AA422" i="6"/>
  <c r="Z422" i="6"/>
  <c r="Y422" i="6"/>
  <c r="X422" i="6" a="1"/>
  <c r="X422" i="6" s="1"/>
  <c r="W422" i="6" a="1"/>
  <c r="W422" i="6" s="1"/>
  <c r="L422" i="6"/>
  <c r="K422" i="6"/>
  <c r="J422" i="6"/>
  <c r="B422" i="6"/>
  <c r="A422" i="6"/>
  <c r="AA421" i="6"/>
  <c r="Z421" i="6"/>
  <c r="Y421" i="6"/>
  <c r="X421" i="6" a="1"/>
  <c r="X421" i="6" s="1"/>
  <c r="W421" i="6" a="1"/>
  <c r="W421" i="6" s="1"/>
  <c r="L421" i="6"/>
  <c r="K421" i="6"/>
  <c r="J421" i="6"/>
  <c r="B421" i="6"/>
  <c r="A421" i="6"/>
  <c r="AA420" i="6"/>
  <c r="Z420" i="6"/>
  <c r="Y420" i="6"/>
  <c r="X420" i="6" a="1"/>
  <c r="X420" i="6" s="1"/>
  <c r="W420" i="6" a="1"/>
  <c r="W420" i="6" s="1"/>
  <c r="L420" i="6"/>
  <c r="K420" i="6"/>
  <c r="J420" i="6"/>
  <c r="B420" i="6"/>
  <c r="A420" i="6"/>
  <c r="AA419" i="6"/>
  <c r="Z419" i="6"/>
  <c r="Y419" i="6"/>
  <c r="X419" i="6" a="1"/>
  <c r="X419" i="6" s="1"/>
  <c r="W419" i="6" a="1"/>
  <c r="W419" i="6" s="1"/>
  <c r="L419" i="6"/>
  <c r="K419" i="6"/>
  <c r="J419" i="6"/>
  <c r="B419" i="6"/>
  <c r="A419" i="6"/>
  <c r="AA418" i="6"/>
  <c r="Z418" i="6"/>
  <c r="Y418" i="6"/>
  <c r="X418" i="6" a="1"/>
  <c r="X418" i="6" s="1"/>
  <c r="W418" i="6" a="1"/>
  <c r="W418" i="6" s="1"/>
  <c r="L418" i="6"/>
  <c r="K418" i="6"/>
  <c r="J418" i="6"/>
  <c r="B418" i="6"/>
  <c r="A418" i="6"/>
  <c r="AA417" i="6"/>
  <c r="Z417" i="6"/>
  <c r="Y417" i="6"/>
  <c r="X417" i="6" a="1"/>
  <c r="X417" i="6" s="1"/>
  <c r="W417" i="6" a="1"/>
  <c r="W417" i="6" s="1"/>
  <c r="L417" i="6"/>
  <c r="K417" i="6"/>
  <c r="J417" i="6"/>
  <c r="B417" i="6"/>
  <c r="A417" i="6"/>
  <c r="AA416" i="6"/>
  <c r="Z416" i="6"/>
  <c r="Y416" i="6"/>
  <c r="X416" i="6" a="1"/>
  <c r="X416" i="6" s="1"/>
  <c r="W416" i="6" a="1"/>
  <c r="W416" i="6" s="1"/>
  <c r="L416" i="6"/>
  <c r="K416" i="6"/>
  <c r="J416" i="6"/>
  <c r="B416" i="6"/>
  <c r="A416" i="6"/>
  <c r="AA415" i="6"/>
  <c r="Z415" i="6"/>
  <c r="Y415" i="6"/>
  <c r="X415" i="6" a="1"/>
  <c r="X415" i="6" s="1"/>
  <c r="W415" i="6" a="1"/>
  <c r="W415" i="6" s="1"/>
  <c r="L415" i="6"/>
  <c r="K415" i="6"/>
  <c r="J415" i="6"/>
  <c r="B415" i="6"/>
  <c r="A415" i="6"/>
  <c r="AA414" i="6"/>
  <c r="Z414" i="6"/>
  <c r="Y414" i="6"/>
  <c r="X414" i="6" a="1"/>
  <c r="X414" i="6" s="1"/>
  <c r="W414" i="6" a="1"/>
  <c r="W414" i="6" s="1"/>
  <c r="L414" i="6"/>
  <c r="K414" i="6"/>
  <c r="J414" i="6"/>
  <c r="B414" i="6"/>
  <c r="A414" i="6"/>
  <c r="AA413" i="6"/>
  <c r="Z413" i="6"/>
  <c r="Y413" i="6"/>
  <c r="X413" i="6" a="1"/>
  <c r="X413" i="6" s="1"/>
  <c r="W413" i="6" a="1"/>
  <c r="W413" i="6" s="1"/>
  <c r="L413" i="6"/>
  <c r="K413" i="6"/>
  <c r="J413" i="6"/>
  <c r="B413" i="6"/>
  <c r="A413" i="6"/>
  <c r="AA412" i="6"/>
  <c r="Z412" i="6"/>
  <c r="Y412" i="6"/>
  <c r="X412" i="6" a="1"/>
  <c r="X412" i="6" s="1"/>
  <c r="W412" i="6" a="1"/>
  <c r="W412" i="6" s="1"/>
  <c r="L412" i="6"/>
  <c r="K412" i="6"/>
  <c r="J412" i="6"/>
  <c r="B412" i="6"/>
  <c r="A412" i="6"/>
  <c r="AA411" i="6"/>
  <c r="Z411" i="6"/>
  <c r="Y411" i="6"/>
  <c r="X411" i="6" a="1"/>
  <c r="X411" i="6" s="1"/>
  <c r="W411" i="6" a="1"/>
  <c r="W411" i="6" s="1"/>
  <c r="L411" i="6"/>
  <c r="K411" i="6"/>
  <c r="J411" i="6"/>
  <c r="B411" i="6"/>
  <c r="A411" i="6"/>
  <c r="AA410" i="6"/>
  <c r="Z410" i="6"/>
  <c r="Y410" i="6"/>
  <c r="X410" i="6" a="1"/>
  <c r="X410" i="6" s="1"/>
  <c r="W410" i="6" a="1"/>
  <c r="W410" i="6" s="1"/>
  <c r="L410" i="6"/>
  <c r="K410" i="6"/>
  <c r="J410" i="6"/>
  <c r="B410" i="6"/>
  <c r="A410" i="6"/>
  <c r="AA409" i="6"/>
  <c r="Z409" i="6"/>
  <c r="Y409" i="6"/>
  <c r="X409" i="6" a="1"/>
  <c r="X409" i="6" s="1"/>
  <c r="W409" i="6" a="1"/>
  <c r="W409" i="6" s="1"/>
  <c r="L409" i="6"/>
  <c r="K409" i="6"/>
  <c r="J409" i="6"/>
  <c r="B409" i="6"/>
  <c r="A409" i="6"/>
  <c r="AA408" i="6"/>
  <c r="Z408" i="6"/>
  <c r="Y408" i="6"/>
  <c r="X408" i="6" a="1"/>
  <c r="X408" i="6" s="1"/>
  <c r="W408" i="6" a="1"/>
  <c r="W408" i="6" s="1"/>
  <c r="L408" i="6"/>
  <c r="K408" i="6"/>
  <c r="J408" i="6"/>
  <c r="B408" i="6"/>
  <c r="A408" i="6"/>
  <c r="AA407" i="6"/>
  <c r="Z407" i="6"/>
  <c r="Y407" i="6"/>
  <c r="X407" i="6" a="1"/>
  <c r="X407" i="6" s="1"/>
  <c r="W407" i="6" a="1"/>
  <c r="W407" i="6" s="1"/>
  <c r="L407" i="6"/>
  <c r="K407" i="6"/>
  <c r="J407" i="6"/>
  <c r="B407" i="6"/>
  <c r="A407" i="6"/>
  <c r="AA406" i="6"/>
  <c r="Z406" i="6"/>
  <c r="Y406" i="6"/>
  <c r="X406" i="6" a="1"/>
  <c r="X406" i="6" s="1"/>
  <c r="W406" i="6" a="1"/>
  <c r="W406" i="6" s="1"/>
  <c r="L406" i="6"/>
  <c r="K406" i="6"/>
  <c r="J406" i="6"/>
  <c r="B406" i="6"/>
  <c r="A406" i="6"/>
  <c r="AA405" i="6"/>
  <c r="Z405" i="6"/>
  <c r="Y405" i="6"/>
  <c r="X405" i="6" a="1"/>
  <c r="X405" i="6" s="1"/>
  <c r="W405" i="6" a="1"/>
  <c r="W405" i="6" s="1"/>
  <c r="L405" i="6"/>
  <c r="K405" i="6"/>
  <c r="J405" i="6"/>
  <c r="B405" i="6"/>
  <c r="A405" i="6"/>
  <c r="AA404" i="6"/>
  <c r="Z404" i="6"/>
  <c r="Y404" i="6"/>
  <c r="X404" i="6" a="1"/>
  <c r="X404" i="6" s="1"/>
  <c r="W404" i="6"/>
  <c r="W404" i="6" a="1"/>
  <c r="L404" i="6"/>
  <c r="K404" i="6"/>
  <c r="J404" i="6"/>
  <c r="B404" i="6"/>
  <c r="A404" i="6"/>
  <c r="Z403" i="6"/>
  <c r="AA403" i="6" s="1"/>
  <c r="Y403" i="6"/>
  <c r="X403" i="6" a="1"/>
  <c r="X403" i="6" s="1"/>
  <c r="W403" i="6" a="1"/>
  <c r="W403" i="6" s="1"/>
  <c r="L403" i="6"/>
  <c r="K403" i="6"/>
  <c r="J403" i="6"/>
  <c r="B403" i="6"/>
  <c r="A403" i="6"/>
  <c r="AA402" i="6"/>
  <c r="Z402" i="6"/>
  <c r="Y402" i="6"/>
  <c r="X402" i="6" a="1"/>
  <c r="X402" i="6" s="1"/>
  <c r="W402" i="6" a="1"/>
  <c r="W402" i="6" s="1"/>
  <c r="L402" i="6"/>
  <c r="K402" i="6"/>
  <c r="J402" i="6"/>
  <c r="B402" i="6"/>
  <c r="A402" i="6"/>
  <c r="AA401" i="6"/>
  <c r="Z401" i="6"/>
  <c r="Y401" i="6"/>
  <c r="X401" i="6" a="1"/>
  <c r="X401" i="6" s="1"/>
  <c r="W401" i="6" a="1"/>
  <c r="W401" i="6" s="1"/>
  <c r="L401" i="6"/>
  <c r="K401" i="6"/>
  <c r="J401" i="6"/>
  <c r="B401" i="6"/>
  <c r="A401" i="6"/>
  <c r="AA400" i="6"/>
  <c r="Z400" i="6"/>
  <c r="Y400" i="6"/>
  <c r="X400" i="6" a="1"/>
  <c r="X400" i="6" s="1"/>
  <c r="W400" i="6" a="1"/>
  <c r="W400" i="6" s="1"/>
  <c r="L400" i="6"/>
  <c r="K400" i="6"/>
  <c r="J400" i="6"/>
  <c r="B400" i="6"/>
  <c r="A400" i="6"/>
  <c r="Z399" i="6"/>
  <c r="AA399" i="6" s="1"/>
  <c r="Y399" i="6"/>
  <c r="X399" i="6" a="1"/>
  <c r="X399" i="6" s="1"/>
  <c r="W399" i="6" a="1"/>
  <c r="W399" i="6" s="1"/>
  <c r="L399" i="6"/>
  <c r="K399" i="6"/>
  <c r="J399" i="6"/>
  <c r="B399" i="6"/>
  <c r="A399" i="6"/>
  <c r="AA398" i="6"/>
  <c r="Z398" i="6"/>
  <c r="Y398" i="6"/>
  <c r="X398" i="6" a="1"/>
  <c r="X398" i="6" s="1"/>
  <c r="W398" i="6" a="1"/>
  <c r="W398" i="6" s="1"/>
  <c r="L398" i="6"/>
  <c r="K398" i="6"/>
  <c r="J398" i="6"/>
  <c r="B398" i="6"/>
  <c r="A398" i="6"/>
  <c r="AA397" i="6"/>
  <c r="Z397" i="6"/>
  <c r="Y397" i="6"/>
  <c r="X397" i="6" a="1"/>
  <c r="X397" i="6" s="1"/>
  <c r="W397" i="6" a="1"/>
  <c r="W397" i="6" s="1"/>
  <c r="L397" i="6"/>
  <c r="K397" i="6"/>
  <c r="J397" i="6"/>
  <c r="B397" i="6"/>
  <c r="A397" i="6"/>
  <c r="AA396" i="6"/>
  <c r="Z396" i="6"/>
  <c r="Y396" i="6"/>
  <c r="X396" i="6" a="1"/>
  <c r="X396" i="6" s="1"/>
  <c r="W396" i="6" a="1"/>
  <c r="W396" i="6" s="1"/>
  <c r="L396" i="6"/>
  <c r="K396" i="6"/>
  <c r="J396" i="6"/>
  <c r="B396" i="6"/>
  <c r="A396" i="6"/>
  <c r="Z395" i="6"/>
  <c r="AA395" i="6" s="1"/>
  <c r="Y395" i="6"/>
  <c r="X395" i="6" a="1"/>
  <c r="X395" i="6" s="1"/>
  <c r="W395" i="6" a="1"/>
  <c r="W395" i="6" s="1"/>
  <c r="L395" i="6"/>
  <c r="K395" i="6"/>
  <c r="J395" i="6"/>
  <c r="B395" i="6"/>
  <c r="A395" i="6"/>
  <c r="AA394" i="6"/>
  <c r="Z394" i="6"/>
  <c r="Y394" i="6"/>
  <c r="X394" i="6" a="1"/>
  <c r="X394" i="6" s="1"/>
  <c r="W394" i="6" a="1"/>
  <c r="W394" i="6" s="1"/>
  <c r="L394" i="6"/>
  <c r="K394" i="6"/>
  <c r="J394" i="6"/>
  <c r="B394" i="6"/>
  <c r="A394" i="6"/>
  <c r="AA393" i="6"/>
  <c r="Z393" i="6"/>
  <c r="Y393" i="6"/>
  <c r="X393" i="6" a="1"/>
  <c r="X393" i="6" s="1"/>
  <c r="W393" i="6" a="1"/>
  <c r="W393" i="6" s="1"/>
  <c r="L393" i="6"/>
  <c r="K393" i="6"/>
  <c r="J393" i="6"/>
  <c r="B393" i="6"/>
  <c r="A393" i="6"/>
  <c r="AA392" i="6"/>
  <c r="Z392" i="6"/>
  <c r="Y392" i="6"/>
  <c r="X392" i="6" a="1"/>
  <c r="X392" i="6" s="1"/>
  <c r="W392" i="6" a="1"/>
  <c r="W392" i="6" s="1"/>
  <c r="L392" i="6"/>
  <c r="K392" i="6"/>
  <c r="J392" i="6"/>
  <c r="B392" i="6"/>
  <c r="A392" i="6"/>
  <c r="Z391" i="6"/>
  <c r="AA391" i="6" s="1"/>
  <c r="Y391" i="6"/>
  <c r="X391" i="6" a="1"/>
  <c r="X391" i="6" s="1"/>
  <c r="W391" i="6" a="1"/>
  <c r="W391" i="6" s="1"/>
  <c r="L391" i="6"/>
  <c r="K391" i="6"/>
  <c r="J391" i="6"/>
  <c r="B391" i="6"/>
  <c r="A391" i="6"/>
  <c r="AA390" i="6"/>
  <c r="Z390" i="6"/>
  <c r="Y390" i="6"/>
  <c r="X390" i="6" a="1"/>
  <c r="X390" i="6" s="1"/>
  <c r="W390" i="6" a="1"/>
  <c r="W390" i="6" s="1"/>
  <c r="L390" i="6"/>
  <c r="K390" i="6"/>
  <c r="J390" i="6"/>
  <c r="B390" i="6"/>
  <c r="A390" i="6"/>
  <c r="Z389" i="6"/>
  <c r="AA389" i="6" s="1"/>
  <c r="Y389" i="6"/>
  <c r="X389" i="6" a="1"/>
  <c r="X389" i="6" s="1"/>
  <c r="W389" i="6" a="1"/>
  <c r="W389" i="6" s="1"/>
  <c r="L389" i="6"/>
  <c r="K389" i="6"/>
  <c r="J389" i="6"/>
  <c r="B389" i="6"/>
  <c r="A389" i="6"/>
  <c r="AA388" i="6"/>
  <c r="Z388" i="6"/>
  <c r="Y388" i="6"/>
  <c r="X388" i="6" a="1"/>
  <c r="X388" i="6" s="1"/>
  <c r="W388" i="6" a="1"/>
  <c r="W388" i="6" s="1"/>
  <c r="L388" i="6"/>
  <c r="K388" i="6"/>
  <c r="J388" i="6"/>
  <c r="B388" i="6"/>
  <c r="A388" i="6"/>
  <c r="Z387" i="6"/>
  <c r="AA387" i="6" s="1"/>
  <c r="Y387" i="6"/>
  <c r="X387" i="6" a="1"/>
  <c r="X387" i="6" s="1"/>
  <c r="W387" i="6" a="1"/>
  <c r="W387" i="6" s="1"/>
  <c r="L387" i="6"/>
  <c r="K387" i="6"/>
  <c r="J387" i="6"/>
  <c r="B387" i="6"/>
  <c r="A387" i="6"/>
  <c r="AA386" i="6"/>
  <c r="Z386" i="6"/>
  <c r="Y386" i="6"/>
  <c r="X386" i="6" a="1"/>
  <c r="X386" i="6" s="1"/>
  <c r="W386" i="6" a="1"/>
  <c r="W386" i="6" s="1"/>
  <c r="L386" i="6"/>
  <c r="K386" i="6"/>
  <c r="J386" i="6"/>
  <c r="B386" i="6"/>
  <c r="A386" i="6"/>
  <c r="Z385" i="6"/>
  <c r="AA385" i="6" s="1"/>
  <c r="Y385" i="6"/>
  <c r="X385" i="6" a="1"/>
  <c r="X385" i="6" s="1"/>
  <c r="W385" i="6" a="1"/>
  <c r="W385" i="6" s="1"/>
  <c r="L385" i="6"/>
  <c r="K385" i="6"/>
  <c r="J385" i="6"/>
  <c r="B385" i="6"/>
  <c r="A385" i="6"/>
  <c r="AA384" i="6"/>
  <c r="Z384" i="6"/>
  <c r="Y384" i="6"/>
  <c r="X384" i="6" a="1"/>
  <c r="X384" i="6" s="1"/>
  <c r="W384" i="6" a="1"/>
  <c r="W384" i="6" s="1"/>
  <c r="L384" i="6"/>
  <c r="K384" i="6"/>
  <c r="J384" i="6"/>
  <c r="B384" i="6"/>
  <c r="A384" i="6"/>
  <c r="Z383" i="6"/>
  <c r="AA383" i="6" s="1"/>
  <c r="Y383" i="6"/>
  <c r="X383" i="6" a="1"/>
  <c r="X383" i="6" s="1"/>
  <c r="W383" i="6" a="1"/>
  <c r="W383" i="6" s="1"/>
  <c r="L383" i="6"/>
  <c r="K383" i="6"/>
  <c r="J383" i="6"/>
  <c r="B383" i="6"/>
  <c r="A383" i="6"/>
  <c r="AA382" i="6"/>
  <c r="Z382" i="6"/>
  <c r="Y382" i="6"/>
  <c r="X382" i="6"/>
  <c r="X382" i="6" a="1"/>
  <c r="W382" i="6" a="1"/>
  <c r="W382" i="6" s="1"/>
  <c r="L382" i="6"/>
  <c r="K382" i="6"/>
  <c r="J382" i="6"/>
  <c r="B382" i="6"/>
  <c r="A382" i="6"/>
  <c r="Z381" i="6"/>
  <c r="AA381" i="6" s="1"/>
  <c r="Y381" i="6"/>
  <c r="X381" i="6" a="1"/>
  <c r="X381" i="6" s="1"/>
  <c r="W381" i="6" a="1"/>
  <c r="W381" i="6" s="1"/>
  <c r="L381" i="6"/>
  <c r="K381" i="6"/>
  <c r="J381" i="6"/>
  <c r="B381" i="6"/>
  <c r="A381" i="6"/>
  <c r="AA380" i="6"/>
  <c r="Z380" i="6"/>
  <c r="Y380" i="6"/>
  <c r="X380" i="6" a="1"/>
  <c r="X380" i="6" s="1"/>
  <c r="W380" i="6"/>
  <c r="W380" i="6" a="1"/>
  <c r="L380" i="6"/>
  <c r="K380" i="6"/>
  <c r="J380" i="6"/>
  <c r="B380" i="6"/>
  <c r="A380" i="6"/>
  <c r="Z379" i="6"/>
  <c r="AA379" i="6" s="1"/>
  <c r="Y379" i="6"/>
  <c r="X379" i="6" a="1"/>
  <c r="X379" i="6" s="1"/>
  <c r="W379" i="6" a="1"/>
  <c r="W379" i="6" s="1"/>
  <c r="L379" i="6"/>
  <c r="K379" i="6"/>
  <c r="J379" i="6"/>
  <c r="B379" i="6"/>
  <c r="A379" i="6"/>
  <c r="AA378" i="6"/>
  <c r="Z378" i="6"/>
  <c r="Y378" i="6"/>
  <c r="X378" i="6" a="1"/>
  <c r="X378" i="6" s="1"/>
  <c r="W378" i="6"/>
  <c r="W378" i="6" a="1"/>
  <c r="L378" i="6"/>
  <c r="K378" i="6"/>
  <c r="J378" i="6"/>
  <c r="B378" i="6"/>
  <c r="A378" i="6"/>
  <c r="Z377" i="6"/>
  <c r="AA377" i="6" s="1"/>
  <c r="Y377" i="6"/>
  <c r="X377" i="6" a="1"/>
  <c r="X377" i="6" s="1"/>
  <c r="W377" i="6" a="1"/>
  <c r="W377" i="6" s="1"/>
  <c r="L377" i="6"/>
  <c r="K377" i="6"/>
  <c r="J377" i="6"/>
  <c r="B377" i="6"/>
  <c r="A377" i="6"/>
  <c r="AA376" i="6"/>
  <c r="Z376" i="6"/>
  <c r="Y376" i="6"/>
  <c r="X376" i="6" a="1"/>
  <c r="X376" i="6" s="1"/>
  <c r="W376" i="6" a="1"/>
  <c r="W376" i="6" s="1"/>
  <c r="L376" i="6"/>
  <c r="K376" i="6"/>
  <c r="J376" i="6"/>
  <c r="B376" i="6"/>
  <c r="A376" i="6"/>
  <c r="Z375" i="6"/>
  <c r="AA375" i="6" s="1"/>
  <c r="Y375" i="6"/>
  <c r="X375" i="6" a="1"/>
  <c r="X375" i="6" s="1"/>
  <c r="W375" i="6" a="1"/>
  <c r="W375" i="6" s="1"/>
  <c r="L375" i="6"/>
  <c r="K375" i="6"/>
  <c r="J375" i="6"/>
  <c r="B375" i="6"/>
  <c r="A375" i="6"/>
  <c r="AA374" i="6"/>
  <c r="Z374" i="6"/>
  <c r="Y374" i="6"/>
  <c r="X374" i="6"/>
  <c r="X374" i="6" a="1"/>
  <c r="W374" i="6" a="1"/>
  <c r="W374" i="6" s="1"/>
  <c r="L374" i="6"/>
  <c r="K374" i="6"/>
  <c r="J374" i="6"/>
  <c r="B374" i="6"/>
  <c r="A374" i="6"/>
  <c r="Z373" i="6"/>
  <c r="AA373" i="6" s="1"/>
  <c r="Y373" i="6"/>
  <c r="X373" i="6" a="1"/>
  <c r="X373" i="6" s="1"/>
  <c r="W373" i="6" a="1"/>
  <c r="W373" i="6" s="1"/>
  <c r="L373" i="6"/>
  <c r="K373" i="6"/>
  <c r="J373" i="6"/>
  <c r="B373" i="6"/>
  <c r="A373" i="6"/>
  <c r="AA372" i="6"/>
  <c r="Z372" i="6"/>
  <c r="Y372" i="6"/>
  <c r="X372" i="6"/>
  <c r="X372" i="6" a="1"/>
  <c r="W372" i="6"/>
  <c r="W372" i="6" a="1"/>
  <c r="L372" i="6"/>
  <c r="K372" i="6"/>
  <c r="J372" i="6"/>
  <c r="B372" i="6"/>
  <c r="A372" i="6"/>
  <c r="Z371" i="6"/>
  <c r="AA371" i="6" s="1"/>
  <c r="Y371" i="6"/>
  <c r="X371" i="6" a="1"/>
  <c r="X371" i="6" s="1"/>
  <c r="W371" i="6" a="1"/>
  <c r="W371" i="6" s="1"/>
  <c r="L371" i="6"/>
  <c r="K371" i="6"/>
  <c r="J371" i="6"/>
  <c r="B371" i="6"/>
  <c r="A371" i="6"/>
  <c r="AA370" i="6"/>
  <c r="Z370" i="6"/>
  <c r="Y370" i="6"/>
  <c r="X370" i="6" a="1"/>
  <c r="X370" i="6" s="1"/>
  <c r="W370" i="6" a="1"/>
  <c r="W370" i="6" s="1"/>
  <c r="L370" i="6"/>
  <c r="K370" i="6"/>
  <c r="J370" i="6"/>
  <c r="B370" i="6"/>
  <c r="A370" i="6"/>
  <c r="Z369" i="6"/>
  <c r="AA369" i="6" s="1"/>
  <c r="Y369" i="6"/>
  <c r="X369" i="6" a="1"/>
  <c r="X369" i="6" s="1"/>
  <c r="W369" i="6" a="1"/>
  <c r="W369" i="6" s="1"/>
  <c r="L369" i="6"/>
  <c r="K369" i="6"/>
  <c r="J369" i="6"/>
  <c r="B369" i="6"/>
  <c r="A369" i="6"/>
  <c r="AA368" i="6"/>
  <c r="Z368" i="6"/>
  <c r="Y368" i="6"/>
  <c r="X368" i="6" a="1"/>
  <c r="X368" i="6" s="1"/>
  <c r="W368" i="6" a="1"/>
  <c r="W368" i="6" s="1"/>
  <c r="L368" i="6"/>
  <c r="K368" i="6"/>
  <c r="J368" i="6"/>
  <c r="B368" i="6"/>
  <c r="A368" i="6"/>
  <c r="Z367" i="6"/>
  <c r="AA367" i="6" s="1"/>
  <c r="Y367" i="6"/>
  <c r="X367" i="6" a="1"/>
  <c r="X367" i="6" s="1"/>
  <c r="W367" i="6" a="1"/>
  <c r="W367" i="6" s="1"/>
  <c r="L367" i="6"/>
  <c r="K367" i="6"/>
  <c r="J367" i="6"/>
  <c r="B367" i="6"/>
  <c r="A367" i="6"/>
  <c r="AA366" i="6"/>
  <c r="Z366" i="6"/>
  <c r="Y366" i="6"/>
  <c r="X366" i="6" a="1"/>
  <c r="X366" i="6" s="1"/>
  <c r="W366" i="6" a="1"/>
  <c r="W366" i="6" s="1"/>
  <c r="L366" i="6"/>
  <c r="K366" i="6"/>
  <c r="J366" i="6"/>
  <c r="B366" i="6"/>
  <c r="A366" i="6"/>
  <c r="Z365" i="6"/>
  <c r="AA365" i="6" s="1"/>
  <c r="Y365" i="6"/>
  <c r="X365" i="6" a="1"/>
  <c r="X365" i="6" s="1"/>
  <c r="W365" i="6" a="1"/>
  <c r="W365" i="6" s="1"/>
  <c r="L365" i="6"/>
  <c r="K365" i="6"/>
  <c r="J365" i="6"/>
  <c r="B365" i="6"/>
  <c r="A365" i="6"/>
  <c r="AA364" i="6"/>
  <c r="Z364" i="6"/>
  <c r="Y364" i="6"/>
  <c r="X364" i="6"/>
  <c r="X364" i="6" a="1"/>
  <c r="W364" i="6"/>
  <c r="W364" i="6" a="1"/>
  <c r="L364" i="6"/>
  <c r="K364" i="6"/>
  <c r="J364" i="6"/>
  <c r="B364" i="6"/>
  <c r="A364" i="6"/>
  <c r="Z363" i="6"/>
  <c r="AA363" i="6" s="1"/>
  <c r="Y363" i="6"/>
  <c r="X363" i="6" a="1"/>
  <c r="X363" i="6" s="1"/>
  <c r="W363" i="6" a="1"/>
  <c r="W363" i="6" s="1"/>
  <c r="L363" i="6"/>
  <c r="K363" i="6"/>
  <c r="J363" i="6"/>
  <c r="B363" i="6"/>
  <c r="A363" i="6"/>
  <c r="AA362" i="6"/>
  <c r="Z362" i="6"/>
  <c r="Y362" i="6"/>
  <c r="X362" i="6" a="1"/>
  <c r="X362" i="6" s="1"/>
  <c r="W362" i="6" a="1"/>
  <c r="W362" i="6" s="1"/>
  <c r="L362" i="6"/>
  <c r="K362" i="6"/>
  <c r="J362" i="6"/>
  <c r="B362" i="6"/>
  <c r="A362" i="6"/>
  <c r="Z361" i="6"/>
  <c r="AA361" i="6" s="1"/>
  <c r="Y361" i="6"/>
  <c r="X361" i="6" a="1"/>
  <c r="X361" i="6" s="1"/>
  <c r="W361" i="6" a="1"/>
  <c r="W361" i="6" s="1"/>
  <c r="L361" i="6"/>
  <c r="K361" i="6"/>
  <c r="J361" i="6"/>
  <c r="B361" i="6"/>
  <c r="A361" i="6"/>
  <c r="AA360" i="6"/>
  <c r="Z360" i="6"/>
  <c r="Y360" i="6"/>
  <c r="X360" i="6" a="1"/>
  <c r="X360" i="6" s="1"/>
  <c r="W360" i="6" a="1"/>
  <c r="W360" i="6" s="1"/>
  <c r="L360" i="6"/>
  <c r="K360" i="6"/>
  <c r="J360" i="6"/>
  <c r="B360" i="6"/>
  <c r="A360" i="6"/>
  <c r="Z359" i="6"/>
  <c r="AA359" i="6" s="1"/>
  <c r="Y359" i="6"/>
  <c r="X359" i="6" a="1"/>
  <c r="X359" i="6" s="1"/>
  <c r="W359" i="6" a="1"/>
  <c r="W359" i="6" s="1"/>
  <c r="L359" i="6"/>
  <c r="K359" i="6"/>
  <c r="J359" i="6"/>
  <c r="B359" i="6"/>
  <c r="A359" i="6"/>
  <c r="AA358" i="6"/>
  <c r="Z358" i="6"/>
  <c r="Y358" i="6"/>
  <c r="X358" i="6"/>
  <c r="X358" i="6" a="1"/>
  <c r="W358" i="6" a="1"/>
  <c r="W358" i="6" s="1"/>
  <c r="L358" i="6"/>
  <c r="K358" i="6"/>
  <c r="J358" i="6"/>
  <c r="B358" i="6"/>
  <c r="A358" i="6"/>
  <c r="Z357" i="6"/>
  <c r="AA357" i="6" s="1"/>
  <c r="Y357" i="6"/>
  <c r="X357" i="6" a="1"/>
  <c r="X357" i="6" s="1"/>
  <c r="W357" i="6" a="1"/>
  <c r="W357" i="6" s="1"/>
  <c r="L357" i="6"/>
  <c r="K357" i="6"/>
  <c r="J357" i="6"/>
  <c r="B357" i="6"/>
  <c r="A357" i="6"/>
  <c r="AA356" i="6"/>
  <c r="Z356" i="6"/>
  <c r="Y356" i="6"/>
  <c r="X356" i="6" a="1"/>
  <c r="X356" i="6" s="1"/>
  <c r="W356" i="6" a="1"/>
  <c r="W356" i="6" s="1"/>
  <c r="L356" i="6"/>
  <c r="K356" i="6"/>
  <c r="J356" i="6"/>
  <c r="B356" i="6"/>
  <c r="A356" i="6"/>
  <c r="AA355" i="6"/>
  <c r="Z355" i="6"/>
  <c r="Y355" i="6"/>
  <c r="X355" i="6" a="1"/>
  <c r="X355" i="6" s="1"/>
  <c r="W355" i="6"/>
  <c r="W355" i="6" a="1"/>
  <c r="L355" i="6"/>
  <c r="K355" i="6"/>
  <c r="J355" i="6"/>
  <c r="B355" i="6"/>
  <c r="A355" i="6"/>
  <c r="AA354" i="6"/>
  <c r="Z354" i="6"/>
  <c r="Y354" i="6"/>
  <c r="X354" i="6"/>
  <c r="X354" i="6" a="1"/>
  <c r="W354" i="6" a="1"/>
  <c r="W354" i="6" s="1"/>
  <c r="L354" i="6"/>
  <c r="K354" i="6"/>
  <c r="J354" i="6"/>
  <c r="B354" i="6"/>
  <c r="A354" i="6"/>
  <c r="Z353" i="6"/>
  <c r="AA353" i="6" s="1"/>
  <c r="Y353" i="6"/>
  <c r="X353" i="6" a="1"/>
  <c r="X353" i="6" s="1"/>
  <c r="W353" i="6" a="1"/>
  <c r="W353" i="6" s="1"/>
  <c r="L353" i="6"/>
  <c r="K353" i="6"/>
  <c r="J353" i="6"/>
  <c r="B353" i="6"/>
  <c r="A353" i="6"/>
  <c r="AA352" i="6"/>
  <c r="Z352" i="6"/>
  <c r="Y352" i="6"/>
  <c r="X352" i="6" a="1"/>
  <c r="X352" i="6" s="1"/>
  <c r="W352" i="6" a="1"/>
  <c r="W352" i="6" s="1"/>
  <c r="L352" i="6"/>
  <c r="K352" i="6"/>
  <c r="J352" i="6"/>
  <c r="B352" i="6"/>
  <c r="A352" i="6"/>
  <c r="AA351" i="6"/>
  <c r="Z351" i="6"/>
  <c r="Y351" i="6"/>
  <c r="X351" i="6" a="1"/>
  <c r="X351" i="6" s="1"/>
  <c r="W351" i="6" a="1"/>
  <c r="W351" i="6" s="1"/>
  <c r="L351" i="6"/>
  <c r="K351" i="6"/>
  <c r="J351" i="6"/>
  <c r="B351" i="6"/>
  <c r="A351" i="6"/>
  <c r="AA350" i="6"/>
  <c r="Z350" i="6"/>
  <c r="Y350" i="6"/>
  <c r="X350" i="6"/>
  <c r="X350" i="6" a="1"/>
  <c r="W350" i="6"/>
  <c r="W350" i="6" a="1"/>
  <c r="L350" i="6"/>
  <c r="K350" i="6"/>
  <c r="J350" i="6"/>
  <c r="B350" i="6"/>
  <c r="A350" i="6"/>
  <c r="Z349" i="6"/>
  <c r="AA349" i="6" s="1"/>
  <c r="Y349" i="6"/>
  <c r="X349" i="6" a="1"/>
  <c r="X349" i="6" s="1"/>
  <c r="W349" i="6" a="1"/>
  <c r="W349" i="6" s="1"/>
  <c r="L349" i="6"/>
  <c r="K349" i="6"/>
  <c r="J349" i="6"/>
  <c r="B349" i="6"/>
  <c r="A349" i="6"/>
  <c r="AA348" i="6"/>
  <c r="Z348" i="6"/>
  <c r="Y348" i="6"/>
  <c r="X348" i="6" a="1"/>
  <c r="X348" i="6" s="1"/>
  <c r="W348" i="6" a="1"/>
  <c r="W348" i="6" s="1"/>
  <c r="L348" i="6"/>
  <c r="K348" i="6"/>
  <c r="J348" i="6"/>
  <c r="B348" i="6"/>
  <c r="A348" i="6"/>
  <c r="AA347" i="6"/>
  <c r="Z347" i="6"/>
  <c r="Y347" i="6"/>
  <c r="X347" i="6" a="1"/>
  <c r="X347" i="6" s="1"/>
  <c r="W347" i="6" a="1"/>
  <c r="W347" i="6" s="1"/>
  <c r="L347" i="6"/>
  <c r="K347" i="6"/>
  <c r="J347" i="6"/>
  <c r="B347" i="6"/>
  <c r="A347" i="6"/>
  <c r="AA346" i="6"/>
  <c r="Z346" i="6"/>
  <c r="Y346" i="6"/>
  <c r="X346" i="6" a="1"/>
  <c r="X346" i="6" s="1"/>
  <c r="W346" i="6" a="1"/>
  <c r="W346" i="6" s="1"/>
  <c r="L346" i="6"/>
  <c r="K346" i="6"/>
  <c r="J346" i="6"/>
  <c r="B346" i="6"/>
  <c r="A346" i="6"/>
  <c r="Z345" i="6"/>
  <c r="AA345" i="6" s="1"/>
  <c r="Y345" i="6"/>
  <c r="X345" i="6" a="1"/>
  <c r="X345" i="6" s="1"/>
  <c r="W345" i="6" a="1"/>
  <c r="W345" i="6" s="1"/>
  <c r="L345" i="6"/>
  <c r="K345" i="6"/>
  <c r="J345" i="6"/>
  <c r="B345" i="6"/>
  <c r="A345" i="6"/>
  <c r="AA344" i="6"/>
  <c r="Z344" i="6"/>
  <c r="Y344" i="6"/>
  <c r="X344" i="6" a="1"/>
  <c r="X344" i="6" s="1"/>
  <c r="W344" i="6" a="1"/>
  <c r="W344" i="6" s="1"/>
  <c r="L344" i="6"/>
  <c r="K344" i="6"/>
  <c r="J344" i="6"/>
  <c r="B344" i="6"/>
  <c r="A344" i="6"/>
  <c r="Z343" i="6"/>
  <c r="AA343" i="6" s="1"/>
  <c r="Y343" i="6"/>
  <c r="X343" i="6" a="1"/>
  <c r="X343" i="6" s="1"/>
  <c r="W343" i="6"/>
  <c r="W343" i="6" a="1"/>
  <c r="L343" i="6"/>
  <c r="K343" i="6"/>
  <c r="J343" i="6"/>
  <c r="B343" i="6"/>
  <c r="A343" i="6"/>
  <c r="AA342" i="6"/>
  <c r="Z342" i="6"/>
  <c r="Y342" i="6"/>
  <c r="X342" i="6" a="1"/>
  <c r="X342" i="6" s="1"/>
  <c r="W342" i="6" a="1"/>
  <c r="W342" i="6" s="1"/>
  <c r="L342" i="6"/>
  <c r="K342" i="6"/>
  <c r="J342" i="6"/>
  <c r="B342" i="6"/>
  <c r="A342" i="6"/>
  <c r="Z341" i="6"/>
  <c r="AA341" i="6" s="1"/>
  <c r="Y341" i="6"/>
  <c r="X341" i="6" a="1"/>
  <c r="X341" i="6" s="1"/>
  <c r="W341" i="6" a="1"/>
  <c r="W341" i="6" s="1"/>
  <c r="L341" i="6"/>
  <c r="K341" i="6"/>
  <c r="J341" i="6"/>
  <c r="B341" i="6"/>
  <c r="A341" i="6"/>
  <c r="AA340" i="6"/>
  <c r="Z340" i="6"/>
  <c r="Y340" i="6"/>
  <c r="X340" i="6" a="1"/>
  <c r="X340" i="6" s="1"/>
  <c r="W340" i="6" a="1"/>
  <c r="W340" i="6" s="1"/>
  <c r="L340" i="6"/>
  <c r="K340" i="6"/>
  <c r="J340" i="6"/>
  <c r="B340" i="6"/>
  <c r="A340" i="6"/>
  <c r="AA339" i="6"/>
  <c r="Z339" i="6"/>
  <c r="Y339" i="6"/>
  <c r="X339" i="6" a="1"/>
  <c r="X339" i="6" s="1"/>
  <c r="W339" i="6" a="1"/>
  <c r="W339" i="6" s="1"/>
  <c r="L339" i="6"/>
  <c r="K339" i="6"/>
  <c r="J339" i="6"/>
  <c r="B339" i="6"/>
  <c r="A339" i="6"/>
  <c r="AA338" i="6"/>
  <c r="Z338" i="6"/>
  <c r="Y338" i="6"/>
  <c r="X338" i="6" a="1"/>
  <c r="X338" i="6" s="1"/>
  <c r="W338" i="6" a="1"/>
  <c r="W338" i="6" s="1"/>
  <c r="L338" i="6"/>
  <c r="K338" i="6"/>
  <c r="J338" i="6"/>
  <c r="B338" i="6"/>
  <c r="A338" i="6"/>
  <c r="Z337" i="6"/>
  <c r="AA337" i="6" s="1"/>
  <c r="Y337" i="6"/>
  <c r="X337" i="6" a="1"/>
  <c r="X337" i="6" s="1"/>
  <c r="W337" i="6"/>
  <c r="W337" i="6" a="1"/>
  <c r="L337" i="6"/>
  <c r="K337" i="6"/>
  <c r="J337" i="6"/>
  <c r="B337" i="6"/>
  <c r="A337" i="6"/>
  <c r="AA336" i="6"/>
  <c r="Z336" i="6"/>
  <c r="Y336" i="6"/>
  <c r="X336" i="6" a="1"/>
  <c r="X336" i="6" s="1"/>
  <c r="W336" i="6" a="1"/>
  <c r="W336" i="6" s="1"/>
  <c r="L336" i="6"/>
  <c r="K336" i="6"/>
  <c r="J336" i="6"/>
  <c r="B336" i="6"/>
  <c r="A336" i="6"/>
  <c r="AA335" i="6"/>
  <c r="Z335" i="6"/>
  <c r="Y335" i="6"/>
  <c r="X335" i="6" a="1"/>
  <c r="X335" i="6" s="1"/>
  <c r="W335" i="6" a="1"/>
  <c r="W335" i="6" s="1"/>
  <c r="L335" i="6"/>
  <c r="K335" i="6"/>
  <c r="J335" i="6"/>
  <c r="B335" i="6"/>
  <c r="A335" i="6"/>
  <c r="AA334" i="6"/>
  <c r="Z334" i="6"/>
  <c r="Y334" i="6"/>
  <c r="X334" i="6" a="1"/>
  <c r="X334" i="6" s="1"/>
  <c r="W334" i="6"/>
  <c r="W334" i="6" a="1"/>
  <c r="L334" i="6"/>
  <c r="K334" i="6"/>
  <c r="J334" i="6"/>
  <c r="B334" i="6"/>
  <c r="A334" i="6"/>
  <c r="Z333" i="6"/>
  <c r="AA333" i="6" s="1"/>
  <c r="Y333" i="6"/>
  <c r="X333" i="6" a="1"/>
  <c r="X333" i="6" s="1"/>
  <c r="W333" i="6"/>
  <c r="W333" i="6" a="1"/>
  <c r="L333" i="6"/>
  <c r="K333" i="6"/>
  <c r="J333" i="6"/>
  <c r="B333" i="6"/>
  <c r="A333" i="6"/>
  <c r="AA332" i="6"/>
  <c r="Z332" i="6"/>
  <c r="Y332" i="6"/>
  <c r="X332" i="6" a="1"/>
  <c r="X332" i="6" s="1"/>
  <c r="W332" i="6" a="1"/>
  <c r="W332" i="6" s="1"/>
  <c r="L332" i="6"/>
  <c r="K332" i="6"/>
  <c r="J332" i="6"/>
  <c r="B332" i="6"/>
  <c r="A332" i="6"/>
  <c r="AA331" i="6"/>
  <c r="Z331" i="6"/>
  <c r="Y331" i="6"/>
  <c r="X331" i="6" a="1"/>
  <c r="X331" i="6" s="1"/>
  <c r="W331" i="6" a="1"/>
  <c r="W331" i="6" s="1"/>
  <c r="L331" i="6"/>
  <c r="K331" i="6"/>
  <c r="J331" i="6"/>
  <c r="B331" i="6"/>
  <c r="A331" i="6"/>
  <c r="AA330" i="6"/>
  <c r="Z330" i="6"/>
  <c r="Y330" i="6"/>
  <c r="X330" i="6" a="1"/>
  <c r="X330" i="6" s="1"/>
  <c r="W330" i="6"/>
  <c r="W330" i="6" a="1"/>
  <c r="L330" i="6"/>
  <c r="K330" i="6"/>
  <c r="J330" i="6"/>
  <c r="B330" i="6"/>
  <c r="A330" i="6"/>
  <c r="Z329" i="6"/>
  <c r="AA329" i="6" s="1"/>
  <c r="Y329" i="6"/>
  <c r="X329" i="6" a="1"/>
  <c r="X329" i="6" s="1"/>
  <c r="W329" i="6" a="1"/>
  <c r="W329" i="6" s="1"/>
  <c r="L329" i="6"/>
  <c r="K329" i="6"/>
  <c r="J329" i="6"/>
  <c r="B329" i="6"/>
  <c r="A329" i="6"/>
  <c r="AA328" i="6"/>
  <c r="Z328" i="6"/>
  <c r="Y328" i="6"/>
  <c r="X328" i="6" a="1"/>
  <c r="X328" i="6" s="1"/>
  <c r="W328" i="6" a="1"/>
  <c r="W328" i="6" s="1"/>
  <c r="L328" i="6"/>
  <c r="K328" i="6"/>
  <c r="J328" i="6"/>
  <c r="B328" i="6"/>
  <c r="A328" i="6"/>
  <c r="Z327" i="6"/>
  <c r="AA327" i="6" s="1"/>
  <c r="Y327" i="6"/>
  <c r="X327" i="6" a="1"/>
  <c r="X327" i="6" s="1"/>
  <c r="W327" i="6"/>
  <c r="W327" i="6" a="1"/>
  <c r="L327" i="6"/>
  <c r="K327" i="6"/>
  <c r="J327" i="6"/>
  <c r="B327" i="6"/>
  <c r="A327" i="6"/>
  <c r="Z326" i="6"/>
  <c r="AA326" i="6" s="1"/>
  <c r="Y326" i="6"/>
  <c r="X326" i="6" a="1"/>
  <c r="X326" i="6" s="1"/>
  <c r="W326" i="6" a="1"/>
  <c r="W326" i="6" s="1"/>
  <c r="L326" i="6"/>
  <c r="K326" i="6"/>
  <c r="J326" i="6"/>
  <c r="B326" i="6"/>
  <c r="A326" i="6"/>
  <c r="Z325" i="6"/>
  <c r="AA325" i="6" s="1"/>
  <c r="Y325" i="6"/>
  <c r="X325" i="6" a="1"/>
  <c r="X325" i="6" s="1"/>
  <c r="W325" i="6" a="1"/>
  <c r="W325" i="6" s="1"/>
  <c r="L325" i="6"/>
  <c r="K325" i="6"/>
  <c r="J325" i="6"/>
  <c r="B325" i="6"/>
  <c r="A325" i="6"/>
  <c r="AA324" i="6"/>
  <c r="Z324" i="6"/>
  <c r="Y324" i="6"/>
  <c r="X324" i="6" a="1"/>
  <c r="X324" i="6" s="1"/>
  <c r="W324" i="6" a="1"/>
  <c r="W324" i="6" s="1"/>
  <c r="L324" i="6"/>
  <c r="K324" i="6"/>
  <c r="J324" i="6"/>
  <c r="B324" i="6"/>
  <c r="A324" i="6"/>
  <c r="AA323" i="6"/>
  <c r="Z323" i="6"/>
  <c r="Y323" i="6"/>
  <c r="X323" i="6" a="1"/>
  <c r="X323" i="6" s="1"/>
  <c r="W323" i="6" a="1"/>
  <c r="W323" i="6" s="1"/>
  <c r="L323" i="6"/>
  <c r="K323" i="6"/>
  <c r="J323" i="6"/>
  <c r="B323" i="6"/>
  <c r="A323" i="6"/>
  <c r="Z322" i="6"/>
  <c r="AA322" i="6" s="1"/>
  <c r="Y322" i="6"/>
  <c r="X322" i="6"/>
  <c r="X322" i="6" a="1"/>
  <c r="W322" i="6" a="1"/>
  <c r="W322" i="6" s="1"/>
  <c r="L322" i="6"/>
  <c r="K322" i="6"/>
  <c r="J322" i="6"/>
  <c r="B322" i="6"/>
  <c r="A322" i="6"/>
  <c r="Z321" i="6"/>
  <c r="AA321" i="6" s="1"/>
  <c r="Y321" i="6"/>
  <c r="X321" i="6" a="1"/>
  <c r="X321" i="6" s="1"/>
  <c r="W321" i="6" a="1"/>
  <c r="W321" i="6" s="1"/>
  <c r="L321" i="6"/>
  <c r="K321" i="6"/>
  <c r="J321" i="6"/>
  <c r="B321" i="6"/>
  <c r="A321" i="6"/>
  <c r="Z320" i="6"/>
  <c r="AA320" i="6" s="1"/>
  <c r="Y320" i="6"/>
  <c r="X320" i="6" a="1"/>
  <c r="X320" i="6" s="1"/>
  <c r="W320" i="6" a="1"/>
  <c r="W320" i="6" s="1"/>
  <c r="L320" i="6"/>
  <c r="K320" i="6"/>
  <c r="J320" i="6"/>
  <c r="B320" i="6"/>
  <c r="A320" i="6"/>
  <c r="AA319" i="6"/>
  <c r="Z319" i="6"/>
  <c r="Y319" i="6"/>
  <c r="X319" i="6" a="1"/>
  <c r="X319" i="6" s="1"/>
  <c r="W319" i="6"/>
  <c r="W319" i="6" a="1"/>
  <c r="L319" i="6"/>
  <c r="K319" i="6"/>
  <c r="J319" i="6"/>
  <c r="B319" i="6"/>
  <c r="A319" i="6"/>
  <c r="Z318" i="6"/>
  <c r="AA318" i="6" s="1"/>
  <c r="Y318" i="6"/>
  <c r="X318" i="6"/>
  <c r="X318" i="6" a="1"/>
  <c r="W318" i="6"/>
  <c r="W318" i="6" a="1"/>
  <c r="L318" i="6"/>
  <c r="K318" i="6"/>
  <c r="J318" i="6"/>
  <c r="B318" i="6"/>
  <c r="A318" i="6"/>
  <c r="Z317" i="6"/>
  <c r="AA317" i="6" s="1"/>
  <c r="Y317" i="6"/>
  <c r="X317" i="6" a="1"/>
  <c r="X317" i="6" s="1"/>
  <c r="W317" i="6"/>
  <c r="W317" i="6" a="1"/>
  <c r="L317" i="6"/>
  <c r="K317" i="6"/>
  <c r="J317" i="6"/>
  <c r="B317" i="6"/>
  <c r="A317" i="6"/>
  <c r="AA316" i="6"/>
  <c r="Z316" i="6"/>
  <c r="Y316" i="6"/>
  <c r="X316" i="6" a="1"/>
  <c r="X316" i="6" s="1"/>
  <c r="W316" i="6" a="1"/>
  <c r="W316" i="6" s="1"/>
  <c r="L316" i="6"/>
  <c r="K316" i="6"/>
  <c r="J316" i="6"/>
  <c r="B316" i="6"/>
  <c r="A316" i="6"/>
  <c r="AA315" i="6"/>
  <c r="Z315" i="6"/>
  <c r="Y315" i="6"/>
  <c r="X315" i="6" a="1"/>
  <c r="X315" i="6" s="1"/>
  <c r="W315" i="6" a="1"/>
  <c r="W315" i="6" s="1"/>
  <c r="L315" i="6"/>
  <c r="K315" i="6"/>
  <c r="J315" i="6"/>
  <c r="B315" i="6"/>
  <c r="A315" i="6"/>
  <c r="Z314" i="6"/>
  <c r="AA314" i="6" s="1"/>
  <c r="Y314" i="6"/>
  <c r="X314" i="6" a="1"/>
  <c r="X314" i="6" s="1"/>
  <c r="W314" i="6" a="1"/>
  <c r="W314" i="6" s="1"/>
  <c r="L314" i="6"/>
  <c r="K314" i="6"/>
  <c r="J314" i="6"/>
  <c r="B314" i="6"/>
  <c r="A314" i="6"/>
  <c r="Z313" i="6"/>
  <c r="AA313" i="6" s="1"/>
  <c r="Y313" i="6"/>
  <c r="X313" i="6" a="1"/>
  <c r="X313" i="6" s="1"/>
  <c r="W313" i="6"/>
  <c r="W313" i="6" a="1"/>
  <c r="L313" i="6"/>
  <c r="K313" i="6"/>
  <c r="J313" i="6"/>
  <c r="B313" i="6"/>
  <c r="A313" i="6"/>
  <c r="AA312" i="6"/>
  <c r="Z312" i="6"/>
  <c r="Y312" i="6"/>
  <c r="X312" i="6" a="1"/>
  <c r="X312" i="6" s="1"/>
  <c r="W312" i="6" a="1"/>
  <c r="W312" i="6" s="1"/>
  <c r="L312" i="6"/>
  <c r="K312" i="6"/>
  <c r="J312" i="6"/>
  <c r="B312" i="6"/>
  <c r="A312" i="6"/>
  <c r="Z311" i="6"/>
  <c r="AA311" i="6" s="1"/>
  <c r="Y311" i="6"/>
  <c r="X311" i="6" a="1"/>
  <c r="X311" i="6" s="1"/>
  <c r="W311" i="6" a="1"/>
  <c r="W311" i="6" s="1"/>
  <c r="L311" i="6"/>
  <c r="K311" i="6"/>
  <c r="J311" i="6"/>
  <c r="B311" i="6"/>
  <c r="A311" i="6"/>
  <c r="Z310" i="6"/>
  <c r="AA310" i="6" s="1"/>
  <c r="Y310" i="6"/>
  <c r="X310" i="6"/>
  <c r="X310" i="6" a="1"/>
  <c r="W310" i="6" a="1"/>
  <c r="W310" i="6" s="1"/>
  <c r="L310" i="6"/>
  <c r="K310" i="6"/>
  <c r="J310" i="6"/>
  <c r="B310" i="6"/>
  <c r="A310" i="6"/>
  <c r="Z309" i="6"/>
  <c r="AA309" i="6" s="1"/>
  <c r="Y309" i="6"/>
  <c r="X309" i="6" a="1"/>
  <c r="X309" i="6" s="1"/>
  <c r="W309" i="6" a="1"/>
  <c r="W309" i="6" s="1"/>
  <c r="L309" i="6"/>
  <c r="K309" i="6"/>
  <c r="J309" i="6"/>
  <c r="B309" i="6"/>
  <c r="A309" i="6"/>
  <c r="AA308" i="6"/>
  <c r="Z308" i="6"/>
  <c r="Y308" i="6"/>
  <c r="X308" i="6" a="1"/>
  <c r="X308" i="6" s="1"/>
  <c r="W308" i="6" a="1"/>
  <c r="W308" i="6" s="1"/>
  <c r="L308" i="6"/>
  <c r="K308" i="6"/>
  <c r="J308" i="6"/>
  <c r="B308" i="6"/>
  <c r="A308" i="6"/>
  <c r="AA307" i="6"/>
  <c r="Z307" i="6"/>
  <c r="Y307" i="6"/>
  <c r="X307" i="6" a="1"/>
  <c r="X307" i="6" s="1"/>
  <c r="W307" i="6" a="1"/>
  <c r="W307" i="6" s="1"/>
  <c r="L307" i="6"/>
  <c r="K307" i="6"/>
  <c r="J307" i="6"/>
  <c r="B307" i="6"/>
  <c r="A307" i="6"/>
  <c r="Z306" i="6"/>
  <c r="AA306" i="6" s="1"/>
  <c r="Y306" i="6"/>
  <c r="X306" i="6"/>
  <c r="X306" i="6" a="1"/>
  <c r="W306" i="6" a="1"/>
  <c r="W306" i="6" s="1"/>
  <c r="L306" i="6"/>
  <c r="K306" i="6"/>
  <c r="J306" i="6"/>
  <c r="B306" i="6"/>
  <c r="A306" i="6"/>
  <c r="Z305" i="6"/>
  <c r="AA305" i="6" s="1"/>
  <c r="Y305" i="6"/>
  <c r="X305" i="6" a="1"/>
  <c r="X305" i="6" s="1"/>
  <c r="W305" i="6" a="1"/>
  <c r="W305" i="6" s="1"/>
  <c r="L305" i="6"/>
  <c r="K305" i="6"/>
  <c r="J305" i="6"/>
  <c r="B305" i="6"/>
  <c r="A305" i="6"/>
  <c r="Z304" i="6"/>
  <c r="AA304" i="6" s="1"/>
  <c r="Y304" i="6"/>
  <c r="X304" i="6"/>
  <c r="X304" i="6" a="1"/>
  <c r="W304" i="6" a="1"/>
  <c r="W304" i="6" s="1"/>
  <c r="L304" i="6"/>
  <c r="K304" i="6"/>
  <c r="J304" i="6"/>
  <c r="B304" i="6"/>
  <c r="A304" i="6"/>
  <c r="Z303" i="6"/>
  <c r="AA303" i="6" s="1"/>
  <c r="Y303" i="6"/>
  <c r="X303" i="6" a="1"/>
  <c r="X303" i="6" s="1"/>
  <c r="W303" i="6" a="1"/>
  <c r="W303" i="6" s="1"/>
  <c r="L303" i="6"/>
  <c r="K303" i="6"/>
  <c r="J303" i="6"/>
  <c r="B303" i="6"/>
  <c r="A303" i="6"/>
  <c r="Z302" i="6"/>
  <c r="AA302" i="6" s="1"/>
  <c r="Y302" i="6"/>
  <c r="X302" i="6"/>
  <c r="X302" i="6" a="1"/>
  <c r="W302" i="6" a="1"/>
  <c r="W302" i="6" s="1"/>
  <c r="L302" i="6"/>
  <c r="K302" i="6"/>
  <c r="J302" i="6"/>
  <c r="B302" i="6"/>
  <c r="A302" i="6"/>
  <c r="Z301" i="6"/>
  <c r="AA301" i="6" s="1"/>
  <c r="Y301" i="6"/>
  <c r="X301" i="6" a="1"/>
  <c r="X301" i="6" s="1"/>
  <c r="W301" i="6"/>
  <c r="W301" i="6" a="1"/>
  <c r="L301" i="6"/>
  <c r="K301" i="6"/>
  <c r="J301" i="6"/>
  <c r="B301" i="6"/>
  <c r="A301" i="6"/>
  <c r="Z300" i="6"/>
  <c r="AA300" i="6" s="1"/>
  <c r="Y300" i="6"/>
  <c r="X300" i="6" a="1"/>
  <c r="X300" i="6" s="1"/>
  <c r="W300" i="6" a="1"/>
  <c r="W300" i="6" s="1"/>
  <c r="L300" i="6"/>
  <c r="K300" i="6"/>
  <c r="J300" i="6"/>
  <c r="B300" i="6"/>
  <c r="A300" i="6"/>
  <c r="Z299" i="6"/>
  <c r="AA299" i="6" s="1"/>
  <c r="Y299" i="6"/>
  <c r="X299" i="6" a="1"/>
  <c r="X299" i="6" s="1"/>
  <c r="W299" i="6"/>
  <c r="W299" i="6" a="1"/>
  <c r="L299" i="6"/>
  <c r="K299" i="6"/>
  <c r="J299" i="6"/>
  <c r="B299" i="6"/>
  <c r="A299" i="6"/>
  <c r="Z298" i="6"/>
  <c r="AA298" i="6" s="1"/>
  <c r="Y298" i="6"/>
  <c r="X298" i="6" a="1"/>
  <c r="X298" i="6" s="1"/>
  <c r="W298" i="6"/>
  <c r="W298" i="6" a="1"/>
  <c r="L298" i="6"/>
  <c r="K298" i="6"/>
  <c r="J298" i="6"/>
  <c r="B298" i="6"/>
  <c r="A298" i="6"/>
  <c r="Z297" i="6"/>
  <c r="AA297" i="6" s="1"/>
  <c r="Y297" i="6"/>
  <c r="X297" i="6" a="1"/>
  <c r="X297" i="6" s="1"/>
  <c r="W297" i="6"/>
  <c r="W297" i="6" a="1"/>
  <c r="L297" i="6"/>
  <c r="K297" i="6"/>
  <c r="J297" i="6"/>
  <c r="B297" i="6"/>
  <c r="A297" i="6"/>
  <c r="Z296" i="6"/>
  <c r="AA296" i="6" s="1"/>
  <c r="Y296" i="6"/>
  <c r="X296" i="6" a="1"/>
  <c r="X296" i="6" s="1"/>
  <c r="W296" i="6"/>
  <c r="W296" i="6" a="1"/>
  <c r="L296" i="6"/>
  <c r="K296" i="6"/>
  <c r="J296" i="6"/>
  <c r="B296" i="6"/>
  <c r="A296" i="6"/>
  <c r="Z295" i="6"/>
  <c r="AA295" i="6" s="1"/>
  <c r="Y295" i="6"/>
  <c r="X295" i="6" a="1"/>
  <c r="X295" i="6" s="1"/>
  <c r="W295" i="6"/>
  <c r="W295" i="6" a="1"/>
  <c r="L295" i="6"/>
  <c r="K295" i="6"/>
  <c r="J295" i="6"/>
  <c r="B295" i="6"/>
  <c r="A295" i="6"/>
  <c r="Z294" i="6"/>
  <c r="AA294" i="6" s="1"/>
  <c r="Y294" i="6"/>
  <c r="X294" i="6"/>
  <c r="X294" i="6" a="1"/>
  <c r="W294" i="6"/>
  <c r="W294" i="6" a="1"/>
  <c r="L294" i="6"/>
  <c r="K294" i="6"/>
  <c r="J294" i="6"/>
  <c r="B294" i="6"/>
  <c r="A294" i="6"/>
  <c r="Z293" i="6"/>
  <c r="AA293" i="6" s="1"/>
  <c r="Y293" i="6"/>
  <c r="X293" i="6" a="1"/>
  <c r="X293" i="6" s="1"/>
  <c r="W293" i="6" a="1"/>
  <c r="W293" i="6" s="1"/>
  <c r="L293" i="6"/>
  <c r="K293" i="6"/>
  <c r="J293" i="6"/>
  <c r="B293" i="6"/>
  <c r="A293" i="6"/>
  <c r="Z292" i="6"/>
  <c r="AA292" i="6" s="1"/>
  <c r="Y292" i="6"/>
  <c r="X292" i="6"/>
  <c r="X292" i="6" a="1"/>
  <c r="W292" i="6"/>
  <c r="W292" i="6" a="1"/>
  <c r="L292" i="6"/>
  <c r="K292" i="6"/>
  <c r="J292" i="6"/>
  <c r="B292" i="6"/>
  <c r="A292" i="6"/>
  <c r="Z291" i="6"/>
  <c r="AA291" i="6" s="1"/>
  <c r="Y291" i="6"/>
  <c r="X291" i="6" a="1"/>
  <c r="X291" i="6" s="1"/>
  <c r="W291" i="6" a="1"/>
  <c r="W291" i="6" s="1"/>
  <c r="L291" i="6"/>
  <c r="K291" i="6"/>
  <c r="J291" i="6"/>
  <c r="B291" i="6"/>
  <c r="A291" i="6"/>
  <c r="Z290" i="6"/>
  <c r="AA290" i="6" s="1"/>
  <c r="Y290" i="6"/>
  <c r="X290" i="6"/>
  <c r="X290" i="6" a="1"/>
  <c r="W290" i="6"/>
  <c r="W290" i="6" a="1"/>
  <c r="L290" i="6"/>
  <c r="K290" i="6"/>
  <c r="J290" i="6"/>
  <c r="B290" i="6"/>
  <c r="A290" i="6"/>
  <c r="Z289" i="6"/>
  <c r="AA289" i="6" s="1"/>
  <c r="Y289" i="6"/>
  <c r="X289" i="6" a="1"/>
  <c r="X289" i="6" s="1"/>
  <c r="W289" i="6" a="1"/>
  <c r="W289" i="6" s="1"/>
  <c r="L289" i="6"/>
  <c r="K289" i="6"/>
  <c r="J289" i="6"/>
  <c r="B289" i="6"/>
  <c r="A289" i="6"/>
  <c r="Z288" i="6"/>
  <c r="AA288" i="6" s="1"/>
  <c r="Y288" i="6"/>
  <c r="X288" i="6"/>
  <c r="X288" i="6" a="1"/>
  <c r="W288" i="6" a="1"/>
  <c r="W288" i="6" s="1"/>
  <c r="L288" i="6"/>
  <c r="K288" i="6"/>
  <c r="J288" i="6"/>
  <c r="B288" i="6"/>
  <c r="A288" i="6"/>
  <c r="Z287" i="6"/>
  <c r="AA287" i="6" s="1"/>
  <c r="Y287" i="6"/>
  <c r="X287" i="6" a="1"/>
  <c r="X287" i="6" s="1"/>
  <c r="W287" i="6" a="1"/>
  <c r="W287" i="6" s="1"/>
  <c r="L287" i="6"/>
  <c r="K287" i="6"/>
  <c r="J287" i="6"/>
  <c r="B287" i="6"/>
  <c r="A287" i="6"/>
  <c r="Z286" i="6"/>
  <c r="AA286" i="6" s="1"/>
  <c r="Y286" i="6"/>
  <c r="X286" i="6"/>
  <c r="X286" i="6" a="1"/>
  <c r="W286" i="6" a="1"/>
  <c r="W286" i="6" s="1"/>
  <c r="L286" i="6"/>
  <c r="K286" i="6"/>
  <c r="J286" i="6"/>
  <c r="B286" i="6"/>
  <c r="A286" i="6"/>
  <c r="Z285" i="6"/>
  <c r="AA285" i="6" s="1"/>
  <c r="Y285" i="6"/>
  <c r="X285" i="6" a="1"/>
  <c r="X285" i="6" s="1"/>
  <c r="W285" i="6"/>
  <c r="W285" i="6" a="1"/>
  <c r="L285" i="6"/>
  <c r="K285" i="6"/>
  <c r="J285" i="6"/>
  <c r="B285" i="6"/>
  <c r="A285" i="6"/>
  <c r="Z284" i="6"/>
  <c r="AA284" i="6" s="1"/>
  <c r="Y284" i="6"/>
  <c r="X284" i="6" a="1"/>
  <c r="X284" i="6" s="1"/>
  <c r="W284" i="6" a="1"/>
  <c r="W284" i="6" s="1"/>
  <c r="L284" i="6"/>
  <c r="K284" i="6"/>
  <c r="J284" i="6"/>
  <c r="B284" i="6"/>
  <c r="A284" i="6"/>
  <c r="Z283" i="6"/>
  <c r="AA283" i="6" s="1"/>
  <c r="Y283" i="6"/>
  <c r="X283" i="6" a="1"/>
  <c r="X283" i="6" s="1"/>
  <c r="W283" i="6"/>
  <c r="W283" i="6" a="1"/>
  <c r="L283" i="6"/>
  <c r="K283" i="6"/>
  <c r="J283" i="6"/>
  <c r="B283" i="6"/>
  <c r="A283" i="6"/>
  <c r="AA282" i="6"/>
  <c r="Z282" i="6"/>
  <c r="Y282" i="6"/>
  <c r="X282" i="6"/>
  <c r="X282" i="6" a="1"/>
  <c r="W282" i="6" a="1"/>
  <c r="W282" i="6" s="1"/>
  <c r="L282" i="6"/>
  <c r="K282" i="6"/>
  <c r="J282" i="6"/>
  <c r="B282" i="6"/>
  <c r="A282" i="6"/>
  <c r="Z281" i="6"/>
  <c r="AA281" i="6" s="1"/>
  <c r="Y281" i="6"/>
  <c r="X281" i="6" a="1"/>
  <c r="X281" i="6" s="1"/>
  <c r="W281" i="6" a="1"/>
  <c r="W281" i="6" s="1"/>
  <c r="L281" i="6"/>
  <c r="K281" i="6"/>
  <c r="J281" i="6"/>
  <c r="B281" i="6"/>
  <c r="A281" i="6"/>
  <c r="AA280" i="6"/>
  <c r="Z280" i="6"/>
  <c r="Y280" i="6"/>
  <c r="X280" i="6"/>
  <c r="X280" i="6" a="1"/>
  <c r="W280" i="6"/>
  <c r="W280" i="6" a="1"/>
  <c r="L280" i="6"/>
  <c r="K280" i="6"/>
  <c r="J280" i="6"/>
  <c r="B280" i="6"/>
  <c r="A280" i="6"/>
  <c r="AA279" i="6"/>
  <c r="Z279" i="6"/>
  <c r="Y279" i="6"/>
  <c r="X279" i="6" a="1"/>
  <c r="X279" i="6" s="1"/>
  <c r="W279" i="6"/>
  <c r="W279" i="6" a="1"/>
  <c r="L279" i="6"/>
  <c r="K279" i="6"/>
  <c r="J279" i="6"/>
  <c r="B279" i="6"/>
  <c r="A279" i="6"/>
  <c r="AA278" i="6"/>
  <c r="Z278" i="6"/>
  <c r="Y278" i="6"/>
  <c r="X278" i="6"/>
  <c r="X278" i="6" a="1"/>
  <c r="W278" i="6" a="1"/>
  <c r="W278" i="6" s="1"/>
  <c r="L278" i="6"/>
  <c r="K278" i="6"/>
  <c r="J278" i="6"/>
  <c r="B278" i="6"/>
  <c r="A278" i="6"/>
  <c r="AA277" i="6"/>
  <c r="Z277" i="6"/>
  <c r="Y277" i="6"/>
  <c r="X277" i="6" a="1"/>
  <c r="X277" i="6" s="1"/>
  <c r="W277" i="6" a="1"/>
  <c r="W277" i="6" s="1"/>
  <c r="L277" i="6"/>
  <c r="K277" i="6"/>
  <c r="J277" i="6"/>
  <c r="B277" i="6"/>
  <c r="A277" i="6"/>
  <c r="AA276" i="6"/>
  <c r="Z276" i="6"/>
  <c r="Y276" i="6"/>
  <c r="X276" i="6" a="1"/>
  <c r="X276" i="6" s="1"/>
  <c r="W276" i="6"/>
  <c r="W276" i="6" a="1"/>
  <c r="L276" i="6"/>
  <c r="K276" i="6"/>
  <c r="J276" i="6"/>
  <c r="B276" i="6"/>
  <c r="A276" i="6"/>
  <c r="AA275" i="6"/>
  <c r="Z275" i="6"/>
  <c r="Y275" i="6"/>
  <c r="X275" i="6" a="1"/>
  <c r="X275" i="6" s="1"/>
  <c r="W275" i="6"/>
  <c r="W275" i="6" a="1"/>
  <c r="L275" i="6"/>
  <c r="K275" i="6"/>
  <c r="J275" i="6"/>
  <c r="B275" i="6"/>
  <c r="A275" i="6"/>
  <c r="AA274" i="6"/>
  <c r="Z274" i="6"/>
  <c r="Y274" i="6"/>
  <c r="X274" i="6"/>
  <c r="X274" i="6" a="1"/>
  <c r="W274" i="6"/>
  <c r="W274" i="6" a="1"/>
  <c r="L274" i="6"/>
  <c r="K274" i="6"/>
  <c r="J274" i="6"/>
  <c r="B274" i="6"/>
  <c r="A274" i="6"/>
  <c r="AA273" i="6"/>
  <c r="Z273" i="6"/>
  <c r="Y273" i="6"/>
  <c r="X273" i="6" a="1"/>
  <c r="X273" i="6" s="1"/>
  <c r="W273" i="6"/>
  <c r="W273" i="6" a="1"/>
  <c r="L273" i="6"/>
  <c r="K273" i="6"/>
  <c r="J273" i="6"/>
  <c r="B273" i="6"/>
  <c r="A273" i="6"/>
  <c r="AA272" i="6"/>
  <c r="Z272" i="6"/>
  <c r="Y272" i="6"/>
  <c r="X272" i="6" a="1"/>
  <c r="X272" i="6" s="1"/>
  <c r="W272" i="6" a="1"/>
  <c r="W272" i="6" s="1"/>
  <c r="L272" i="6"/>
  <c r="K272" i="6"/>
  <c r="J272" i="6"/>
  <c r="B272" i="6"/>
  <c r="A272" i="6"/>
  <c r="AA271" i="6"/>
  <c r="Z271" i="6"/>
  <c r="Y271" i="6"/>
  <c r="X271" i="6" a="1"/>
  <c r="X271" i="6" s="1"/>
  <c r="W271" i="6" a="1"/>
  <c r="W271" i="6" s="1"/>
  <c r="L271" i="6"/>
  <c r="K271" i="6"/>
  <c r="J271" i="6"/>
  <c r="B271" i="6"/>
  <c r="A271" i="6"/>
  <c r="AA270" i="6"/>
  <c r="Z270" i="6"/>
  <c r="Y270" i="6"/>
  <c r="X270" i="6"/>
  <c r="X270" i="6" a="1"/>
  <c r="W270" i="6"/>
  <c r="W270" i="6" a="1"/>
  <c r="L270" i="6"/>
  <c r="K270" i="6"/>
  <c r="J270" i="6"/>
  <c r="B270" i="6"/>
  <c r="A270" i="6"/>
  <c r="AA269" i="6"/>
  <c r="Z269" i="6"/>
  <c r="Y269" i="6"/>
  <c r="X269" i="6" a="1"/>
  <c r="X269" i="6" s="1"/>
  <c r="W269" i="6"/>
  <c r="W269" i="6" a="1"/>
  <c r="L269" i="6"/>
  <c r="K269" i="6"/>
  <c r="J269" i="6"/>
  <c r="B269" i="6"/>
  <c r="A269" i="6"/>
  <c r="AA268" i="6"/>
  <c r="Z268" i="6"/>
  <c r="Y268" i="6"/>
  <c r="X268" i="6"/>
  <c r="X268" i="6" a="1"/>
  <c r="W268" i="6" a="1"/>
  <c r="W268" i="6" s="1"/>
  <c r="L268" i="6"/>
  <c r="K268" i="6"/>
  <c r="J268" i="6"/>
  <c r="B268" i="6"/>
  <c r="A268" i="6"/>
  <c r="AA267" i="6"/>
  <c r="Z267" i="6"/>
  <c r="Y267" i="6"/>
  <c r="X267" i="6" a="1"/>
  <c r="X267" i="6" s="1"/>
  <c r="W267" i="6" a="1"/>
  <c r="W267" i="6" s="1"/>
  <c r="L267" i="6"/>
  <c r="K267" i="6"/>
  <c r="J267" i="6"/>
  <c r="B267" i="6"/>
  <c r="A267" i="6"/>
  <c r="AA266" i="6"/>
  <c r="Z266" i="6"/>
  <c r="Y266" i="6"/>
  <c r="X266" i="6" a="1"/>
  <c r="X266" i="6" s="1"/>
  <c r="W266" i="6"/>
  <c r="W266" i="6" a="1"/>
  <c r="L266" i="6"/>
  <c r="K266" i="6"/>
  <c r="J266" i="6"/>
  <c r="B266" i="6"/>
  <c r="A266" i="6"/>
  <c r="AA265" i="6"/>
  <c r="Z265" i="6"/>
  <c r="Y265" i="6"/>
  <c r="X265" i="6" a="1"/>
  <c r="X265" i="6" s="1"/>
  <c r="W265" i="6" a="1"/>
  <c r="W265" i="6" s="1"/>
  <c r="L265" i="6"/>
  <c r="K265" i="6"/>
  <c r="J265" i="6"/>
  <c r="B265" i="6"/>
  <c r="A265" i="6"/>
  <c r="AA264" i="6"/>
  <c r="Z264" i="6"/>
  <c r="Y264" i="6"/>
  <c r="X264" i="6" a="1"/>
  <c r="X264" i="6" s="1"/>
  <c r="W264" i="6"/>
  <c r="W264" i="6" a="1"/>
  <c r="L264" i="6"/>
  <c r="K264" i="6"/>
  <c r="J264" i="6"/>
  <c r="B264" i="6"/>
  <c r="A264" i="6"/>
  <c r="AA263" i="6"/>
  <c r="Z263" i="6"/>
  <c r="Y263" i="6"/>
  <c r="X263" i="6" a="1"/>
  <c r="X263" i="6" s="1"/>
  <c r="W263" i="6"/>
  <c r="W263" i="6" a="1"/>
  <c r="L263" i="6"/>
  <c r="K263" i="6"/>
  <c r="J263" i="6"/>
  <c r="B263" i="6"/>
  <c r="A263" i="6"/>
  <c r="AA262" i="6"/>
  <c r="Z262" i="6"/>
  <c r="Y262" i="6"/>
  <c r="X262" i="6"/>
  <c r="X262" i="6" a="1"/>
  <c r="W262" i="6"/>
  <c r="W262" i="6" a="1"/>
  <c r="L262" i="6"/>
  <c r="K262" i="6"/>
  <c r="J262" i="6"/>
  <c r="B262" i="6"/>
  <c r="A262" i="6"/>
  <c r="AA261" i="6"/>
  <c r="Z261" i="6"/>
  <c r="Y261" i="6"/>
  <c r="X261" i="6" a="1"/>
  <c r="X261" i="6" s="1"/>
  <c r="W261" i="6" a="1"/>
  <c r="W261" i="6" s="1"/>
  <c r="L261" i="6"/>
  <c r="K261" i="6"/>
  <c r="J261" i="6"/>
  <c r="B261" i="6"/>
  <c r="A261" i="6"/>
  <c r="AA260" i="6"/>
  <c r="Z260" i="6"/>
  <c r="Y260" i="6"/>
  <c r="X260" i="6" a="1"/>
  <c r="X260" i="6" s="1"/>
  <c r="W260" i="6" a="1"/>
  <c r="W260" i="6" s="1"/>
  <c r="L260" i="6"/>
  <c r="K260" i="6"/>
  <c r="J260" i="6"/>
  <c r="B260" i="6"/>
  <c r="A260" i="6"/>
  <c r="AA259" i="6"/>
  <c r="Z259" i="6"/>
  <c r="Y259" i="6"/>
  <c r="X259" i="6" a="1"/>
  <c r="X259" i="6" s="1"/>
  <c r="W259" i="6"/>
  <c r="W259" i="6" a="1"/>
  <c r="L259" i="6"/>
  <c r="K259" i="6"/>
  <c r="J259" i="6"/>
  <c r="B259" i="6"/>
  <c r="A259" i="6"/>
  <c r="AA258" i="6"/>
  <c r="Z258" i="6"/>
  <c r="Y258" i="6"/>
  <c r="X258" i="6"/>
  <c r="X258" i="6" a="1"/>
  <c r="W258" i="6"/>
  <c r="W258" i="6" a="1"/>
  <c r="L258" i="6"/>
  <c r="K258" i="6"/>
  <c r="J258" i="6"/>
  <c r="B258" i="6"/>
  <c r="A258" i="6"/>
  <c r="AA257" i="6"/>
  <c r="Z257" i="6"/>
  <c r="Y257" i="6"/>
  <c r="X257" i="6" a="1"/>
  <c r="X257" i="6" s="1"/>
  <c r="W257" i="6"/>
  <c r="W257" i="6" a="1"/>
  <c r="L257" i="6"/>
  <c r="K257" i="6"/>
  <c r="J257" i="6"/>
  <c r="B257" i="6"/>
  <c r="A257" i="6"/>
  <c r="AA256" i="6"/>
  <c r="Z256" i="6"/>
  <c r="Y256" i="6"/>
  <c r="X256" i="6" a="1"/>
  <c r="X256" i="6" s="1"/>
  <c r="W256" i="6" a="1"/>
  <c r="W256" i="6" s="1"/>
  <c r="L256" i="6"/>
  <c r="K256" i="6"/>
  <c r="J256" i="6"/>
  <c r="B256" i="6"/>
  <c r="A256" i="6"/>
  <c r="AA255" i="6"/>
  <c r="Z255" i="6"/>
  <c r="Y255" i="6"/>
  <c r="X255" i="6" a="1"/>
  <c r="X255" i="6" s="1"/>
  <c r="W255" i="6"/>
  <c r="W255" i="6" a="1"/>
  <c r="L255" i="6"/>
  <c r="K255" i="6"/>
  <c r="J255" i="6"/>
  <c r="B255" i="6"/>
  <c r="A255" i="6"/>
  <c r="AA254" i="6"/>
  <c r="Z254" i="6"/>
  <c r="Y254" i="6"/>
  <c r="X254" i="6"/>
  <c r="X254" i="6" a="1"/>
  <c r="W254" i="6"/>
  <c r="W254" i="6" a="1"/>
  <c r="L254" i="6"/>
  <c r="K254" i="6"/>
  <c r="J254" i="6"/>
  <c r="B254" i="6"/>
  <c r="A254" i="6"/>
  <c r="AA253" i="6"/>
  <c r="Z253" i="6"/>
  <c r="Y253" i="6"/>
  <c r="X253" i="6" a="1"/>
  <c r="X253" i="6" s="1"/>
  <c r="W253" i="6" a="1"/>
  <c r="W253" i="6" s="1"/>
  <c r="L253" i="6"/>
  <c r="K253" i="6"/>
  <c r="J253" i="6"/>
  <c r="B253" i="6"/>
  <c r="A253" i="6"/>
  <c r="AA252" i="6"/>
  <c r="Z252" i="6"/>
  <c r="Y252" i="6"/>
  <c r="X252" i="6"/>
  <c r="X252" i="6" a="1"/>
  <c r="W252" i="6" a="1"/>
  <c r="W252" i="6" s="1"/>
  <c r="L252" i="6"/>
  <c r="K252" i="6"/>
  <c r="J252" i="6"/>
  <c r="B252" i="6"/>
  <c r="A252" i="6"/>
  <c r="AA251" i="6"/>
  <c r="Z251" i="6"/>
  <c r="Y251" i="6"/>
  <c r="X251" i="6" a="1"/>
  <c r="X251" i="6" s="1"/>
  <c r="W251" i="6" a="1"/>
  <c r="W251" i="6" s="1"/>
  <c r="L251" i="6"/>
  <c r="K251" i="6"/>
  <c r="J251" i="6"/>
  <c r="B251" i="6"/>
  <c r="A251" i="6"/>
  <c r="Z250" i="6"/>
  <c r="AA250" i="6" s="1"/>
  <c r="Y250" i="6"/>
  <c r="X250" i="6"/>
  <c r="X250" i="6" a="1"/>
  <c r="W250" i="6"/>
  <c r="W250" i="6" a="1"/>
  <c r="L250" i="6"/>
  <c r="K250" i="6"/>
  <c r="J250" i="6"/>
  <c r="B250" i="6"/>
  <c r="A250" i="6"/>
  <c r="AA249" i="6"/>
  <c r="Z249" i="6"/>
  <c r="Y249" i="6"/>
  <c r="X249" i="6" a="1"/>
  <c r="X249" i="6" s="1"/>
  <c r="W249" i="6"/>
  <c r="W249" i="6" a="1"/>
  <c r="L249" i="6"/>
  <c r="K249" i="6"/>
  <c r="J249" i="6"/>
  <c r="B249" i="6"/>
  <c r="A249" i="6"/>
  <c r="AA248" i="6"/>
  <c r="Z248" i="6"/>
  <c r="Y248" i="6"/>
  <c r="X248" i="6" a="1"/>
  <c r="X248" i="6" s="1"/>
  <c r="W248" i="6"/>
  <c r="W248" i="6" a="1"/>
  <c r="L248" i="6"/>
  <c r="K248" i="6"/>
  <c r="J248" i="6"/>
  <c r="B248" i="6"/>
  <c r="A248" i="6"/>
  <c r="Z247" i="6"/>
  <c r="AA247" i="6" s="1"/>
  <c r="Y247" i="6"/>
  <c r="X247" i="6" a="1"/>
  <c r="X247" i="6" s="1"/>
  <c r="W247" i="6"/>
  <c r="W247" i="6" a="1"/>
  <c r="L247" i="6"/>
  <c r="K247" i="6"/>
  <c r="J247" i="6"/>
  <c r="B247" i="6"/>
  <c r="A247" i="6"/>
  <c r="Z246" i="6"/>
  <c r="AA246" i="6" s="1"/>
  <c r="Y246" i="6"/>
  <c r="X246" i="6" a="1"/>
  <c r="X246" i="6" s="1"/>
  <c r="W246" i="6" a="1"/>
  <c r="W246" i="6" s="1"/>
  <c r="L246" i="6"/>
  <c r="K246" i="6"/>
  <c r="J246" i="6"/>
  <c r="B246" i="6"/>
  <c r="A246" i="6"/>
  <c r="Z245" i="6"/>
  <c r="AA245" i="6" s="1"/>
  <c r="Y245" i="6"/>
  <c r="X245" i="6" a="1"/>
  <c r="X245" i="6" s="1"/>
  <c r="W245" i="6"/>
  <c r="W245" i="6" a="1"/>
  <c r="L245" i="6"/>
  <c r="K245" i="6"/>
  <c r="J245" i="6"/>
  <c r="B245" i="6"/>
  <c r="A245" i="6"/>
  <c r="AA244" i="6"/>
  <c r="Z244" i="6"/>
  <c r="Y244" i="6"/>
  <c r="X244" i="6"/>
  <c r="X244" i="6" a="1"/>
  <c r="W244" i="6" a="1"/>
  <c r="W244" i="6" s="1"/>
  <c r="L244" i="6"/>
  <c r="K244" i="6"/>
  <c r="J244" i="6"/>
  <c r="B244" i="6"/>
  <c r="A244" i="6"/>
  <c r="Z243" i="6"/>
  <c r="AA243" i="6" s="1"/>
  <c r="Y243" i="6"/>
  <c r="X243" i="6" a="1"/>
  <c r="X243" i="6" s="1"/>
  <c r="W243" i="6" a="1"/>
  <c r="W243" i="6" s="1"/>
  <c r="L243" i="6"/>
  <c r="K243" i="6"/>
  <c r="J243" i="6"/>
  <c r="B243" i="6"/>
  <c r="A243" i="6"/>
  <c r="Z242" i="6"/>
  <c r="AA242" i="6" s="1"/>
  <c r="Y242" i="6"/>
  <c r="X242" i="6" a="1"/>
  <c r="X242" i="6" s="1"/>
  <c r="W242" i="6" a="1"/>
  <c r="W242" i="6" s="1"/>
  <c r="L242" i="6"/>
  <c r="K242" i="6"/>
  <c r="J242" i="6"/>
  <c r="B242" i="6"/>
  <c r="A242" i="6"/>
  <c r="Z241" i="6"/>
  <c r="AA241" i="6" s="1"/>
  <c r="Y241" i="6"/>
  <c r="X241" i="6" a="1"/>
  <c r="X241" i="6" s="1"/>
  <c r="W241" i="6"/>
  <c r="W241" i="6" a="1"/>
  <c r="L241" i="6"/>
  <c r="K241" i="6"/>
  <c r="J241" i="6"/>
  <c r="B241" i="6"/>
  <c r="A241" i="6"/>
  <c r="AA240" i="6"/>
  <c r="Z240" i="6"/>
  <c r="Y240" i="6"/>
  <c r="X240" i="6"/>
  <c r="X240" i="6" a="1"/>
  <c r="W240" i="6" a="1"/>
  <c r="W240" i="6" s="1"/>
  <c r="L240" i="6"/>
  <c r="K240" i="6"/>
  <c r="J240" i="6"/>
  <c r="B240" i="6"/>
  <c r="A240" i="6"/>
  <c r="Z239" i="6"/>
  <c r="AA239" i="6" s="1"/>
  <c r="Y239" i="6"/>
  <c r="X239" i="6" a="1"/>
  <c r="X239" i="6" s="1"/>
  <c r="W239" i="6" a="1"/>
  <c r="W239" i="6" s="1"/>
  <c r="L239" i="6"/>
  <c r="K239" i="6"/>
  <c r="J239" i="6"/>
  <c r="B239" i="6"/>
  <c r="A239" i="6"/>
  <c r="Z238" i="6"/>
  <c r="AA238" i="6" s="1"/>
  <c r="Y238" i="6"/>
  <c r="X238" i="6"/>
  <c r="X238" i="6" a="1"/>
  <c r="W238" i="6" a="1"/>
  <c r="W238" i="6" s="1"/>
  <c r="L238" i="6"/>
  <c r="K238" i="6"/>
  <c r="J238" i="6"/>
  <c r="B238" i="6"/>
  <c r="A238" i="6"/>
  <c r="Z237" i="6"/>
  <c r="AA237" i="6" s="1"/>
  <c r="Y237" i="6"/>
  <c r="X237" i="6" a="1"/>
  <c r="X237" i="6" s="1"/>
  <c r="W237" i="6" a="1"/>
  <c r="W237" i="6" s="1"/>
  <c r="L237" i="6"/>
  <c r="K237" i="6"/>
  <c r="J237" i="6"/>
  <c r="B237" i="6"/>
  <c r="A237" i="6"/>
  <c r="AA236" i="6"/>
  <c r="Z236" i="6"/>
  <c r="Y236" i="6"/>
  <c r="X236" i="6"/>
  <c r="X236" i="6" a="1"/>
  <c r="W236" i="6"/>
  <c r="W236" i="6" a="1"/>
  <c r="L236" i="6"/>
  <c r="K236" i="6"/>
  <c r="J236" i="6"/>
  <c r="B236" i="6"/>
  <c r="A236" i="6"/>
  <c r="Z235" i="6"/>
  <c r="AA235" i="6" s="1"/>
  <c r="Y235" i="6"/>
  <c r="X235" i="6" a="1"/>
  <c r="X235" i="6" s="1"/>
  <c r="W235" i="6" a="1"/>
  <c r="W235" i="6" s="1"/>
  <c r="L235" i="6"/>
  <c r="K235" i="6"/>
  <c r="J235" i="6"/>
  <c r="B235" i="6"/>
  <c r="A235" i="6"/>
  <c r="Z234" i="6"/>
  <c r="AA234" i="6" s="1"/>
  <c r="Y234" i="6"/>
  <c r="X234" i="6"/>
  <c r="X234" i="6" a="1"/>
  <c r="W234" i="6"/>
  <c r="W234" i="6" a="1"/>
  <c r="L234" i="6"/>
  <c r="K234" i="6"/>
  <c r="J234" i="6"/>
  <c r="B234" i="6"/>
  <c r="A234" i="6"/>
  <c r="Z233" i="6"/>
  <c r="AA233" i="6" s="1"/>
  <c r="Y233" i="6"/>
  <c r="X233" i="6" a="1"/>
  <c r="X233" i="6" s="1"/>
  <c r="W233" i="6"/>
  <c r="W233" i="6" a="1"/>
  <c r="L233" i="6"/>
  <c r="K233" i="6"/>
  <c r="J233" i="6"/>
  <c r="B233" i="6"/>
  <c r="A233" i="6"/>
  <c r="AA232" i="6"/>
  <c r="Z232" i="6"/>
  <c r="Y232" i="6"/>
  <c r="X232" i="6"/>
  <c r="X232" i="6" a="1"/>
  <c r="W232" i="6"/>
  <c r="W232" i="6" a="1"/>
  <c r="L232" i="6"/>
  <c r="K232" i="6"/>
  <c r="J232" i="6"/>
  <c r="B232" i="6"/>
  <c r="A232" i="6"/>
  <c r="Z231" i="6"/>
  <c r="AA231" i="6" s="1"/>
  <c r="Y231" i="6"/>
  <c r="X231" i="6" a="1"/>
  <c r="X231" i="6" s="1"/>
  <c r="W231" i="6"/>
  <c r="W231" i="6" a="1"/>
  <c r="L231" i="6"/>
  <c r="K231" i="6"/>
  <c r="J231" i="6"/>
  <c r="B231" i="6"/>
  <c r="A231" i="6"/>
  <c r="Z230" i="6"/>
  <c r="AA230" i="6" s="1"/>
  <c r="Y230" i="6"/>
  <c r="X230" i="6"/>
  <c r="X230" i="6" a="1"/>
  <c r="W230" i="6"/>
  <c r="W230" i="6" a="1"/>
  <c r="L230" i="6"/>
  <c r="K230" i="6"/>
  <c r="J230" i="6"/>
  <c r="B230" i="6"/>
  <c r="A230" i="6"/>
  <c r="Z229" i="6"/>
  <c r="AA229" i="6" s="1"/>
  <c r="Y229" i="6"/>
  <c r="X229" i="6" a="1"/>
  <c r="X229" i="6" s="1"/>
  <c r="W229" i="6" a="1"/>
  <c r="W229" i="6" s="1"/>
  <c r="L229" i="6"/>
  <c r="K229" i="6"/>
  <c r="J229" i="6"/>
  <c r="B229" i="6"/>
  <c r="A229" i="6"/>
  <c r="AA228" i="6"/>
  <c r="Z228" i="6"/>
  <c r="Y228" i="6"/>
  <c r="X228" i="6"/>
  <c r="X228" i="6" a="1"/>
  <c r="W228" i="6"/>
  <c r="W228" i="6" a="1"/>
  <c r="L228" i="6"/>
  <c r="K228" i="6"/>
  <c r="J228" i="6"/>
  <c r="B228" i="6"/>
  <c r="A228" i="6"/>
  <c r="Z227" i="6"/>
  <c r="AA227" i="6" s="1"/>
  <c r="Y227" i="6"/>
  <c r="X227" i="6" a="1"/>
  <c r="X227" i="6" s="1"/>
  <c r="W227" i="6"/>
  <c r="W227" i="6" a="1"/>
  <c r="L227" i="6"/>
  <c r="K227" i="6"/>
  <c r="J227" i="6"/>
  <c r="B227" i="6"/>
  <c r="A227" i="6"/>
  <c r="Z226" i="6"/>
  <c r="AA226" i="6" s="1"/>
  <c r="Y226" i="6"/>
  <c r="X226" i="6"/>
  <c r="X226" i="6" a="1"/>
  <c r="W226" i="6" a="1"/>
  <c r="W226" i="6" s="1"/>
  <c r="L226" i="6"/>
  <c r="K226" i="6"/>
  <c r="J226" i="6"/>
  <c r="B226" i="6"/>
  <c r="A226" i="6"/>
  <c r="Z225" i="6"/>
  <c r="AA225" i="6" s="1"/>
  <c r="Y225" i="6"/>
  <c r="X225" i="6" a="1"/>
  <c r="X225" i="6" s="1"/>
  <c r="W225" i="6" a="1"/>
  <c r="W225" i="6" s="1"/>
  <c r="L225" i="6"/>
  <c r="K225" i="6"/>
  <c r="J225" i="6"/>
  <c r="B225" i="6"/>
  <c r="A225" i="6"/>
  <c r="AA224" i="6"/>
  <c r="Z224" i="6"/>
  <c r="Y224" i="6"/>
  <c r="X224" i="6" a="1"/>
  <c r="X224" i="6" s="1"/>
  <c r="W224" i="6"/>
  <c r="W224" i="6" a="1"/>
  <c r="L224" i="6"/>
  <c r="K224" i="6"/>
  <c r="J224" i="6"/>
  <c r="B224" i="6"/>
  <c r="A224" i="6"/>
  <c r="Z223" i="6"/>
  <c r="AA223" i="6" s="1"/>
  <c r="Y223" i="6"/>
  <c r="X223" i="6" a="1"/>
  <c r="X223" i="6" s="1"/>
  <c r="W223" i="6"/>
  <c r="W223" i="6" a="1"/>
  <c r="L223" i="6"/>
  <c r="K223" i="6"/>
  <c r="J223" i="6"/>
  <c r="B223" i="6"/>
  <c r="A223" i="6"/>
  <c r="Z222" i="6"/>
  <c r="AA222" i="6" s="1"/>
  <c r="Y222" i="6"/>
  <c r="X222" i="6" a="1"/>
  <c r="X222" i="6" s="1"/>
  <c r="W222" i="6" a="1"/>
  <c r="W222" i="6" s="1"/>
  <c r="L222" i="6"/>
  <c r="K222" i="6"/>
  <c r="J222" i="6"/>
  <c r="B222" i="6"/>
  <c r="A222" i="6"/>
  <c r="Z221" i="6"/>
  <c r="AA221" i="6" s="1"/>
  <c r="Y221" i="6"/>
  <c r="X221" i="6" a="1"/>
  <c r="X221" i="6" s="1"/>
  <c r="W221" i="6" a="1"/>
  <c r="W221" i="6" s="1"/>
  <c r="L221" i="6"/>
  <c r="K221" i="6"/>
  <c r="J221" i="6"/>
  <c r="B221" i="6"/>
  <c r="A221" i="6"/>
  <c r="AA220" i="6"/>
  <c r="Z220" i="6"/>
  <c r="Y220" i="6"/>
  <c r="X220" i="6" a="1"/>
  <c r="X220" i="6" s="1"/>
  <c r="W220" i="6"/>
  <c r="W220" i="6" a="1"/>
  <c r="L220" i="6"/>
  <c r="K220" i="6"/>
  <c r="J220" i="6"/>
  <c r="B220" i="6"/>
  <c r="A220" i="6"/>
  <c r="Z219" i="6"/>
  <c r="AA219" i="6" s="1"/>
  <c r="Y219" i="6"/>
  <c r="X219" i="6" a="1"/>
  <c r="X219" i="6" s="1"/>
  <c r="W219" i="6"/>
  <c r="W219" i="6" a="1"/>
  <c r="L219" i="6"/>
  <c r="K219" i="6"/>
  <c r="J219" i="6"/>
  <c r="B219" i="6"/>
  <c r="A219" i="6"/>
  <c r="Z218" i="6"/>
  <c r="AA218" i="6" s="1"/>
  <c r="Y218" i="6"/>
  <c r="X218" i="6" a="1"/>
  <c r="X218" i="6" s="1"/>
  <c r="W218" i="6" a="1"/>
  <c r="W218" i="6" s="1"/>
  <c r="L218" i="6"/>
  <c r="K218" i="6"/>
  <c r="J218" i="6"/>
  <c r="B218" i="6"/>
  <c r="A218" i="6"/>
  <c r="Z217" i="6"/>
  <c r="AA217" i="6" s="1"/>
  <c r="Y217" i="6"/>
  <c r="X217" i="6" a="1"/>
  <c r="X217" i="6" s="1"/>
  <c r="W217" i="6" a="1"/>
  <c r="W217" i="6" s="1"/>
  <c r="L217" i="6"/>
  <c r="K217" i="6"/>
  <c r="J217" i="6"/>
  <c r="B217" i="6"/>
  <c r="A217" i="6"/>
  <c r="AA216" i="6"/>
  <c r="Z216" i="6"/>
  <c r="Y216" i="6"/>
  <c r="X216" i="6"/>
  <c r="X216" i="6" a="1"/>
  <c r="W216" i="6"/>
  <c r="W216" i="6" a="1"/>
  <c r="L216" i="6"/>
  <c r="K216" i="6"/>
  <c r="J216" i="6"/>
  <c r="B216" i="6"/>
  <c r="A216" i="6"/>
  <c r="Z215" i="6"/>
  <c r="AA215" i="6" s="1"/>
  <c r="Y215" i="6"/>
  <c r="X215" i="6" a="1"/>
  <c r="X215" i="6" s="1"/>
  <c r="W215" i="6" a="1"/>
  <c r="W215" i="6" s="1"/>
  <c r="L215" i="6"/>
  <c r="K215" i="6"/>
  <c r="J215" i="6"/>
  <c r="B215" i="6"/>
  <c r="A215" i="6"/>
  <c r="Z214" i="6"/>
  <c r="AA214" i="6" s="1"/>
  <c r="Y214" i="6"/>
  <c r="X214" i="6"/>
  <c r="X214" i="6" a="1"/>
  <c r="W214" i="6"/>
  <c r="W214" i="6" a="1"/>
  <c r="L214" i="6"/>
  <c r="K214" i="6"/>
  <c r="J214" i="6"/>
  <c r="B214" i="6"/>
  <c r="A214" i="6"/>
  <c r="Z213" i="6"/>
  <c r="AA213" i="6" s="1"/>
  <c r="Y213" i="6"/>
  <c r="X213" i="6" a="1"/>
  <c r="X213" i="6" s="1"/>
  <c r="W213" i="6" a="1"/>
  <c r="W213" i="6" s="1"/>
  <c r="L213" i="6"/>
  <c r="K213" i="6"/>
  <c r="J213" i="6"/>
  <c r="B213" i="6"/>
  <c r="A213" i="6"/>
  <c r="AA212" i="6"/>
  <c r="Z212" i="6"/>
  <c r="Y212" i="6"/>
  <c r="X212" i="6" a="1"/>
  <c r="X212" i="6" s="1"/>
  <c r="W212" i="6" a="1"/>
  <c r="W212" i="6" s="1"/>
  <c r="L212" i="6"/>
  <c r="K212" i="6"/>
  <c r="J212" i="6"/>
  <c r="B212" i="6"/>
  <c r="A212" i="6"/>
  <c r="Z211" i="6"/>
  <c r="AA211" i="6" s="1"/>
  <c r="Y211" i="6"/>
  <c r="X211" i="6" a="1"/>
  <c r="X211" i="6" s="1"/>
  <c r="W211" i="6" a="1"/>
  <c r="W211" i="6" s="1"/>
  <c r="L211" i="6"/>
  <c r="K211" i="6"/>
  <c r="J211" i="6"/>
  <c r="B211" i="6"/>
  <c r="A211" i="6"/>
  <c r="Z210" i="6"/>
  <c r="AA210" i="6" s="1"/>
  <c r="Y210" i="6"/>
  <c r="X210" i="6"/>
  <c r="X210" i="6" a="1"/>
  <c r="W210" i="6"/>
  <c r="W210" i="6" a="1"/>
  <c r="L210" i="6"/>
  <c r="K210" i="6"/>
  <c r="J210" i="6"/>
  <c r="A210" i="6"/>
  <c r="AA209" i="6"/>
  <c r="Z209" i="6"/>
  <c r="Y209" i="6"/>
  <c r="X209" i="6" a="1"/>
  <c r="X209" i="6" s="1"/>
  <c r="W209" i="6" a="1"/>
  <c r="W209" i="6" s="1"/>
  <c r="L209" i="6"/>
  <c r="K209" i="6"/>
  <c r="J209" i="6"/>
  <c r="A209" i="6"/>
  <c r="AA208" i="6"/>
  <c r="Z208" i="6"/>
  <c r="Y208" i="6"/>
  <c r="X208" i="6"/>
  <c r="X208" i="6" a="1"/>
  <c r="W208" i="6"/>
  <c r="W208" i="6" a="1"/>
  <c r="L208" i="6"/>
  <c r="K208" i="6"/>
  <c r="J208" i="6"/>
  <c r="A208" i="6"/>
  <c r="AA207" i="6"/>
  <c r="Z207" i="6"/>
  <c r="Y207" i="6"/>
  <c r="X207" i="6" a="1"/>
  <c r="X207" i="6" s="1"/>
  <c r="W207" i="6"/>
  <c r="W207" i="6" a="1"/>
  <c r="L207" i="6"/>
  <c r="K207" i="6"/>
  <c r="J207" i="6"/>
  <c r="A207" i="6"/>
  <c r="Z206" i="6"/>
  <c r="AA206" i="6" s="1"/>
  <c r="Y206" i="6"/>
  <c r="X206" i="6" a="1"/>
  <c r="X206" i="6" s="1"/>
  <c r="W206" i="6"/>
  <c r="W206" i="6" a="1"/>
  <c r="L206" i="6"/>
  <c r="K206" i="6"/>
  <c r="J206" i="6"/>
  <c r="A206" i="6"/>
  <c r="Z205" i="6"/>
  <c r="AA205" i="6" s="1"/>
  <c r="Y205" i="6"/>
  <c r="X205" i="6" a="1"/>
  <c r="X205" i="6" s="1"/>
  <c r="W205" i="6" a="1"/>
  <c r="W205" i="6" s="1"/>
  <c r="L205" i="6"/>
  <c r="K205" i="6"/>
  <c r="J205" i="6"/>
  <c r="A205" i="6"/>
  <c r="Z204" i="6"/>
  <c r="AA204" i="6" s="1"/>
  <c r="Y204" i="6"/>
  <c r="X204" i="6"/>
  <c r="X204" i="6" a="1"/>
  <c r="W204" i="6" a="1"/>
  <c r="W204" i="6" s="1"/>
  <c r="L204" i="6"/>
  <c r="K204" i="6"/>
  <c r="J204" i="6"/>
  <c r="A204" i="6"/>
  <c r="AA203" i="6"/>
  <c r="Z203" i="6"/>
  <c r="Y203" i="6"/>
  <c r="X203" i="6"/>
  <c r="X203" i="6" a="1"/>
  <c r="W203" i="6" a="1"/>
  <c r="W203" i="6" s="1"/>
  <c r="L203" i="6"/>
  <c r="K203" i="6"/>
  <c r="J203" i="6"/>
  <c r="A203" i="6"/>
  <c r="AA202" i="6"/>
  <c r="Z202" i="6"/>
  <c r="Y202" i="6"/>
  <c r="X202" i="6"/>
  <c r="X202" i="6" a="1"/>
  <c r="W202" i="6"/>
  <c r="W202" i="6" a="1"/>
  <c r="L202" i="6"/>
  <c r="K202" i="6"/>
  <c r="J202" i="6"/>
  <c r="A202" i="6"/>
  <c r="AA201" i="6"/>
  <c r="Z201" i="6"/>
  <c r="Y201" i="6"/>
  <c r="X201" i="6" a="1"/>
  <c r="X201" i="6" s="1"/>
  <c r="W201" i="6" a="1"/>
  <c r="W201" i="6" s="1"/>
  <c r="L201" i="6"/>
  <c r="K201" i="6"/>
  <c r="J201" i="6"/>
  <c r="A201" i="6"/>
  <c r="AA200" i="6"/>
  <c r="Z200" i="6"/>
  <c r="Y200" i="6"/>
  <c r="X200" i="6" a="1"/>
  <c r="X200" i="6" s="1"/>
  <c r="W200" i="6"/>
  <c r="W200" i="6" a="1"/>
  <c r="L200" i="6"/>
  <c r="K200" i="6"/>
  <c r="J200" i="6"/>
  <c r="A200" i="6"/>
  <c r="Z199" i="6"/>
  <c r="AA199" i="6" s="1"/>
  <c r="Y199" i="6"/>
  <c r="X199" i="6" a="1"/>
  <c r="X199" i="6" s="1"/>
  <c r="W199" i="6"/>
  <c r="W199" i="6" a="1"/>
  <c r="L199" i="6"/>
  <c r="K199" i="6"/>
  <c r="J199" i="6"/>
  <c r="A199" i="6"/>
  <c r="Y198" i="6"/>
  <c r="X198" i="6" a="1"/>
  <c r="X198" i="6" s="1"/>
  <c r="W198" i="6" a="1"/>
  <c r="W198" i="6" s="1"/>
  <c r="L198" i="6"/>
  <c r="K198" i="6"/>
  <c r="J198" i="6"/>
  <c r="Z198" i="6" s="1"/>
  <c r="AA198" i="6" s="1"/>
  <c r="Z197" i="6"/>
  <c r="AA197" i="6" s="1"/>
  <c r="Y197" i="6"/>
  <c r="X197" i="6"/>
  <c r="X197" i="6" a="1"/>
  <c r="W197" i="6"/>
  <c r="W197" i="6" a="1"/>
  <c r="L197" i="6"/>
  <c r="K197" i="6"/>
  <c r="J197" i="6"/>
  <c r="A197" i="6"/>
  <c r="AA196" i="6"/>
  <c r="Z196" i="6"/>
  <c r="Y196" i="6"/>
  <c r="X196" i="6" a="1"/>
  <c r="X196" i="6" s="1"/>
  <c r="W196" i="6" a="1"/>
  <c r="W196" i="6" s="1"/>
  <c r="L196" i="6"/>
  <c r="K196" i="6"/>
  <c r="J196" i="6"/>
  <c r="A196" i="6"/>
  <c r="AA195" i="6"/>
  <c r="Z195" i="6"/>
  <c r="Y195" i="6"/>
  <c r="X195" i="6"/>
  <c r="X195" i="6" a="1"/>
  <c r="W195" i="6" a="1"/>
  <c r="W195" i="6" s="1"/>
  <c r="L195" i="6"/>
  <c r="K195" i="6"/>
  <c r="J195" i="6"/>
  <c r="A195" i="6"/>
  <c r="AA194" i="6"/>
  <c r="Z194" i="6"/>
  <c r="Y194" i="6"/>
  <c r="X194" i="6" a="1"/>
  <c r="X194" i="6" s="1"/>
  <c r="W194" i="6" a="1"/>
  <c r="W194" i="6" s="1"/>
  <c r="L194" i="6"/>
  <c r="K194" i="6"/>
  <c r="J194" i="6"/>
  <c r="A194" i="6"/>
  <c r="Z193" i="6"/>
  <c r="AA193" i="6" s="1"/>
  <c r="Y193" i="6"/>
  <c r="X193" i="6" a="1"/>
  <c r="X193" i="6" s="1"/>
  <c r="W193" i="6" a="1"/>
  <c r="W193" i="6" s="1"/>
  <c r="L193" i="6"/>
  <c r="K193" i="6"/>
  <c r="J193" i="6"/>
  <c r="A193" i="6"/>
  <c r="Z192" i="6"/>
  <c r="AA192" i="6" s="1"/>
  <c r="Y192" i="6"/>
  <c r="X192" i="6" a="1"/>
  <c r="X192" i="6" s="1"/>
  <c r="W192" i="6" a="1"/>
  <c r="W192" i="6" s="1"/>
  <c r="L192" i="6"/>
  <c r="K192" i="6"/>
  <c r="J192" i="6"/>
  <c r="A192" i="6"/>
  <c r="Z191" i="6"/>
  <c r="AA191" i="6" s="1"/>
  <c r="Y191" i="6"/>
  <c r="X191" i="6"/>
  <c r="X191" i="6" a="1"/>
  <c r="W191" i="6" a="1"/>
  <c r="W191" i="6" s="1"/>
  <c r="L191" i="6"/>
  <c r="K191" i="6"/>
  <c r="J191" i="6"/>
  <c r="A191" i="6"/>
  <c r="Y190" i="6"/>
  <c r="X190" i="6" a="1"/>
  <c r="X190" i="6" s="1"/>
  <c r="W190" i="6" a="1"/>
  <c r="W190" i="6" s="1"/>
  <c r="K190" i="6"/>
  <c r="J190" i="6"/>
  <c r="Z189" i="6"/>
  <c r="AA189" i="6" s="1"/>
  <c r="Y189" i="6"/>
  <c r="X189" i="6" a="1"/>
  <c r="X189" i="6" s="1"/>
  <c r="W189" i="6" a="1"/>
  <c r="W189" i="6" s="1"/>
  <c r="L189" i="6"/>
  <c r="K189" i="6"/>
  <c r="J189" i="6"/>
  <c r="A189" i="6"/>
  <c r="Z188" i="6"/>
  <c r="AA188" i="6" s="1"/>
  <c r="Y188" i="6"/>
  <c r="X188" i="6" a="1"/>
  <c r="X188" i="6" s="1"/>
  <c r="W188" i="6" a="1"/>
  <c r="W188" i="6" s="1"/>
  <c r="L188" i="6"/>
  <c r="K188" i="6"/>
  <c r="J188" i="6"/>
  <c r="A188" i="6"/>
  <c r="Z187" i="6"/>
  <c r="AA187" i="6" s="1"/>
  <c r="Y187" i="6"/>
  <c r="X187" i="6" a="1"/>
  <c r="X187" i="6" s="1"/>
  <c r="W187" i="6" a="1"/>
  <c r="W187" i="6" s="1"/>
  <c r="L187" i="6"/>
  <c r="K187" i="6"/>
  <c r="J187" i="6"/>
  <c r="A187" i="6"/>
  <c r="Z186" i="6"/>
  <c r="AA186" i="6" s="1"/>
  <c r="Y186" i="6"/>
  <c r="X186" i="6" a="1"/>
  <c r="X186" i="6" s="1"/>
  <c r="W186" i="6" a="1"/>
  <c r="W186" i="6" s="1"/>
  <c r="L186" i="6"/>
  <c r="K186" i="6"/>
  <c r="J186" i="6"/>
  <c r="A186" i="6"/>
  <c r="Z185" i="6"/>
  <c r="AA185" i="6" s="1"/>
  <c r="Y185" i="6"/>
  <c r="X185" i="6" a="1"/>
  <c r="X185" i="6" s="1"/>
  <c r="W185" i="6" a="1"/>
  <c r="W185" i="6" s="1"/>
  <c r="L185" i="6"/>
  <c r="K185" i="6"/>
  <c r="J185" i="6"/>
  <c r="A185" i="6"/>
  <c r="Z184" i="6"/>
  <c r="AA184" i="6" s="1"/>
  <c r="Y184" i="6"/>
  <c r="X184" i="6" a="1"/>
  <c r="X184" i="6" s="1"/>
  <c r="W184" i="6" a="1"/>
  <c r="W184" i="6" s="1"/>
  <c r="L184" i="6"/>
  <c r="K184" i="6"/>
  <c r="J184" i="6"/>
  <c r="A184" i="6"/>
  <c r="Y183" i="6"/>
  <c r="X183" i="6" a="1"/>
  <c r="X183" i="6" s="1"/>
  <c r="W183" i="6" a="1"/>
  <c r="W183" i="6" s="1"/>
  <c r="K183" i="6"/>
  <c r="J183" i="6"/>
  <c r="L183" i="6" s="1"/>
  <c r="Z182" i="6"/>
  <c r="AA182" i="6" s="1"/>
  <c r="Y182" i="6"/>
  <c r="X182" i="6" a="1"/>
  <c r="X182" i="6" s="1"/>
  <c r="W182" i="6" a="1"/>
  <c r="W182" i="6" s="1"/>
  <c r="L182" i="6"/>
  <c r="K182" i="6"/>
  <c r="J182" i="6"/>
  <c r="A182" i="6"/>
  <c r="Z181" i="6"/>
  <c r="AA181" i="6" s="1"/>
  <c r="Y181" i="6"/>
  <c r="X181" i="6" a="1"/>
  <c r="X181" i="6" s="1"/>
  <c r="W181" i="6" a="1"/>
  <c r="W181" i="6" s="1"/>
  <c r="L181" i="6"/>
  <c r="K181" i="6"/>
  <c r="J181" i="6"/>
  <c r="Z180" i="6"/>
  <c r="AA180" i="6" s="1"/>
  <c r="Y180" i="6"/>
  <c r="X180" i="6" a="1"/>
  <c r="X180" i="6" s="1"/>
  <c r="W180" i="6" a="1"/>
  <c r="W180" i="6" s="1"/>
  <c r="L180" i="6"/>
  <c r="K180" i="6"/>
  <c r="J180" i="6"/>
  <c r="A180" i="6"/>
  <c r="Z179" i="6"/>
  <c r="AA179" i="6" s="1"/>
  <c r="Y179" i="6"/>
  <c r="X179" i="6" a="1"/>
  <c r="X179" i="6" s="1"/>
  <c r="W179" i="6"/>
  <c r="W179" i="6" a="1"/>
  <c r="L179" i="6"/>
  <c r="K179" i="6"/>
  <c r="J179" i="6"/>
  <c r="A179" i="6"/>
  <c r="Z178" i="6"/>
  <c r="AA178" i="6" s="1"/>
  <c r="Y178" i="6"/>
  <c r="X178" i="6" a="1"/>
  <c r="X178" i="6" s="1"/>
  <c r="W178" i="6" a="1"/>
  <c r="W178" i="6" s="1"/>
  <c r="L178" i="6"/>
  <c r="K178" i="6"/>
  <c r="J178" i="6"/>
  <c r="A178" i="6"/>
  <c r="Z177" i="6"/>
  <c r="AA177" i="6" s="1"/>
  <c r="Y177" i="6"/>
  <c r="X177" i="6" a="1"/>
  <c r="X177" i="6" s="1"/>
  <c r="W177" i="6" a="1"/>
  <c r="W177" i="6" s="1"/>
  <c r="L177" i="6"/>
  <c r="K177" i="6"/>
  <c r="J177" i="6"/>
  <c r="A177" i="6"/>
  <c r="Z176" i="6"/>
  <c r="AA176" i="6" s="1"/>
  <c r="Y176" i="6"/>
  <c r="X176" i="6" a="1"/>
  <c r="X176" i="6" s="1"/>
  <c r="W176" i="6" a="1"/>
  <c r="W176" i="6" s="1"/>
  <c r="L176" i="6"/>
  <c r="K176" i="6"/>
  <c r="J176" i="6"/>
  <c r="A176" i="6"/>
  <c r="AA175" i="6"/>
  <c r="Z175" i="6"/>
  <c r="Y175" i="6"/>
  <c r="X175" i="6" a="1"/>
  <c r="X175" i="6" s="1"/>
  <c r="W175" i="6" a="1"/>
  <c r="W175" i="6" s="1"/>
  <c r="L175" i="6"/>
  <c r="K175" i="6"/>
  <c r="J175" i="6"/>
  <c r="A175" i="6"/>
  <c r="AA174" i="6"/>
  <c r="Z174" i="6"/>
  <c r="Y174" i="6"/>
  <c r="X174" i="6" a="1"/>
  <c r="X174" i="6" s="1"/>
  <c r="W174" i="6" a="1"/>
  <c r="W174" i="6" s="1"/>
  <c r="L174" i="6"/>
  <c r="K174" i="6"/>
  <c r="J174" i="6"/>
  <c r="A174" i="6"/>
  <c r="Z173" i="6"/>
  <c r="AA173" i="6" s="1"/>
  <c r="Y173" i="6"/>
  <c r="X173" i="6"/>
  <c r="X173" i="6" a="1"/>
  <c r="W173" i="6" a="1"/>
  <c r="W173" i="6" s="1"/>
  <c r="L173" i="6"/>
  <c r="K173" i="6"/>
  <c r="J173" i="6"/>
  <c r="A173" i="6"/>
  <c r="AA172" i="6"/>
  <c r="Z172" i="6"/>
  <c r="Y172" i="6"/>
  <c r="X172" i="6" a="1"/>
  <c r="X172" i="6" s="1"/>
  <c r="W172" i="6" a="1"/>
  <c r="W172" i="6" s="1"/>
  <c r="L172" i="6"/>
  <c r="K172" i="6"/>
  <c r="J172" i="6"/>
  <c r="A172" i="6"/>
  <c r="Z171" i="6"/>
  <c r="AA171" i="6" s="1"/>
  <c r="Y171" i="6"/>
  <c r="X171" i="6"/>
  <c r="X171" i="6" a="1"/>
  <c r="W171" i="6"/>
  <c r="W171" i="6" a="1"/>
  <c r="L171" i="6"/>
  <c r="K171" i="6"/>
  <c r="J171" i="6"/>
  <c r="A171" i="6"/>
  <c r="AA170" i="6"/>
  <c r="Z170" i="6"/>
  <c r="Y170" i="6"/>
  <c r="X170" i="6" a="1"/>
  <c r="X170" i="6" s="1"/>
  <c r="W170" i="6" a="1"/>
  <c r="W170" i="6" s="1"/>
  <c r="L170" i="6"/>
  <c r="K170" i="6"/>
  <c r="J170" i="6"/>
  <c r="A170" i="6"/>
  <c r="Z169" i="6"/>
  <c r="AA169" i="6" s="1"/>
  <c r="Y169" i="6"/>
  <c r="X169" i="6" a="1"/>
  <c r="X169" i="6" s="1"/>
  <c r="W169" i="6" a="1"/>
  <c r="W169" i="6" s="1"/>
  <c r="L169" i="6"/>
  <c r="K169" i="6"/>
  <c r="J169" i="6"/>
  <c r="A169" i="6"/>
  <c r="Z168" i="6"/>
  <c r="AA168" i="6" s="1"/>
  <c r="Y168" i="6"/>
  <c r="X168" i="6" a="1"/>
  <c r="X168" i="6" s="1"/>
  <c r="W168" i="6" a="1"/>
  <c r="W168" i="6" s="1"/>
  <c r="L168" i="6"/>
  <c r="K168" i="6"/>
  <c r="J168" i="6"/>
  <c r="A168" i="6"/>
  <c r="Z167" i="6"/>
  <c r="AA167" i="6" s="1"/>
  <c r="Y167" i="6"/>
  <c r="X167" i="6" a="1"/>
  <c r="X167" i="6" s="1"/>
  <c r="W167" i="6" a="1"/>
  <c r="W167" i="6" s="1"/>
  <c r="L167" i="6"/>
  <c r="K167" i="6"/>
  <c r="J167" i="6"/>
  <c r="A167" i="6"/>
  <c r="Y166" i="6"/>
  <c r="X166" i="6" a="1"/>
  <c r="X166" i="6" s="1"/>
  <c r="W166" i="6" a="1"/>
  <c r="W166" i="6" s="1"/>
  <c r="K166" i="6"/>
  <c r="Z166" i="6" s="1"/>
  <c r="AA166" i="6" s="1"/>
  <c r="J166" i="6"/>
  <c r="Z165" i="6"/>
  <c r="AA165" i="6" s="1"/>
  <c r="Y165" i="6"/>
  <c r="X165" i="6" a="1"/>
  <c r="X165" i="6" s="1"/>
  <c r="W165" i="6"/>
  <c r="W165" i="6" a="1"/>
  <c r="L165" i="6"/>
  <c r="K165" i="6"/>
  <c r="J165" i="6"/>
  <c r="A165" i="6"/>
  <c r="Z164" i="6"/>
  <c r="AA164" i="6" s="1"/>
  <c r="Y164" i="6"/>
  <c r="X164" i="6" a="1"/>
  <c r="X164" i="6" s="1"/>
  <c r="W164" i="6" a="1"/>
  <c r="W164" i="6" s="1"/>
  <c r="L164" i="6"/>
  <c r="K164" i="6"/>
  <c r="J164" i="6"/>
  <c r="A164" i="6"/>
  <c r="Z163" i="6"/>
  <c r="AA163" i="6" s="1"/>
  <c r="Y163" i="6"/>
  <c r="X163" i="6"/>
  <c r="X163" i="6" a="1"/>
  <c r="W163" i="6" a="1"/>
  <c r="W163" i="6" s="1"/>
  <c r="L163" i="6"/>
  <c r="K163" i="6"/>
  <c r="J163" i="6"/>
  <c r="A163" i="6"/>
  <c r="Z162" i="6"/>
  <c r="AA162" i="6" s="1"/>
  <c r="Y162" i="6"/>
  <c r="X162" i="6" a="1"/>
  <c r="X162" i="6" s="1"/>
  <c r="W162" i="6" a="1"/>
  <c r="W162" i="6" s="1"/>
  <c r="L162" i="6"/>
  <c r="K162" i="6"/>
  <c r="J162" i="6"/>
  <c r="A162" i="6"/>
  <c r="Z161" i="6"/>
  <c r="AA161" i="6" s="1"/>
  <c r="Y161" i="6"/>
  <c r="X161" i="6" a="1"/>
  <c r="X161" i="6" s="1"/>
  <c r="W161" i="6" a="1"/>
  <c r="W161" i="6" s="1"/>
  <c r="L161" i="6"/>
  <c r="K161" i="6"/>
  <c r="J161" i="6"/>
  <c r="A161" i="6"/>
  <c r="Z160" i="6"/>
  <c r="AA160" i="6" s="1"/>
  <c r="Y160" i="6"/>
  <c r="X160" i="6" a="1"/>
  <c r="X160" i="6" s="1"/>
  <c r="W160" i="6" a="1"/>
  <c r="W160" i="6" s="1"/>
  <c r="L160" i="6"/>
  <c r="K160" i="6"/>
  <c r="J160" i="6"/>
  <c r="A160" i="6"/>
  <c r="Z159" i="6"/>
  <c r="AA159" i="6" s="1"/>
  <c r="Y159" i="6"/>
  <c r="X159" i="6" a="1"/>
  <c r="X159" i="6" s="1"/>
  <c r="W159" i="6" a="1"/>
  <c r="W159" i="6" s="1"/>
  <c r="L159" i="6"/>
  <c r="K159" i="6"/>
  <c r="J159" i="6"/>
  <c r="A159" i="6"/>
  <c r="AA158" i="6"/>
  <c r="Z158" i="6"/>
  <c r="Y158" i="6"/>
  <c r="X158" i="6" a="1"/>
  <c r="X158" i="6" s="1"/>
  <c r="W158" i="6" a="1"/>
  <c r="W158" i="6" s="1"/>
  <c r="L158" i="6"/>
  <c r="K158" i="6"/>
  <c r="J158" i="6"/>
  <c r="A158" i="6"/>
  <c r="Z157" i="6"/>
  <c r="AA157" i="6" s="1"/>
  <c r="Y157" i="6"/>
  <c r="X157" i="6" a="1"/>
  <c r="X157" i="6" s="1"/>
  <c r="W157" i="6" a="1"/>
  <c r="W157" i="6" s="1"/>
  <c r="L157" i="6"/>
  <c r="K157" i="6"/>
  <c r="J157" i="6"/>
  <c r="A157" i="6"/>
  <c r="Z156" i="6"/>
  <c r="AA156" i="6" s="1"/>
  <c r="Y156" i="6"/>
  <c r="X156" i="6" a="1"/>
  <c r="X156" i="6" s="1"/>
  <c r="W156" i="6" a="1"/>
  <c r="W156" i="6" s="1"/>
  <c r="L156" i="6"/>
  <c r="K156" i="6"/>
  <c r="J156" i="6"/>
  <c r="A156" i="6"/>
  <c r="Z155" i="6"/>
  <c r="AA155" i="6" s="1"/>
  <c r="Y155" i="6"/>
  <c r="X155" i="6" a="1"/>
  <c r="X155" i="6" s="1"/>
  <c r="W155" i="6" a="1"/>
  <c r="W155" i="6" s="1"/>
  <c r="L155" i="6"/>
  <c r="K155" i="6"/>
  <c r="J155" i="6"/>
  <c r="A155" i="6"/>
  <c r="Y154" i="6"/>
  <c r="X154" i="6" a="1"/>
  <c r="X154" i="6" s="1"/>
  <c r="W154" i="6" a="1"/>
  <c r="W154" i="6" s="1"/>
  <c r="K154" i="6"/>
  <c r="L154" i="6" s="1"/>
  <c r="J154" i="6"/>
  <c r="AA153" i="6"/>
  <c r="Z153" i="6"/>
  <c r="Y153" i="6"/>
  <c r="X153" i="6" a="1"/>
  <c r="X153" i="6" s="1"/>
  <c r="W153" i="6" a="1"/>
  <c r="W153" i="6" s="1"/>
  <c r="L153" i="6"/>
  <c r="K153" i="6"/>
  <c r="J153" i="6"/>
  <c r="A153" i="6"/>
  <c r="Z152" i="6"/>
  <c r="AA152" i="6" s="1"/>
  <c r="Y152" i="6"/>
  <c r="X152" i="6" a="1"/>
  <c r="X152" i="6" s="1"/>
  <c r="W152" i="6" a="1"/>
  <c r="W152" i="6" s="1"/>
  <c r="L152" i="6"/>
  <c r="K152" i="6"/>
  <c r="J152" i="6"/>
  <c r="A152" i="6"/>
  <c r="Z151" i="6"/>
  <c r="AA151" i="6" s="1"/>
  <c r="Y151" i="6"/>
  <c r="X151" i="6" a="1"/>
  <c r="X151" i="6" s="1"/>
  <c r="W151" i="6" a="1"/>
  <c r="W151" i="6" s="1"/>
  <c r="L151" i="6"/>
  <c r="K151" i="6"/>
  <c r="J151" i="6"/>
  <c r="A151" i="6"/>
  <c r="Z150" i="6"/>
  <c r="AA150" i="6" s="1"/>
  <c r="Y150" i="6"/>
  <c r="X150" i="6" a="1"/>
  <c r="X150" i="6" s="1"/>
  <c r="W150" i="6" a="1"/>
  <c r="W150" i="6" s="1"/>
  <c r="L150" i="6"/>
  <c r="K150" i="6"/>
  <c r="J150" i="6"/>
  <c r="A150" i="6"/>
  <c r="AA149" i="6"/>
  <c r="Z149" i="6"/>
  <c r="Y149" i="6"/>
  <c r="X149" i="6" a="1"/>
  <c r="X149" i="6" s="1"/>
  <c r="W149" i="6" a="1"/>
  <c r="W149" i="6" s="1"/>
  <c r="L149" i="6"/>
  <c r="K149" i="6"/>
  <c r="J149" i="6"/>
  <c r="A149" i="6"/>
  <c r="Z148" i="6"/>
  <c r="AA148" i="6" s="1"/>
  <c r="Y148" i="6"/>
  <c r="X148" i="6" a="1"/>
  <c r="X148" i="6" s="1"/>
  <c r="W148" i="6" a="1"/>
  <c r="W148" i="6" s="1"/>
  <c r="L148" i="6"/>
  <c r="K148" i="6"/>
  <c r="J148" i="6"/>
  <c r="A148" i="6"/>
  <c r="Z147" i="6"/>
  <c r="AA147" i="6" s="1"/>
  <c r="Y147" i="6"/>
  <c r="X147" i="6" a="1"/>
  <c r="X147" i="6" s="1"/>
  <c r="W147" i="6" a="1"/>
  <c r="W147" i="6" s="1"/>
  <c r="L147" i="6"/>
  <c r="K147" i="6"/>
  <c r="J147" i="6"/>
  <c r="A147" i="6"/>
  <c r="Z146" i="6"/>
  <c r="AA146" i="6" s="1"/>
  <c r="Y146" i="6"/>
  <c r="X146" i="6" a="1"/>
  <c r="X146" i="6" s="1"/>
  <c r="W146" i="6" a="1"/>
  <c r="W146" i="6" s="1"/>
  <c r="L146" i="6"/>
  <c r="K146" i="6"/>
  <c r="J146" i="6"/>
  <c r="A146" i="6"/>
  <c r="Y145" i="6"/>
  <c r="X145" i="6" a="1"/>
  <c r="X145" i="6" s="1"/>
  <c r="W145" i="6" a="1"/>
  <c r="W145" i="6" s="1"/>
  <c r="L145" i="6"/>
  <c r="K145" i="6"/>
  <c r="Z145" i="6" s="1"/>
  <c r="AA145" i="6" s="1"/>
  <c r="J145" i="6"/>
  <c r="Z144" i="6"/>
  <c r="AA144" i="6" s="1"/>
  <c r="Y144" i="6"/>
  <c r="X144" i="6" a="1"/>
  <c r="X144" i="6" s="1"/>
  <c r="W144" i="6" a="1"/>
  <c r="W144" i="6" s="1"/>
  <c r="L144" i="6"/>
  <c r="K144" i="6"/>
  <c r="J144" i="6"/>
  <c r="A144" i="6"/>
  <c r="Z143" i="6"/>
  <c r="AA143" i="6" s="1"/>
  <c r="Y143" i="6"/>
  <c r="X143" i="6" a="1"/>
  <c r="X143" i="6" s="1"/>
  <c r="W143" i="6" a="1"/>
  <c r="W143" i="6" s="1"/>
  <c r="L143" i="6"/>
  <c r="K143" i="6"/>
  <c r="J143" i="6"/>
  <c r="A143" i="6"/>
  <c r="Z142" i="6"/>
  <c r="AA142" i="6" s="1"/>
  <c r="Y142" i="6"/>
  <c r="X142" i="6" a="1"/>
  <c r="X142" i="6" s="1"/>
  <c r="W142" i="6" a="1"/>
  <c r="W142" i="6" s="1"/>
  <c r="L142" i="6"/>
  <c r="K142" i="6"/>
  <c r="J142" i="6"/>
  <c r="A142" i="6"/>
  <c r="Z141" i="6"/>
  <c r="AA141" i="6" s="1"/>
  <c r="Y141" i="6"/>
  <c r="X141" i="6" a="1"/>
  <c r="X141" i="6" s="1"/>
  <c r="W141" i="6" a="1"/>
  <c r="W141" i="6" s="1"/>
  <c r="L141" i="6"/>
  <c r="K141" i="6"/>
  <c r="J141" i="6"/>
  <c r="A141" i="6"/>
  <c r="Z140" i="6"/>
  <c r="AA140" i="6" s="1"/>
  <c r="Y140" i="6"/>
  <c r="X140" i="6" a="1"/>
  <c r="X140" i="6" s="1"/>
  <c r="W140" i="6" a="1"/>
  <c r="W140" i="6" s="1"/>
  <c r="L140" i="6"/>
  <c r="K140" i="6"/>
  <c r="J140" i="6"/>
  <c r="A140" i="6"/>
  <c r="Z139" i="6"/>
  <c r="AA139" i="6" s="1"/>
  <c r="Y139" i="6"/>
  <c r="X139" i="6" a="1"/>
  <c r="X139" i="6" s="1"/>
  <c r="W139" i="6" a="1"/>
  <c r="W139" i="6" s="1"/>
  <c r="L139" i="6"/>
  <c r="K139" i="6"/>
  <c r="J139" i="6"/>
  <c r="A139" i="6"/>
  <c r="Z138" i="6"/>
  <c r="AA138" i="6" s="1"/>
  <c r="Y138" i="6"/>
  <c r="X138" i="6" a="1"/>
  <c r="X138" i="6" s="1"/>
  <c r="W138" i="6" a="1"/>
  <c r="W138" i="6" s="1"/>
  <c r="L138" i="6"/>
  <c r="K138" i="6"/>
  <c r="J138" i="6"/>
  <c r="A138" i="6"/>
  <c r="Z137" i="6"/>
  <c r="AA137" i="6" s="1"/>
  <c r="Y137" i="6"/>
  <c r="X137" i="6" a="1"/>
  <c r="X137" i="6" s="1"/>
  <c r="W137" i="6" a="1"/>
  <c r="W137" i="6" s="1"/>
  <c r="L137" i="6"/>
  <c r="K137" i="6"/>
  <c r="J137" i="6"/>
  <c r="A137" i="6"/>
  <c r="AA136" i="6"/>
  <c r="Z136" i="6"/>
  <c r="Y136" i="6"/>
  <c r="X136" i="6"/>
  <c r="X136" i="6" a="1"/>
  <c r="W136" i="6" a="1"/>
  <c r="W136" i="6" s="1"/>
  <c r="L136" i="6"/>
  <c r="K136" i="6"/>
  <c r="J136" i="6"/>
  <c r="A136" i="6"/>
  <c r="Z135" i="6"/>
  <c r="AA135" i="6" s="1"/>
  <c r="Y135" i="6"/>
  <c r="X135" i="6" a="1"/>
  <c r="X135" i="6" s="1"/>
  <c r="W135" i="6" a="1"/>
  <c r="W135" i="6" s="1"/>
  <c r="L135" i="6"/>
  <c r="K135" i="6"/>
  <c r="J135" i="6"/>
  <c r="A135" i="6"/>
  <c r="Z134" i="6"/>
  <c r="AA134" i="6" s="1"/>
  <c r="Y134" i="6"/>
  <c r="X134" i="6" a="1"/>
  <c r="X134" i="6" s="1"/>
  <c r="W134" i="6" a="1"/>
  <c r="W134" i="6" s="1"/>
  <c r="L134" i="6"/>
  <c r="K134" i="6"/>
  <c r="J134" i="6"/>
  <c r="A134" i="6"/>
  <c r="Z133" i="6"/>
  <c r="AA133" i="6" s="1"/>
  <c r="Y133" i="6"/>
  <c r="X133" i="6" a="1"/>
  <c r="X133" i="6" s="1"/>
  <c r="W133" i="6" a="1"/>
  <c r="W133" i="6" s="1"/>
  <c r="L133" i="6"/>
  <c r="K133" i="6"/>
  <c r="J133" i="6"/>
  <c r="A133" i="6"/>
  <c r="Y132" i="6"/>
  <c r="X132" i="6" a="1"/>
  <c r="X132" i="6" s="1"/>
  <c r="W132" i="6" a="1"/>
  <c r="W132" i="6" s="1"/>
  <c r="L132" i="6"/>
  <c r="K132" i="6"/>
  <c r="Z132" i="6" s="1"/>
  <c r="AA132" i="6" s="1"/>
  <c r="J132" i="6"/>
  <c r="Z131" i="6"/>
  <c r="AA131" i="6" s="1"/>
  <c r="Y131" i="6"/>
  <c r="X131" i="6" a="1"/>
  <c r="X131" i="6" s="1"/>
  <c r="W131" i="6" a="1"/>
  <c r="W131" i="6" s="1"/>
  <c r="L131" i="6"/>
  <c r="K131" i="6"/>
  <c r="J131" i="6"/>
  <c r="A131" i="6"/>
  <c r="AA130" i="6"/>
  <c r="Z130" i="6"/>
  <c r="Y130" i="6"/>
  <c r="X130" i="6" a="1"/>
  <c r="X130" i="6" s="1"/>
  <c r="W130" i="6" a="1"/>
  <c r="W130" i="6" s="1"/>
  <c r="L130" i="6"/>
  <c r="K130" i="6"/>
  <c r="J130" i="6"/>
  <c r="A130" i="6"/>
  <c r="Z129" i="6"/>
  <c r="AA129" i="6" s="1"/>
  <c r="Y129" i="6"/>
  <c r="X129" i="6" a="1"/>
  <c r="X129" i="6" s="1"/>
  <c r="W129" i="6" a="1"/>
  <c r="W129" i="6" s="1"/>
  <c r="L129" i="6"/>
  <c r="K129" i="6"/>
  <c r="J129" i="6"/>
  <c r="A129" i="6"/>
  <c r="Z128" i="6"/>
  <c r="AA128" i="6" s="1"/>
  <c r="Y128" i="6"/>
  <c r="X128" i="6" a="1"/>
  <c r="X128" i="6" s="1"/>
  <c r="W128" i="6" a="1"/>
  <c r="W128" i="6" s="1"/>
  <c r="L128" i="6"/>
  <c r="K128" i="6"/>
  <c r="J128" i="6"/>
  <c r="A128" i="6"/>
  <c r="Z127" i="6"/>
  <c r="AA127" i="6" s="1"/>
  <c r="Y127" i="6"/>
  <c r="X127" i="6" a="1"/>
  <c r="X127" i="6" s="1"/>
  <c r="W127" i="6" a="1"/>
  <c r="W127" i="6" s="1"/>
  <c r="L127" i="6"/>
  <c r="K127" i="6"/>
  <c r="J127" i="6"/>
  <c r="A127" i="6"/>
  <c r="Z126" i="6"/>
  <c r="AA126" i="6" s="1"/>
  <c r="Y126" i="6"/>
  <c r="X126" i="6" a="1"/>
  <c r="X126" i="6" s="1"/>
  <c r="W126" i="6" a="1"/>
  <c r="W126" i="6" s="1"/>
  <c r="L126" i="6"/>
  <c r="K126" i="6"/>
  <c r="J126" i="6"/>
  <c r="A126" i="6"/>
  <c r="Z125" i="6"/>
  <c r="AA125" i="6" s="1"/>
  <c r="Y125" i="6"/>
  <c r="X125" i="6" a="1"/>
  <c r="X125" i="6" s="1"/>
  <c r="W125" i="6" a="1"/>
  <c r="W125" i="6" s="1"/>
  <c r="L125" i="6"/>
  <c r="K125" i="6"/>
  <c r="J125" i="6"/>
  <c r="A125" i="6"/>
  <c r="Z124" i="6"/>
  <c r="AA124" i="6" s="1"/>
  <c r="Y124" i="6"/>
  <c r="X124" i="6" a="1"/>
  <c r="X124" i="6" s="1"/>
  <c r="W124" i="6" a="1"/>
  <c r="W124" i="6" s="1"/>
  <c r="L124" i="6"/>
  <c r="K124" i="6"/>
  <c r="J124" i="6"/>
  <c r="A124" i="6"/>
  <c r="AA123" i="6"/>
  <c r="Z123" i="6"/>
  <c r="Y123" i="6"/>
  <c r="X123" i="6" a="1"/>
  <c r="X123" i="6" s="1"/>
  <c r="W123" i="6" a="1"/>
  <c r="W123" i="6" s="1"/>
  <c r="L123" i="6"/>
  <c r="K123" i="6"/>
  <c r="J123" i="6"/>
  <c r="A123" i="6"/>
  <c r="Z122" i="6"/>
  <c r="AA122" i="6" s="1"/>
  <c r="Y122" i="6"/>
  <c r="X122" i="6" a="1"/>
  <c r="X122" i="6" s="1"/>
  <c r="W122" i="6"/>
  <c r="W122" i="6" a="1"/>
  <c r="L122" i="6"/>
  <c r="K122" i="6"/>
  <c r="J122" i="6"/>
  <c r="A122" i="6"/>
  <c r="Z121" i="6"/>
  <c r="AA121" i="6" s="1"/>
  <c r="Y121" i="6"/>
  <c r="X121" i="6" a="1"/>
  <c r="X121" i="6" s="1"/>
  <c r="W121" i="6" a="1"/>
  <c r="W121" i="6" s="1"/>
  <c r="L121" i="6"/>
  <c r="K121" i="6"/>
  <c r="J121" i="6"/>
  <c r="A121" i="6"/>
  <c r="Z120" i="6"/>
  <c r="AA120" i="6" s="1"/>
  <c r="Y120" i="6"/>
  <c r="X120" i="6" a="1"/>
  <c r="X120" i="6" s="1"/>
  <c r="W120" i="6" a="1"/>
  <c r="W120" i="6" s="1"/>
  <c r="L120" i="6"/>
  <c r="K120" i="6"/>
  <c r="J120" i="6"/>
  <c r="A120" i="6"/>
  <c r="Z119" i="6"/>
  <c r="AA119" i="6" s="1"/>
  <c r="Y119" i="6"/>
  <c r="X119" i="6" a="1"/>
  <c r="X119" i="6" s="1"/>
  <c r="W119" i="6" a="1"/>
  <c r="W119" i="6" s="1"/>
  <c r="L119" i="6"/>
  <c r="K119" i="6"/>
  <c r="J119" i="6"/>
  <c r="A119" i="6"/>
  <c r="Z118" i="6"/>
  <c r="AA118" i="6" s="1"/>
  <c r="Y118" i="6"/>
  <c r="X118" i="6" a="1"/>
  <c r="X118" i="6" s="1"/>
  <c r="W118" i="6" a="1"/>
  <c r="W118" i="6" s="1"/>
  <c r="L118" i="6"/>
  <c r="K118" i="6"/>
  <c r="J118" i="6"/>
  <c r="A118" i="6"/>
  <c r="Z117" i="6"/>
  <c r="AA117" i="6" s="1"/>
  <c r="Y117" i="6"/>
  <c r="X117" i="6" a="1"/>
  <c r="X117" i="6" s="1"/>
  <c r="W117" i="6" a="1"/>
  <c r="W117" i="6" s="1"/>
  <c r="L117" i="6"/>
  <c r="K117" i="6"/>
  <c r="J117" i="6"/>
  <c r="A117" i="6"/>
  <c r="Z116" i="6"/>
  <c r="AA116" i="6" s="1"/>
  <c r="Y116" i="6"/>
  <c r="X116" i="6" a="1"/>
  <c r="X116" i="6" s="1"/>
  <c r="W116" i="6" a="1"/>
  <c r="W116" i="6" s="1"/>
  <c r="L116" i="6"/>
  <c r="K116" i="6"/>
  <c r="J116" i="6"/>
  <c r="A116" i="6"/>
  <c r="Z115" i="6"/>
  <c r="AA115" i="6" s="1"/>
  <c r="Y115" i="6"/>
  <c r="X115" i="6" a="1"/>
  <c r="X115" i="6" s="1"/>
  <c r="W115" i="6" a="1"/>
  <c r="W115" i="6" s="1"/>
  <c r="L115" i="6"/>
  <c r="K115" i="6"/>
  <c r="J115" i="6"/>
  <c r="A115" i="6"/>
  <c r="Z114" i="6"/>
  <c r="AA114" i="6" s="1"/>
  <c r="Y114" i="6"/>
  <c r="X114" i="6" a="1"/>
  <c r="X114" i="6" s="1"/>
  <c r="W114" i="6" a="1"/>
  <c r="W114" i="6" s="1"/>
  <c r="L114" i="6"/>
  <c r="K114" i="6"/>
  <c r="J114" i="6"/>
  <c r="A114" i="6"/>
  <c r="Z113" i="6"/>
  <c r="AA113" i="6" s="1"/>
  <c r="Y113" i="6"/>
  <c r="X113" i="6" a="1"/>
  <c r="X113" i="6" s="1"/>
  <c r="W113" i="6" a="1"/>
  <c r="W113" i="6" s="1"/>
  <c r="L113" i="6"/>
  <c r="K113" i="6"/>
  <c r="J113" i="6"/>
  <c r="A113" i="6"/>
  <c r="Z112" i="6"/>
  <c r="AA112" i="6" s="1"/>
  <c r="Y112" i="6"/>
  <c r="X112" i="6" a="1"/>
  <c r="X112" i="6" s="1"/>
  <c r="W112" i="6" a="1"/>
  <c r="W112" i="6" s="1"/>
  <c r="L112" i="6"/>
  <c r="K112" i="6"/>
  <c r="J112" i="6"/>
  <c r="A112" i="6"/>
  <c r="AA111" i="6"/>
  <c r="Z111" i="6"/>
  <c r="Y111" i="6"/>
  <c r="X111" i="6" a="1"/>
  <c r="X111" i="6" s="1"/>
  <c r="W111" i="6" a="1"/>
  <c r="W111" i="6" s="1"/>
  <c r="L111" i="6"/>
  <c r="K111" i="6"/>
  <c r="J111" i="6"/>
  <c r="A111" i="6"/>
  <c r="Z110" i="6"/>
  <c r="AA110" i="6" s="1"/>
  <c r="Y110" i="6"/>
  <c r="X110" i="6" a="1"/>
  <c r="X110" i="6" s="1"/>
  <c r="W110" i="6" a="1"/>
  <c r="W110" i="6" s="1"/>
  <c r="L110" i="6"/>
  <c r="K110" i="6"/>
  <c r="J110" i="6"/>
  <c r="A110" i="6"/>
  <c r="Z109" i="6"/>
  <c r="AA109" i="6" s="1"/>
  <c r="Y109" i="6"/>
  <c r="X109" i="6" a="1"/>
  <c r="X109" i="6" s="1"/>
  <c r="W109" i="6" a="1"/>
  <c r="W109" i="6" s="1"/>
  <c r="L109" i="6"/>
  <c r="K109" i="6"/>
  <c r="J109" i="6"/>
  <c r="A109" i="6"/>
  <c r="Z108" i="6"/>
  <c r="AA108" i="6" s="1"/>
  <c r="Y108" i="6"/>
  <c r="X108" i="6" a="1"/>
  <c r="X108" i="6" s="1"/>
  <c r="W108" i="6" a="1"/>
  <c r="W108" i="6" s="1"/>
  <c r="L108" i="6"/>
  <c r="K108" i="6"/>
  <c r="J108" i="6"/>
  <c r="A108" i="6"/>
  <c r="Y107" i="6"/>
  <c r="X107" i="6" a="1"/>
  <c r="X107" i="6" s="1"/>
  <c r="W107" i="6" a="1"/>
  <c r="W107" i="6" s="1"/>
  <c r="K107" i="6"/>
  <c r="L107" i="6" s="1"/>
  <c r="J107" i="6"/>
  <c r="AA106" i="6"/>
  <c r="Z106" i="6"/>
  <c r="Y106" i="6"/>
  <c r="X106" i="6" a="1"/>
  <c r="X106" i="6" s="1"/>
  <c r="W106" i="6" a="1"/>
  <c r="W106" i="6" s="1"/>
  <c r="L106" i="6"/>
  <c r="K106" i="6"/>
  <c r="J106" i="6"/>
  <c r="A106" i="6"/>
  <c r="Z105" i="6"/>
  <c r="AA105" i="6" s="1"/>
  <c r="Y105" i="6"/>
  <c r="X105" i="6" a="1"/>
  <c r="X105" i="6" s="1"/>
  <c r="W105" i="6"/>
  <c r="W105" i="6" a="1"/>
  <c r="L105" i="6"/>
  <c r="K105" i="6"/>
  <c r="J105" i="6"/>
  <c r="A105" i="6"/>
  <c r="Z104" i="6"/>
  <c r="AA104" i="6" s="1"/>
  <c r="Y104" i="6"/>
  <c r="X104" i="6" a="1"/>
  <c r="X104" i="6" s="1"/>
  <c r="W104" i="6" a="1"/>
  <c r="W104" i="6" s="1"/>
  <c r="L104" i="6"/>
  <c r="K104" i="6"/>
  <c r="J104" i="6"/>
  <c r="A104" i="6"/>
  <c r="Z103" i="6"/>
  <c r="AA103" i="6" s="1"/>
  <c r="Y103" i="6"/>
  <c r="X103" i="6"/>
  <c r="X103" i="6" a="1"/>
  <c r="W103" i="6" a="1"/>
  <c r="W103" i="6" s="1"/>
  <c r="L103" i="6"/>
  <c r="K103" i="6"/>
  <c r="J103" i="6"/>
  <c r="A103" i="6"/>
  <c r="Z102" i="6"/>
  <c r="AA102" i="6" s="1"/>
  <c r="Y102" i="6"/>
  <c r="X102" i="6"/>
  <c r="X102" i="6" a="1"/>
  <c r="W102" i="6" a="1"/>
  <c r="W102" i="6" s="1"/>
  <c r="L102" i="6"/>
  <c r="K102" i="6"/>
  <c r="J102" i="6"/>
  <c r="A102" i="6"/>
  <c r="Z101" i="6"/>
  <c r="AA101" i="6" s="1"/>
  <c r="Y101" i="6"/>
  <c r="X101" i="6" a="1"/>
  <c r="X101" i="6" s="1"/>
  <c r="W101" i="6" a="1"/>
  <c r="W101" i="6" s="1"/>
  <c r="L101" i="6"/>
  <c r="K101" i="6"/>
  <c r="J101" i="6"/>
  <c r="A101" i="6"/>
  <c r="Z100" i="6"/>
  <c r="AA100" i="6" s="1"/>
  <c r="Y100" i="6"/>
  <c r="X100" i="6" a="1"/>
  <c r="X100" i="6" s="1"/>
  <c r="W100" i="6" a="1"/>
  <c r="W100" i="6" s="1"/>
  <c r="L100" i="6"/>
  <c r="K100" i="6"/>
  <c r="J100" i="6"/>
  <c r="A100" i="6"/>
  <c r="Y99" i="6"/>
  <c r="X99" i="6" a="1"/>
  <c r="X99" i="6" s="1"/>
  <c r="W99" i="6" a="1"/>
  <c r="W99" i="6" s="1"/>
  <c r="L99" i="6"/>
  <c r="K99" i="6"/>
  <c r="Z99" i="6" s="1"/>
  <c r="AA99" i="6" s="1"/>
  <c r="J99" i="6"/>
  <c r="Z98" i="6"/>
  <c r="AA98" i="6" s="1"/>
  <c r="Y98" i="6"/>
  <c r="X98" i="6"/>
  <c r="X98" i="6" a="1"/>
  <c r="W98" i="6" a="1"/>
  <c r="W98" i="6" s="1"/>
  <c r="L98" i="6"/>
  <c r="K98" i="6"/>
  <c r="J98" i="6"/>
  <c r="A98" i="6"/>
  <c r="Z97" i="6"/>
  <c r="AA97" i="6" s="1"/>
  <c r="Y97" i="6"/>
  <c r="X97" i="6" a="1"/>
  <c r="X97" i="6" s="1"/>
  <c r="W97" i="6" a="1"/>
  <c r="W97" i="6" s="1"/>
  <c r="L97" i="6"/>
  <c r="K97" i="6"/>
  <c r="J97" i="6"/>
  <c r="A97" i="6"/>
  <c r="Z96" i="6"/>
  <c r="AA96" i="6" s="1"/>
  <c r="Y96" i="6"/>
  <c r="X96" i="6" a="1"/>
  <c r="X96" i="6" s="1"/>
  <c r="W96" i="6"/>
  <c r="W96" i="6" a="1"/>
  <c r="L96" i="6"/>
  <c r="K96" i="6"/>
  <c r="J96" i="6"/>
  <c r="A96" i="6"/>
  <c r="Z95" i="6"/>
  <c r="AA95" i="6" s="1"/>
  <c r="Y95" i="6"/>
  <c r="X95" i="6"/>
  <c r="X95" i="6" a="1"/>
  <c r="W95" i="6" a="1"/>
  <c r="W95" i="6" s="1"/>
  <c r="L95" i="6"/>
  <c r="K95" i="6"/>
  <c r="J95" i="6"/>
  <c r="A95" i="6"/>
  <c r="AA94" i="6"/>
  <c r="Z94" i="6"/>
  <c r="Y94" i="6"/>
  <c r="X94" i="6"/>
  <c r="X94" i="6" a="1"/>
  <c r="W94" i="6" a="1"/>
  <c r="W94" i="6" s="1"/>
  <c r="L94" i="6"/>
  <c r="K94" i="6"/>
  <c r="J94" i="6"/>
  <c r="A94" i="6"/>
  <c r="Z93" i="6"/>
  <c r="AA93" i="6" s="1"/>
  <c r="Y93" i="6"/>
  <c r="X93" i="6" a="1"/>
  <c r="X93" i="6" s="1"/>
  <c r="W93" i="6" a="1"/>
  <c r="W93" i="6" s="1"/>
  <c r="L93" i="6"/>
  <c r="K93" i="6"/>
  <c r="J93" i="6"/>
  <c r="A93" i="6"/>
  <c r="Z92" i="6"/>
  <c r="AA92" i="6" s="1"/>
  <c r="Y92" i="6"/>
  <c r="X92" i="6" a="1"/>
  <c r="X92" i="6" s="1"/>
  <c r="W92" i="6"/>
  <c r="W92" i="6" a="1"/>
  <c r="L92" i="6"/>
  <c r="K92" i="6"/>
  <c r="J92" i="6"/>
  <c r="A92" i="6"/>
  <c r="Z91" i="6"/>
  <c r="AA91" i="6" s="1"/>
  <c r="Y91" i="6"/>
  <c r="X91" i="6" a="1"/>
  <c r="X91" i="6" s="1"/>
  <c r="W91" i="6" a="1"/>
  <c r="W91" i="6" s="1"/>
  <c r="L91" i="6"/>
  <c r="K91" i="6"/>
  <c r="J91" i="6"/>
  <c r="A91" i="6"/>
  <c r="Z90" i="6"/>
  <c r="AA90" i="6" s="1"/>
  <c r="Y90" i="6"/>
  <c r="X90" i="6"/>
  <c r="X90" i="6" a="1"/>
  <c r="W90" i="6" a="1"/>
  <c r="W90" i="6" s="1"/>
  <c r="L90" i="6"/>
  <c r="K90" i="6"/>
  <c r="J90" i="6"/>
  <c r="A90" i="6"/>
  <c r="Z89" i="6"/>
  <c r="AA89" i="6" s="1"/>
  <c r="Y89" i="6"/>
  <c r="X89" i="6"/>
  <c r="X89" i="6" a="1"/>
  <c r="W89" i="6" a="1"/>
  <c r="W89" i="6" s="1"/>
  <c r="L89" i="6"/>
  <c r="K89" i="6"/>
  <c r="J89" i="6"/>
  <c r="A89" i="6"/>
  <c r="Z88" i="6"/>
  <c r="AA88" i="6" s="1"/>
  <c r="Y88" i="6"/>
  <c r="X88" i="6" a="1"/>
  <c r="X88" i="6" s="1"/>
  <c r="W88" i="6" a="1"/>
  <c r="W88" i="6" s="1"/>
  <c r="L88" i="6"/>
  <c r="K88" i="6"/>
  <c r="J88" i="6"/>
  <c r="A88" i="6"/>
  <c r="Z87" i="6"/>
  <c r="AA87" i="6" s="1"/>
  <c r="Y87" i="6"/>
  <c r="X87" i="6" a="1"/>
  <c r="X87" i="6" s="1"/>
  <c r="W87" i="6" a="1"/>
  <c r="W87" i="6" s="1"/>
  <c r="L87" i="6"/>
  <c r="K87" i="6"/>
  <c r="J87" i="6"/>
  <c r="A87" i="6"/>
  <c r="Y86" i="6"/>
  <c r="X86" i="6"/>
  <c r="X86" i="6" a="1"/>
  <c r="W86" i="6" a="1"/>
  <c r="W86" i="6" s="1"/>
  <c r="L86" i="6"/>
  <c r="K86" i="6"/>
  <c r="Z86" i="6" s="1"/>
  <c r="AA86" i="6" s="1"/>
  <c r="J86" i="6"/>
  <c r="Z85" i="6"/>
  <c r="AA85" i="6" s="1"/>
  <c r="Y85" i="6"/>
  <c r="X85" i="6"/>
  <c r="X85" i="6" a="1"/>
  <c r="W85" i="6" a="1"/>
  <c r="W85" i="6" s="1"/>
  <c r="L85" i="6"/>
  <c r="K85" i="6"/>
  <c r="J85" i="6"/>
  <c r="A85" i="6"/>
  <c r="Z84" i="6"/>
  <c r="AA84" i="6" s="1"/>
  <c r="Y84" i="6"/>
  <c r="X84" i="6" a="1"/>
  <c r="X84" i="6" s="1"/>
  <c r="W84" i="6" a="1"/>
  <c r="W84" i="6" s="1"/>
  <c r="L84" i="6"/>
  <c r="K84" i="6"/>
  <c r="J84" i="6"/>
  <c r="A84" i="6"/>
  <c r="Z83" i="6"/>
  <c r="AA83" i="6" s="1"/>
  <c r="Y83" i="6"/>
  <c r="X83" i="6" a="1"/>
  <c r="X83" i="6" s="1"/>
  <c r="W83" i="6"/>
  <c r="W83" i="6" a="1"/>
  <c r="L83" i="6"/>
  <c r="K83" i="6"/>
  <c r="J83" i="6"/>
  <c r="A83" i="6"/>
  <c r="Z82" i="6"/>
  <c r="AA82" i="6" s="1"/>
  <c r="Y82" i="6"/>
  <c r="X82" i="6"/>
  <c r="X82" i="6" a="1"/>
  <c r="W82" i="6" a="1"/>
  <c r="W82" i="6" s="1"/>
  <c r="L82" i="6"/>
  <c r="K82" i="6"/>
  <c r="J82" i="6"/>
  <c r="A82" i="6"/>
  <c r="AA81" i="6"/>
  <c r="Z81" i="6"/>
  <c r="Y81" i="6"/>
  <c r="X81" i="6"/>
  <c r="X81" i="6" a="1"/>
  <c r="W81" i="6" a="1"/>
  <c r="W81" i="6" s="1"/>
  <c r="L81" i="6"/>
  <c r="K81" i="6"/>
  <c r="J81" i="6"/>
  <c r="A81" i="6"/>
  <c r="Z80" i="6"/>
  <c r="AA80" i="6" s="1"/>
  <c r="Y80" i="6"/>
  <c r="X80" i="6" a="1"/>
  <c r="X80" i="6" s="1"/>
  <c r="W80" i="6" a="1"/>
  <c r="W80" i="6" s="1"/>
  <c r="L80" i="6"/>
  <c r="K80" i="6"/>
  <c r="J80" i="6"/>
  <c r="A80" i="6"/>
  <c r="Z79" i="6"/>
  <c r="AA79" i="6" s="1"/>
  <c r="Y79" i="6"/>
  <c r="X79" i="6" a="1"/>
  <c r="X79" i="6" s="1"/>
  <c r="W79" i="6"/>
  <c r="W79" i="6" a="1"/>
  <c r="L79" i="6"/>
  <c r="K79" i="6"/>
  <c r="J79" i="6"/>
  <c r="A79" i="6"/>
  <c r="Z78" i="6"/>
  <c r="AA78" i="6" s="1"/>
  <c r="Y78" i="6"/>
  <c r="X78" i="6" a="1"/>
  <c r="X78" i="6" s="1"/>
  <c r="W78" i="6" a="1"/>
  <c r="W78" i="6" s="1"/>
  <c r="L78" i="6"/>
  <c r="K78" i="6"/>
  <c r="J78" i="6"/>
  <c r="A78" i="6"/>
  <c r="Z77" i="6"/>
  <c r="AA77" i="6" s="1"/>
  <c r="Y77" i="6"/>
  <c r="X77" i="6"/>
  <c r="X77" i="6" a="1"/>
  <c r="W77" i="6" a="1"/>
  <c r="W77" i="6" s="1"/>
  <c r="L77" i="6"/>
  <c r="K77" i="6"/>
  <c r="J77" i="6"/>
  <c r="A77" i="6"/>
  <c r="Z76" i="6"/>
  <c r="AA76" i="6" s="1"/>
  <c r="Y76" i="6"/>
  <c r="X76" i="6"/>
  <c r="X76" i="6" a="1"/>
  <c r="W76" i="6" a="1"/>
  <c r="W76" i="6" s="1"/>
  <c r="L76" i="6"/>
  <c r="K76" i="6"/>
  <c r="J76" i="6"/>
  <c r="A76" i="6"/>
  <c r="Z75" i="6"/>
  <c r="AA75" i="6" s="1"/>
  <c r="Y75" i="6"/>
  <c r="X75" i="6" a="1"/>
  <c r="X75" i="6" s="1"/>
  <c r="W75" i="6" a="1"/>
  <c r="W75" i="6" s="1"/>
  <c r="L75" i="6"/>
  <c r="K75" i="6"/>
  <c r="J75" i="6"/>
  <c r="A75" i="6"/>
  <c r="Z74" i="6"/>
  <c r="AA74" i="6" s="1"/>
  <c r="Y74" i="6"/>
  <c r="X74" i="6" a="1"/>
  <c r="X74" i="6" s="1"/>
  <c r="W74" i="6" a="1"/>
  <c r="W74" i="6" s="1"/>
  <c r="L74" i="6"/>
  <c r="K74" i="6"/>
  <c r="J74" i="6"/>
  <c r="A74" i="6"/>
  <c r="Z73" i="6"/>
  <c r="AA73" i="6" s="1"/>
  <c r="Y73" i="6"/>
  <c r="X73" i="6" a="1"/>
  <c r="X73" i="6" s="1"/>
  <c r="W73" i="6" a="1"/>
  <c r="W73" i="6" s="1"/>
  <c r="L73" i="6"/>
  <c r="K73" i="6"/>
  <c r="J73" i="6"/>
  <c r="A73" i="6"/>
  <c r="Z72" i="6"/>
  <c r="AA72" i="6" s="1"/>
  <c r="Y72" i="6"/>
  <c r="X72" i="6" a="1"/>
  <c r="X72" i="6" s="1"/>
  <c r="W72" i="6" a="1"/>
  <c r="W72" i="6" s="1"/>
  <c r="L72" i="6"/>
  <c r="K72" i="6"/>
  <c r="J72" i="6"/>
  <c r="A72" i="6"/>
  <c r="Z71" i="6"/>
  <c r="AA71" i="6" s="1"/>
  <c r="Y71" i="6"/>
  <c r="X71" i="6" a="1"/>
  <c r="X71" i="6" s="1"/>
  <c r="W71" i="6" a="1"/>
  <c r="W71" i="6" s="1"/>
  <c r="L71" i="6"/>
  <c r="K71" i="6"/>
  <c r="J71" i="6"/>
  <c r="A71" i="6"/>
  <c r="Z70" i="6"/>
  <c r="AA70" i="6" s="1"/>
  <c r="Y70" i="6"/>
  <c r="X70" i="6" a="1"/>
  <c r="X70" i="6" s="1"/>
  <c r="W70" i="6" a="1"/>
  <c r="W70" i="6" s="1"/>
  <c r="L70" i="6"/>
  <c r="K70" i="6"/>
  <c r="J70" i="6"/>
  <c r="A70" i="6"/>
  <c r="Z69" i="6"/>
  <c r="AA69" i="6" s="1"/>
  <c r="Y69" i="6"/>
  <c r="X69" i="6" a="1"/>
  <c r="X69" i="6" s="1"/>
  <c r="W69" i="6" a="1"/>
  <c r="W69" i="6" s="1"/>
  <c r="L69" i="6"/>
  <c r="K69" i="6"/>
  <c r="J69" i="6"/>
  <c r="A69" i="6"/>
  <c r="Z68" i="6"/>
  <c r="AA68" i="6" s="1"/>
  <c r="Y68" i="6"/>
  <c r="X68" i="6" a="1"/>
  <c r="X68" i="6" s="1"/>
  <c r="W68" i="6" a="1"/>
  <c r="W68" i="6" s="1"/>
  <c r="L68" i="6"/>
  <c r="K68" i="6"/>
  <c r="J68" i="6"/>
  <c r="A68" i="6"/>
  <c r="AA67" i="6"/>
  <c r="Z67" i="6"/>
  <c r="Y67" i="6"/>
  <c r="X67" i="6" a="1"/>
  <c r="X67" i="6" s="1"/>
  <c r="W67" i="6" a="1"/>
  <c r="W67" i="6" s="1"/>
  <c r="L67" i="6"/>
  <c r="K67" i="6"/>
  <c r="J67" i="6"/>
  <c r="A67" i="6"/>
  <c r="Z66" i="6"/>
  <c r="AA66" i="6" s="1"/>
  <c r="Y66" i="6"/>
  <c r="X66" i="6" a="1"/>
  <c r="X66" i="6" s="1"/>
  <c r="W66" i="6"/>
  <c r="W66" i="6" a="1"/>
  <c r="L66" i="6"/>
  <c r="K66" i="6"/>
  <c r="J66" i="6"/>
  <c r="A66" i="6"/>
  <c r="Y65" i="6"/>
  <c r="X65" i="6" a="1"/>
  <c r="X65" i="6" s="1"/>
  <c r="W65" i="6" a="1"/>
  <c r="W65" i="6" s="1"/>
  <c r="L65" i="6"/>
  <c r="K65" i="6"/>
  <c r="Z65" i="6" s="1"/>
  <c r="AA65" i="6" s="1"/>
  <c r="J65" i="6"/>
  <c r="A107" i="6"/>
  <c r="Z64" i="6"/>
  <c r="AA64" i="6" s="1"/>
  <c r="Y64" i="6"/>
  <c r="X64" i="6" a="1"/>
  <c r="X64" i="6" s="1"/>
  <c r="W64" i="6" a="1"/>
  <c r="W64" i="6" s="1"/>
  <c r="L64" i="6"/>
  <c r="K64" i="6"/>
  <c r="J64" i="6"/>
  <c r="A64" i="6"/>
  <c r="Y63" i="6"/>
  <c r="X63" i="6" a="1"/>
  <c r="X63" i="6" s="1"/>
  <c r="W63" i="6" a="1"/>
  <c r="W63" i="6" s="1"/>
  <c r="K63" i="6"/>
  <c r="L63" i="6" s="1"/>
  <c r="J63" i="6"/>
  <c r="A63" i="6"/>
  <c r="Y62" i="6"/>
  <c r="X62" i="6" a="1"/>
  <c r="X62" i="6" s="1"/>
  <c r="W62" i="6" a="1"/>
  <c r="W62" i="6" s="1"/>
  <c r="L62" i="6"/>
  <c r="K62" i="6"/>
  <c r="Z62" i="6" s="1"/>
  <c r="AA62" i="6" s="1"/>
  <c r="J62" i="6"/>
  <c r="Y61" i="6"/>
  <c r="X61" i="6" a="1"/>
  <c r="X61" i="6" s="1"/>
  <c r="W61" i="6" a="1"/>
  <c r="W61" i="6" s="1"/>
  <c r="K61" i="6"/>
  <c r="L61" i="6" s="1"/>
  <c r="J61" i="6"/>
  <c r="A61" i="6"/>
  <c r="Y60" i="6"/>
  <c r="X60" i="6" a="1"/>
  <c r="X60" i="6" s="1"/>
  <c r="W60" i="6" a="1"/>
  <c r="W60" i="6" s="1"/>
  <c r="L60" i="6"/>
  <c r="K60" i="6"/>
  <c r="Z60" i="6" s="1"/>
  <c r="AA60" i="6" s="1"/>
  <c r="J60" i="6"/>
  <c r="Y59" i="6"/>
  <c r="X59" i="6" a="1"/>
  <c r="X59" i="6" s="1"/>
  <c r="W59" i="6" a="1"/>
  <c r="W59" i="6" s="1"/>
  <c r="K59" i="6"/>
  <c r="L59" i="6" s="1"/>
  <c r="J59" i="6"/>
  <c r="A59" i="6"/>
  <c r="Y58" i="6"/>
  <c r="X58" i="6" a="1"/>
  <c r="X58" i="6" s="1"/>
  <c r="W58" i="6" a="1"/>
  <c r="W58" i="6" s="1"/>
  <c r="L58" i="6"/>
  <c r="K58" i="6"/>
  <c r="Z58" i="6" s="1"/>
  <c r="AA58" i="6" s="1"/>
  <c r="J58" i="6"/>
  <c r="Y57" i="6"/>
  <c r="X57" i="6" a="1"/>
  <c r="X57" i="6" s="1"/>
  <c r="W57" i="6" a="1"/>
  <c r="W57" i="6" s="1"/>
  <c r="K57" i="6"/>
  <c r="L57" i="6" s="1"/>
  <c r="J57" i="6"/>
  <c r="A57" i="6"/>
  <c r="Y56" i="6"/>
  <c r="X56" i="6" a="1"/>
  <c r="X56" i="6" s="1"/>
  <c r="W56" i="6" a="1"/>
  <c r="W56" i="6" s="1"/>
  <c r="L56" i="6"/>
  <c r="K56" i="6"/>
  <c r="Z56" i="6" s="1"/>
  <c r="AA56" i="6" s="1"/>
  <c r="J56" i="6"/>
  <c r="Y55" i="6"/>
  <c r="X55" i="6" a="1"/>
  <c r="X55" i="6" s="1"/>
  <c r="W55" i="6" a="1"/>
  <c r="W55" i="6" s="1"/>
  <c r="K55" i="6"/>
  <c r="L55" i="6" s="1"/>
  <c r="J55" i="6"/>
  <c r="A55" i="6"/>
  <c r="Z54" i="6"/>
  <c r="AA54" i="6" s="1"/>
  <c r="Y54" i="6"/>
  <c r="X54" i="6" a="1"/>
  <c r="X54" i="6" s="1"/>
  <c r="W54" i="6"/>
  <c r="W54" i="6" a="1"/>
  <c r="L54" i="6"/>
  <c r="K54" i="6"/>
  <c r="J54" i="6"/>
  <c r="A54" i="6"/>
  <c r="Y53" i="6"/>
  <c r="X53" i="6" a="1"/>
  <c r="X53" i="6" s="1"/>
  <c r="W53" i="6" a="1"/>
  <c r="W53" i="6" s="1"/>
  <c r="K53" i="6"/>
  <c r="J53" i="6"/>
  <c r="L53" i="6" s="1"/>
  <c r="Z52" i="6"/>
  <c r="AA52" i="6" s="1"/>
  <c r="Y52" i="6"/>
  <c r="X52" i="6" a="1"/>
  <c r="X52" i="6" s="1"/>
  <c r="W52" i="6"/>
  <c r="W52" i="6" a="1"/>
  <c r="L52" i="6"/>
  <c r="K52" i="6"/>
  <c r="J52" i="6"/>
  <c r="A52" i="6"/>
  <c r="Z51" i="6"/>
  <c r="AA51" i="6" s="1"/>
  <c r="Y51" i="6"/>
  <c r="X51" i="6" a="1"/>
  <c r="X51" i="6" s="1"/>
  <c r="W51" i="6" a="1"/>
  <c r="W51" i="6" s="1"/>
  <c r="L51" i="6"/>
  <c r="K51" i="6"/>
  <c r="J51" i="6"/>
  <c r="A51" i="6"/>
  <c r="Z50" i="6"/>
  <c r="AA50" i="6" s="1"/>
  <c r="Y50" i="6"/>
  <c r="X50" i="6" a="1"/>
  <c r="X50" i="6" s="1"/>
  <c r="W50" i="6" a="1"/>
  <c r="W50" i="6" s="1"/>
  <c r="L50" i="6"/>
  <c r="K50" i="6"/>
  <c r="J50" i="6"/>
  <c r="A50" i="6"/>
  <c r="AA49" i="6"/>
  <c r="Z49" i="6"/>
  <c r="Y49" i="6"/>
  <c r="X49" i="6" a="1"/>
  <c r="X49" i="6" s="1"/>
  <c r="W49" i="6" a="1"/>
  <c r="W49" i="6" s="1"/>
  <c r="L49" i="6"/>
  <c r="K49" i="6"/>
  <c r="J49" i="6"/>
  <c r="A49" i="6"/>
  <c r="Z48" i="6"/>
  <c r="AA48" i="6" s="1"/>
  <c r="Y48" i="6"/>
  <c r="X48" i="6" a="1"/>
  <c r="X48" i="6" s="1"/>
  <c r="W48" i="6" a="1"/>
  <c r="W48" i="6" s="1"/>
  <c r="L48" i="6"/>
  <c r="K48" i="6"/>
  <c r="J48" i="6"/>
  <c r="A48" i="6"/>
  <c r="Z47" i="6"/>
  <c r="AA47" i="6" s="1"/>
  <c r="Y47" i="6"/>
  <c r="X47" i="6" a="1"/>
  <c r="X47" i="6" s="1"/>
  <c r="W47" i="6" a="1"/>
  <c r="W47" i="6" s="1"/>
  <c r="L47" i="6"/>
  <c r="K47" i="6"/>
  <c r="J47" i="6"/>
  <c r="A47" i="6"/>
  <c r="Z46" i="6"/>
  <c r="AA46" i="6" s="1"/>
  <c r="Y46" i="6"/>
  <c r="X46" i="6" a="1"/>
  <c r="X46" i="6" s="1"/>
  <c r="W46" i="6" a="1"/>
  <c r="W46" i="6" s="1"/>
  <c r="L46" i="6"/>
  <c r="K46" i="6"/>
  <c r="J46" i="6"/>
  <c r="A46" i="6"/>
  <c r="AA45" i="6"/>
  <c r="Z45" i="6"/>
  <c r="Y45" i="6"/>
  <c r="X45" i="6" a="1"/>
  <c r="X45" i="6" s="1"/>
  <c r="W45" i="6" a="1"/>
  <c r="W45" i="6" s="1"/>
  <c r="L45" i="6"/>
  <c r="K45" i="6"/>
  <c r="J45" i="6"/>
  <c r="A45" i="6"/>
  <c r="Z44" i="6"/>
  <c r="AA44" i="6" s="1"/>
  <c r="Y44" i="6"/>
  <c r="X44" i="6" a="1"/>
  <c r="X44" i="6" s="1"/>
  <c r="W44" i="6" a="1"/>
  <c r="W44" i="6" s="1"/>
  <c r="L44" i="6"/>
  <c r="K44" i="6"/>
  <c r="J44" i="6"/>
  <c r="A44" i="6"/>
  <c r="Z43" i="6"/>
  <c r="AA43" i="6" s="1"/>
  <c r="Y43" i="6"/>
  <c r="X43" i="6" a="1"/>
  <c r="X43" i="6" s="1"/>
  <c r="W43" i="6" a="1"/>
  <c r="W43" i="6" s="1"/>
  <c r="L43" i="6"/>
  <c r="K43" i="6"/>
  <c r="J43" i="6"/>
  <c r="A43" i="6"/>
  <c r="Z42" i="6"/>
  <c r="AA42" i="6" s="1"/>
  <c r="Y42" i="6"/>
  <c r="X42" i="6" a="1"/>
  <c r="X42" i="6" s="1"/>
  <c r="W42" i="6" a="1"/>
  <c r="W42" i="6" s="1"/>
  <c r="L42" i="6"/>
  <c r="K42" i="6"/>
  <c r="J42" i="6"/>
  <c r="A42" i="6"/>
  <c r="AA41" i="6"/>
  <c r="Z41" i="6"/>
  <c r="Y41" i="6"/>
  <c r="X41" i="6" a="1"/>
  <c r="X41" i="6" s="1"/>
  <c r="W41" i="6" a="1"/>
  <c r="W41" i="6" s="1"/>
  <c r="L41" i="6"/>
  <c r="K41" i="6"/>
  <c r="J41" i="6"/>
  <c r="A41" i="6"/>
  <c r="Z40" i="6"/>
  <c r="AA40" i="6" s="1"/>
  <c r="Y40" i="6"/>
  <c r="X40" i="6" a="1"/>
  <c r="X40" i="6" s="1"/>
  <c r="W40" i="6" a="1"/>
  <c r="W40" i="6" s="1"/>
  <c r="L40" i="6"/>
  <c r="K40" i="6"/>
  <c r="J40" i="6"/>
  <c r="A40" i="6"/>
  <c r="Z39" i="6"/>
  <c r="AA39" i="6" s="1"/>
  <c r="Y39" i="6"/>
  <c r="X39" i="6" a="1"/>
  <c r="X39" i="6" s="1"/>
  <c r="W39" i="6" a="1"/>
  <c r="W39" i="6" s="1"/>
  <c r="L39" i="6"/>
  <c r="K39" i="6"/>
  <c r="J39" i="6"/>
  <c r="A39" i="6"/>
  <c r="Y38" i="6"/>
  <c r="X38" i="6" a="1"/>
  <c r="X38" i="6" s="1"/>
  <c r="W38" i="6" a="1"/>
  <c r="W38" i="6" s="1"/>
  <c r="K38" i="6"/>
  <c r="J38" i="6"/>
  <c r="L38" i="6" s="1"/>
  <c r="AJ37" i="6"/>
  <c r="AG37" i="6"/>
  <c r="AI37" i="6" s="1"/>
  <c r="AD37" i="6"/>
  <c r="Z37" i="6"/>
  <c r="AA37" i="6" s="1"/>
  <c r="Y37" i="6"/>
  <c r="X37" i="6" a="1"/>
  <c r="X37" i="6" s="1"/>
  <c r="W37" i="6"/>
  <c r="W37" i="6" a="1"/>
  <c r="L37" i="6"/>
  <c r="K37" i="6"/>
  <c r="J37" i="6"/>
  <c r="A37" i="6"/>
  <c r="AJ36" i="6"/>
  <c r="AG36" i="6"/>
  <c r="AD36" i="6"/>
  <c r="AF36" i="6" s="1"/>
  <c r="Z36" i="6"/>
  <c r="AA36" i="6" s="1"/>
  <c r="Y36" i="6"/>
  <c r="X36" i="6" a="1"/>
  <c r="X36" i="6" s="1"/>
  <c r="W36" i="6" a="1"/>
  <c r="W36" i="6" s="1"/>
  <c r="L36" i="6"/>
  <c r="K36" i="6"/>
  <c r="J36" i="6"/>
  <c r="A36" i="6"/>
  <c r="AJ35" i="6"/>
  <c r="AG35" i="6"/>
  <c r="AD35" i="6"/>
  <c r="AA35" i="6"/>
  <c r="Z35" i="6"/>
  <c r="Y35" i="6"/>
  <c r="X35" i="6" a="1"/>
  <c r="X35" i="6" s="1"/>
  <c r="W35" i="6" a="1"/>
  <c r="W35" i="6" s="1"/>
  <c r="L35" i="6"/>
  <c r="K35" i="6"/>
  <c r="J35" i="6"/>
  <c r="A35" i="6"/>
  <c r="AJ34" i="6"/>
  <c r="AG34" i="6"/>
  <c r="AI34" i="6" s="1"/>
  <c r="AD34" i="6"/>
  <c r="Z34" i="6"/>
  <c r="AA34" i="6" s="1"/>
  <c r="Y34" i="6"/>
  <c r="X34" i="6" a="1"/>
  <c r="X34" i="6" s="1"/>
  <c r="W34" i="6" a="1"/>
  <c r="W34" i="6" s="1"/>
  <c r="L34" i="6"/>
  <c r="K34" i="6"/>
  <c r="J34" i="6"/>
  <c r="A34" i="6"/>
  <c r="AJ33" i="6"/>
  <c r="AG33" i="6"/>
  <c r="AD33" i="6"/>
  <c r="AA33" i="6"/>
  <c r="Z33" i="6"/>
  <c r="Y33" i="6"/>
  <c r="X33" i="6" a="1"/>
  <c r="X33" i="6" s="1"/>
  <c r="W33" i="6"/>
  <c r="W33" i="6" a="1"/>
  <c r="L33" i="6"/>
  <c r="K33" i="6"/>
  <c r="J33" i="6"/>
  <c r="A33" i="6"/>
  <c r="AJ32" i="6"/>
  <c r="AG32" i="6"/>
  <c r="AI32" i="6" s="1"/>
  <c r="AD32" i="6"/>
  <c r="Z32" i="6"/>
  <c r="AA32" i="6" s="1"/>
  <c r="Y32" i="6"/>
  <c r="X32" i="6" a="1"/>
  <c r="X32" i="6" s="1"/>
  <c r="W32" i="6" a="1"/>
  <c r="W32" i="6" s="1"/>
  <c r="L32" i="6"/>
  <c r="K32" i="6"/>
  <c r="J32" i="6"/>
  <c r="A32" i="6"/>
  <c r="AJ31" i="6"/>
  <c r="AG31" i="6"/>
  <c r="AD31" i="6"/>
  <c r="AF31" i="6" s="1"/>
  <c r="Z31" i="6"/>
  <c r="AA31" i="6" s="1"/>
  <c r="Y31" i="6"/>
  <c r="X31" i="6"/>
  <c r="X31" i="6" a="1"/>
  <c r="W31" i="6" a="1"/>
  <c r="W31" i="6" s="1"/>
  <c r="L31" i="6"/>
  <c r="K31" i="6"/>
  <c r="J31" i="6"/>
  <c r="A31" i="6"/>
  <c r="AJ30" i="6"/>
  <c r="AG30" i="6"/>
  <c r="AD30" i="6"/>
  <c r="Z30" i="6"/>
  <c r="AA30" i="6" s="1"/>
  <c r="Y30" i="6"/>
  <c r="X30" i="6" a="1"/>
  <c r="X30" i="6" s="1"/>
  <c r="W30" i="6" a="1"/>
  <c r="W30" i="6" s="1"/>
  <c r="L30" i="6"/>
  <c r="K30" i="6"/>
  <c r="J30" i="6"/>
  <c r="A30" i="6"/>
  <c r="AJ29" i="6"/>
  <c r="AG29" i="6"/>
  <c r="AI29" i="6" s="1"/>
  <c r="AD29" i="6"/>
  <c r="Z29" i="6"/>
  <c r="AA29" i="6" s="1"/>
  <c r="Y29" i="6"/>
  <c r="X29" i="6" a="1"/>
  <c r="X29" i="6" s="1"/>
  <c r="W29" i="6" a="1"/>
  <c r="W29" i="6" s="1"/>
  <c r="L29" i="6"/>
  <c r="K29" i="6"/>
  <c r="J29" i="6"/>
  <c r="A29" i="6"/>
  <c r="AJ28" i="6"/>
  <c r="AG28" i="6"/>
  <c r="AD28" i="6"/>
  <c r="Z28" i="6"/>
  <c r="AA28" i="6" s="1"/>
  <c r="Y28" i="6"/>
  <c r="X28" i="6" a="1"/>
  <c r="X28" i="6" s="1"/>
  <c r="W28" i="6" a="1"/>
  <c r="W28" i="6" s="1"/>
  <c r="L28" i="6"/>
  <c r="K28" i="6"/>
  <c r="J28" i="6"/>
  <c r="A28" i="6"/>
  <c r="AJ27" i="6"/>
  <c r="AG27" i="6"/>
  <c r="AD27" i="6"/>
  <c r="AA27" i="6"/>
  <c r="Z27" i="6"/>
  <c r="Y27" i="6"/>
  <c r="X27" i="6" a="1"/>
  <c r="X27" i="6" s="1"/>
  <c r="W27" i="6" a="1"/>
  <c r="W27" i="6" s="1"/>
  <c r="L27" i="6"/>
  <c r="K27" i="6"/>
  <c r="J27" i="6"/>
  <c r="A27" i="6"/>
  <c r="AJ26" i="6"/>
  <c r="AG26" i="6"/>
  <c r="AD26" i="6"/>
  <c r="AF26" i="6" s="1"/>
  <c r="Z26" i="6"/>
  <c r="AA26" i="6" s="1"/>
  <c r="Y26" i="6"/>
  <c r="X26" i="6" a="1"/>
  <c r="X26" i="6" s="1"/>
  <c r="W26" i="6" a="1"/>
  <c r="W26" i="6" s="1"/>
  <c r="L26" i="6"/>
  <c r="K26" i="6"/>
  <c r="J26" i="6"/>
  <c r="A26" i="6"/>
  <c r="AJ25" i="6"/>
  <c r="AG25" i="6"/>
  <c r="AD25" i="6"/>
  <c r="Y25" i="6"/>
  <c r="X25" i="6" a="1"/>
  <c r="X25" i="6" s="1"/>
  <c r="W25" i="6" a="1"/>
  <c r="W25" i="6" s="1"/>
  <c r="K25" i="6"/>
  <c r="J25" i="6"/>
  <c r="AJ24" i="6"/>
  <c r="AG24" i="6"/>
  <c r="AI24" i="6" s="1"/>
  <c r="AD24" i="6"/>
  <c r="AF24" i="6" s="1"/>
  <c r="Z24" i="6"/>
  <c r="AA24" i="6" s="1"/>
  <c r="Y24" i="6"/>
  <c r="X24" i="6" a="1"/>
  <c r="X24" i="6" s="1"/>
  <c r="W24" i="6" a="1"/>
  <c r="W24" i="6" s="1"/>
  <c r="K24" i="6"/>
  <c r="J24" i="6"/>
  <c r="L24" i="6" s="1"/>
  <c r="A24" i="6"/>
  <c r="AJ23" i="6"/>
  <c r="AG23" i="6"/>
  <c r="AD23" i="6"/>
  <c r="Y23" i="6"/>
  <c r="X23" i="6" a="1"/>
  <c r="X23" i="6" s="1"/>
  <c r="W23" i="6" a="1"/>
  <c r="W23" i="6" s="1"/>
  <c r="K23" i="6"/>
  <c r="L23" i="6" s="1"/>
  <c r="J23" i="6"/>
  <c r="A23" i="6"/>
  <c r="AJ22" i="6"/>
  <c r="AG22" i="6"/>
  <c r="AD22" i="6"/>
  <c r="Y22" i="6"/>
  <c r="X22" i="6" a="1"/>
  <c r="X22" i="6" s="1"/>
  <c r="W22" i="6" a="1"/>
  <c r="W22" i="6" s="1"/>
  <c r="K22" i="6"/>
  <c r="Z22" i="6" s="1"/>
  <c r="AA22" i="6" s="1"/>
  <c r="J22" i="6"/>
  <c r="L22" i="6" s="1"/>
  <c r="A22" i="6"/>
  <c r="AJ21" i="6"/>
  <c r="AG21" i="6"/>
  <c r="AD21" i="6"/>
  <c r="Y21" i="6"/>
  <c r="X21" i="6" a="1"/>
  <c r="X21" i="6" s="1"/>
  <c r="W21" i="6" a="1"/>
  <c r="W21" i="6" s="1"/>
  <c r="L21" i="6"/>
  <c r="K21" i="6"/>
  <c r="J21" i="6"/>
  <c r="A21" i="6"/>
  <c r="AJ20" i="6"/>
  <c r="AG20" i="6"/>
  <c r="AD20" i="6"/>
  <c r="Y20" i="6"/>
  <c r="X20" i="6" a="1"/>
  <c r="X20" i="6" s="1"/>
  <c r="W20" i="6" a="1"/>
  <c r="W20" i="6" s="1"/>
  <c r="K20" i="6"/>
  <c r="L20" i="6" s="1"/>
  <c r="J20" i="6"/>
  <c r="A20" i="6"/>
  <c r="AJ19" i="6"/>
  <c r="AG19" i="6"/>
  <c r="AD19" i="6"/>
  <c r="Z19" i="6"/>
  <c r="AA19" i="6" s="1"/>
  <c r="Y19" i="6"/>
  <c r="X19" i="6" a="1"/>
  <c r="X19" i="6" s="1"/>
  <c r="W19" i="6" a="1"/>
  <c r="W19" i="6" s="1"/>
  <c r="K19" i="6"/>
  <c r="J19" i="6"/>
  <c r="L19" i="6" s="1"/>
  <c r="A19" i="6"/>
  <c r="AJ18" i="6"/>
  <c r="AG18" i="6"/>
  <c r="AI18" i="6" s="1"/>
  <c r="AD18" i="6"/>
  <c r="Y18" i="6"/>
  <c r="X18" i="6" a="1"/>
  <c r="X18" i="6" s="1"/>
  <c r="W18" i="6" a="1"/>
  <c r="W18" i="6" s="1"/>
  <c r="K18" i="6"/>
  <c r="J18" i="6"/>
  <c r="L18" i="6" s="1"/>
  <c r="A18" i="6"/>
  <c r="AJ17" i="6"/>
  <c r="AG17" i="6"/>
  <c r="AI17" i="6" s="1"/>
  <c r="AD17" i="6"/>
  <c r="Y17" i="6"/>
  <c r="X17" i="6" a="1"/>
  <c r="X17" i="6" s="1"/>
  <c r="W17" i="6" a="1"/>
  <c r="W17" i="6" s="1"/>
  <c r="K17" i="6"/>
  <c r="J17" i="6"/>
  <c r="A17" i="6"/>
  <c r="AJ16" i="6"/>
  <c r="AG16" i="6"/>
  <c r="AI16" i="6" s="1"/>
  <c r="AD16" i="6"/>
  <c r="Z16" i="6"/>
  <c r="AA16" i="6" s="1"/>
  <c r="Y16" i="6"/>
  <c r="X16" i="6" a="1"/>
  <c r="X16" i="6" s="1"/>
  <c r="W16" i="6" a="1"/>
  <c r="W16" i="6" s="1"/>
  <c r="K16" i="6"/>
  <c r="J16" i="6"/>
  <c r="A16" i="6"/>
  <c r="AJ15" i="6"/>
  <c r="AG15" i="6"/>
  <c r="AD15" i="6"/>
  <c r="Y15" i="6"/>
  <c r="X15" i="6" a="1"/>
  <c r="X15" i="6" s="1"/>
  <c r="W15" i="6" a="1"/>
  <c r="W15" i="6" s="1"/>
  <c r="K15" i="6"/>
  <c r="Z15" i="6" s="1"/>
  <c r="AA15" i="6" s="1"/>
  <c r="J15" i="6"/>
  <c r="A15" i="6"/>
  <c r="AJ14" i="6"/>
  <c r="AG14" i="6"/>
  <c r="AD14" i="6"/>
  <c r="Z14" i="6"/>
  <c r="AA14" i="6" s="1"/>
  <c r="Y14" i="6"/>
  <c r="X14" i="6" a="1"/>
  <c r="X14" i="6" s="1"/>
  <c r="W14" i="6" a="1"/>
  <c r="W14" i="6" s="1"/>
  <c r="K14" i="6"/>
  <c r="J14" i="6"/>
  <c r="A14" i="6"/>
  <c r="AJ13" i="6"/>
  <c r="AG13" i="6"/>
  <c r="AD13" i="6"/>
  <c r="Y13" i="6"/>
  <c r="X13" i="6" a="1"/>
  <c r="X13" i="6" s="1"/>
  <c r="W13" i="6" a="1"/>
  <c r="W13" i="6" s="1"/>
  <c r="K13" i="6"/>
  <c r="J13" i="6"/>
  <c r="L13" i="6" s="1"/>
  <c r="A13" i="6"/>
  <c r="AJ12" i="6"/>
  <c r="AG12" i="6"/>
  <c r="AD12" i="6"/>
  <c r="AF12" i="6" s="1"/>
  <c r="Y12" i="6"/>
  <c r="X12" i="6" a="1"/>
  <c r="X12" i="6" s="1"/>
  <c r="W12" i="6" a="1"/>
  <c r="W12" i="6" s="1"/>
  <c r="K12" i="6"/>
  <c r="Z12" i="6" s="1"/>
  <c r="AA12" i="6" s="1"/>
  <c r="J12" i="6"/>
  <c r="A12" i="6"/>
  <c r="AJ11" i="6"/>
  <c r="AG11" i="6"/>
  <c r="AD11" i="6"/>
  <c r="AF11" i="6" s="1"/>
  <c r="Z11" i="6"/>
  <c r="AA11" i="6" s="1"/>
  <c r="Y11" i="6"/>
  <c r="X11" i="6" a="1"/>
  <c r="X11" i="6" s="1"/>
  <c r="W11" i="6" a="1"/>
  <c r="W11" i="6" s="1"/>
  <c r="L11" i="6"/>
  <c r="K11" i="6"/>
  <c r="J11" i="6"/>
  <c r="A11" i="6"/>
  <c r="AJ10" i="6"/>
  <c r="AG10" i="6"/>
  <c r="AD10" i="6"/>
  <c r="AF10" i="6" s="1"/>
  <c r="Y10" i="6"/>
  <c r="X10" i="6" a="1"/>
  <c r="X10" i="6" s="1"/>
  <c r="W10" i="6" a="1"/>
  <c r="W10" i="6" s="1"/>
  <c r="K10" i="6"/>
  <c r="J10" i="6"/>
  <c r="Z10" i="6" s="1"/>
  <c r="AA10" i="6" s="1"/>
  <c r="A10" i="6"/>
  <c r="AJ9" i="6"/>
  <c r="AG9" i="6"/>
  <c r="AD9" i="6"/>
  <c r="Y9" i="6"/>
  <c r="X9" i="6" a="1"/>
  <c r="X9" i="6" s="1"/>
  <c r="W9" i="6" a="1"/>
  <c r="W9" i="6" s="1"/>
  <c r="K9" i="6"/>
  <c r="Z9" i="6" s="1"/>
  <c r="AA9" i="6" s="1"/>
  <c r="J9" i="6"/>
  <c r="A9" i="6"/>
  <c r="AJ8" i="6"/>
  <c r="AG8" i="6"/>
  <c r="AD8" i="6"/>
  <c r="Y8" i="6"/>
  <c r="X8" i="6" a="1"/>
  <c r="X8" i="6" s="1"/>
  <c r="W8" i="6" a="1"/>
  <c r="W8" i="6" s="1"/>
  <c r="K8" i="6"/>
  <c r="J8" i="6"/>
  <c r="L8" i="6" s="1"/>
  <c r="A8" i="6"/>
  <c r="AK23" i="6"/>
  <c r="AK7" i="6"/>
  <c r="AK7" i="6" a="1"/>
  <c r="AK35" i="6" s="1"/>
  <c r="AJ7" i="6"/>
  <c r="AH37" i="6"/>
  <c r="AH34" i="6"/>
  <c r="AH33" i="6"/>
  <c r="AH32" i="6"/>
  <c r="AH29" i="6"/>
  <c r="AH26" i="6"/>
  <c r="AH25" i="6"/>
  <c r="AH24" i="6"/>
  <c r="AH21" i="6"/>
  <c r="AH18" i="6"/>
  <c r="AH17" i="6"/>
  <c r="AH16" i="6"/>
  <c r="AH13" i="6"/>
  <c r="AH10" i="6"/>
  <c r="AH9" i="6"/>
  <c r="AH8" i="6"/>
  <c r="AH7" i="6" a="1"/>
  <c r="AH36" i="6" s="1"/>
  <c r="AG7" i="6"/>
  <c r="AE36" i="6"/>
  <c r="AE35" i="6"/>
  <c r="AE34" i="6"/>
  <c r="AE32" i="6"/>
  <c r="AE31" i="6"/>
  <c r="AE28" i="6"/>
  <c r="AE27" i="6"/>
  <c r="AE26" i="6"/>
  <c r="AE24" i="6"/>
  <c r="AE23" i="6"/>
  <c r="AE20" i="6"/>
  <c r="AE19" i="6"/>
  <c r="AE18" i="6"/>
  <c r="AE16" i="6"/>
  <c r="AE15" i="6"/>
  <c r="AE12" i="6"/>
  <c r="AE11" i="6"/>
  <c r="AE10" i="6"/>
  <c r="AE8" i="6"/>
  <c r="AE7" i="6"/>
  <c r="AE7" i="6" a="1"/>
  <c r="AE30" i="6" s="1"/>
  <c r="AD7" i="6"/>
  <c r="Y7" i="6"/>
  <c r="X7" i="6" a="1"/>
  <c r="X7" i="6" s="1"/>
  <c r="W7" i="6" a="1"/>
  <c r="W7" i="6" s="1"/>
  <c r="K7" i="6"/>
  <c r="Z7" i="6" s="1"/>
  <c r="AA7" i="6" s="1"/>
  <c r="J7" i="6"/>
  <c r="Y6" i="6"/>
  <c r="X6" i="6" a="1"/>
  <c r="X6" i="6" s="1"/>
  <c r="W6" i="6" a="1"/>
  <c r="W6" i="6" s="1"/>
  <c r="K6" i="6"/>
  <c r="J6" i="6"/>
  <c r="L6" i="6" s="1"/>
  <c r="A6" i="6"/>
  <c r="Y5" i="6"/>
  <c r="X5" i="6" a="1"/>
  <c r="X5" i="6" s="1"/>
  <c r="W5" i="6" a="1"/>
  <c r="W5" i="6" s="1"/>
  <c r="K5" i="6"/>
  <c r="J5" i="6"/>
  <c r="Z5" i="6" s="1"/>
  <c r="AA5" i="6" s="1"/>
  <c r="A5" i="6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L35" i="2" s="1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A5" i="3"/>
  <c r="J5" i="3"/>
  <c r="K5" i="3"/>
  <c r="W5" i="3" a="1"/>
  <c r="W5" i="3" s="1"/>
  <c r="X5" i="3" a="1"/>
  <c r="X5" i="3" s="1"/>
  <c r="Y5" i="3"/>
  <c r="J6" i="3"/>
  <c r="K6" i="3"/>
  <c r="Z6" i="3" s="1"/>
  <c r="AA6" i="3" s="1"/>
  <c r="W6" i="3" a="1"/>
  <c r="W6" i="3" s="1"/>
  <c r="X6" i="3" a="1"/>
  <c r="X6" i="3" s="1"/>
  <c r="Y6" i="3"/>
  <c r="B7" i="3"/>
  <c r="A11" i="3" s="1"/>
  <c r="J7" i="3"/>
  <c r="K7" i="3"/>
  <c r="W7" i="3" a="1"/>
  <c r="W7" i="3" s="1"/>
  <c r="X7" i="3" a="1"/>
  <c r="X7" i="3" s="1"/>
  <c r="Y7" i="3"/>
  <c r="AD7" i="3"/>
  <c r="AF7" i="3" s="1"/>
  <c r="AE7" i="3" a="1"/>
  <c r="AE7" i="3" s="1"/>
  <c r="AG7" i="3"/>
  <c r="AH7" i="3" a="1"/>
  <c r="AH8" i="3" s="1"/>
  <c r="AJ7" i="3"/>
  <c r="AK7" i="3" a="1"/>
  <c r="AK7" i="3"/>
  <c r="J8" i="3"/>
  <c r="K8" i="3"/>
  <c r="L8" i="3"/>
  <c r="W8" i="3" a="1"/>
  <c r="W8" i="3" s="1"/>
  <c r="X8" i="3" a="1"/>
  <c r="X8" i="3" s="1"/>
  <c r="Y8" i="3"/>
  <c r="AD8" i="3"/>
  <c r="AG8" i="3"/>
  <c r="AI8" i="3" s="1"/>
  <c r="AJ8" i="3"/>
  <c r="AK8" i="3"/>
  <c r="A9" i="3"/>
  <c r="J9" i="3"/>
  <c r="K9" i="3"/>
  <c r="W9" i="3" a="1"/>
  <c r="W9" i="3" s="1"/>
  <c r="X9" i="3" a="1"/>
  <c r="X9" i="3" s="1"/>
  <c r="Y9" i="3"/>
  <c r="AD9" i="3"/>
  <c r="AG9" i="3"/>
  <c r="AI9" i="3" s="1"/>
  <c r="AH9" i="3"/>
  <c r="AJ9" i="3"/>
  <c r="J10" i="3"/>
  <c r="L10" i="3" s="1"/>
  <c r="K10" i="3"/>
  <c r="Z10" i="3" s="1"/>
  <c r="AA10" i="3" s="1"/>
  <c r="W10" i="3" a="1"/>
  <c r="W10" i="3" s="1"/>
  <c r="X10" i="3" a="1"/>
  <c r="X10" i="3" s="1"/>
  <c r="Y10" i="3"/>
  <c r="AD10" i="3"/>
  <c r="AG10" i="3"/>
  <c r="AJ10" i="3"/>
  <c r="AL10" i="3" s="1"/>
  <c r="AK10" i="3"/>
  <c r="J11" i="3"/>
  <c r="K11" i="3"/>
  <c r="L11" i="3"/>
  <c r="W11" i="3" a="1"/>
  <c r="W11" i="3" s="1"/>
  <c r="X11" i="3" a="1"/>
  <c r="X11" i="3" s="1"/>
  <c r="Y11" i="3"/>
  <c r="Z11" i="3"/>
  <c r="AA11" i="3" s="1"/>
  <c r="AD11" i="3"/>
  <c r="AG11" i="3"/>
  <c r="AI11" i="3" s="1"/>
  <c r="AH11" i="3"/>
  <c r="AJ11" i="3"/>
  <c r="J12" i="3"/>
  <c r="K12" i="3"/>
  <c r="W12" i="3" a="1"/>
  <c r="W12" i="3" s="1"/>
  <c r="X12" i="3" a="1"/>
  <c r="X12" i="3" s="1"/>
  <c r="Y12" i="3"/>
  <c r="AD12" i="3"/>
  <c r="AG12" i="3"/>
  <c r="AH12" i="3"/>
  <c r="AJ12" i="3"/>
  <c r="J13" i="3"/>
  <c r="K13" i="3"/>
  <c r="Z13" i="3" s="1"/>
  <c r="AA13" i="3" s="1"/>
  <c r="W13" i="3" a="1"/>
  <c r="W13" i="3" s="1"/>
  <c r="X13" i="3" a="1"/>
  <c r="X13" i="3" s="1"/>
  <c r="Y13" i="3"/>
  <c r="AD13" i="3"/>
  <c r="AE13" i="3"/>
  <c r="AG13" i="3"/>
  <c r="AH13" i="3"/>
  <c r="AJ13" i="3"/>
  <c r="J14" i="3"/>
  <c r="L14" i="3" s="1"/>
  <c r="K14" i="3"/>
  <c r="W14" i="3" a="1"/>
  <c r="W14" i="3" s="1"/>
  <c r="X14" i="3" a="1"/>
  <c r="X14" i="3" s="1"/>
  <c r="Y14" i="3"/>
  <c r="AD14" i="3"/>
  <c r="AG14" i="3"/>
  <c r="AI14" i="3" s="1"/>
  <c r="AH14" i="3"/>
  <c r="AJ14" i="3"/>
  <c r="J15" i="3"/>
  <c r="K15" i="3"/>
  <c r="Z15" i="3" s="1"/>
  <c r="AA15" i="3" s="1"/>
  <c r="W15" i="3" a="1"/>
  <c r="W15" i="3" s="1"/>
  <c r="X15" i="3" a="1"/>
  <c r="X15" i="3" s="1"/>
  <c r="Y15" i="3"/>
  <c r="AD15" i="3"/>
  <c r="AG15" i="3"/>
  <c r="AI15" i="3" s="1"/>
  <c r="AH15" i="3"/>
  <c r="AJ15" i="3"/>
  <c r="AK15" i="3"/>
  <c r="J16" i="3"/>
  <c r="K16" i="3"/>
  <c r="L16" i="3"/>
  <c r="W16" i="3" a="1"/>
  <c r="W16" i="3" s="1"/>
  <c r="X16" i="3" a="1"/>
  <c r="X16" i="3" s="1"/>
  <c r="Y16" i="3"/>
  <c r="AD16" i="3"/>
  <c r="AG16" i="3"/>
  <c r="AJ16" i="3"/>
  <c r="AK16" i="3"/>
  <c r="J17" i="3"/>
  <c r="L17" i="3" s="1"/>
  <c r="K17" i="3"/>
  <c r="W17" i="3" a="1"/>
  <c r="W17" i="3" s="1"/>
  <c r="X17" i="3" a="1"/>
  <c r="X17" i="3" s="1"/>
  <c r="Y17" i="3"/>
  <c r="AD17" i="3"/>
  <c r="AG17" i="3"/>
  <c r="AH17" i="3"/>
  <c r="AJ17" i="3"/>
  <c r="J18" i="3"/>
  <c r="K18" i="3"/>
  <c r="Z18" i="3" s="1"/>
  <c r="AA18" i="3" s="1"/>
  <c r="W18" i="3" a="1"/>
  <c r="W18" i="3" s="1"/>
  <c r="X18" i="3" a="1"/>
  <c r="X18" i="3" s="1"/>
  <c r="Y18" i="3"/>
  <c r="AD18" i="3"/>
  <c r="AG18" i="3"/>
  <c r="AI18" i="3" s="1"/>
  <c r="AH18" i="3"/>
  <c r="AJ18" i="3"/>
  <c r="AL18" i="3" s="1"/>
  <c r="AK18" i="3"/>
  <c r="J19" i="3"/>
  <c r="K19" i="3"/>
  <c r="L19" i="3"/>
  <c r="W19" i="3" a="1"/>
  <c r="W19" i="3" s="1"/>
  <c r="X19" i="3" a="1"/>
  <c r="X19" i="3" s="1"/>
  <c r="Y19" i="3"/>
  <c r="Z19" i="3"/>
  <c r="AA19" i="3" s="1"/>
  <c r="AD19" i="3"/>
  <c r="AE19" i="3"/>
  <c r="AG19" i="3"/>
  <c r="AH19" i="3"/>
  <c r="AJ19" i="3"/>
  <c r="J20" i="3"/>
  <c r="K20" i="3"/>
  <c r="Z20" i="3" s="1"/>
  <c r="AA20" i="3" s="1"/>
  <c r="W20" i="3" a="1"/>
  <c r="W20" i="3" s="1"/>
  <c r="X20" i="3" a="1"/>
  <c r="X20" i="3" s="1"/>
  <c r="Y20" i="3"/>
  <c r="AD20" i="3"/>
  <c r="AG20" i="3"/>
  <c r="AI20" i="3" s="1"/>
  <c r="AH20" i="3"/>
  <c r="AJ20" i="3"/>
  <c r="J21" i="3"/>
  <c r="K21" i="3"/>
  <c r="W21" i="3" a="1"/>
  <c r="W21" i="3" s="1"/>
  <c r="X21" i="3" a="1"/>
  <c r="X21" i="3" s="1"/>
  <c r="Y21" i="3"/>
  <c r="AD21" i="3"/>
  <c r="AG21" i="3"/>
  <c r="AH21" i="3"/>
  <c r="AJ21" i="3"/>
  <c r="AK21" i="3"/>
  <c r="J22" i="3"/>
  <c r="L22" i="3" s="1"/>
  <c r="K22" i="3"/>
  <c r="W22" i="3" a="1"/>
  <c r="W22" i="3" s="1"/>
  <c r="X22" i="3" a="1"/>
  <c r="X22" i="3" s="1"/>
  <c r="Y22" i="3"/>
  <c r="AD22" i="3"/>
  <c r="AG22" i="3"/>
  <c r="AI22" i="3" s="1"/>
  <c r="AH22" i="3"/>
  <c r="AJ22" i="3"/>
  <c r="AL22" i="3" s="1"/>
  <c r="AK22" i="3"/>
  <c r="J23" i="3"/>
  <c r="K23" i="3"/>
  <c r="L23" i="3"/>
  <c r="W23" i="3" a="1"/>
  <c r="W23" i="3" s="1"/>
  <c r="X23" i="3" a="1"/>
  <c r="X23" i="3" s="1"/>
  <c r="Y23" i="3"/>
  <c r="Z23" i="3"/>
  <c r="AA23" i="3" s="1"/>
  <c r="AD23" i="3"/>
  <c r="AG23" i="3"/>
  <c r="AH23" i="3"/>
  <c r="AJ23" i="3"/>
  <c r="J24" i="3"/>
  <c r="K24" i="3"/>
  <c r="W24" i="3" a="1"/>
  <c r="W24" i="3" s="1"/>
  <c r="X24" i="3" a="1"/>
  <c r="X24" i="3" s="1"/>
  <c r="Y24" i="3"/>
  <c r="AD24" i="3"/>
  <c r="AG24" i="3"/>
  <c r="AI24" i="3" s="1"/>
  <c r="AH24" i="3"/>
  <c r="AJ24" i="3"/>
  <c r="B25" i="3"/>
  <c r="J25" i="3"/>
  <c r="K25" i="3"/>
  <c r="Z25" i="3" s="1"/>
  <c r="AA25" i="3" s="1"/>
  <c r="W25" i="3" a="1"/>
  <c r="W25" i="3" s="1"/>
  <c r="X25" i="3" a="1"/>
  <c r="X25" i="3" s="1"/>
  <c r="Y25" i="3"/>
  <c r="AD25" i="3"/>
  <c r="AG25" i="3"/>
  <c r="AI25" i="3" s="1"/>
  <c r="AH25" i="3"/>
  <c r="AJ25" i="3"/>
  <c r="J26" i="3"/>
  <c r="K26" i="3"/>
  <c r="W26" i="3" a="1"/>
  <c r="W26" i="3" s="1"/>
  <c r="X26" i="3" a="1"/>
  <c r="X26" i="3" s="1"/>
  <c r="Y26" i="3"/>
  <c r="AD26" i="3"/>
  <c r="AG26" i="3"/>
  <c r="AI26" i="3" s="1"/>
  <c r="AH26" i="3"/>
  <c r="AJ26" i="3"/>
  <c r="AK26" i="3"/>
  <c r="J27" i="3"/>
  <c r="L27" i="3" s="1"/>
  <c r="K27" i="3"/>
  <c r="Z27" i="3" s="1"/>
  <c r="AA27" i="3" s="1"/>
  <c r="W27" i="3" a="1"/>
  <c r="W27" i="3" s="1"/>
  <c r="X27" i="3" a="1"/>
  <c r="X27" i="3" s="1"/>
  <c r="Y27" i="3"/>
  <c r="AD27" i="3"/>
  <c r="AG27" i="3"/>
  <c r="AI27" i="3" s="1"/>
  <c r="AH27" i="3"/>
  <c r="AJ27" i="3"/>
  <c r="J28" i="3"/>
  <c r="K28" i="3"/>
  <c r="W28" i="3" a="1"/>
  <c r="W28" i="3" s="1"/>
  <c r="X28" i="3" a="1"/>
  <c r="X28" i="3" s="1"/>
  <c r="Y28" i="3"/>
  <c r="AD28" i="3"/>
  <c r="AG28" i="3"/>
  <c r="AI28" i="3" s="1"/>
  <c r="AH28" i="3"/>
  <c r="AJ28" i="3"/>
  <c r="J29" i="3"/>
  <c r="L29" i="3" s="1"/>
  <c r="K29" i="3"/>
  <c r="Z29" i="3" s="1"/>
  <c r="AA29" i="3" s="1"/>
  <c r="W29" i="3" a="1"/>
  <c r="W29" i="3" s="1"/>
  <c r="X29" i="3" a="1"/>
  <c r="X29" i="3" s="1"/>
  <c r="Y29" i="3"/>
  <c r="AD29" i="3"/>
  <c r="AF29" i="3" s="1"/>
  <c r="AE29" i="3"/>
  <c r="AG29" i="3"/>
  <c r="AH29" i="3"/>
  <c r="AJ29" i="3"/>
  <c r="AK29" i="3"/>
  <c r="J30" i="3"/>
  <c r="K30" i="3"/>
  <c r="Z30" i="3" s="1"/>
  <c r="W30" i="3" a="1"/>
  <c r="W30" i="3" s="1"/>
  <c r="X30" i="3" a="1"/>
  <c r="X30" i="3" s="1"/>
  <c r="Y30" i="3"/>
  <c r="AA30" i="3"/>
  <c r="AD30" i="3"/>
  <c r="AG30" i="3"/>
  <c r="AH30" i="3"/>
  <c r="AJ30" i="3"/>
  <c r="AK30" i="3"/>
  <c r="J31" i="3"/>
  <c r="K31" i="3"/>
  <c r="Z31" i="3" s="1"/>
  <c r="AA31" i="3" s="1"/>
  <c r="W31" i="3" a="1"/>
  <c r="W31" i="3" s="1"/>
  <c r="X31" i="3" a="1"/>
  <c r="X31" i="3" s="1"/>
  <c r="Y31" i="3"/>
  <c r="AD31" i="3"/>
  <c r="AG31" i="3"/>
  <c r="AH31" i="3"/>
  <c r="AJ31" i="3"/>
  <c r="J32" i="3"/>
  <c r="K32" i="3"/>
  <c r="W32" i="3" a="1"/>
  <c r="W32" i="3" s="1"/>
  <c r="X32" i="3" a="1"/>
  <c r="X32" i="3" s="1"/>
  <c r="Y32" i="3"/>
  <c r="AD32" i="3"/>
  <c r="AE32" i="3"/>
  <c r="AG32" i="3"/>
  <c r="AH32" i="3"/>
  <c r="AJ32" i="3"/>
  <c r="AK32" i="3"/>
  <c r="J33" i="3"/>
  <c r="K33" i="3"/>
  <c r="Z33" i="3" s="1"/>
  <c r="AA33" i="3" s="1"/>
  <c r="L33" i="3"/>
  <c r="W33" i="3" a="1"/>
  <c r="W33" i="3" s="1"/>
  <c r="X33" i="3" a="1"/>
  <c r="X33" i="3" s="1"/>
  <c r="Y33" i="3"/>
  <c r="AD33" i="3"/>
  <c r="AG33" i="3"/>
  <c r="AH33" i="3"/>
  <c r="AJ33" i="3"/>
  <c r="J34" i="3"/>
  <c r="K34" i="3"/>
  <c r="L34" i="3" s="1"/>
  <c r="W34" i="3" a="1"/>
  <c r="W34" i="3" s="1"/>
  <c r="X34" i="3" a="1"/>
  <c r="X34" i="3" s="1"/>
  <c r="Y34" i="3"/>
  <c r="Z34" i="3"/>
  <c r="AA34" i="3" s="1"/>
  <c r="AD34" i="3"/>
  <c r="AG34" i="3"/>
  <c r="AI34" i="3" s="1"/>
  <c r="AH34" i="3"/>
  <c r="AJ34" i="3"/>
  <c r="AL34" i="3" s="1"/>
  <c r="AK34" i="3"/>
  <c r="J35" i="3"/>
  <c r="K35" i="3"/>
  <c r="Z35" i="3" s="1"/>
  <c r="AA35" i="3" s="1"/>
  <c r="W35" i="3" a="1"/>
  <c r="W35" i="3" s="1"/>
  <c r="X35" i="3" a="1"/>
  <c r="X35" i="3" s="1"/>
  <c r="Y35" i="3"/>
  <c r="AD35" i="3"/>
  <c r="AE35" i="3"/>
  <c r="AG35" i="3"/>
  <c r="AH35" i="3"/>
  <c r="AJ35" i="3"/>
  <c r="J36" i="3"/>
  <c r="K36" i="3"/>
  <c r="W36" i="3" a="1"/>
  <c r="W36" i="3" s="1"/>
  <c r="X36" i="3" a="1"/>
  <c r="X36" i="3" s="1"/>
  <c r="Y36" i="3"/>
  <c r="AD36" i="3"/>
  <c r="AE36" i="3"/>
  <c r="AG36" i="3"/>
  <c r="AI36" i="3" s="1"/>
  <c r="AH36" i="3"/>
  <c r="AJ36" i="3"/>
  <c r="AK36" i="3"/>
  <c r="J37" i="3"/>
  <c r="L37" i="3" s="1"/>
  <c r="K37" i="3"/>
  <c r="W37" i="3" a="1"/>
  <c r="W37" i="3" s="1"/>
  <c r="X37" i="3" a="1"/>
  <c r="X37" i="3" s="1"/>
  <c r="Y37" i="3"/>
  <c r="AD37" i="3"/>
  <c r="AG37" i="3"/>
  <c r="AH37" i="3"/>
  <c r="AJ37" i="3"/>
  <c r="AK37" i="3"/>
  <c r="B38" i="3"/>
  <c r="J38" i="3"/>
  <c r="K38" i="3"/>
  <c r="W38" i="3" a="1"/>
  <c r="W38" i="3" s="1"/>
  <c r="X38" i="3" a="1"/>
  <c r="X38" i="3" s="1"/>
  <c r="Y38" i="3"/>
  <c r="J39" i="3"/>
  <c r="K39" i="3"/>
  <c r="W39" i="3" a="1"/>
  <c r="W39" i="3" s="1"/>
  <c r="X39" i="3" a="1"/>
  <c r="X39" i="3" s="1"/>
  <c r="Y39" i="3"/>
  <c r="J40" i="3"/>
  <c r="K40" i="3"/>
  <c r="W40" i="3" a="1"/>
  <c r="W40" i="3" s="1"/>
  <c r="X40" i="3" a="1"/>
  <c r="X40" i="3" s="1"/>
  <c r="Y40" i="3"/>
  <c r="J41" i="3"/>
  <c r="L41" i="3" s="1"/>
  <c r="K41" i="3"/>
  <c r="W41" i="3" a="1"/>
  <c r="W41" i="3" s="1"/>
  <c r="X41" i="3" a="1"/>
  <c r="X41" i="3" s="1"/>
  <c r="Y41" i="3"/>
  <c r="J42" i="3"/>
  <c r="K42" i="3"/>
  <c r="Z42" i="3" s="1"/>
  <c r="AA42" i="3" s="1"/>
  <c r="W42" i="3" a="1"/>
  <c r="W42" i="3" s="1"/>
  <c r="X42" i="3" a="1"/>
  <c r="X42" i="3" s="1"/>
  <c r="Y42" i="3"/>
  <c r="J43" i="3"/>
  <c r="K43" i="3"/>
  <c r="Z43" i="3" s="1"/>
  <c r="AA43" i="3" s="1"/>
  <c r="L43" i="3"/>
  <c r="W43" i="3" a="1"/>
  <c r="W43" i="3" s="1"/>
  <c r="X43" i="3" a="1"/>
  <c r="X43" i="3" s="1"/>
  <c r="Y43" i="3"/>
  <c r="J44" i="3"/>
  <c r="K44" i="3"/>
  <c r="Z44" i="3" s="1"/>
  <c r="AA44" i="3" s="1"/>
  <c r="W44" i="3" a="1"/>
  <c r="W44" i="3" s="1"/>
  <c r="X44" i="3" a="1"/>
  <c r="X44" i="3" s="1"/>
  <c r="Y44" i="3"/>
  <c r="J45" i="3"/>
  <c r="L45" i="3" s="1"/>
  <c r="K45" i="3"/>
  <c r="W45" i="3" a="1"/>
  <c r="W45" i="3" s="1"/>
  <c r="X45" i="3" a="1"/>
  <c r="X45" i="3" s="1"/>
  <c r="Y45" i="3"/>
  <c r="J46" i="3"/>
  <c r="K46" i="3"/>
  <c r="Z46" i="3" s="1"/>
  <c r="AA46" i="3" s="1"/>
  <c r="W46" i="3" a="1"/>
  <c r="W46" i="3" s="1"/>
  <c r="X46" i="3" a="1"/>
  <c r="X46" i="3" s="1"/>
  <c r="Y46" i="3"/>
  <c r="J47" i="3"/>
  <c r="L47" i="3" s="1"/>
  <c r="K47" i="3"/>
  <c r="W47" i="3" a="1"/>
  <c r="W47" i="3" s="1"/>
  <c r="X47" i="3" a="1"/>
  <c r="X47" i="3" s="1"/>
  <c r="Y47" i="3"/>
  <c r="J48" i="3"/>
  <c r="K48" i="3"/>
  <c r="W48" i="3" a="1"/>
  <c r="W48" i="3" s="1"/>
  <c r="X48" i="3" a="1"/>
  <c r="X48" i="3" s="1"/>
  <c r="Y48" i="3"/>
  <c r="J49" i="3"/>
  <c r="K49" i="3"/>
  <c r="Z49" i="3" s="1"/>
  <c r="AA49" i="3" s="1"/>
  <c r="W49" i="3" a="1"/>
  <c r="W49" i="3" s="1"/>
  <c r="X49" i="3" a="1"/>
  <c r="X49" i="3" s="1"/>
  <c r="Y49" i="3"/>
  <c r="J50" i="3"/>
  <c r="L50" i="3" s="1"/>
  <c r="K50" i="3"/>
  <c r="W50" i="3" a="1"/>
  <c r="W50" i="3" s="1"/>
  <c r="X50" i="3" a="1"/>
  <c r="X50" i="3" s="1"/>
  <c r="Y50" i="3"/>
  <c r="J51" i="3"/>
  <c r="L51" i="3" s="1"/>
  <c r="K51" i="3"/>
  <c r="Z51" i="3" s="1"/>
  <c r="AA51" i="3" s="1"/>
  <c r="W51" i="3" a="1"/>
  <c r="W51" i="3" s="1"/>
  <c r="X51" i="3" a="1"/>
  <c r="X51" i="3" s="1"/>
  <c r="Y51" i="3"/>
  <c r="J52" i="3"/>
  <c r="L52" i="3" s="1"/>
  <c r="K52" i="3"/>
  <c r="Z52" i="3" s="1"/>
  <c r="AA52" i="3" s="1"/>
  <c r="W52" i="3" a="1"/>
  <c r="W52" i="3" s="1"/>
  <c r="X52" i="3" a="1"/>
  <c r="X52" i="3" s="1"/>
  <c r="Y52" i="3"/>
  <c r="B53" i="3"/>
  <c r="J53" i="3"/>
  <c r="K53" i="3"/>
  <c r="Z53" i="3" s="1"/>
  <c r="AA53" i="3" s="1"/>
  <c r="W53" i="3" a="1"/>
  <c r="W53" i="3" s="1"/>
  <c r="X53" i="3" a="1"/>
  <c r="X53" i="3" s="1"/>
  <c r="Y53" i="3"/>
  <c r="J54" i="3"/>
  <c r="K54" i="3"/>
  <c r="W54" i="3" a="1"/>
  <c r="W54" i="3" s="1"/>
  <c r="X54" i="3" a="1"/>
  <c r="X54" i="3" s="1"/>
  <c r="Y54" i="3"/>
  <c r="B55" i="3"/>
  <c r="J55" i="3"/>
  <c r="K55" i="3"/>
  <c r="W55" i="3" a="1"/>
  <c r="W55" i="3" s="1"/>
  <c r="X55" i="3" a="1"/>
  <c r="X55" i="3" s="1"/>
  <c r="Y55" i="3"/>
  <c r="B56" i="3"/>
  <c r="J56" i="3"/>
  <c r="K56" i="3"/>
  <c r="Z56" i="3" s="1"/>
  <c r="AA56" i="3" s="1"/>
  <c r="W56" i="3" a="1"/>
  <c r="W56" i="3" s="1"/>
  <c r="X56" i="3" a="1"/>
  <c r="X56" i="3" s="1"/>
  <c r="Y56" i="3"/>
  <c r="B57" i="3"/>
  <c r="J57" i="3"/>
  <c r="K57" i="3"/>
  <c r="W57" i="3" a="1"/>
  <c r="W57" i="3" s="1"/>
  <c r="X57" i="3" a="1"/>
  <c r="X57" i="3" s="1"/>
  <c r="Y57" i="3"/>
  <c r="B58" i="3"/>
  <c r="J58" i="3"/>
  <c r="K58" i="3"/>
  <c r="Z58" i="3" s="1"/>
  <c r="AA58" i="3" s="1"/>
  <c r="W58" i="3" a="1"/>
  <c r="W58" i="3" s="1"/>
  <c r="X58" i="3" a="1"/>
  <c r="X58" i="3" s="1"/>
  <c r="Y58" i="3"/>
  <c r="B59" i="3"/>
  <c r="J59" i="3"/>
  <c r="K59" i="3"/>
  <c r="Z59" i="3" s="1"/>
  <c r="AA59" i="3" s="1"/>
  <c r="W59" i="3" a="1"/>
  <c r="W59" i="3" s="1"/>
  <c r="X59" i="3" a="1"/>
  <c r="X59" i="3" s="1"/>
  <c r="Y59" i="3"/>
  <c r="B60" i="3"/>
  <c r="J60" i="3"/>
  <c r="K60" i="3"/>
  <c r="Z60" i="3" s="1"/>
  <c r="AA60" i="3" s="1"/>
  <c r="W60" i="3" a="1"/>
  <c r="W60" i="3" s="1"/>
  <c r="X60" i="3" a="1"/>
  <c r="X60" i="3" s="1"/>
  <c r="Y60" i="3"/>
  <c r="B61" i="3"/>
  <c r="J61" i="3"/>
  <c r="L61" i="3" s="1"/>
  <c r="K61" i="3"/>
  <c r="W61" i="3" a="1"/>
  <c r="W61" i="3" s="1"/>
  <c r="X61" i="3" a="1"/>
  <c r="X61" i="3" s="1"/>
  <c r="Y61" i="3"/>
  <c r="B62" i="3"/>
  <c r="J62" i="3"/>
  <c r="K62" i="3"/>
  <c r="W62" i="3" a="1"/>
  <c r="W62" i="3" s="1"/>
  <c r="X62" i="3" a="1"/>
  <c r="X62" i="3" s="1"/>
  <c r="Y62" i="3"/>
  <c r="B63" i="3"/>
  <c r="J63" i="3"/>
  <c r="K63" i="3"/>
  <c r="W63" i="3" a="1"/>
  <c r="W63" i="3" s="1"/>
  <c r="X63" i="3" a="1"/>
  <c r="X63" i="3" s="1"/>
  <c r="Y63" i="3"/>
  <c r="J64" i="3"/>
  <c r="L64" i="3" s="1"/>
  <c r="K64" i="3"/>
  <c r="Z64" i="3" s="1"/>
  <c r="AA64" i="3" s="1"/>
  <c r="W64" i="3" a="1"/>
  <c r="W64" i="3" s="1"/>
  <c r="X64" i="3" a="1"/>
  <c r="X64" i="3" s="1"/>
  <c r="Y64" i="3"/>
  <c r="B65" i="3"/>
  <c r="J65" i="3"/>
  <c r="L65" i="3" s="1"/>
  <c r="K65" i="3"/>
  <c r="Z65" i="3" s="1"/>
  <c r="AA65" i="3" s="1"/>
  <c r="W65" i="3" a="1"/>
  <c r="W65" i="3" s="1"/>
  <c r="X65" i="3" a="1"/>
  <c r="X65" i="3" s="1"/>
  <c r="Y65" i="3"/>
  <c r="J66" i="3"/>
  <c r="K66" i="3"/>
  <c r="L66" i="3" s="1"/>
  <c r="W66" i="3" a="1"/>
  <c r="W66" i="3" s="1"/>
  <c r="X66" i="3" a="1"/>
  <c r="X66" i="3" s="1"/>
  <c r="Y66" i="3"/>
  <c r="Z66" i="3"/>
  <c r="AA66" i="3" s="1"/>
  <c r="J67" i="3"/>
  <c r="K67" i="3"/>
  <c r="L67" i="3" s="1"/>
  <c r="W67" i="3" a="1"/>
  <c r="W67" i="3" s="1"/>
  <c r="X67" i="3" a="1"/>
  <c r="X67" i="3" s="1"/>
  <c r="Y67" i="3"/>
  <c r="Z67" i="3"/>
  <c r="AA67" i="3" s="1"/>
  <c r="J68" i="3"/>
  <c r="K68" i="3"/>
  <c r="L68" i="3" s="1"/>
  <c r="W68" i="3" a="1"/>
  <c r="W68" i="3" s="1"/>
  <c r="X68" i="3" a="1"/>
  <c r="X68" i="3" s="1"/>
  <c r="Y68" i="3"/>
  <c r="Z68" i="3"/>
  <c r="AA68" i="3" s="1"/>
  <c r="J69" i="3"/>
  <c r="K69" i="3"/>
  <c r="L69" i="3" s="1"/>
  <c r="W69" i="3" a="1"/>
  <c r="W69" i="3" s="1"/>
  <c r="X69" i="3" a="1"/>
  <c r="X69" i="3" s="1"/>
  <c r="Y69" i="3"/>
  <c r="Z69" i="3"/>
  <c r="AA69" i="3" s="1"/>
  <c r="J70" i="3"/>
  <c r="K70" i="3"/>
  <c r="L70" i="3" s="1"/>
  <c r="W70" i="3" a="1"/>
  <c r="W70" i="3" s="1"/>
  <c r="X70" i="3" a="1"/>
  <c r="X70" i="3" s="1"/>
  <c r="Y70" i="3"/>
  <c r="Z70" i="3"/>
  <c r="AA70" i="3" s="1"/>
  <c r="J71" i="3"/>
  <c r="K71" i="3"/>
  <c r="W71" i="3" a="1"/>
  <c r="W71" i="3" s="1"/>
  <c r="X71" i="3" a="1"/>
  <c r="X71" i="3" s="1"/>
  <c r="Y71" i="3"/>
  <c r="J72" i="3"/>
  <c r="L72" i="3" s="1"/>
  <c r="K72" i="3"/>
  <c r="Z72" i="3" s="1"/>
  <c r="AA72" i="3" s="1"/>
  <c r="W72" i="3" a="1"/>
  <c r="W72" i="3" s="1"/>
  <c r="X72" i="3" a="1"/>
  <c r="X72" i="3" s="1"/>
  <c r="Y72" i="3"/>
  <c r="J73" i="3"/>
  <c r="L73" i="3" s="1"/>
  <c r="K73" i="3"/>
  <c r="W73" i="3" a="1"/>
  <c r="W73" i="3" s="1"/>
  <c r="X73" i="3" a="1"/>
  <c r="X73" i="3" s="1"/>
  <c r="Y73" i="3"/>
  <c r="J74" i="3"/>
  <c r="K74" i="3"/>
  <c r="Z74" i="3" s="1"/>
  <c r="AA74" i="3" s="1"/>
  <c r="L74" i="3"/>
  <c r="W74" i="3" a="1"/>
  <c r="W74" i="3" s="1"/>
  <c r="X74" i="3" a="1"/>
  <c r="X74" i="3" s="1"/>
  <c r="Y74" i="3"/>
  <c r="J75" i="3"/>
  <c r="K75" i="3"/>
  <c r="Z75" i="3" s="1"/>
  <c r="AA75" i="3" s="1"/>
  <c r="W75" i="3" a="1"/>
  <c r="W75" i="3" s="1"/>
  <c r="X75" i="3" a="1"/>
  <c r="X75" i="3" s="1"/>
  <c r="Y75" i="3"/>
  <c r="J76" i="3"/>
  <c r="K76" i="3"/>
  <c r="L76" i="3"/>
  <c r="W76" i="3" a="1"/>
  <c r="W76" i="3" s="1"/>
  <c r="X76" i="3" a="1"/>
  <c r="X76" i="3" s="1"/>
  <c r="Y76" i="3"/>
  <c r="Z76" i="3"/>
  <c r="AA76" i="3" s="1"/>
  <c r="J77" i="3"/>
  <c r="K77" i="3"/>
  <c r="W77" i="3" a="1"/>
  <c r="W77" i="3" s="1"/>
  <c r="X77" i="3" a="1"/>
  <c r="X77" i="3" s="1"/>
  <c r="Y77" i="3"/>
  <c r="J78" i="3"/>
  <c r="L78" i="3" s="1"/>
  <c r="K78" i="3"/>
  <c r="Z78" i="3" s="1"/>
  <c r="AA78" i="3" s="1"/>
  <c r="W78" i="3" a="1"/>
  <c r="W78" i="3" s="1"/>
  <c r="X78" i="3" a="1"/>
  <c r="X78" i="3" s="1"/>
  <c r="Y78" i="3"/>
  <c r="J79" i="3"/>
  <c r="K79" i="3"/>
  <c r="W79" i="3" a="1"/>
  <c r="W79" i="3" s="1"/>
  <c r="X79" i="3" a="1"/>
  <c r="X79" i="3" s="1"/>
  <c r="Y79" i="3"/>
  <c r="J80" i="3"/>
  <c r="K80" i="3"/>
  <c r="L80" i="3"/>
  <c r="W80" i="3" a="1"/>
  <c r="W80" i="3" s="1"/>
  <c r="X80" i="3" a="1"/>
  <c r="X80" i="3" s="1"/>
  <c r="Y80" i="3"/>
  <c r="Z80" i="3"/>
  <c r="AA80" i="3" s="1"/>
  <c r="J81" i="3"/>
  <c r="L81" i="3" s="1"/>
  <c r="K81" i="3"/>
  <c r="Z81" i="3" s="1"/>
  <c r="AA81" i="3" s="1"/>
  <c r="W81" i="3" a="1"/>
  <c r="W81" i="3" s="1"/>
  <c r="X81" i="3" a="1"/>
  <c r="X81" i="3" s="1"/>
  <c r="Y81" i="3"/>
  <c r="J82" i="3"/>
  <c r="L82" i="3" s="1"/>
  <c r="K82" i="3"/>
  <c r="W82" i="3" a="1"/>
  <c r="W82" i="3" s="1"/>
  <c r="X82" i="3" a="1"/>
  <c r="X82" i="3" s="1"/>
  <c r="Y82" i="3"/>
  <c r="J83" i="3"/>
  <c r="L83" i="3" s="1"/>
  <c r="K83" i="3"/>
  <c r="Z83" i="3" s="1"/>
  <c r="AA83" i="3" s="1"/>
  <c r="W83" i="3" a="1"/>
  <c r="W83" i="3" s="1"/>
  <c r="X83" i="3" a="1"/>
  <c r="X83" i="3" s="1"/>
  <c r="Y83" i="3"/>
  <c r="J84" i="3"/>
  <c r="L84" i="3" s="1"/>
  <c r="K84" i="3"/>
  <c r="Z84" i="3" s="1"/>
  <c r="AA84" i="3" s="1"/>
  <c r="W84" i="3" a="1"/>
  <c r="W84" i="3" s="1"/>
  <c r="X84" i="3" a="1"/>
  <c r="X84" i="3" s="1"/>
  <c r="Y84" i="3"/>
  <c r="J85" i="3"/>
  <c r="L85" i="3" s="1"/>
  <c r="K85" i="3"/>
  <c r="W85" i="3" a="1"/>
  <c r="W85" i="3" s="1"/>
  <c r="X85" i="3" a="1"/>
  <c r="X85" i="3" s="1"/>
  <c r="Y85" i="3"/>
  <c r="B86" i="3"/>
  <c r="J86" i="3"/>
  <c r="K86" i="3"/>
  <c r="W86" i="3" a="1"/>
  <c r="W86" i="3" s="1"/>
  <c r="X86" i="3" a="1"/>
  <c r="X86" i="3" s="1"/>
  <c r="Y86" i="3"/>
  <c r="J87" i="3"/>
  <c r="L87" i="3" s="1"/>
  <c r="K87" i="3"/>
  <c r="W87" i="3" a="1"/>
  <c r="W87" i="3" s="1"/>
  <c r="X87" i="3" a="1"/>
  <c r="X87" i="3" s="1"/>
  <c r="Y87" i="3"/>
  <c r="J88" i="3"/>
  <c r="K88" i="3"/>
  <c r="Z88" i="3" s="1"/>
  <c r="AA88" i="3" s="1"/>
  <c r="W88" i="3" a="1"/>
  <c r="W88" i="3" s="1"/>
  <c r="X88" i="3" a="1"/>
  <c r="X88" i="3" s="1"/>
  <c r="Y88" i="3"/>
  <c r="J89" i="3"/>
  <c r="K89" i="3"/>
  <c r="Z89" i="3" s="1"/>
  <c r="AA89" i="3" s="1"/>
  <c r="W89" i="3" a="1"/>
  <c r="W89" i="3" s="1"/>
  <c r="X89" i="3" a="1"/>
  <c r="X89" i="3" s="1"/>
  <c r="Y89" i="3"/>
  <c r="J90" i="3"/>
  <c r="L90" i="3" s="1"/>
  <c r="K90" i="3"/>
  <c r="Z90" i="3" s="1"/>
  <c r="AA90" i="3" s="1"/>
  <c r="W90" i="3" a="1"/>
  <c r="W90" i="3" s="1"/>
  <c r="X90" i="3" a="1"/>
  <c r="X90" i="3" s="1"/>
  <c r="Y90" i="3"/>
  <c r="J91" i="3"/>
  <c r="L91" i="3" s="1"/>
  <c r="K91" i="3"/>
  <c r="W91" i="3" a="1"/>
  <c r="W91" i="3" s="1"/>
  <c r="X91" i="3" a="1"/>
  <c r="X91" i="3" s="1"/>
  <c r="Y91" i="3"/>
  <c r="J92" i="3"/>
  <c r="L92" i="3" s="1"/>
  <c r="K92" i="3"/>
  <c r="Z92" i="3" s="1"/>
  <c r="AA92" i="3" s="1"/>
  <c r="W92" i="3" a="1"/>
  <c r="W92" i="3" s="1"/>
  <c r="X92" i="3" a="1"/>
  <c r="X92" i="3" s="1"/>
  <c r="Y92" i="3"/>
  <c r="J93" i="3"/>
  <c r="K93" i="3"/>
  <c r="W93" i="3" a="1"/>
  <c r="W93" i="3" s="1"/>
  <c r="X93" i="3" a="1"/>
  <c r="X93" i="3" s="1"/>
  <c r="Y93" i="3"/>
  <c r="J94" i="3"/>
  <c r="K94" i="3"/>
  <c r="L94" i="3"/>
  <c r="W94" i="3" a="1"/>
  <c r="W94" i="3" s="1"/>
  <c r="X94" i="3" a="1"/>
  <c r="X94" i="3" s="1"/>
  <c r="Y94" i="3"/>
  <c r="Z94" i="3"/>
  <c r="AA94" i="3" s="1"/>
  <c r="J95" i="3"/>
  <c r="K95" i="3"/>
  <c r="W95" i="3" a="1"/>
  <c r="W95" i="3" s="1"/>
  <c r="X95" i="3" a="1"/>
  <c r="X95" i="3" s="1"/>
  <c r="Y95" i="3"/>
  <c r="J96" i="3"/>
  <c r="L96" i="3" s="1"/>
  <c r="K96" i="3"/>
  <c r="Z96" i="3" s="1"/>
  <c r="AA96" i="3" s="1"/>
  <c r="W96" i="3" a="1"/>
  <c r="W96" i="3" s="1"/>
  <c r="X96" i="3" a="1"/>
  <c r="X96" i="3" s="1"/>
  <c r="Y96" i="3"/>
  <c r="J97" i="3"/>
  <c r="L97" i="3" s="1"/>
  <c r="K97" i="3"/>
  <c r="W97" i="3" a="1"/>
  <c r="W97" i="3" s="1"/>
  <c r="X97" i="3" a="1"/>
  <c r="X97" i="3" s="1"/>
  <c r="Y97" i="3"/>
  <c r="J98" i="3"/>
  <c r="K98" i="3"/>
  <c r="Z98" i="3" s="1"/>
  <c r="AA98" i="3" s="1"/>
  <c r="W98" i="3" a="1"/>
  <c r="W98" i="3" s="1"/>
  <c r="X98" i="3" a="1"/>
  <c r="X98" i="3" s="1"/>
  <c r="Y98" i="3"/>
  <c r="B99" i="3"/>
  <c r="J99" i="3"/>
  <c r="L99" i="3" s="1"/>
  <c r="K99" i="3"/>
  <c r="W99" i="3" a="1"/>
  <c r="W99" i="3" s="1"/>
  <c r="X99" i="3" a="1"/>
  <c r="X99" i="3" s="1"/>
  <c r="Y99" i="3"/>
  <c r="J100" i="3"/>
  <c r="K100" i="3"/>
  <c r="Z100" i="3" s="1"/>
  <c r="AA100" i="3" s="1"/>
  <c r="W100" i="3" a="1"/>
  <c r="W100" i="3" s="1"/>
  <c r="X100" i="3" a="1"/>
  <c r="X100" i="3" s="1"/>
  <c r="Y100" i="3"/>
  <c r="J101" i="3"/>
  <c r="L101" i="3" s="1"/>
  <c r="K101" i="3"/>
  <c r="W101" i="3" a="1"/>
  <c r="W101" i="3" s="1"/>
  <c r="X101" i="3" a="1"/>
  <c r="X101" i="3" s="1"/>
  <c r="Y101" i="3"/>
  <c r="J102" i="3"/>
  <c r="K102" i="3"/>
  <c r="Z102" i="3" s="1"/>
  <c r="AA102" i="3" s="1"/>
  <c r="W102" i="3" a="1"/>
  <c r="W102" i="3" s="1"/>
  <c r="X102" i="3" a="1"/>
  <c r="X102" i="3" s="1"/>
  <c r="Y102" i="3"/>
  <c r="J103" i="3"/>
  <c r="L103" i="3" s="1"/>
  <c r="K103" i="3"/>
  <c r="W103" i="3" a="1"/>
  <c r="W103" i="3" s="1"/>
  <c r="X103" i="3" a="1"/>
  <c r="X103" i="3" s="1"/>
  <c r="Y103" i="3"/>
  <c r="J104" i="3"/>
  <c r="K104" i="3"/>
  <c r="L104" i="3"/>
  <c r="W104" i="3" a="1"/>
  <c r="W104" i="3" s="1"/>
  <c r="X104" i="3" a="1"/>
  <c r="X104" i="3" s="1"/>
  <c r="Y104" i="3"/>
  <c r="Z104" i="3"/>
  <c r="AA104" i="3" s="1"/>
  <c r="J105" i="3"/>
  <c r="L105" i="3" s="1"/>
  <c r="K105" i="3"/>
  <c r="W105" i="3" a="1"/>
  <c r="W105" i="3" s="1"/>
  <c r="X105" i="3" a="1"/>
  <c r="X105" i="3" s="1"/>
  <c r="Y105" i="3"/>
  <c r="J106" i="3"/>
  <c r="L106" i="3" s="1"/>
  <c r="K106" i="3"/>
  <c r="Z106" i="3" s="1"/>
  <c r="AA106" i="3" s="1"/>
  <c r="W106" i="3" a="1"/>
  <c r="W106" i="3" s="1"/>
  <c r="X106" i="3" a="1"/>
  <c r="X106" i="3" s="1"/>
  <c r="Y106" i="3"/>
  <c r="B107" i="3"/>
  <c r="J107" i="3"/>
  <c r="L107" i="3" s="1"/>
  <c r="K107" i="3"/>
  <c r="W107" i="3" a="1"/>
  <c r="W107" i="3" s="1"/>
  <c r="X107" i="3" a="1"/>
  <c r="X107" i="3" s="1"/>
  <c r="Y107" i="3"/>
  <c r="Z107" i="3"/>
  <c r="AA107" i="3" s="1"/>
  <c r="J108" i="3"/>
  <c r="K108" i="3"/>
  <c r="L108" i="3" s="1"/>
  <c r="W108" i="3" a="1"/>
  <c r="W108" i="3" s="1"/>
  <c r="X108" i="3" a="1"/>
  <c r="X108" i="3" s="1"/>
  <c r="Y108" i="3"/>
  <c r="Z108" i="3"/>
  <c r="AA108" i="3" s="1"/>
  <c r="J109" i="3"/>
  <c r="K109" i="3"/>
  <c r="Z109" i="3" s="1"/>
  <c r="AA109" i="3" s="1"/>
  <c r="W109" i="3" a="1"/>
  <c r="W109" i="3" s="1"/>
  <c r="X109" i="3" a="1"/>
  <c r="X109" i="3" s="1"/>
  <c r="Y109" i="3"/>
  <c r="J110" i="3"/>
  <c r="K110" i="3"/>
  <c r="L110" i="3"/>
  <c r="W110" i="3" a="1"/>
  <c r="W110" i="3" s="1"/>
  <c r="X110" i="3" a="1"/>
  <c r="X110" i="3" s="1"/>
  <c r="Y110" i="3"/>
  <c r="Z110" i="3"/>
  <c r="AA110" i="3" s="1"/>
  <c r="J111" i="3"/>
  <c r="K111" i="3"/>
  <c r="W111" i="3" a="1"/>
  <c r="W111" i="3" s="1"/>
  <c r="X111" i="3" a="1"/>
  <c r="X111" i="3" s="1"/>
  <c r="Y111" i="3"/>
  <c r="J112" i="3"/>
  <c r="L112" i="3" s="1"/>
  <c r="K112" i="3"/>
  <c r="W112" i="3" a="1"/>
  <c r="W112" i="3" s="1"/>
  <c r="X112" i="3" a="1"/>
  <c r="X112" i="3" s="1"/>
  <c r="Y112" i="3"/>
  <c r="J113" i="3"/>
  <c r="K113" i="3"/>
  <c r="W113" i="3" a="1"/>
  <c r="W113" i="3" s="1"/>
  <c r="X113" i="3" a="1"/>
  <c r="X113" i="3" s="1"/>
  <c r="Y113" i="3"/>
  <c r="J114" i="3"/>
  <c r="K114" i="3"/>
  <c r="L114" i="3"/>
  <c r="W114" i="3" a="1"/>
  <c r="W114" i="3" s="1"/>
  <c r="X114" i="3" a="1"/>
  <c r="X114" i="3" s="1"/>
  <c r="Y114" i="3"/>
  <c r="Z114" i="3"/>
  <c r="AA114" i="3" s="1"/>
  <c r="J115" i="3"/>
  <c r="K115" i="3"/>
  <c r="L115" i="3"/>
  <c r="W115" i="3" a="1"/>
  <c r="W115" i="3" s="1"/>
  <c r="X115" i="3" a="1"/>
  <c r="X115" i="3" s="1"/>
  <c r="Y115" i="3"/>
  <c r="Z115" i="3"/>
  <c r="AA115" i="3" s="1"/>
  <c r="J116" i="3"/>
  <c r="K116" i="3"/>
  <c r="L116" i="3"/>
  <c r="W116" i="3" a="1"/>
  <c r="W116" i="3" s="1"/>
  <c r="X116" i="3" a="1"/>
  <c r="X116" i="3" s="1"/>
  <c r="Y116" i="3"/>
  <c r="Z116" i="3"/>
  <c r="AA116" i="3" s="1"/>
  <c r="J117" i="3"/>
  <c r="K117" i="3"/>
  <c r="L117" i="3"/>
  <c r="W117" i="3" a="1"/>
  <c r="W117" i="3" s="1"/>
  <c r="X117" i="3" a="1"/>
  <c r="X117" i="3" s="1"/>
  <c r="Y117" i="3"/>
  <c r="Z117" i="3"/>
  <c r="AA117" i="3" s="1"/>
  <c r="J118" i="3"/>
  <c r="K118" i="3"/>
  <c r="L118" i="3"/>
  <c r="W118" i="3" a="1"/>
  <c r="W118" i="3" s="1"/>
  <c r="X118" i="3" a="1"/>
  <c r="X118" i="3" s="1"/>
  <c r="Y118" i="3"/>
  <c r="Z118" i="3"/>
  <c r="AA118" i="3" s="1"/>
  <c r="J119" i="3"/>
  <c r="L119" i="3" s="1"/>
  <c r="K119" i="3"/>
  <c r="W119" i="3" a="1"/>
  <c r="W119" i="3" s="1"/>
  <c r="X119" i="3" a="1"/>
  <c r="X119" i="3" s="1"/>
  <c r="Y119" i="3"/>
  <c r="J120" i="3"/>
  <c r="L120" i="3" s="1"/>
  <c r="K120" i="3"/>
  <c r="Z120" i="3" s="1"/>
  <c r="AA120" i="3" s="1"/>
  <c r="W120" i="3" a="1"/>
  <c r="W120" i="3" s="1"/>
  <c r="X120" i="3" a="1"/>
  <c r="X120" i="3" s="1"/>
  <c r="Y120" i="3"/>
  <c r="J121" i="3"/>
  <c r="L121" i="3" s="1"/>
  <c r="K121" i="3"/>
  <c r="W121" i="3" a="1"/>
  <c r="W121" i="3" s="1"/>
  <c r="X121" i="3" a="1"/>
  <c r="X121" i="3" s="1"/>
  <c r="Y121" i="3"/>
  <c r="J122" i="3"/>
  <c r="K122" i="3"/>
  <c r="L122" i="3" s="1"/>
  <c r="W122" i="3" a="1"/>
  <c r="W122" i="3" s="1"/>
  <c r="X122" i="3" a="1"/>
  <c r="X122" i="3" s="1"/>
  <c r="Y122" i="3"/>
  <c r="Z122" i="3"/>
  <c r="AA122" i="3" s="1"/>
  <c r="J123" i="3"/>
  <c r="K123" i="3"/>
  <c r="W123" i="3" a="1"/>
  <c r="W123" i="3" s="1"/>
  <c r="X123" i="3" a="1"/>
  <c r="X123" i="3" s="1"/>
  <c r="Y123" i="3"/>
  <c r="Z123" i="3"/>
  <c r="AA123" i="3" s="1"/>
  <c r="J124" i="3"/>
  <c r="K124" i="3"/>
  <c r="L124" i="3"/>
  <c r="W124" i="3" a="1"/>
  <c r="W124" i="3" s="1"/>
  <c r="X124" i="3" a="1"/>
  <c r="X124" i="3" s="1"/>
  <c r="Y124" i="3"/>
  <c r="Z124" i="3"/>
  <c r="AA124" i="3" s="1"/>
  <c r="J125" i="3"/>
  <c r="K125" i="3"/>
  <c r="L125" i="3"/>
  <c r="W125" i="3" a="1"/>
  <c r="W125" i="3" s="1"/>
  <c r="X125" i="3" a="1"/>
  <c r="X125" i="3" s="1"/>
  <c r="Y125" i="3"/>
  <c r="J126" i="3"/>
  <c r="L126" i="3" s="1"/>
  <c r="K126" i="3"/>
  <c r="W126" i="3" a="1"/>
  <c r="W126" i="3" s="1"/>
  <c r="X126" i="3" a="1"/>
  <c r="X126" i="3" s="1"/>
  <c r="Y126" i="3"/>
  <c r="J127" i="3"/>
  <c r="K127" i="3"/>
  <c r="W127" i="3" a="1"/>
  <c r="W127" i="3" s="1"/>
  <c r="X127" i="3" a="1"/>
  <c r="X127" i="3" s="1"/>
  <c r="Y127" i="3"/>
  <c r="J128" i="3"/>
  <c r="K128" i="3"/>
  <c r="Z128" i="3" s="1"/>
  <c r="AA128" i="3" s="1"/>
  <c r="W128" i="3" a="1"/>
  <c r="W128" i="3" s="1"/>
  <c r="X128" i="3" a="1"/>
  <c r="X128" i="3" s="1"/>
  <c r="Y128" i="3"/>
  <c r="J129" i="3"/>
  <c r="K129" i="3"/>
  <c r="W129" i="3" a="1"/>
  <c r="W129" i="3" s="1"/>
  <c r="X129" i="3" a="1"/>
  <c r="X129" i="3" s="1"/>
  <c r="Y129" i="3"/>
  <c r="J130" i="3"/>
  <c r="L130" i="3" s="1"/>
  <c r="K130" i="3"/>
  <c r="Z130" i="3" s="1"/>
  <c r="AA130" i="3" s="1"/>
  <c r="W130" i="3" a="1"/>
  <c r="W130" i="3" s="1"/>
  <c r="X130" i="3" a="1"/>
  <c r="X130" i="3" s="1"/>
  <c r="Y130" i="3"/>
  <c r="J131" i="3"/>
  <c r="L131" i="3" s="1"/>
  <c r="K131" i="3"/>
  <c r="Z131" i="3" s="1"/>
  <c r="AA131" i="3" s="1"/>
  <c r="W131" i="3" a="1"/>
  <c r="W131" i="3" s="1"/>
  <c r="X131" i="3" a="1"/>
  <c r="X131" i="3" s="1"/>
  <c r="Y131" i="3"/>
  <c r="B132" i="3"/>
  <c r="J132" i="3"/>
  <c r="K132" i="3"/>
  <c r="W132" i="3" a="1"/>
  <c r="W132" i="3" s="1"/>
  <c r="X132" i="3" a="1"/>
  <c r="X132" i="3" s="1"/>
  <c r="Y132" i="3"/>
  <c r="J133" i="3"/>
  <c r="L133" i="3" s="1"/>
  <c r="K133" i="3"/>
  <c r="W133" i="3" a="1"/>
  <c r="W133" i="3" s="1"/>
  <c r="X133" i="3" a="1"/>
  <c r="X133" i="3" s="1"/>
  <c r="Y133" i="3"/>
  <c r="Z133" i="3"/>
  <c r="AA133" i="3" s="1"/>
  <c r="J134" i="3"/>
  <c r="K134" i="3"/>
  <c r="W134" i="3" a="1"/>
  <c r="W134" i="3" s="1"/>
  <c r="X134" i="3" a="1"/>
  <c r="X134" i="3" s="1"/>
  <c r="Y134" i="3"/>
  <c r="Z134" i="3"/>
  <c r="AA134" i="3" s="1"/>
  <c r="J135" i="3"/>
  <c r="K135" i="3"/>
  <c r="L135" i="3"/>
  <c r="W135" i="3" a="1"/>
  <c r="W135" i="3" s="1"/>
  <c r="X135" i="3" a="1"/>
  <c r="X135" i="3" s="1"/>
  <c r="Y135" i="3"/>
  <c r="J136" i="3"/>
  <c r="L136" i="3" s="1"/>
  <c r="K136" i="3"/>
  <c r="W136" i="3" a="1"/>
  <c r="W136" i="3" s="1"/>
  <c r="X136" i="3" a="1"/>
  <c r="X136" i="3" s="1"/>
  <c r="Y136" i="3"/>
  <c r="J137" i="3"/>
  <c r="K137" i="3"/>
  <c r="Z137" i="3" s="1"/>
  <c r="AA137" i="3" s="1"/>
  <c r="W137" i="3" a="1"/>
  <c r="W137" i="3" s="1"/>
  <c r="X137" i="3" a="1"/>
  <c r="X137" i="3" s="1"/>
  <c r="Y137" i="3"/>
  <c r="J138" i="3"/>
  <c r="K138" i="3"/>
  <c r="W138" i="3" a="1"/>
  <c r="W138" i="3" s="1"/>
  <c r="X138" i="3" a="1"/>
  <c r="X138" i="3" s="1"/>
  <c r="Y138" i="3"/>
  <c r="J139" i="3"/>
  <c r="K139" i="3"/>
  <c r="W139" i="3" a="1"/>
  <c r="W139" i="3" s="1"/>
  <c r="X139" i="3" a="1"/>
  <c r="X139" i="3" s="1"/>
  <c r="Y139" i="3"/>
  <c r="J140" i="3"/>
  <c r="K140" i="3"/>
  <c r="W140" i="3" a="1"/>
  <c r="W140" i="3" s="1"/>
  <c r="X140" i="3" a="1"/>
  <c r="X140" i="3" s="1"/>
  <c r="Y140" i="3"/>
  <c r="J141" i="3"/>
  <c r="L141" i="3" s="1"/>
  <c r="K141" i="3"/>
  <c r="Z141" i="3" s="1"/>
  <c r="AA141" i="3" s="1"/>
  <c r="W141" i="3" a="1"/>
  <c r="W141" i="3" s="1"/>
  <c r="X141" i="3" a="1"/>
  <c r="X141" i="3" s="1"/>
  <c r="Y141" i="3"/>
  <c r="J142" i="3"/>
  <c r="K142" i="3"/>
  <c r="L142" i="3"/>
  <c r="W142" i="3" a="1"/>
  <c r="W142" i="3" s="1"/>
  <c r="X142" i="3" a="1"/>
  <c r="X142" i="3" s="1"/>
  <c r="Y142" i="3"/>
  <c r="Z142" i="3"/>
  <c r="AA142" i="3" s="1"/>
  <c r="J143" i="3"/>
  <c r="L143" i="3" s="1"/>
  <c r="K143" i="3"/>
  <c r="Z143" i="3" s="1"/>
  <c r="AA143" i="3" s="1"/>
  <c r="W143" i="3" a="1"/>
  <c r="W143" i="3" s="1"/>
  <c r="X143" i="3" a="1"/>
  <c r="X143" i="3" s="1"/>
  <c r="Y143" i="3"/>
  <c r="J144" i="3"/>
  <c r="L144" i="3" s="1"/>
  <c r="K144" i="3"/>
  <c r="Z144" i="3" s="1"/>
  <c r="AA144" i="3" s="1"/>
  <c r="W144" i="3" a="1"/>
  <c r="W144" i="3" s="1"/>
  <c r="X144" i="3" a="1"/>
  <c r="X144" i="3" s="1"/>
  <c r="Y144" i="3"/>
  <c r="B145" i="3"/>
  <c r="J145" i="3"/>
  <c r="L145" i="3" s="1"/>
  <c r="K145" i="3"/>
  <c r="W145" i="3" a="1"/>
  <c r="W145" i="3" s="1"/>
  <c r="X145" i="3" a="1"/>
  <c r="X145" i="3" s="1"/>
  <c r="Y145" i="3"/>
  <c r="J146" i="3"/>
  <c r="K146" i="3"/>
  <c r="W146" i="3" a="1"/>
  <c r="W146" i="3" s="1"/>
  <c r="X146" i="3" a="1"/>
  <c r="X146" i="3" s="1"/>
  <c r="Y146" i="3"/>
  <c r="J147" i="3"/>
  <c r="L147" i="3" s="1"/>
  <c r="K147" i="3"/>
  <c r="W147" i="3" a="1"/>
  <c r="W147" i="3" s="1"/>
  <c r="X147" i="3" a="1"/>
  <c r="X147" i="3" s="1"/>
  <c r="Y147" i="3"/>
  <c r="J148" i="3"/>
  <c r="L148" i="3" s="1"/>
  <c r="K148" i="3"/>
  <c r="Z148" i="3" s="1"/>
  <c r="AA148" i="3" s="1"/>
  <c r="W148" i="3" a="1"/>
  <c r="W148" i="3" s="1"/>
  <c r="X148" i="3" a="1"/>
  <c r="X148" i="3" s="1"/>
  <c r="Y148" i="3"/>
  <c r="J149" i="3"/>
  <c r="L149" i="3" s="1"/>
  <c r="K149" i="3"/>
  <c r="W149" i="3" a="1"/>
  <c r="W149" i="3" s="1"/>
  <c r="X149" i="3" a="1"/>
  <c r="X149" i="3" s="1"/>
  <c r="Y149" i="3"/>
  <c r="J150" i="3"/>
  <c r="K150" i="3"/>
  <c r="L150" i="3" s="1"/>
  <c r="W150" i="3" a="1"/>
  <c r="W150" i="3" s="1"/>
  <c r="X150" i="3" a="1"/>
  <c r="X150" i="3" s="1"/>
  <c r="Y150" i="3"/>
  <c r="Z150" i="3"/>
  <c r="AA150" i="3" s="1"/>
  <c r="J151" i="3"/>
  <c r="K151" i="3"/>
  <c r="Z151" i="3" s="1"/>
  <c r="AA151" i="3" s="1"/>
  <c r="W151" i="3" a="1"/>
  <c r="W151" i="3" s="1"/>
  <c r="X151" i="3" a="1"/>
  <c r="X151" i="3" s="1"/>
  <c r="Y151" i="3"/>
  <c r="J152" i="3"/>
  <c r="L152" i="3" s="1"/>
  <c r="K152" i="3"/>
  <c r="Z152" i="3" s="1"/>
  <c r="AA152" i="3" s="1"/>
  <c r="W152" i="3" a="1"/>
  <c r="W152" i="3" s="1"/>
  <c r="X152" i="3" a="1"/>
  <c r="X152" i="3" s="1"/>
  <c r="Y152" i="3"/>
  <c r="J153" i="3"/>
  <c r="L153" i="3" s="1"/>
  <c r="K153" i="3"/>
  <c r="W153" i="3" a="1"/>
  <c r="W153" i="3" s="1"/>
  <c r="X153" i="3" a="1"/>
  <c r="X153" i="3" s="1"/>
  <c r="Y153" i="3"/>
  <c r="B154" i="3"/>
  <c r="J154" i="3"/>
  <c r="K154" i="3"/>
  <c r="Z154" i="3" s="1"/>
  <c r="AA154" i="3" s="1"/>
  <c r="W154" i="3" a="1"/>
  <c r="W154" i="3" s="1"/>
  <c r="X154" i="3" a="1"/>
  <c r="X154" i="3" s="1"/>
  <c r="Y154" i="3"/>
  <c r="J155" i="3"/>
  <c r="K155" i="3"/>
  <c r="W155" i="3" a="1"/>
  <c r="W155" i="3" s="1"/>
  <c r="X155" i="3" a="1"/>
  <c r="X155" i="3" s="1"/>
  <c r="Y155" i="3"/>
  <c r="J156" i="3"/>
  <c r="K156" i="3"/>
  <c r="W156" i="3" a="1"/>
  <c r="W156" i="3" s="1"/>
  <c r="X156" i="3" a="1"/>
  <c r="X156" i="3" s="1"/>
  <c r="Y156" i="3"/>
  <c r="J157" i="3"/>
  <c r="K157" i="3"/>
  <c r="L157" i="3"/>
  <c r="W157" i="3" a="1"/>
  <c r="W157" i="3" s="1"/>
  <c r="X157" i="3" a="1"/>
  <c r="X157" i="3" s="1"/>
  <c r="Y157" i="3"/>
  <c r="Z157" i="3"/>
  <c r="AA157" i="3" s="1"/>
  <c r="J158" i="3"/>
  <c r="K158" i="3"/>
  <c r="L158" i="3"/>
  <c r="W158" i="3" a="1"/>
  <c r="W158" i="3" s="1"/>
  <c r="X158" i="3" a="1"/>
  <c r="X158" i="3" s="1"/>
  <c r="Y158" i="3"/>
  <c r="Z158" i="3"/>
  <c r="AA158" i="3" s="1"/>
  <c r="J159" i="3"/>
  <c r="L159" i="3" s="1"/>
  <c r="K159" i="3"/>
  <c r="Z159" i="3" s="1"/>
  <c r="AA159" i="3" s="1"/>
  <c r="W159" i="3" a="1"/>
  <c r="W159" i="3" s="1"/>
  <c r="X159" i="3" a="1"/>
  <c r="X159" i="3" s="1"/>
  <c r="Y159" i="3"/>
  <c r="J160" i="3"/>
  <c r="L160" i="3" s="1"/>
  <c r="K160" i="3"/>
  <c r="W160" i="3" a="1"/>
  <c r="W160" i="3" s="1"/>
  <c r="X160" i="3" a="1"/>
  <c r="X160" i="3" s="1"/>
  <c r="Y160" i="3"/>
  <c r="J161" i="3"/>
  <c r="K161" i="3"/>
  <c r="Z161" i="3" s="1"/>
  <c r="AA161" i="3" s="1"/>
  <c r="W161" i="3" a="1"/>
  <c r="W161" i="3" s="1"/>
  <c r="X161" i="3" a="1"/>
  <c r="X161" i="3" s="1"/>
  <c r="Y161" i="3"/>
  <c r="J162" i="3"/>
  <c r="K162" i="3"/>
  <c r="Z162" i="3" s="1"/>
  <c r="AA162" i="3" s="1"/>
  <c r="W162" i="3" a="1"/>
  <c r="W162" i="3" s="1"/>
  <c r="X162" i="3" a="1"/>
  <c r="X162" i="3" s="1"/>
  <c r="Y162" i="3"/>
  <c r="J163" i="3"/>
  <c r="L163" i="3" s="1"/>
  <c r="K163" i="3"/>
  <c r="W163" i="3" a="1"/>
  <c r="W163" i="3" s="1"/>
  <c r="X163" i="3" a="1"/>
  <c r="X163" i="3" s="1"/>
  <c r="Y163" i="3"/>
  <c r="J164" i="3"/>
  <c r="L164" i="3" s="1"/>
  <c r="K164" i="3"/>
  <c r="W164" i="3" a="1"/>
  <c r="W164" i="3" s="1"/>
  <c r="X164" i="3" a="1"/>
  <c r="X164" i="3" s="1"/>
  <c r="Y164" i="3"/>
  <c r="J165" i="3"/>
  <c r="K165" i="3"/>
  <c r="W165" i="3" a="1"/>
  <c r="W165" i="3" s="1"/>
  <c r="X165" i="3" a="1"/>
  <c r="X165" i="3" s="1"/>
  <c r="Y165" i="3"/>
  <c r="B166" i="3"/>
  <c r="J166" i="3"/>
  <c r="K166" i="3"/>
  <c r="W166" i="3" a="1"/>
  <c r="W166" i="3" s="1"/>
  <c r="X166" i="3" a="1"/>
  <c r="X166" i="3" s="1"/>
  <c r="Y166" i="3"/>
  <c r="J167" i="3"/>
  <c r="L167" i="3" s="1"/>
  <c r="K167" i="3"/>
  <c r="Z167" i="3" s="1"/>
  <c r="AA167" i="3" s="1"/>
  <c r="W167" i="3" a="1"/>
  <c r="W167" i="3" s="1"/>
  <c r="X167" i="3" a="1"/>
  <c r="X167" i="3" s="1"/>
  <c r="Y167" i="3"/>
  <c r="J168" i="3"/>
  <c r="K168" i="3"/>
  <c r="W168" i="3" a="1"/>
  <c r="W168" i="3" s="1"/>
  <c r="X168" i="3" a="1"/>
  <c r="X168" i="3" s="1"/>
  <c r="Y168" i="3"/>
  <c r="J169" i="3"/>
  <c r="K169" i="3"/>
  <c r="Z169" i="3" s="1"/>
  <c r="AA169" i="3" s="1"/>
  <c r="W169" i="3" a="1"/>
  <c r="W169" i="3" s="1"/>
  <c r="X169" i="3" a="1"/>
  <c r="X169" i="3" s="1"/>
  <c r="Y169" i="3"/>
  <c r="J170" i="3"/>
  <c r="K170" i="3"/>
  <c r="W170" i="3" a="1"/>
  <c r="W170" i="3" s="1"/>
  <c r="X170" i="3" a="1"/>
  <c r="X170" i="3" s="1"/>
  <c r="Y170" i="3"/>
  <c r="J171" i="3"/>
  <c r="L171" i="3" s="1"/>
  <c r="K171" i="3"/>
  <c r="W171" i="3" a="1"/>
  <c r="W171" i="3" s="1"/>
  <c r="X171" i="3" a="1"/>
  <c r="X171" i="3" s="1"/>
  <c r="Y171" i="3"/>
  <c r="J172" i="3"/>
  <c r="K172" i="3"/>
  <c r="L172" i="3"/>
  <c r="W172" i="3" a="1"/>
  <c r="W172" i="3" s="1"/>
  <c r="X172" i="3" a="1"/>
  <c r="X172" i="3" s="1"/>
  <c r="Y172" i="3"/>
  <c r="J173" i="3"/>
  <c r="K173" i="3"/>
  <c r="W173" i="3" a="1"/>
  <c r="W173" i="3" s="1"/>
  <c r="X173" i="3" a="1"/>
  <c r="X173" i="3" s="1"/>
  <c r="Y173" i="3"/>
  <c r="J174" i="3"/>
  <c r="K174" i="3"/>
  <c r="Z174" i="3" s="1"/>
  <c r="AA174" i="3" s="1"/>
  <c r="W174" i="3" a="1"/>
  <c r="W174" i="3" s="1"/>
  <c r="X174" i="3" a="1"/>
  <c r="X174" i="3" s="1"/>
  <c r="Y174" i="3"/>
  <c r="J175" i="3"/>
  <c r="K175" i="3"/>
  <c r="Z175" i="3" s="1"/>
  <c r="AA175" i="3" s="1"/>
  <c r="W175" i="3" a="1"/>
  <c r="W175" i="3" s="1"/>
  <c r="X175" i="3" a="1"/>
  <c r="X175" i="3" s="1"/>
  <c r="Y175" i="3"/>
  <c r="J176" i="3"/>
  <c r="K176" i="3"/>
  <c r="Z176" i="3" s="1"/>
  <c r="AA176" i="3" s="1"/>
  <c r="W176" i="3" a="1"/>
  <c r="W176" i="3" s="1"/>
  <c r="X176" i="3" a="1"/>
  <c r="X176" i="3" s="1"/>
  <c r="Y176" i="3"/>
  <c r="J177" i="3"/>
  <c r="L177" i="3" s="1"/>
  <c r="K177" i="3"/>
  <c r="W177" i="3" a="1"/>
  <c r="W177" i="3" s="1"/>
  <c r="X177" i="3" a="1"/>
  <c r="X177" i="3" s="1"/>
  <c r="Y177" i="3"/>
  <c r="J178" i="3"/>
  <c r="K178" i="3"/>
  <c r="W178" i="3" a="1"/>
  <c r="W178" i="3" s="1"/>
  <c r="X178" i="3" a="1"/>
  <c r="X178" i="3" s="1"/>
  <c r="Y178" i="3"/>
  <c r="J179" i="3"/>
  <c r="L179" i="3" s="1"/>
  <c r="K179" i="3"/>
  <c r="W179" i="3" a="1"/>
  <c r="W179" i="3" s="1"/>
  <c r="X179" i="3" a="1"/>
  <c r="X179" i="3" s="1"/>
  <c r="Y179" i="3"/>
  <c r="J180" i="3"/>
  <c r="L180" i="3" s="1"/>
  <c r="K180" i="3"/>
  <c r="W180" i="3" a="1"/>
  <c r="W180" i="3" s="1"/>
  <c r="X180" i="3" a="1"/>
  <c r="X180" i="3" s="1"/>
  <c r="Y180" i="3"/>
  <c r="B181" i="3"/>
  <c r="J181" i="3"/>
  <c r="K181" i="3"/>
  <c r="W181" i="3" a="1"/>
  <c r="W181" i="3" s="1"/>
  <c r="X181" i="3" a="1"/>
  <c r="X181" i="3" s="1"/>
  <c r="Y181" i="3"/>
  <c r="J182" i="3"/>
  <c r="K182" i="3"/>
  <c r="L182" i="3"/>
  <c r="W182" i="3" a="1"/>
  <c r="W182" i="3" s="1"/>
  <c r="X182" i="3" a="1"/>
  <c r="X182" i="3" s="1"/>
  <c r="Y182" i="3"/>
  <c r="B183" i="3"/>
  <c r="J183" i="3"/>
  <c r="K183" i="3"/>
  <c r="W183" i="3" a="1"/>
  <c r="W183" i="3" s="1"/>
  <c r="X183" i="3" a="1"/>
  <c r="X183" i="3" s="1"/>
  <c r="Y183" i="3"/>
  <c r="J184" i="3"/>
  <c r="K184" i="3"/>
  <c r="W184" i="3" a="1"/>
  <c r="W184" i="3" s="1"/>
  <c r="X184" i="3" a="1"/>
  <c r="X184" i="3" s="1"/>
  <c r="Y184" i="3"/>
  <c r="J185" i="3"/>
  <c r="L185" i="3" s="1"/>
  <c r="K185" i="3"/>
  <c r="Z185" i="3" s="1"/>
  <c r="AA185" i="3" s="1"/>
  <c r="W185" i="3" a="1"/>
  <c r="W185" i="3" s="1"/>
  <c r="X185" i="3" a="1"/>
  <c r="X185" i="3" s="1"/>
  <c r="Y185" i="3"/>
  <c r="J186" i="3"/>
  <c r="K186" i="3"/>
  <c r="W186" i="3" a="1"/>
  <c r="W186" i="3" s="1"/>
  <c r="X186" i="3" a="1"/>
  <c r="X186" i="3" s="1"/>
  <c r="Y186" i="3"/>
  <c r="J187" i="3"/>
  <c r="K187" i="3"/>
  <c r="W187" i="3" a="1"/>
  <c r="W187" i="3" s="1"/>
  <c r="X187" i="3" a="1"/>
  <c r="X187" i="3" s="1"/>
  <c r="Y187" i="3"/>
  <c r="J188" i="3"/>
  <c r="L188" i="3" s="1"/>
  <c r="K188" i="3"/>
  <c r="W188" i="3" a="1"/>
  <c r="W188" i="3" s="1"/>
  <c r="X188" i="3" a="1"/>
  <c r="X188" i="3" s="1"/>
  <c r="Y188" i="3"/>
  <c r="J189" i="3"/>
  <c r="K189" i="3"/>
  <c r="W189" i="3" a="1"/>
  <c r="W189" i="3" s="1"/>
  <c r="X189" i="3" a="1"/>
  <c r="X189" i="3" s="1"/>
  <c r="Y189" i="3"/>
  <c r="B190" i="3"/>
  <c r="J190" i="3"/>
  <c r="K190" i="3"/>
  <c r="W190" i="3" a="1"/>
  <c r="W190" i="3" s="1"/>
  <c r="X190" i="3" a="1"/>
  <c r="X190" i="3" s="1"/>
  <c r="Y190" i="3"/>
  <c r="J191" i="3"/>
  <c r="K191" i="3"/>
  <c r="W191" i="3" a="1"/>
  <c r="W191" i="3" s="1"/>
  <c r="X191" i="3" a="1"/>
  <c r="X191" i="3" s="1"/>
  <c r="Y191" i="3"/>
  <c r="Z191" i="3"/>
  <c r="AA191" i="3" s="1"/>
  <c r="J192" i="3"/>
  <c r="K192" i="3"/>
  <c r="W192" i="3" a="1"/>
  <c r="W192" i="3" s="1"/>
  <c r="X192" i="3" a="1"/>
  <c r="X192" i="3" s="1"/>
  <c r="Y192" i="3"/>
  <c r="J193" i="3"/>
  <c r="K193" i="3"/>
  <c r="Z193" i="3" s="1"/>
  <c r="AA193" i="3" s="1"/>
  <c r="W193" i="3" a="1"/>
  <c r="W193" i="3" s="1"/>
  <c r="X193" i="3" a="1"/>
  <c r="X193" i="3" s="1"/>
  <c r="Y193" i="3"/>
  <c r="J194" i="3"/>
  <c r="K194" i="3"/>
  <c r="Z194" i="3" s="1"/>
  <c r="AA194" i="3" s="1"/>
  <c r="W194" i="3" a="1"/>
  <c r="W194" i="3" s="1"/>
  <c r="X194" i="3" a="1"/>
  <c r="X194" i="3" s="1"/>
  <c r="Y194" i="3"/>
  <c r="J195" i="3"/>
  <c r="L195" i="3" s="1"/>
  <c r="K195" i="3"/>
  <c r="W195" i="3" a="1"/>
  <c r="W195" i="3" s="1"/>
  <c r="X195" i="3" a="1"/>
  <c r="X195" i="3" s="1"/>
  <c r="Y195" i="3"/>
  <c r="J196" i="3"/>
  <c r="K196" i="3"/>
  <c r="Z196" i="3" s="1"/>
  <c r="AA196" i="3" s="1"/>
  <c r="W196" i="3" a="1"/>
  <c r="W196" i="3" s="1"/>
  <c r="X196" i="3" a="1"/>
  <c r="X196" i="3" s="1"/>
  <c r="Y196" i="3"/>
  <c r="J197" i="3"/>
  <c r="K197" i="3"/>
  <c r="W197" i="3" a="1"/>
  <c r="W197" i="3" s="1"/>
  <c r="X197" i="3" a="1"/>
  <c r="X197" i="3" s="1"/>
  <c r="Y197" i="3"/>
  <c r="B198" i="3"/>
  <c r="J198" i="3"/>
  <c r="K198" i="3"/>
  <c r="W198" i="3" a="1"/>
  <c r="W198" i="3" s="1"/>
  <c r="X198" i="3" a="1"/>
  <c r="X198" i="3" s="1"/>
  <c r="Y198" i="3"/>
  <c r="J199" i="3"/>
  <c r="L199" i="3" s="1"/>
  <c r="K199" i="3"/>
  <c r="W199" i="3" a="1"/>
  <c r="W199" i="3" s="1"/>
  <c r="X199" i="3" a="1"/>
  <c r="X199" i="3" s="1"/>
  <c r="Y199" i="3"/>
  <c r="J200" i="3"/>
  <c r="K200" i="3"/>
  <c r="Z200" i="3" s="1"/>
  <c r="AA200" i="3" s="1"/>
  <c r="W200" i="3" a="1"/>
  <c r="W200" i="3" s="1"/>
  <c r="X200" i="3" a="1"/>
  <c r="X200" i="3" s="1"/>
  <c r="Y200" i="3"/>
  <c r="J201" i="3"/>
  <c r="K201" i="3"/>
  <c r="W201" i="3" a="1"/>
  <c r="W201" i="3" s="1"/>
  <c r="X201" i="3" a="1"/>
  <c r="X201" i="3" s="1"/>
  <c r="Y201" i="3"/>
  <c r="J202" i="3"/>
  <c r="K202" i="3"/>
  <c r="L202" i="3" s="1"/>
  <c r="W202" i="3" a="1"/>
  <c r="W202" i="3" s="1"/>
  <c r="X202" i="3" a="1"/>
  <c r="X202" i="3" s="1"/>
  <c r="Y202" i="3"/>
  <c r="Z202" i="3"/>
  <c r="AA202" i="3" s="1"/>
  <c r="J203" i="3"/>
  <c r="L203" i="3" s="1"/>
  <c r="K203" i="3"/>
  <c r="Z203" i="3" s="1"/>
  <c r="AA203" i="3" s="1"/>
  <c r="W203" i="3" a="1"/>
  <c r="W203" i="3" s="1"/>
  <c r="X203" i="3" a="1"/>
  <c r="X203" i="3" s="1"/>
  <c r="Y203" i="3"/>
  <c r="J204" i="3"/>
  <c r="K204" i="3"/>
  <c r="W204" i="3" a="1"/>
  <c r="W204" i="3" s="1"/>
  <c r="X204" i="3" a="1"/>
  <c r="X204" i="3" s="1"/>
  <c r="Y204" i="3"/>
  <c r="J205" i="3"/>
  <c r="K205" i="3"/>
  <c r="W205" i="3" a="1"/>
  <c r="W205" i="3" s="1"/>
  <c r="X205" i="3" a="1"/>
  <c r="X205" i="3" s="1"/>
  <c r="Y205" i="3"/>
  <c r="J206" i="3"/>
  <c r="K206" i="3"/>
  <c r="Z206" i="3" s="1"/>
  <c r="AA206" i="3" s="1"/>
  <c r="L206" i="3"/>
  <c r="W206" i="3" a="1"/>
  <c r="W206" i="3" s="1"/>
  <c r="X206" i="3" a="1"/>
  <c r="X206" i="3" s="1"/>
  <c r="Y206" i="3"/>
  <c r="J207" i="3"/>
  <c r="K207" i="3"/>
  <c r="W207" i="3" a="1"/>
  <c r="W207" i="3" s="1"/>
  <c r="X207" i="3" a="1"/>
  <c r="X207" i="3" s="1"/>
  <c r="Y207" i="3"/>
  <c r="J208" i="3"/>
  <c r="L208" i="3" s="1"/>
  <c r="K208" i="3"/>
  <c r="Z208" i="3" s="1"/>
  <c r="AA208" i="3" s="1"/>
  <c r="W208" i="3" a="1"/>
  <c r="W208" i="3" s="1"/>
  <c r="X208" i="3" a="1"/>
  <c r="X208" i="3" s="1"/>
  <c r="Y208" i="3"/>
  <c r="J209" i="3"/>
  <c r="K209" i="3"/>
  <c r="W209" i="3" a="1"/>
  <c r="W209" i="3" s="1"/>
  <c r="X209" i="3" a="1"/>
  <c r="X209" i="3" s="1"/>
  <c r="Y209" i="3"/>
  <c r="J210" i="3"/>
  <c r="K210" i="3"/>
  <c r="L210" i="3" s="1"/>
  <c r="W210" i="3" a="1"/>
  <c r="W210" i="3" s="1"/>
  <c r="X210" i="3" a="1"/>
  <c r="X210" i="3" s="1"/>
  <c r="Y210" i="3"/>
  <c r="Z210" i="3"/>
  <c r="AA210" i="3" s="1"/>
  <c r="A211" i="3"/>
  <c r="B211" i="3"/>
  <c r="J211" i="3"/>
  <c r="K211" i="3"/>
  <c r="L211" i="3"/>
  <c r="W211" i="3" a="1"/>
  <c r="W211" i="3" s="1"/>
  <c r="X211" i="3" a="1"/>
  <c r="X211" i="3" s="1"/>
  <c r="Y211" i="3"/>
  <c r="Z211" i="3"/>
  <c r="AA211" i="3" s="1"/>
  <c r="A212" i="3"/>
  <c r="B212" i="3"/>
  <c r="J212" i="3"/>
  <c r="K212" i="3"/>
  <c r="L212" i="3"/>
  <c r="W212" i="3" a="1"/>
  <c r="W212" i="3" s="1"/>
  <c r="X212" i="3" a="1"/>
  <c r="X212" i="3" s="1"/>
  <c r="Y212" i="3"/>
  <c r="Z212" i="3"/>
  <c r="AA212" i="3" s="1"/>
  <c r="A213" i="3"/>
  <c r="B213" i="3"/>
  <c r="J213" i="3"/>
  <c r="K213" i="3"/>
  <c r="L213" i="3"/>
  <c r="W213" i="3" a="1"/>
  <c r="W213" i="3" s="1"/>
  <c r="X213" i="3" a="1"/>
  <c r="X213" i="3" s="1"/>
  <c r="Y213" i="3"/>
  <c r="Z213" i="3"/>
  <c r="AA213" i="3" s="1"/>
  <c r="A214" i="3"/>
  <c r="B214" i="3"/>
  <c r="J214" i="3"/>
  <c r="K214" i="3"/>
  <c r="L214" i="3"/>
  <c r="W214" i="3" a="1"/>
  <c r="W214" i="3" s="1"/>
  <c r="X214" i="3" a="1"/>
  <c r="X214" i="3" s="1"/>
  <c r="Y214" i="3"/>
  <c r="Z214" i="3"/>
  <c r="AA214" i="3" s="1"/>
  <c r="A215" i="3"/>
  <c r="B215" i="3"/>
  <c r="J215" i="3"/>
  <c r="K215" i="3"/>
  <c r="L215" i="3"/>
  <c r="W215" i="3" a="1"/>
  <c r="W215" i="3" s="1"/>
  <c r="X215" i="3" a="1"/>
  <c r="X215" i="3" s="1"/>
  <c r="Y215" i="3"/>
  <c r="Z215" i="3"/>
  <c r="AA215" i="3" s="1"/>
  <c r="A216" i="3"/>
  <c r="B216" i="3"/>
  <c r="J216" i="3"/>
  <c r="K216" i="3"/>
  <c r="L216" i="3"/>
  <c r="W216" i="3" a="1"/>
  <c r="W216" i="3" s="1"/>
  <c r="X216" i="3" a="1"/>
  <c r="X216" i="3" s="1"/>
  <c r="Y216" i="3"/>
  <c r="Z216" i="3"/>
  <c r="AA216" i="3" s="1"/>
  <c r="A217" i="3"/>
  <c r="B217" i="3"/>
  <c r="J217" i="3"/>
  <c r="K217" i="3"/>
  <c r="L217" i="3"/>
  <c r="W217" i="3" a="1"/>
  <c r="W217" i="3" s="1"/>
  <c r="X217" i="3" a="1"/>
  <c r="X217" i="3" s="1"/>
  <c r="Y217" i="3"/>
  <c r="Z217" i="3"/>
  <c r="AA217" i="3" s="1"/>
  <c r="A218" i="3"/>
  <c r="B218" i="3"/>
  <c r="J218" i="3"/>
  <c r="K218" i="3"/>
  <c r="L218" i="3"/>
  <c r="W218" i="3" a="1"/>
  <c r="W218" i="3" s="1"/>
  <c r="X218" i="3" a="1"/>
  <c r="X218" i="3" s="1"/>
  <c r="Y218" i="3"/>
  <c r="Z218" i="3"/>
  <c r="AA218" i="3" s="1"/>
  <c r="A219" i="3"/>
  <c r="B219" i="3"/>
  <c r="J219" i="3"/>
  <c r="K219" i="3"/>
  <c r="L219" i="3"/>
  <c r="W219" i="3" a="1"/>
  <c r="W219" i="3" s="1"/>
  <c r="X219" i="3" a="1"/>
  <c r="X219" i="3" s="1"/>
  <c r="Y219" i="3"/>
  <c r="Z219" i="3"/>
  <c r="AA219" i="3" s="1"/>
  <c r="A220" i="3"/>
  <c r="B220" i="3"/>
  <c r="J220" i="3"/>
  <c r="K220" i="3"/>
  <c r="L220" i="3"/>
  <c r="W220" i="3" a="1"/>
  <c r="W220" i="3" s="1"/>
  <c r="X220" i="3" a="1"/>
  <c r="X220" i="3" s="1"/>
  <c r="Y220" i="3"/>
  <c r="Z220" i="3"/>
  <c r="AA220" i="3" s="1"/>
  <c r="A221" i="3"/>
  <c r="B221" i="3"/>
  <c r="J221" i="3"/>
  <c r="K221" i="3"/>
  <c r="L221" i="3"/>
  <c r="W221" i="3" a="1"/>
  <c r="W221" i="3" s="1"/>
  <c r="X221" i="3" a="1"/>
  <c r="X221" i="3" s="1"/>
  <c r="Y221" i="3"/>
  <c r="Z221" i="3"/>
  <c r="AA221" i="3" s="1"/>
  <c r="A222" i="3"/>
  <c r="B222" i="3"/>
  <c r="J222" i="3"/>
  <c r="K222" i="3"/>
  <c r="L222" i="3"/>
  <c r="W222" i="3" a="1"/>
  <c r="W222" i="3" s="1"/>
  <c r="X222" i="3" a="1"/>
  <c r="X222" i="3" s="1"/>
  <c r="Y222" i="3"/>
  <c r="Z222" i="3"/>
  <c r="AA222" i="3" s="1"/>
  <c r="A223" i="3"/>
  <c r="B223" i="3"/>
  <c r="J223" i="3"/>
  <c r="K223" i="3"/>
  <c r="L223" i="3"/>
  <c r="W223" i="3" a="1"/>
  <c r="W223" i="3" s="1"/>
  <c r="X223" i="3" a="1"/>
  <c r="X223" i="3" s="1"/>
  <c r="Y223" i="3"/>
  <c r="Z223" i="3"/>
  <c r="AA223" i="3"/>
  <c r="A224" i="3"/>
  <c r="B224" i="3"/>
  <c r="J224" i="3"/>
  <c r="K224" i="3"/>
  <c r="L224" i="3"/>
  <c r="W224" i="3" a="1"/>
  <c r="W224" i="3" s="1"/>
  <c r="X224" i="3" a="1"/>
  <c r="X224" i="3" s="1"/>
  <c r="Y224" i="3"/>
  <c r="Z224" i="3"/>
  <c r="AA224" i="3" s="1"/>
  <c r="A225" i="3"/>
  <c r="B225" i="3"/>
  <c r="J225" i="3"/>
  <c r="K225" i="3"/>
  <c r="L225" i="3"/>
  <c r="W225" i="3" a="1"/>
  <c r="W225" i="3" s="1"/>
  <c r="X225" i="3" a="1"/>
  <c r="X225" i="3" s="1"/>
  <c r="Y225" i="3"/>
  <c r="Z225" i="3"/>
  <c r="AA225" i="3" s="1"/>
  <c r="A226" i="3"/>
  <c r="B226" i="3"/>
  <c r="J226" i="3"/>
  <c r="K226" i="3"/>
  <c r="L226" i="3"/>
  <c r="W226" i="3" a="1"/>
  <c r="W226" i="3" s="1"/>
  <c r="X226" i="3" a="1"/>
  <c r="X226" i="3" s="1"/>
  <c r="Y226" i="3"/>
  <c r="Z226" i="3"/>
  <c r="AA226" i="3" s="1"/>
  <c r="A227" i="3"/>
  <c r="B227" i="3"/>
  <c r="J227" i="3"/>
  <c r="K227" i="3"/>
  <c r="L227" i="3"/>
  <c r="W227" i="3" a="1"/>
  <c r="W227" i="3" s="1"/>
  <c r="X227" i="3" a="1"/>
  <c r="X227" i="3" s="1"/>
  <c r="Y227" i="3"/>
  <c r="Z227" i="3"/>
  <c r="AA227" i="3" s="1"/>
  <c r="A228" i="3"/>
  <c r="B228" i="3"/>
  <c r="J228" i="3"/>
  <c r="K228" i="3"/>
  <c r="L228" i="3"/>
  <c r="W228" i="3" a="1"/>
  <c r="W228" i="3" s="1"/>
  <c r="X228" i="3" a="1"/>
  <c r="X228" i="3" s="1"/>
  <c r="Y228" i="3"/>
  <c r="Z228" i="3"/>
  <c r="AA228" i="3" s="1"/>
  <c r="A229" i="3"/>
  <c r="B229" i="3"/>
  <c r="J229" i="3"/>
  <c r="K229" i="3"/>
  <c r="L229" i="3"/>
  <c r="W229" i="3" a="1"/>
  <c r="W229" i="3" s="1"/>
  <c r="X229" i="3" a="1"/>
  <c r="X229" i="3" s="1"/>
  <c r="Y229" i="3"/>
  <c r="Z229" i="3"/>
  <c r="AA229" i="3" s="1"/>
  <c r="A230" i="3"/>
  <c r="B230" i="3"/>
  <c r="J230" i="3"/>
  <c r="K230" i="3"/>
  <c r="L230" i="3"/>
  <c r="W230" i="3" a="1"/>
  <c r="W230" i="3" s="1"/>
  <c r="X230" i="3" a="1"/>
  <c r="X230" i="3" s="1"/>
  <c r="Y230" i="3"/>
  <c r="Z230" i="3"/>
  <c r="AA230" i="3" s="1"/>
  <c r="A231" i="3"/>
  <c r="B231" i="3"/>
  <c r="J231" i="3"/>
  <c r="K231" i="3"/>
  <c r="L231" i="3"/>
  <c r="W231" i="3" a="1"/>
  <c r="W231" i="3" s="1"/>
  <c r="X231" i="3" a="1"/>
  <c r="X231" i="3" s="1"/>
  <c r="Y231" i="3"/>
  <c r="Z231" i="3"/>
  <c r="AA231" i="3" s="1"/>
  <c r="A232" i="3"/>
  <c r="B232" i="3"/>
  <c r="J232" i="3"/>
  <c r="K232" i="3"/>
  <c r="L232" i="3"/>
  <c r="W232" i="3" a="1"/>
  <c r="W232" i="3" s="1"/>
  <c r="X232" i="3" a="1"/>
  <c r="X232" i="3" s="1"/>
  <c r="Y232" i="3"/>
  <c r="Z232" i="3"/>
  <c r="AA232" i="3" s="1"/>
  <c r="A233" i="3"/>
  <c r="B233" i="3"/>
  <c r="J233" i="3"/>
  <c r="K233" i="3"/>
  <c r="L233" i="3"/>
  <c r="W233" i="3" a="1"/>
  <c r="W233" i="3" s="1"/>
  <c r="X233" i="3" a="1"/>
  <c r="X233" i="3" s="1"/>
  <c r="Y233" i="3"/>
  <c r="Z233" i="3"/>
  <c r="AA233" i="3" s="1"/>
  <c r="A234" i="3"/>
  <c r="B234" i="3"/>
  <c r="J234" i="3"/>
  <c r="K234" i="3"/>
  <c r="L234" i="3"/>
  <c r="W234" i="3" a="1"/>
  <c r="W234" i="3" s="1"/>
  <c r="X234" i="3" a="1"/>
  <c r="X234" i="3" s="1"/>
  <c r="Y234" i="3"/>
  <c r="Z234" i="3"/>
  <c r="AA234" i="3" s="1"/>
  <c r="A235" i="3"/>
  <c r="B235" i="3"/>
  <c r="J235" i="3"/>
  <c r="K235" i="3"/>
  <c r="L235" i="3"/>
  <c r="W235" i="3" a="1"/>
  <c r="W235" i="3" s="1"/>
  <c r="X235" i="3" a="1"/>
  <c r="X235" i="3" s="1"/>
  <c r="Y235" i="3"/>
  <c r="Z235" i="3"/>
  <c r="AA235" i="3" s="1"/>
  <c r="A236" i="3"/>
  <c r="B236" i="3"/>
  <c r="J236" i="3"/>
  <c r="K236" i="3"/>
  <c r="L236" i="3"/>
  <c r="W236" i="3" a="1"/>
  <c r="W236" i="3" s="1"/>
  <c r="X236" i="3" a="1"/>
  <c r="X236" i="3" s="1"/>
  <c r="Y236" i="3"/>
  <c r="Z236" i="3"/>
  <c r="AA236" i="3" s="1"/>
  <c r="A237" i="3"/>
  <c r="B237" i="3"/>
  <c r="J237" i="3"/>
  <c r="K237" i="3"/>
  <c r="L237" i="3"/>
  <c r="W237" i="3" a="1"/>
  <c r="W237" i="3" s="1"/>
  <c r="X237" i="3" a="1"/>
  <c r="X237" i="3" s="1"/>
  <c r="Y237" i="3"/>
  <c r="Z237" i="3"/>
  <c r="AA237" i="3" s="1"/>
  <c r="A238" i="3"/>
  <c r="B238" i="3"/>
  <c r="J238" i="3"/>
  <c r="K238" i="3"/>
  <c r="L238" i="3"/>
  <c r="W238" i="3" a="1"/>
  <c r="W238" i="3" s="1"/>
  <c r="X238" i="3" a="1"/>
  <c r="X238" i="3" s="1"/>
  <c r="Y238" i="3"/>
  <c r="Z238" i="3"/>
  <c r="AA238" i="3" s="1"/>
  <c r="A239" i="3"/>
  <c r="B239" i="3"/>
  <c r="J239" i="3"/>
  <c r="K239" i="3"/>
  <c r="L239" i="3"/>
  <c r="W239" i="3" a="1"/>
  <c r="W239" i="3" s="1"/>
  <c r="X239" i="3" a="1"/>
  <c r="X239" i="3" s="1"/>
  <c r="Y239" i="3"/>
  <c r="Z239" i="3"/>
  <c r="AA239" i="3" s="1"/>
  <c r="A240" i="3"/>
  <c r="B240" i="3"/>
  <c r="J240" i="3"/>
  <c r="K240" i="3"/>
  <c r="L240" i="3"/>
  <c r="W240" i="3" a="1"/>
  <c r="W240" i="3" s="1"/>
  <c r="X240" i="3" a="1"/>
  <c r="X240" i="3" s="1"/>
  <c r="Y240" i="3"/>
  <c r="Z240" i="3"/>
  <c r="AA240" i="3" s="1"/>
  <c r="A241" i="3"/>
  <c r="B241" i="3"/>
  <c r="J241" i="3"/>
  <c r="K241" i="3"/>
  <c r="L241" i="3"/>
  <c r="W241" i="3" a="1"/>
  <c r="W241" i="3" s="1"/>
  <c r="X241" i="3" a="1"/>
  <c r="X241" i="3" s="1"/>
  <c r="Y241" i="3"/>
  <c r="Z241" i="3"/>
  <c r="AA241" i="3" s="1"/>
  <c r="A242" i="3"/>
  <c r="B242" i="3"/>
  <c r="J242" i="3"/>
  <c r="K242" i="3"/>
  <c r="L242" i="3"/>
  <c r="W242" i="3" a="1"/>
  <c r="W242" i="3" s="1"/>
  <c r="X242" i="3" a="1"/>
  <c r="X242" i="3" s="1"/>
  <c r="Y242" i="3"/>
  <c r="Z242" i="3"/>
  <c r="AA242" i="3" s="1"/>
  <c r="A243" i="3"/>
  <c r="B243" i="3"/>
  <c r="J243" i="3"/>
  <c r="K243" i="3"/>
  <c r="L243" i="3"/>
  <c r="W243" i="3" a="1"/>
  <c r="W243" i="3" s="1"/>
  <c r="X243" i="3" a="1"/>
  <c r="X243" i="3" s="1"/>
  <c r="Y243" i="3"/>
  <c r="Z243" i="3"/>
  <c r="AA243" i="3" s="1"/>
  <c r="A244" i="3"/>
  <c r="B244" i="3"/>
  <c r="J244" i="3"/>
  <c r="K244" i="3"/>
  <c r="L244" i="3"/>
  <c r="W244" i="3" a="1"/>
  <c r="W244" i="3" s="1"/>
  <c r="X244" i="3" a="1"/>
  <c r="X244" i="3" s="1"/>
  <c r="Y244" i="3"/>
  <c r="Z244" i="3"/>
  <c r="AA244" i="3" s="1"/>
  <c r="A245" i="3"/>
  <c r="B245" i="3"/>
  <c r="J245" i="3"/>
  <c r="K245" i="3"/>
  <c r="L245" i="3"/>
  <c r="W245" i="3" a="1"/>
  <c r="W245" i="3" s="1"/>
  <c r="X245" i="3" a="1"/>
  <c r="X245" i="3" s="1"/>
  <c r="Y245" i="3"/>
  <c r="Z245" i="3"/>
  <c r="AA245" i="3" s="1"/>
  <c r="A246" i="3"/>
  <c r="B246" i="3"/>
  <c r="J246" i="3"/>
  <c r="K246" i="3"/>
  <c r="L246" i="3"/>
  <c r="W246" i="3" a="1"/>
  <c r="W246" i="3" s="1"/>
  <c r="X246" i="3" a="1"/>
  <c r="X246" i="3" s="1"/>
  <c r="Y246" i="3"/>
  <c r="Z246" i="3"/>
  <c r="AA246" i="3" s="1"/>
  <c r="A247" i="3"/>
  <c r="B247" i="3"/>
  <c r="J247" i="3"/>
  <c r="K247" i="3"/>
  <c r="L247" i="3"/>
  <c r="W247" i="3" a="1"/>
  <c r="W247" i="3" s="1"/>
  <c r="X247" i="3" a="1"/>
  <c r="X247" i="3" s="1"/>
  <c r="Y247" i="3"/>
  <c r="Z247" i="3"/>
  <c r="AA247" i="3" s="1"/>
  <c r="A248" i="3"/>
  <c r="B248" i="3"/>
  <c r="J248" i="3"/>
  <c r="K248" i="3"/>
  <c r="L248" i="3"/>
  <c r="W248" i="3" a="1"/>
  <c r="W248" i="3" s="1"/>
  <c r="X248" i="3" a="1"/>
  <c r="X248" i="3" s="1"/>
  <c r="Y248" i="3"/>
  <c r="Z248" i="3"/>
  <c r="AA248" i="3" s="1"/>
  <c r="A249" i="3"/>
  <c r="B249" i="3"/>
  <c r="J249" i="3"/>
  <c r="K249" i="3"/>
  <c r="L249" i="3"/>
  <c r="W249" i="3" a="1"/>
  <c r="W249" i="3" s="1"/>
  <c r="X249" i="3" a="1"/>
  <c r="X249" i="3" s="1"/>
  <c r="Y249" i="3"/>
  <c r="Z249" i="3"/>
  <c r="AA249" i="3" s="1"/>
  <c r="A250" i="3"/>
  <c r="B250" i="3"/>
  <c r="J250" i="3"/>
  <c r="K250" i="3"/>
  <c r="L250" i="3"/>
  <c r="W250" i="3" a="1"/>
  <c r="W250" i="3" s="1"/>
  <c r="X250" i="3" a="1"/>
  <c r="X250" i="3" s="1"/>
  <c r="Y250" i="3"/>
  <c r="Z250" i="3"/>
  <c r="AA250" i="3" s="1"/>
  <c r="A251" i="3"/>
  <c r="B251" i="3"/>
  <c r="J251" i="3"/>
  <c r="K251" i="3"/>
  <c r="L251" i="3"/>
  <c r="W251" i="3" a="1"/>
  <c r="W251" i="3" s="1"/>
  <c r="X251" i="3" a="1"/>
  <c r="X251" i="3" s="1"/>
  <c r="Y251" i="3"/>
  <c r="Z251" i="3"/>
  <c r="AA251" i="3" s="1"/>
  <c r="A252" i="3"/>
  <c r="B252" i="3"/>
  <c r="J252" i="3"/>
  <c r="K252" i="3"/>
  <c r="L252" i="3"/>
  <c r="W252" i="3" a="1"/>
  <c r="W252" i="3" s="1"/>
  <c r="X252" i="3" a="1"/>
  <c r="X252" i="3" s="1"/>
  <c r="Y252" i="3"/>
  <c r="Z252" i="3"/>
  <c r="AA252" i="3" s="1"/>
  <c r="A253" i="3"/>
  <c r="B253" i="3"/>
  <c r="J253" i="3"/>
  <c r="K253" i="3"/>
  <c r="L253" i="3"/>
  <c r="W253" i="3" a="1"/>
  <c r="W253" i="3" s="1"/>
  <c r="X253" i="3" a="1"/>
  <c r="X253" i="3" s="1"/>
  <c r="Y253" i="3"/>
  <c r="Z253" i="3"/>
  <c r="AA253" i="3" s="1"/>
  <c r="A254" i="3"/>
  <c r="B254" i="3"/>
  <c r="J254" i="3"/>
  <c r="K254" i="3"/>
  <c r="L254" i="3"/>
  <c r="W254" i="3" a="1"/>
  <c r="W254" i="3" s="1"/>
  <c r="X254" i="3" a="1"/>
  <c r="X254" i="3" s="1"/>
  <c r="Y254" i="3"/>
  <c r="Z254" i="3"/>
  <c r="AA254" i="3" s="1"/>
  <c r="A255" i="3"/>
  <c r="B255" i="3"/>
  <c r="J255" i="3"/>
  <c r="K255" i="3"/>
  <c r="L255" i="3"/>
  <c r="W255" i="3" a="1"/>
  <c r="W255" i="3" s="1"/>
  <c r="X255" i="3" a="1"/>
  <c r="X255" i="3" s="1"/>
  <c r="Y255" i="3"/>
  <c r="Z255" i="3"/>
  <c r="AA255" i="3" s="1"/>
  <c r="A256" i="3"/>
  <c r="B256" i="3"/>
  <c r="J256" i="3"/>
  <c r="K256" i="3"/>
  <c r="L256" i="3"/>
  <c r="W256" i="3" a="1"/>
  <c r="W256" i="3" s="1"/>
  <c r="X256" i="3" a="1"/>
  <c r="X256" i="3" s="1"/>
  <c r="Y256" i="3"/>
  <c r="Z256" i="3"/>
  <c r="AA256" i="3" s="1"/>
  <c r="A257" i="3"/>
  <c r="B257" i="3"/>
  <c r="J257" i="3"/>
  <c r="K257" i="3"/>
  <c r="L257" i="3"/>
  <c r="W257" i="3" a="1"/>
  <c r="W257" i="3" s="1"/>
  <c r="X257" i="3" a="1"/>
  <c r="X257" i="3" s="1"/>
  <c r="Y257" i="3"/>
  <c r="Z257" i="3"/>
  <c r="AA257" i="3" s="1"/>
  <c r="A258" i="3"/>
  <c r="B258" i="3"/>
  <c r="J258" i="3"/>
  <c r="K258" i="3"/>
  <c r="L258" i="3"/>
  <c r="W258" i="3" a="1"/>
  <c r="W258" i="3" s="1"/>
  <c r="X258" i="3" a="1"/>
  <c r="X258" i="3" s="1"/>
  <c r="Y258" i="3"/>
  <c r="Z258" i="3"/>
  <c r="AA258" i="3" s="1"/>
  <c r="A259" i="3"/>
  <c r="B259" i="3"/>
  <c r="J259" i="3"/>
  <c r="K259" i="3"/>
  <c r="L259" i="3"/>
  <c r="W259" i="3" a="1"/>
  <c r="W259" i="3" s="1"/>
  <c r="X259" i="3" a="1"/>
  <c r="X259" i="3" s="1"/>
  <c r="Y259" i="3"/>
  <c r="Z259" i="3"/>
  <c r="AA259" i="3" s="1"/>
  <c r="A260" i="3"/>
  <c r="B260" i="3"/>
  <c r="J260" i="3"/>
  <c r="K260" i="3"/>
  <c r="L260" i="3"/>
  <c r="W260" i="3" a="1"/>
  <c r="W260" i="3" s="1"/>
  <c r="X260" i="3" a="1"/>
  <c r="X260" i="3" s="1"/>
  <c r="Y260" i="3"/>
  <c r="Z260" i="3"/>
  <c r="AA260" i="3" s="1"/>
  <c r="A261" i="3"/>
  <c r="B261" i="3"/>
  <c r="J261" i="3"/>
  <c r="K261" i="3"/>
  <c r="L261" i="3"/>
  <c r="W261" i="3" a="1"/>
  <c r="W261" i="3" s="1"/>
  <c r="X261" i="3" a="1"/>
  <c r="X261" i="3" s="1"/>
  <c r="Y261" i="3"/>
  <c r="Z261" i="3"/>
  <c r="AA261" i="3" s="1"/>
  <c r="A262" i="3"/>
  <c r="B262" i="3"/>
  <c r="J262" i="3"/>
  <c r="K262" i="3"/>
  <c r="L262" i="3"/>
  <c r="W262" i="3" a="1"/>
  <c r="W262" i="3" s="1"/>
  <c r="X262" i="3" a="1"/>
  <c r="X262" i="3" s="1"/>
  <c r="Y262" i="3"/>
  <c r="Z262" i="3"/>
  <c r="AA262" i="3" s="1"/>
  <c r="A263" i="3"/>
  <c r="B263" i="3"/>
  <c r="J263" i="3"/>
  <c r="K263" i="3"/>
  <c r="L263" i="3"/>
  <c r="W263" i="3" a="1"/>
  <c r="W263" i="3" s="1"/>
  <c r="X263" i="3" a="1"/>
  <c r="X263" i="3" s="1"/>
  <c r="Y263" i="3"/>
  <c r="Z263" i="3"/>
  <c r="AA263" i="3" s="1"/>
  <c r="A264" i="3"/>
  <c r="B264" i="3"/>
  <c r="J264" i="3"/>
  <c r="K264" i="3"/>
  <c r="L264" i="3"/>
  <c r="W264" i="3" a="1"/>
  <c r="W264" i="3" s="1"/>
  <c r="X264" i="3" a="1"/>
  <c r="X264" i="3" s="1"/>
  <c r="Y264" i="3"/>
  <c r="Z264" i="3"/>
  <c r="AA264" i="3" s="1"/>
  <c r="A265" i="3"/>
  <c r="B265" i="3"/>
  <c r="J265" i="3"/>
  <c r="K265" i="3"/>
  <c r="L265" i="3"/>
  <c r="W265" i="3" a="1"/>
  <c r="W265" i="3" s="1"/>
  <c r="X265" i="3" a="1"/>
  <c r="X265" i="3" s="1"/>
  <c r="Y265" i="3"/>
  <c r="Z265" i="3"/>
  <c r="AA265" i="3" s="1"/>
  <c r="A266" i="3"/>
  <c r="B266" i="3"/>
  <c r="J266" i="3"/>
  <c r="K266" i="3"/>
  <c r="L266" i="3"/>
  <c r="W266" i="3" a="1"/>
  <c r="W266" i="3" s="1"/>
  <c r="X266" i="3" a="1"/>
  <c r="X266" i="3" s="1"/>
  <c r="Y266" i="3"/>
  <c r="Z266" i="3"/>
  <c r="AA266" i="3" s="1"/>
  <c r="A267" i="3"/>
  <c r="B267" i="3"/>
  <c r="J267" i="3"/>
  <c r="K267" i="3"/>
  <c r="L267" i="3"/>
  <c r="W267" i="3" a="1"/>
  <c r="W267" i="3" s="1"/>
  <c r="X267" i="3" a="1"/>
  <c r="X267" i="3" s="1"/>
  <c r="Y267" i="3"/>
  <c r="Z267" i="3"/>
  <c r="AA267" i="3" s="1"/>
  <c r="A268" i="3"/>
  <c r="B268" i="3"/>
  <c r="J268" i="3"/>
  <c r="K268" i="3"/>
  <c r="L268" i="3"/>
  <c r="W268" i="3" a="1"/>
  <c r="W268" i="3" s="1"/>
  <c r="X268" i="3" a="1"/>
  <c r="X268" i="3" s="1"/>
  <c r="Y268" i="3"/>
  <c r="Z268" i="3"/>
  <c r="AA268" i="3" s="1"/>
  <c r="A269" i="3"/>
  <c r="B269" i="3"/>
  <c r="J269" i="3"/>
  <c r="K269" i="3"/>
  <c r="L269" i="3"/>
  <c r="W269" i="3" a="1"/>
  <c r="W269" i="3" s="1"/>
  <c r="X269" i="3" a="1"/>
  <c r="X269" i="3" s="1"/>
  <c r="Y269" i="3"/>
  <c r="Z269" i="3"/>
  <c r="AA269" i="3"/>
  <c r="A270" i="3"/>
  <c r="B270" i="3"/>
  <c r="J270" i="3"/>
  <c r="K270" i="3"/>
  <c r="L270" i="3"/>
  <c r="W270" i="3" a="1"/>
  <c r="W270" i="3" s="1"/>
  <c r="X270" i="3" a="1"/>
  <c r="X270" i="3" s="1"/>
  <c r="Y270" i="3"/>
  <c r="Z270" i="3"/>
  <c r="AA270" i="3" s="1"/>
  <c r="A271" i="3"/>
  <c r="B271" i="3"/>
  <c r="J271" i="3"/>
  <c r="K271" i="3"/>
  <c r="L271" i="3"/>
  <c r="W271" i="3" a="1"/>
  <c r="W271" i="3" s="1"/>
  <c r="X271" i="3" a="1"/>
  <c r="X271" i="3" s="1"/>
  <c r="Y271" i="3"/>
  <c r="Z271" i="3"/>
  <c r="AA271" i="3" s="1"/>
  <c r="A272" i="3"/>
  <c r="B272" i="3"/>
  <c r="J272" i="3"/>
  <c r="K272" i="3"/>
  <c r="L272" i="3"/>
  <c r="W272" i="3" a="1"/>
  <c r="W272" i="3" s="1"/>
  <c r="X272" i="3" a="1"/>
  <c r="X272" i="3" s="1"/>
  <c r="Y272" i="3"/>
  <c r="Z272" i="3"/>
  <c r="AA272" i="3" s="1"/>
  <c r="A273" i="3"/>
  <c r="B273" i="3"/>
  <c r="J273" i="3"/>
  <c r="K273" i="3"/>
  <c r="L273" i="3"/>
  <c r="W273" i="3" a="1"/>
  <c r="W273" i="3" s="1"/>
  <c r="X273" i="3" a="1"/>
  <c r="X273" i="3" s="1"/>
  <c r="Y273" i="3"/>
  <c r="Z273" i="3"/>
  <c r="AA273" i="3" s="1"/>
  <c r="A274" i="3"/>
  <c r="B274" i="3"/>
  <c r="J274" i="3"/>
  <c r="K274" i="3"/>
  <c r="L274" i="3"/>
  <c r="W274" i="3" a="1"/>
  <c r="W274" i="3" s="1"/>
  <c r="X274" i="3" a="1"/>
  <c r="X274" i="3" s="1"/>
  <c r="Y274" i="3"/>
  <c r="Z274" i="3"/>
  <c r="AA274" i="3" s="1"/>
  <c r="A275" i="3"/>
  <c r="B275" i="3"/>
  <c r="J275" i="3"/>
  <c r="K275" i="3"/>
  <c r="L275" i="3"/>
  <c r="W275" i="3" a="1"/>
  <c r="W275" i="3" s="1"/>
  <c r="X275" i="3" a="1"/>
  <c r="X275" i="3" s="1"/>
  <c r="Y275" i="3"/>
  <c r="Z275" i="3"/>
  <c r="AA275" i="3"/>
  <c r="A276" i="3"/>
  <c r="B276" i="3"/>
  <c r="J276" i="3"/>
  <c r="K276" i="3"/>
  <c r="L276" i="3"/>
  <c r="W276" i="3" a="1"/>
  <c r="W276" i="3" s="1"/>
  <c r="X276" i="3" a="1"/>
  <c r="X276" i="3" s="1"/>
  <c r="Y276" i="3"/>
  <c r="Z276" i="3"/>
  <c r="AA276" i="3" s="1"/>
  <c r="A277" i="3"/>
  <c r="B277" i="3"/>
  <c r="J277" i="3"/>
  <c r="K277" i="3"/>
  <c r="L277" i="3"/>
  <c r="W277" i="3" a="1"/>
  <c r="W277" i="3" s="1"/>
  <c r="X277" i="3" a="1"/>
  <c r="X277" i="3" s="1"/>
  <c r="Y277" i="3"/>
  <c r="Z277" i="3"/>
  <c r="AA277" i="3"/>
  <c r="A278" i="3"/>
  <c r="B278" i="3"/>
  <c r="J278" i="3"/>
  <c r="K278" i="3"/>
  <c r="L278" i="3"/>
  <c r="W278" i="3" a="1"/>
  <c r="W278" i="3" s="1"/>
  <c r="X278" i="3" a="1"/>
  <c r="X278" i="3" s="1"/>
  <c r="Y278" i="3"/>
  <c r="Z278" i="3"/>
  <c r="AA278" i="3" s="1"/>
  <c r="A279" i="3"/>
  <c r="B279" i="3"/>
  <c r="J279" i="3"/>
  <c r="K279" i="3"/>
  <c r="L279" i="3"/>
  <c r="W279" i="3" a="1"/>
  <c r="W279" i="3" s="1"/>
  <c r="X279" i="3" a="1"/>
  <c r="X279" i="3" s="1"/>
  <c r="Y279" i="3"/>
  <c r="Z279" i="3"/>
  <c r="AA279" i="3" s="1"/>
  <c r="A280" i="3"/>
  <c r="B280" i="3"/>
  <c r="J280" i="3"/>
  <c r="K280" i="3"/>
  <c r="L280" i="3"/>
  <c r="W280" i="3" a="1"/>
  <c r="W280" i="3" s="1"/>
  <c r="X280" i="3" a="1"/>
  <c r="X280" i="3" s="1"/>
  <c r="Y280" i="3"/>
  <c r="Z280" i="3"/>
  <c r="AA280" i="3" s="1"/>
  <c r="A281" i="3"/>
  <c r="B281" i="3"/>
  <c r="J281" i="3"/>
  <c r="K281" i="3"/>
  <c r="L281" i="3"/>
  <c r="W281" i="3" a="1"/>
  <c r="W281" i="3" s="1"/>
  <c r="X281" i="3" a="1"/>
  <c r="X281" i="3" s="1"/>
  <c r="Y281" i="3"/>
  <c r="Z281" i="3"/>
  <c r="AA281" i="3" s="1"/>
  <c r="A282" i="3"/>
  <c r="B282" i="3"/>
  <c r="J282" i="3"/>
  <c r="K282" i="3"/>
  <c r="L282" i="3"/>
  <c r="W282" i="3" a="1"/>
  <c r="W282" i="3" s="1"/>
  <c r="X282" i="3" a="1"/>
  <c r="X282" i="3" s="1"/>
  <c r="Y282" i="3"/>
  <c r="Z282" i="3"/>
  <c r="AA282" i="3" s="1"/>
  <c r="A283" i="3"/>
  <c r="B283" i="3"/>
  <c r="J283" i="3"/>
  <c r="K283" i="3"/>
  <c r="L283" i="3"/>
  <c r="W283" i="3" a="1"/>
  <c r="W283" i="3" s="1"/>
  <c r="X283" i="3" a="1"/>
  <c r="X283" i="3" s="1"/>
  <c r="Y283" i="3"/>
  <c r="Z283" i="3"/>
  <c r="AA283" i="3" s="1"/>
  <c r="A284" i="3"/>
  <c r="B284" i="3"/>
  <c r="J284" i="3"/>
  <c r="K284" i="3"/>
  <c r="L284" i="3"/>
  <c r="W284" i="3" a="1"/>
  <c r="W284" i="3" s="1"/>
  <c r="X284" i="3" a="1"/>
  <c r="X284" i="3" s="1"/>
  <c r="Y284" i="3"/>
  <c r="Z284" i="3"/>
  <c r="AA284" i="3" s="1"/>
  <c r="A285" i="3"/>
  <c r="B285" i="3"/>
  <c r="J285" i="3"/>
  <c r="K285" i="3"/>
  <c r="L285" i="3"/>
  <c r="W285" i="3" a="1"/>
  <c r="W285" i="3" s="1"/>
  <c r="X285" i="3" a="1"/>
  <c r="X285" i="3" s="1"/>
  <c r="Y285" i="3"/>
  <c r="Z285" i="3"/>
  <c r="AA285" i="3" s="1"/>
  <c r="A286" i="3"/>
  <c r="B286" i="3"/>
  <c r="J286" i="3"/>
  <c r="K286" i="3"/>
  <c r="L286" i="3"/>
  <c r="W286" i="3" a="1"/>
  <c r="W286" i="3" s="1"/>
  <c r="X286" i="3" a="1"/>
  <c r="X286" i="3" s="1"/>
  <c r="Y286" i="3"/>
  <c r="Z286" i="3"/>
  <c r="AA286" i="3" s="1"/>
  <c r="A287" i="3"/>
  <c r="B287" i="3"/>
  <c r="J287" i="3"/>
  <c r="K287" i="3"/>
  <c r="L287" i="3"/>
  <c r="W287" i="3" a="1"/>
  <c r="W287" i="3" s="1"/>
  <c r="X287" i="3" a="1"/>
  <c r="X287" i="3" s="1"/>
  <c r="Y287" i="3"/>
  <c r="Z287" i="3"/>
  <c r="AA287" i="3" s="1"/>
  <c r="A288" i="3"/>
  <c r="B288" i="3"/>
  <c r="J288" i="3"/>
  <c r="K288" i="3"/>
  <c r="L288" i="3"/>
  <c r="W288" i="3" a="1"/>
  <c r="W288" i="3" s="1"/>
  <c r="X288" i="3" a="1"/>
  <c r="X288" i="3" s="1"/>
  <c r="Y288" i="3"/>
  <c r="Z288" i="3"/>
  <c r="AA288" i="3" s="1"/>
  <c r="A289" i="3"/>
  <c r="B289" i="3"/>
  <c r="J289" i="3"/>
  <c r="K289" i="3"/>
  <c r="L289" i="3"/>
  <c r="W289" i="3" a="1"/>
  <c r="W289" i="3" s="1"/>
  <c r="X289" i="3" a="1"/>
  <c r="X289" i="3" s="1"/>
  <c r="Y289" i="3"/>
  <c r="Z289" i="3"/>
  <c r="AA289" i="3" s="1"/>
  <c r="A290" i="3"/>
  <c r="B290" i="3"/>
  <c r="J290" i="3"/>
  <c r="K290" i="3"/>
  <c r="L290" i="3"/>
  <c r="W290" i="3" a="1"/>
  <c r="W290" i="3" s="1"/>
  <c r="X290" i="3" a="1"/>
  <c r="X290" i="3" s="1"/>
  <c r="Y290" i="3"/>
  <c r="Z290" i="3"/>
  <c r="AA290" i="3" s="1"/>
  <c r="A291" i="3"/>
  <c r="B291" i="3"/>
  <c r="J291" i="3"/>
  <c r="K291" i="3"/>
  <c r="L291" i="3"/>
  <c r="W291" i="3" a="1"/>
  <c r="W291" i="3" s="1"/>
  <c r="X291" i="3" a="1"/>
  <c r="X291" i="3" s="1"/>
  <c r="Y291" i="3"/>
  <c r="Z291" i="3"/>
  <c r="AA291" i="3" s="1"/>
  <c r="A292" i="3"/>
  <c r="B292" i="3"/>
  <c r="J292" i="3"/>
  <c r="K292" i="3"/>
  <c r="L292" i="3"/>
  <c r="W292" i="3" a="1"/>
  <c r="W292" i="3" s="1"/>
  <c r="X292" i="3" a="1"/>
  <c r="X292" i="3" s="1"/>
  <c r="Y292" i="3"/>
  <c r="Z292" i="3"/>
  <c r="AA292" i="3" s="1"/>
  <c r="A293" i="3"/>
  <c r="B293" i="3"/>
  <c r="J293" i="3"/>
  <c r="K293" i="3"/>
  <c r="L293" i="3"/>
  <c r="W293" i="3" a="1"/>
  <c r="W293" i="3" s="1"/>
  <c r="X293" i="3" a="1"/>
  <c r="X293" i="3" s="1"/>
  <c r="Y293" i="3"/>
  <c r="Z293" i="3"/>
  <c r="AA293" i="3" s="1"/>
  <c r="A294" i="3"/>
  <c r="B294" i="3"/>
  <c r="J294" i="3"/>
  <c r="K294" i="3"/>
  <c r="L294" i="3"/>
  <c r="W294" i="3" a="1"/>
  <c r="W294" i="3" s="1"/>
  <c r="X294" i="3" a="1"/>
  <c r="X294" i="3" s="1"/>
  <c r="Y294" i="3"/>
  <c r="Z294" i="3"/>
  <c r="AA294" i="3" s="1"/>
  <c r="A295" i="3"/>
  <c r="B295" i="3"/>
  <c r="J295" i="3"/>
  <c r="K295" i="3"/>
  <c r="L295" i="3"/>
  <c r="W295" i="3" a="1"/>
  <c r="W295" i="3" s="1"/>
  <c r="X295" i="3" a="1"/>
  <c r="X295" i="3" s="1"/>
  <c r="Y295" i="3"/>
  <c r="Z295" i="3"/>
  <c r="AA295" i="3" s="1"/>
  <c r="A296" i="3"/>
  <c r="B296" i="3"/>
  <c r="J296" i="3"/>
  <c r="K296" i="3"/>
  <c r="L296" i="3"/>
  <c r="W296" i="3" a="1"/>
  <c r="W296" i="3" s="1"/>
  <c r="X296" i="3" a="1"/>
  <c r="X296" i="3" s="1"/>
  <c r="Y296" i="3"/>
  <c r="Z296" i="3"/>
  <c r="AA296" i="3" s="1"/>
  <c r="A297" i="3"/>
  <c r="B297" i="3"/>
  <c r="J297" i="3"/>
  <c r="K297" i="3"/>
  <c r="L297" i="3"/>
  <c r="W297" i="3" a="1"/>
  <c r="W297" i="3" s="1"/>
  <c r="X297" i="3" a="1"/>
  <c r="X297" i="3" s="1"/>
  <c r="Y297" i="3"/>
  <c r="Z297" i="3"/>
  <c r="AA297" i="3" s="1"/>
  <c r="A298" i="3"/>
  <c r="B298" i="3"/>
  <c r="J298" i="3"/>
  <c r="K298" i="3"/>
  <c r="L298" i="3"/>
  <c r="W298" i="3" a="1"/>
  <c r="W298" i="3" s="1"/>
  <c r="X298" i="3" a="1"/>
  <c r="X298" i="3" s="1"/>
  <c r="Y298" i="3"/>
  <c r="Z298" i="3"/>
  <c r="AA298" i="3" s="1"/>
  <c r="A299" i="3"/>
  <c r="B299" i="3"/>
  <c r="J299" i="3"/>
  <c r="K299" i="3"/>
  <c r="L299" i="3"/>
  <c r="W299" i="3" a="1"/>
  <c r="W299" i="3" s="1"/>
  <c r="X299" i="3" a="1"/>
  <c r="X299" i="3" s="1"/>
  <c r="Y299" i="3"/>
  <c r="Z299" i="3"/>
  <c r="AA299" i="3" s="1"/>
  <c r="A300" i="3"/>
  <c r="B300" i="3"/>
  <c r="J300" i="3"/>
  <c r="K300" i="3"/>
  <c r="L300" i="3"/>
  <c r="W300" i="3" a="1"/>
  <c r="W300" i="3" s="1"/>
  <c r="X300" i="3" a="1"/>
  <c r="X300" i="3" s="1"/>
  <c r="Y300" i="3"/>
  <c r="Z300" i="3"/>
  <c r="AA300" i="3" s="1"/>
  <c r="A301" i="3"/>
  <c r="B301" i="3"/>
  <c r="J301" i="3"/>
  <c r="K301" i="3"/>
  <c r="L301" i="3"/>
  <c r="W301" i="3" a="1"/>
  <c r="W301" i="3" s="1"/>
  <c r="X301" i="3" a="1"/>
  <c r="X301" i="3" s="1"/>
  <c r="Y301" i="3"/>
  <c r="Z301" i="3"/>
  <c r="AA301" i="3"/>
  <c r="A302" i="3"/>
  <c r="B302" i="3"/>
  <c r="J302" i="3"/>
  <c r="K302" i="3"/>
  <c r="L302" i="3"/>
  <c r="W302" i="3" a="1"/>
  <c r="W302" i="3" s="1"/>
  <c r="X302" i="3" a="1"/>
  <c r="X302" i="3" s="1"/>
  <c r="Y302" i="3"/>
  <c r="Z302" i="3"/>
  <c r="AA302" i="3" s="1"/>
  <c r="A303" i="3"/>
  <c r="B303" i="3"/>
  <c r="J303" i="3"/>
  <c r="K303" i="3"/>
  <c r="L303" i="3"/>
  <c r="W303" i="3" a="1"/>
  <c r="W303" i="3" s="1"/>
  <c r="X303" i="3" a="1"/>
  <c r="X303" i="3" s="1"/>
  <c r="Y303" i="3"/>
  <c r="Z303" i="3"/>
  <c r="AA303" i="3" s="1"/>
  <c r="A304" i="3"/>
  <c r="B304" i="3"/>
  <c r="J304" i="3"/>
  <c r="K304" i="3"/>
  <c r="L304" i="3"/>
  <c r="W304" i="3" a="1"/>
  <c r="W304" i="3" s="1"/>
  <c r="X304" i="3" a="1"/>
  <c r="X304" i="3" s="1"/>
  <c r="Y304" i="3"/>
  <c r="Z304" i="3"/>
  <c r="AA304" i="3" s="1"/>
  <c r="A305" i="3"/>
  <c r="B305" i="3"/>
  <c r="J305" i="3"/>
  <c r="K305" i="3"/>
  <c r="L305" i="3"/>
  <c r="W305" i="3" a="1"/>
  <c r="W305" i="3" s="1"/>
  <c r="X305" i="3" a="1"/>
  <c r="X305" i="3" s="1"/>
  <c r="Y305" i="3"/>
  <c r="Z305" i="3"/>
  <c r="AA305" i="3" s="1"/>
  <c r="A306" i="3"/>
  <c r="B306" i="3"/>
  <c r="J306" i="3"/>
  <c r="K306" i="3"/>
  <c r="L306" i="3"/>
  <c r="W306" i="3" a="1"/>
  <c r="W306" i="3" s="1"/>
  <c r="X306" i="3" a="1"/>
  <c r="X306" i="3" s="1"/>
  <c r="Y306" i="3"/>
  <c r="Z306" i="3"/>
  <c r="AA306" i="3" s="1"/>
  <c r="A307" i="3"/>
  <c r="B307" i="3"/>
  <c r="J307" i="3"/>
  <c r="K307" i="3"/>
  <c r="L307" i="3"/>
  <c r="W307" i="3" a="1"/>
  <c r="W307" i="3" s="1"/>
  <c r="X307" i="3" a="1"/>
  <c r="X307" i="3" s="1"/>
  <c r="Y307" i="3"/>
  <c r="Z307" i="3"/>
  <c r="AA307" i="3" s="1"/>
  <c r="A308" i="3"/>
  <c r="B308" i="3"/>
  <c r="J308" i="3"/>
  <c r="K308" i="3"/>
  <c r="L308" i="3"/>
  <c r="W308" i="3" a="1"/>
  <c r="W308" i="3" s="1"/>
  <c r="X308" i="3" a="1"/>
  <c r="X308" i="3" s="1"/>
  <c r="Y308" i="3"/>
  <c r="Z308" i="3"/>
  <c r="AA308" i="3" s="1"/>
  <c r="A309" i="3"/>
  <c r="B309" i="3"/>
  <c r="J309" i="3"/>
  <c r="K309" i="3"/>
  <c r="L309" i="3"/>
  <c r="W309" i="3" a="1"/>
  <c r="W309" i="3" s="1"/>
  <c r="X309" i="3" a="1"/>
  <c r="X309" i="3" s="1"/>
  <c r="Y309" i="3"/>
  <c r="Z309" i="3"/>
  <c r="AA309" i="3" s="1"/>
  <c r="A310" i="3"/>
  <c r="B310" i="3"/>
  <c r="J310" i="3"/>
  <c r="K310" i="3"/>
  <c r="L310" i="3"/>
  <c r="W310" i="3" a="1"/>
  <c r="W310" i="3" s="1"/>
  <c r="X310" i="3" a="1"/>
  <c r="X310" i="3" s="1"/>
  <c r="Y310" i="3"/>
  <c r="Z310" i="3"/>
  <c r="AA310" i="3" s="1"/>
  <c r="A311" i="3"/>
  <c r="B311" i="3"/>
  <c r="J311" i="3"/>
  <c r="K311" i="3"/>
  <c r="L311" i="3"/>
  <c r="W311" i="3" a="1"/>
  <c r="W311" i="3" s="1"/>
  <c r="X311" i="3" a="1"/>
  <c r="X311" i="3" s="1"/>
  <c r="Y311" i="3"/>
  <c r="Z311" i="3"/>
  <c r="AA311" i="3" s="1"/>
  <c r="A312" i="3"/>
  <c r="B312" i="3"/>
  <c r="J312" i="3"/>
  <c r="K312" i="3"/>
  <c r="L312" i="3"/>
  <c r="W312" i="3" a="1"/>
  <c r="W312" i="3" s="1"/>
  <c r="X312" i="3" a="1"/>
  <c r="X312" i="3" s="1"/>
  <c r="Y312" i="3"/>
  <c r="Z312" i="3"/>
  <c r="AA312" i="3" s="1"/>
  <c r="A313" i="3"/>
  <c r="B313" i="3"/>
  <c r="J313" i="3"/>
  <c r="K313" i="3"/>
  <c r="L313" i="3"/>
  <c r="W313" i="3" a="1"/>
  <c r="W313" i="3" s="1"/>
  <c r="X313" i="3" a="1"/>
  <c r="X313" i="3" s="1"/>
  <c r="Y313" i="3"/>
  <c r="Z313" i="3"/>
  <c r="AA313" i="3" s="1"/>
  <c r="A314" i="3"/>
  <c r="B314" i="3"/>
  <c r="J314" i="3"/>
  <c r="K314" i="3"/>
  <c r="L314" i="3"/>
  <c r="W314" i="3" a="1"/>
  <c r="W314" i="3" s="1"/>
  <c r="X314" i="3" a="1"/>
  <c r="X314" i="3" s="1"/>
  <c r="Y314" i="3"/>
  <c r="Z314" i="3"/>
  <c r="AA314" i="3" s="1"/>
  <c r="A315" i="3"/>
  <c r="B315" i="3"/>
  <c r="J315" i="3"/>
  <c r="K315" i="3"/>
  <c r="L315" i="3"/>
  <c r="W315" i="3" a="1"/>
  <c r="W315" i="3" s="1"/>
  <c r="X315" i="3" a="1"/>
  <c r="X315" i="3" s="1"/>
  <c r="Y315" i="3"/>
  <c r="Z315" i="3"/>
  <c r="AA315" i="3" s="1"/>
  <c r="A316" i="3"/>
  <c r="B316" i="3"/>
  <c r="J316" i="3"/>
  <c r="K316" i="3"/>
  <c r="L316" i="3"/>
  <c r="W316" i="3" a="1"/>
  <c r="W316" i="3" s="1"/>
  <c r="X316" i="3" a="1"/>
  <c r="X316" i="3" s="1"/>
  <c r="Y316" i="3"/>
  <c r="Z316" i="3"/>
  <c r="AA316" i="3" s="1"/>
  <c r="A317" i="3"/>
  <c r="B317" i="3"/>
  <c r="J317" i="3"/>
  <c r="K317" i="3"/>
  <c r="L317" i="3"/>
  <c r="W317" i="3" a="1"/>
  <c r="W317" i="3" s="1"/>
  <c r="X317" i="3" a="1"/>
  <c r="X317" i="3" s="1"/>
  <c r="Y317" i="3"/>
  <c r="Z317" i="3"/>
  <c r="AA317" i="3" s="1"/>
  <c r="A318" i="3"/>
  <c r="B318" i="3"/>
  <c r="J318" i="3"/>
  <c r="K318" i="3"/>
  <c r="L318" i="3"/>
  <c r="W318" i="3" a="1"/>
  <c r="W318" i="3" s="1"/>
  <c r="X318" i="3" a="1"/>
  <c r="X318" i="3" s="1"/>
  <c r="Y318" i="3"/>
  <c r="Z318" i="3"/>
  <c r="AA318" i="3" s="1"/>
  <c r="A319" i="3"/>
  <c r="B319" i="3"/>
  <c r="J319" i="3"/>
  <c r="K319" i="3"/>
  <c r="L319" i="3"/>
  <c r="W319" i="3" a="1"/>
  <c r="W319" i="3" s="1"/>
  <c r="X319" i="3" a="1"/>
  <c r="X319" i="3" s="1"/>
  <c r="Y319" i="3"/>
  <c r="Z319" i="3"/>
  <c r="AA319" i="3" s="1"/>
  <c r="A320" i="3"/>
  <c r="B320" i="3"/>
  <c r="J320" i="3"/>
  <c r="K320" i="3"/>
  <c r="L320" i="3"/>
  <c r="W320" i="3" a="1"/>
  <c r="W320" i="3" s="1"/>
  <c r="X320" i="3" a="1"/>
  <c r="X320" i="3" s="1"/>
  <c r="Y320" i="3"/>
  <c r="Z320" i="3"/>
  <c r="AA320" i="3"/>
  <c r="A321" i="3"/>
  <c r="B321" i="3"/>
  <c r="J321" i="3"/>
  <c r="K321" i="3"/>
  <c r="L321" i="3"/>
  <c r="W321" i="3" a="1"/>
  <c r="W321" i="3" s="1"/>
  <c r="X321" i="3" a="1"/>
  <c r="X321" i="3" s="1"/>
  <c r="Y321" i="3"/>
  <c r="Z321" i="3"/>
  <c r="AA321" i="3" s="1"/>
  <c r="A322" i="3"/>
  <c r="B322" i="3"/>
  <c r="J322" i="3"/>
  <c r="K322" i="3"/>
  <c r="L322" i="3"/>
  <c r="W322" i="3" a="1"/>
  <c r="W322" i="3" s="1"/>
  <c r="X322" i="3" a="1"/>
  <c r="X322" i="3" s="1"/>
  <c r="Y322" i="3"/>
  <c r="Z322" i="3"/>
  <c r="AA322" i="3" s="1"/>
  <c r="A323" i="3"/>
  <c r="B323" i="3"/>
  <c r="J323" i="3"/>
  <c r="K323" i="3"/>
  <c r="L323" i="3"/>
  <c r="W323" i="3" a="1"/>
  <c r="W323" i="3" s="1"/>
  <c r="X323" i="3" a="1"/>
  <c r="X323" i="3" s="1"/>
  <c r="Y323" i="3"/>
  <c r="Z323" i="3"/>
  <c r="AA323" i="3" s="1"/>
  <c r="A324" i="3"/>
  <c r="B324" i="3"/>
  <c r="J324" i="3"/>
  <c r="K324" i="3"/>
  <c r="L324" i="3"/>
  <c r="W324" i="3" a="1"/>
  <c r="W324" i="3" s="1"/>
  <c r="X324" i="3" a="1"/>
  <c r="X324" i="3" s="1"/>
  <c r="Y324" i="3"/>
  <c r="Z324" i="3"/>
  <c r="AA324" i="3" s="1"/>
  <c r="A325" i="3"/>
  <c r="B325" i="3"/>
  <c r="J325" i="3"/>
  <c r="K325" i="3"/>
  <c r="L325" i="3"/>
  <c r="W325" i="3" a="1"/>
  <c r="W325" i="3" s="1"/>
  <c r="X325" i="3" a="1"/>
  <c r="X325" i="3" s="1"/>
  <c r="Y325" i="3"/>
  <c r="Z325" i="3"/>
  <c r="AA325" i="3" s="1"/>
  <c r="A326" i="3"/>
  <c r="B326" i="3"/>
  <c r="J326" i="3"/>
  <c r="K326" i="3"/>
  <c r="L326" i="3"/>
  <c r="W326" i="3" a="1"/>
  <c r="W326" i="3" s="1"/>
  <c r="X326" i="3" a="1"/>
  <c r="X326" i="3" s="1"/>
  <c r="Y326" i="3"/>
  <c r="Z326" i="3"/>
  <c r="AA326" i="3" s="1"/>
  <c r="A327" i="3"/>
  <c r="B327" i="3"/>
  <c r="J327" i="3"/>
  <c r="K327" i="3"/>
  <c r="L327" i="3"/>
  <c r="W327" i="3" a="1"/>
  <c r="W327" i="3" s="1"/>
  <c r="X327" i="3" a="1"/>
  <c r="X327" i="3" s="1"/>
  <c r="Y327" i="3"/>
  <c r="Z327" i="3"/>
  <c r="AA327" i="3" s="1"/>
  <c r="A328" i="3"/>
  <c r="B328" i="3"/>
  <c r="J328" i="3"/>
  <c r="K328" i="3"/>
  <c r="L328" i="3"/>
  <c r="W328" i="3" a="1"/>
  <c r="W328" i="3" s="1"/>
  <c r="X328" i="3" a="1"/>
  <c r="X328" i="3" s="1"/>
  <c r="Y328" i="3"/>
  <c r="Z328" i="3"/>
  <c r="AA328" i="3" s="1"/>
  <c r="A329" i="3"/>
  <c r="B329" i="3"/>
  <c r="J329" i="3"/>
  <c r="K329" i="3"/>
  <c r="L329" i="3"/>
  <c r="W329" i="3" a="1"/>
  <c r="W329" i="3" s="1"/>
  <c r="X329" i="3" a="1"/>
  <c r="X329" i="3" s="1"/>
  <c r="Y329" i="3"/>
  <c r="Z329" i="3"/>
  <c r="AA329" i="3" s="1"/>
  <c r="A330" i="3"/>
  <c r="B330" i="3"/>
  <c r="J330" i="3"/>
  <c r="K330" i="3"/>
  <c r="L330" i="3"/>
  <c r="W330" i="3" a="1"/>
  <c r="W330" i="3" s="1"/>
  <c r="X330" i="3" a="1"/>
  <c r="X330" i="3" s="1"/>
  <c r="Y330" i="3"/>
  <c r="Z330" i="3"/>
  <c r="AA330" i="3"/>
  <c r="A331" i="3"/>
  <c r="B331" i="3"/>
  <c r="J331" i="3"/>
  <c r="K331" i="3"/>
  <c r="L331" i="3"/>
  <c r="W331" i="3" a="1"/>
  <c r="W331" i="3" s="1"/>
  <c r="X331" i="3" a="1"/>
  <c r="X331" i="3" s="1"/>
  <c r="Y331" i="3"/>
  <c r="Z331" i="3"/>
  <c r="AA331" i="3" s="1"/>
  <c r="A332" i="3"/>
  <c r="B332" i="3"/>
  <c r="J332" i="3"/>
  <c r="K332" i="3"/>
  <c r="L332" i="3"/>
  <c r="W332" i="3" a="1"/>
  <c r="W332" i="3" s="1"/>
  <c r="X332" i="3" a="1"/>
  <c r="X332" i="3" s="1"/>
  <c r="Y332" i="3"/>
  <c r="Z332" i="3"/>
  <c r="AA332" i="3" s="1"/>
  <c r="A333" i="3"/>
  <c r="B333" i="3"/>
  <c r="J333" i="3"/>
  <c r="K333" i="3"/>
  <c r="L333" i="3"/>
  <c r="W333" i="3" a="1"/>
  <c r="W333" i="3" s="1"/>
  <c r="X333" i="3" a="1"/>
  <c r="X333" i="3" s="1"/>
  <c r="Y333" i="3"/>
  <c r="Z333" i="3"/>
  <c r="AA333" i="3" s="1"/>
  <c r="A334" i="3"/>
  <c r="B334" i="3"/>
  <c r="J334" i="3"/>
  <c r="K334" i="3"/>
  <c r="L334" i="3"/>
  <c r="W334" i="3" a="1"/>
  <c r="W334" i="3" s="1"/>
  <c r="X334" i="3" a="1"/>
  <c r="X334" i="3" s="1"/>
  <c r="Y334" i="3"/>
  <c r="Z334" i="3"/>
  <c r="AA334" i="3" s="1"/>
  <c r="A335" i="3"/>
  <c r="B335" i="3"/>
  <c r="J335" i="3"/>
  <c r="K335" i="3"/>
  <c r="L335" i="3"/>
  <c r="W335" i="3" a="1"/>
  <c r="W335" i="3" s="1"/>
  <c r="X335" i="3" a="1"/>
  <c r="X335" i="3" s="1"/>
  <c r="Y335" i="3"/>
  <c r="Z335" i="3"/>
  <c r="AA335" i="3" s="1"/>
  <c r="A336" i="3"/>
  <c r="B336" i="3"/>
  <c r="J336" i="3"/>
  <c r="K336" i="3"/>
  <c r="L336" i="3"/>
  <c r="W336" i="3" a="1"/>
  <c r="W336" i="3" s="1"/>
  <c r="X336" i="3" a="1"/>
  <c r="X336" i="3" s="1"/>
  <c r="Y336" i="3"/>
  <c r="Z336" i="3"/>
  <c r="AA336" i="3" s="1"/>
  <c r="A337" i="3"/>
  <c r="B337" i="3"/>
  <c r="J337" i="3"/>
  <c r="K337" i="3"/>
  <c r="L337" i="3"/>
  <c r="W337" i="3" a="1"/>
  <c r="W337" i="3" s="1"/>
  <c r="X337" i="3" a="1"/>
  <c r="X337" i="3" s="1"/>
  <c r="Y337" i="3"/>
  <c r="Z337" i="3"/>
  <c r="AA337" i="3" s="1"/>
  <c r="A338" i="3"/>
  <c r="B338" i="3"/>
  <c r="J338" i="3"/>
  <c r="K338" i="3"/>
  <c r="L338" i="3"/>
  <c r="W338" i="3" a="1"/>
  <c r="W338" i="3" s="1"/>
  <c r="X338" i="3" a="1"/>
  <c r="X338" i="3" s="1"/>
  <c r="Y338" i="3"/>
  <c r="Z338" i="3"/>
  <c r="AA338" i="3"/>
  <c r="A339" i="3"/>
  <c r="B339" i="3"/>
  <c r="J339" i="3"/>
  <c r="K339" i="3"/>
  <c r="L339" i="3"/>
  <c r="W339" i="3" a="1"/>
  <c r="W339" i="3" s="1"/>
  <c r="X339" i="3" a="1"/>
  <c r="X339" i="3" s="1"/>
  <c r="Y339" i="3"/>
  <c r="Z339" i="3"/>
  <c r="AA339" i="3" s="1"/>
  <c r="A340" i="3"/>
  <c r="B340" i="3"/>
  <c r="J340" i="3"/>
  <c r="K340" i="3"/>
  <c r="L340" i="3"/>
  <c r="W340" i="3" a="1"/>
  <c r="W340" i="3" s="1"/>
  <c r="X340" i="3" a="1"/>
  <c r="X340" i="3" s="1"/>
  <c r="Y340" i="3"/>
  <c r="Z340" i="3"/>
  <c r="AA340" i="3" s="1"/>
  <c r="A341" i="3"/>
  <c r="B341" i="3"/>
  <c r="J341" i="3"/>
  <c r="K341" i="3"/>
  <c r="L341" i="3"/>
  <c r="W341" i="3" a="1"/>
  <c r="W341" i="3" s="1"/>
  <c r="X341" i="3" a="1"/>
  <c r="X341" i="3" s="1"/>
  <c r="Y341" i="3"/>
  <c r="Z341" i="3"/>
  <c r="AA341" i="3" s="1"/>
  <c r="A342" i="3"/>
  <c r="B342" i="3"/>
  <c r="J342" i="3"/>
  <c r="K342" i="3"/>
  <c r="L342" i="3"/>
  <c r="W342" i="3" a="1"/>
  <c r="W342" i="3" s="1"/>
  <c r="X342" i="3" a="1"/>
  <c r="X342" i="3" s="1"/>
  <c r="Y342" i="3"/>
  <c r="Z342" i="3"/>
  <c r="AA342" i="3" s="1"/>
  <c r="A343" i="3"/>
  <c r="B343" i="3"/>
  <c r="J343" i="3"/>
  <c r="K343" i="3"/>
  <c r="L343" i="3"/>
  <c r="W343" i="3" a="1"/>
  <c r="W343" i="3" s="1"/>
  <c r="X343" i="3" a="1"/>
  <c r="X343" i="3" s="1"/>
  <c r="Y343" i="3"/>
  <c r="Z343" i="3"/>
  <c r="AA343" i="3" s="1"/>
  <c r="A344" i="3"/>
  <c r="B344" i="3"/>
  <c r="J344" i="3"/>
  <c r="K344" i="3"/>
  <c r="L344" i="3"/>
  <c r="W344" i="3" a="1"/>
  <c r="W344" i="3" s="1"/>
  <c r="X344" i="3" a="1"/>
  <c r="X344" i="3" s="1"/>
  <c r="Y344" i="3"/>
  <c r="Z344" i="3"/>
  <c r="AA344" i="3" s="1"/>
  <c r="A345" i="3"/>
  <c r="B345" i="3"/>
  <c r="J345" i="3"/>
  <c r="K345" i="3"/>
  <c r="L345" i="3"/>
  <c r="W345" i="3" a="1"/>
  <c r="W345" i="3" s="1"/>
  <c r="X345" i="3" a="1"/>
  <c r="X345" i="3" s="1"/>
  <c r="Y345" i="3"/>
  <c r="Z345" i="3"/>
  <c r="AA345" i="3" s="1"/>
  <c r="A346" i="3"/>
  <c r="B346" i="3"/>
  <c r="J346" i="3"/>
  <c r="K346" i="3"/>
  <c r="L346" i="3"/>
  <c r="W346" i="3" a="1"/>
  <c r="W346" i="3" s="1"/>
  <c r="X346" i="3" a="1"/>
  <c r="X346" i="3" s="1"/>
  <c r="Y346" i="3"/>
  <c r="Z346" i="3"/>
  <c r="AA346" i="3" s="1"/>
  <c r="A347" i="3"/>
  <c r="B347" i="3"/>
  <c r="J347" i="3"/>
  <c r="K347" i="3"/>
  <c r="L347" i="3"/>
  <c r="W347" i="3" a="1"/>
  <c r="W347" i="3" s="1"/>
  <c r="X347" i="3" a="1"/>
  <c r="X347" i="3" s="1"/>
  <c r="Y347" i="3"/>
  <c r="Z347" i="3"/>
  <c r="AA347" i="3" s="1"/>
  <c r="A348" i="3"/>
  <c r="B348" i="3"/>
  <c r="J348" i="3"/>
  <c r="K348" i="3"/>
  <c r="L348" i="3"/>
  <c r="W348" i="3" a="1"/>
  <c r="W348" i="3" s="1"/>
  <c r="X348" i="3" a="1"/>
  <c r="X348" i="3" s="1"/>
  <c r="Y348" i="3"/>
  <c r="Z348" i="3"/>
  <c r="AA348" i="3" s="1"/>
  <c r="A349" i="3"/>
  <c r="B349" i="3"/>
  <c r="J349" i="3"/>
  <c r="K349" i="3"/>
  <c r="L349" i="3"/>
  <c r="W349" i="3" a="1"/>
  <c r="W349" i="3" s="1"/>
  <c r="X349" i="3" a="1"/>
  <c r="X349" i="3" s="1"/>
  <c r="Y349" i="3"/>
  <c r="Z349" i="3"/>
  <c r="AA349" i="3" s="1"/>
  <c r="A350" i="3"/>
  <c r="B350" i="3"/>
  <c r="J350" i="3"/>
  <c r="K350" i="3"/>
  <c r="L350" i="3"/>
  <c r="W350" i="3" a="1"/>
  <c r="W350" i="3" s="1"/>
  <c r="X350" i="3" a="1"/>
  <c r="X350" i="3" s="1"/>
  <c r="Y350" i="3"/>
  <c r="Z350" i="3"/>
  <c r="AA350" i="3" s="1"/>
  <c r="A351" i="3"/>
  <c r="B351" i="3"/>
  <c r="J351" i="3"/>
  <c r="K351" i="3"/>
  <c r="L351" i="3"/>
  <c r="W351" i="3" a="1"/>
  <c r="W351" i="3" s="1"/>
  <c r="X351" i="3" a="1"/>
  <c r="X351" i="3" s="1"/>
  <c r="Y351" i="3"/>
  <c r="Z351" i="3"/>
  <c r="AA351" i="3" s="1"/>
  <c r="A352" i="3"/>
  <c r="B352" i="3"/>
  <c r="J352" i="3"/>
  <c r="K352" i="3"/>
  <c r="L352" i="3"/>
  <c r="W352" i="3" a="1"/>
  <c r="W352" i="3" s="1"/>
  <c r="X352" i="3" a="1"/>
  <c r="X352" i="3" s="1"/>
  <c r="Y352" i="3"/>
  <c r="Z352" i="3"/>
  <c r="AA352" i="3"/>
  <c r="A353" i="3"/>
  <c r="B353" i="3"/>
  <c r="J353" i="3"/>
  <c r="K353" i="3"/>
  <c r="L353" i="3"/>
  <c r="W353" i="3" a="1"/>
  <c r="W353" i="3" s="1"/>
  <c r="X353" i="3" a="1"/>
  <c r="X353" i="3" s="1"/>
  <c r="Y353" i="3"/>
  <c r="Z353" i="3"/>
  <c r="AA353" i="3" s="1"/>
  <c r="A354" i="3"/>
  <c r="B354" i="3"/>
  <c r="J354" i="3"/>
  <c r="K354" i="3"/>
  <c r="L354" i="3"/>
  <c r="W354" i="3" a="1"/>
  <c r="W354" i="3" s="1"/>
  <c r="X354" i="3" a="1"/>
  <c r="X354" i="3" s="1"/>
  <c r="Y354" i="3"/>
  <c r="Z354" i="3"/>
  <c r="AA354" i="3"/>
  <c r="A355" i="3"/>
  <c r="B355" i="3"/>
  <c r="J355" i="3"/>
  <c r="K355" i="3"/>
  <c r="L355" i="3"/>
  <c r="W355" i="3" a="1"/>
  <c r="W355" i="3" s="1"/>
  <c r="X355" i="3" a="1"/>
  <c r="X355" i="3" s="1"/>
  <c r="Y355" i="3"/>
  <c r="Z355" i="3"/>
  <c r="AA355" i="3" s="1"/>
  <c r="A356" i="3"/>
  <c r="B356" i="3"/>
  <c r="J356" i="3"/>
  <c r="K356" i="3"/>
  <c r="L356" i="3"/>
  <c r="W356" i="3" a="1"/>
  <c r="W356" i="3" s="1"/>
  <c r="X356" i="3" a="1"/>
  <c r="X356" i="3" s="1"/>
  <c r="Y356" i="3"/>
  <c r="Z356" i="3"/>
  <c r="AA356" i="3" s="1"/>
  <c r="A357" i="3"/>
  <c r="B357" i="3"/>
  <c r="J357" i="3"/>
  <c r="K357" i="3"/>
  <c r="L357" i="3"/>
  <c r="W357" i="3" a="1"/>
  <c r="W357" i="3" s="1"/>
  <c r="X357" i="3" a="1"/>
  <c r="X357" i="3" s="1"/>
  <c r="Y357" i="3"/>
  <c r="Z357" i="3"/>
  <c r="AA357" i="3" s="1"/>
  <c r="A358" i="3"/>
  <c r="B358" i="3"/>
  <c r="J358" i="3"/>
  <c r="K358" i="3"/>
  <c r="L358" i="3"/>
  <c r="W358" i="3" a="1"/>
  <c r="W358" i="3" s="1"/>
  <c r="X358" i="3" a="1"/>
  <c r="X358" i="3" s="1"/>
  <c r="Y358" i="3"/>
  <c r="Z358" i="3"/>
  <c r="AA358" i="3" s="1"/>
  <c r="A359" i="3"/>
  <c r="B359" i="3"/>
  <c r="J359" i="3"/>
  <c r="K359" i="3"/>
  <c r="L359" i="3"/>
  <c r="W359" i="3" a="1"/>
  <c r="W359" i="3" s="1"/>
  <c r="X359" i="3" a="1"/>
  <c r="X359" i="3" s="1"/>
  <c r="Y359" i="3"/>
  <c r="Z359" i="3"/>
  <c r="AA359" i="3" s="1"/>
  <c r="A360" i="3"/>
  <c r="B360" i="3"/>
  <c r="J360" i="3"/>
  <c r="K360" i="3"/>
  <c r="L360" i="3"/>
  <c r="W360" i="3" a="1"/>
  <c r="W360" i="3" s="1"/>
  <c r="X360" i="3" a="1"/>
  <c r="X360" i="3" s="1"/>
  <c r="Y360" i="3"/>
  <c r="Z360" i="3"/>
  <c r="AA360" i="3" s="1"/>
  <c r="A361" i="3"/>
  <c r="B361" i="3"/>
  <c r="J361" i="3"/>
  <c r="K361" i="3"/>
  <c r="L361" i="3"/>
  <c r="W361" i="3" a="1"/>
  <c r="W361" i="3" s="1"/>
  <c r="X361" i="3" a="1"/>
  <c r="X361" i="3" s="1"/>
  <c r="Y361" i="3"/>
  <c r="Z361" i="3"/>
  <c r="AA361" i="3" s="1"/>
  <c r="A362" i="3"/>
  <c r="B362" i="3"/>
  <c r="J362" i="3"/>
  <c r="K362" i="3"/>
  <c r="L362" i="3"/>
  <c r="W362" i="3" a="1"/>
  <c r="W362" i="3" s="1"/>
  <c r="X362" i="3" a="1"/>
  <c r="X362" i="3" s="1"/>
  <c r="Y362" i="3"/>
  <c r="Z362" i="3"/>
  <c r="AA362" i="3" s="1"/>
  <c r="A363" i="3"/>
  <c r="B363" i="3"/>
  <c r="J363" i="3"/>
  <c r="K363" i="3"/>
  <c r="L363" i="3"/>
  <c r="W363" i="3" a="1"/>
  <c r="W363" i="3" s="1"/>
  <c r="X363" i="3" a="1"/>
  <c r="X363" i="3" s="1"/>
  <c r="Y363" i="3"/>
  <c r="Z363" i="3"/>
  <c r="AA363" i="3" s="1"/>
  <c r="A364" i="3"/>
  <c r="B364" i="3"/>
  <c r="J364" i="3"/>
  <c r="K364" i="3"/>
  <c r="L364" i="3"/>
  <c r="W364" i="3" a="1"/>
  <c r="W364" i="3" s="1"/>
  <c r="X364" i="3" a="1"/>
  <c r="X364" i="3" s="1"/>
  <c r="Y364" i="3"/>
  <c r="Z364" i="3"/>
  <c r="AA364" i="3" s="1"/>
  <c r="A365" i="3"/>
  <c r="B365" i="3"/>
  <c r="J365" i="3"/>
  <c r="K365" i="3"/>
  <c r="L365" i="3"/>
  <c r="W365" i="3" a="1"/>
  <c r="W365" i="3" s="1"/>
  <c r="X365" i="3" a="1"/>
  <c r="X365" i="3" s="1"/>
  <c r="Y365" i="3"/>
  <c r="Z365" i="3"/>
  <c r="AA365" i="3" s="1"/>
  <c r="A366" i="3"/>
  <c r="B366" i="3"/>
  <c r="J366" i="3"/>
  <c r="K366" i="3"/>
  <c r="L366" i="3"/>
  <c r="W366" i="3" a="1"/>
  <c r="W366" i="3" s="1"/>
  <c r="X366" i="3" a="1"/>
  <c r="X366" i="3" s="1"/>
  <c r="Y366" i="3"/>
  <c r="Z366" i="3"/>
  <c r="AA366" i="3" s="1"/>
  <c r="A367" i="3"/>
  <c r="B367" i="3"/>
  <c r="J367" i="3"/>
  <c r="K367" i="3"/>
  <c r="L367" i="3"/>
  <c r="W367" i="3" a="1"/>
  <c r="W367" i="3" s="1"/>
  <c r="X367" i="3" a="1"/>
  <c r="X367" i="3" s="1"/>
  <c r="Y367" i="3"/>
  <c r="Z367" i="3"/>
  <c r="AA367" i="3" s="1"/>
  <c r="A368" i="3"/>
  <c r="B368" i="3"/>
  <c r="J368" i="3"/>
  <c r="K368" i="3"/>
  <c r="L368" i="3"/>
  <c r="W368" i="3" a="1"/>
  <c r="W368" i="3" s="1"/>
  <c r="X368" i="3" a="1"/>
  <c r="X368" i="3" s="1"/>
  <c r="Y368" i="3"/>
  <c r="Z368" i="3"/>
  <c r="AA368" i="3" s="1"/>
  <c r="A369" i="3"/>
  <c r="B369" i="3"/>
  <c r="J369" i="3"/>
  <c r="K369" i="3"/>
  <c r="L369" i="3"/>
  <c r="W369" i="3" a="1"/>
  <c r="W369" i="3" s="1"/>
  <c r="X369" i="3" a="1"/>
  <c r="X369" i="3" s="1"/>
  <c r="Y369" i="3"/>
  <c r="Z369" i="3"/>
  <c r="AA369" i="3" s="1"/>
  <c r="A370" i="3"/>
  <c r="B370" i="3"/>
  <c r="J370" i="3"/>
  <c r="K370" i="3"/>
  <c r="L370" i="3"/>
  <c r="W370" i="3" a="1"/>
  <c r="W370" i="3" s="1"/>
  <c r="X370" i="3" a="1"/>
  <c r="X370" i="3" s="1"/>
  <c r="Y370" i="3"/>
  <c r="Z370" i="3"/>
  <c r="AA370" i="3" s="1"/>
  <c r="A371" i="3"/>
  <c r="B371" i="3"/>
  <c r="J371" i="3"/>
  <c r="K371" i="3"/>
  <c r="L371" i="3"/>
  <c r="W371" i="3" a="1"/>
  <c r="W371" i="3" s="1"/>
  <c r="X371" i="3" a="1"/>
  <c r="X371" i="3" s="1"/>
  <c r="Y371" i="3"/>
  <c r="Z371" i="3"/>
  <c r="AA371" i="3" s="1"/>
  <c r="A372" i="3"/>
  <c r="B372" i="3"/>
  <c r="J372" i="3"/>
  <c r="K372" i="3"/>
  <c r="L372" i="3"/>
  <c r="W372" i="3" a="1"/>
  <c r="W372" i="3" s="1"/>
  <c r="X372" i="3" a="1"/>
  <c r="X372" i="3" s="1"/>
  <c r="Y372" i="3"/>
  <c r="Z372" i="3"/>
  <c r="AA372" i="3" s="1"/>
  <c r="A373" i="3"/>
  <c r="B373" i="3"/>
  <c r="J373" i="3"/>
  <c r="K373" i="3"/>
  <c r="L373" i="3"/>
  <c r="W373" i="3" a="1"/>
  <c r="W373" i="3" s="1"/>
  <c r="X373" i="3" a="1"/>
  <c r="X373" i="3" s="1"/>
  <c r="Y373" i="3"/>
  <c r="Z373" i="3"/>
  <c r="AA373" i="3" s="1"/>
  <c r="A374" i="3"/>
  <c r="B374" i="3"/>
  <c r="J374" i="3"/>
  <c r="K374" i="3"/>
  <c r="L374" i="3"/>
  <c r="W374" i="3" a="1"/>
  <c r="W374" i="3" s="1"/>
  <c r="X374" i="3" a="1"/>
  <c r="X374" i="3" s="1"/>
  <c r="Y374" i="3"/>
  <c r="Z374" i="3"/>
  <c r="AA374" i="3" s="1"/>
  <c r="A375" i="3"/>
  <c r="B375" i="3"/>
  <c r="J375" i="3"/>
  <c r="K375" i="3"/>
  <c r="L375" i="3"/>
  <c r="W375" i="3" a="1"/>
  <c r="W375" i="3" s="1"/>
  <c r="X375" i="3" a="1"/>
  <c r="X375" i="3" s="1"/>
  <c r="Y375" i="3"/>
  <c r="Z375" i="3"/>
  <c r="AA375" i="3" s="1"/>
  <c r="A376" i="3"/>
  <c r="B376" i="3"/>
  <c r="J376" i="3"/>
  <c r="K376" i="3"/>
  <c r="L376" i="3"/>
  <c r="W376" i="3" a="1"/>
  <c r="W376" i="3" s="1"/>
  <c r="X376" i="3" a="1"/>
  <c r="X376" i="3" s="1"/>
  <c r="Y376" i="3"/>
  <c r="Z376" i="3"/>
  <c r="AA376" i="3" s="1"/>
  <c r="A377" i="3"/>
  <c r="B377" i="3"/>
  <c r="J377" i="3"/>
  <c r="K377" i="3"/>
  <c r="L377" i="3"/>
  <c r="W377" i="3" a="1"/>
  <c r="W377" i="3" s="1"/>
  <c r="X377" i="3" a="1"/>
  <c r="X377" i="3" s="1"/>
  <c r="Y377" i="3"/>
  <c r="Z377" i="3"/>
  <c r="AA377" i="3" s="1"/>
  <c r="A378" i="3"/>
  <c r="B378" i="3"/>
  <c r="J378" i="3"/>
  <c r="K378" i="3"/>
  <c r="L378" i="3"/>
  <c r="W378" i="3" a="1"/>
  <c r="W378" i="3" s="1"/>
  <c r="X378" i="3" a="1"/>
  <c r="X378" i="3" s="1"/>
  <c r="Y378" i="3"/>
  <c r="Z378" i="3"/>
  <c r="AA378" i="3" s="1"/>
  <c r="A379" i="3"/>
  <c r="B379" i="3"/>
  <c r="J379" i="3"/>
  <c r="K379" i="3"/>
  <c r="L379" i="3"/>
  <c r="W379" i="3" a="1"/>
  <c r="W379" i="3" s="1"/>
  <c r="X379" i="3" a="1"/>
  <c r="X379" i="3" s="1"/>
  <c r="Y379" i="3"/>
  <c r="Z379" i="3"/>
  <c r="AA379" i="3" s="1"/>
  <c r="A380" i="3"/>
  <c r="B380" i="3"/>
  <c r="J380" i="3"/>
  <c r="K380" i="3"/>
  <c r="L380" i="3"/>
  <c r="W380" i="3" a="1"/>
  <c r="W380" i="3" s="1"/>
  <c r="X380" i="3" a="1"/>
  <c r="X380" i="3" s="1"/>
  <c r="Y380" i="3"/>
  <c r="Z380" i="3"/>
  <c r="AA380" i="3" s="1"/>
  <c r="A381" i="3"/>
  <c r="B381" i="3"/>
  <c r="J381" i="3"/>
  <c r="K381" i="3"/>
  <c r="L381" i="3"/>
  <c r="W381" i="3" a="1"/>
  <c r="W381" i="3" s="1"/>
  <c r="X381" i="3" a="1"/>
  <c r="X381" i="3" s="1"/>
  <c r="Y381" i="3"/>
  <c r="Z381" i="3"/>
  <c r="AA381" i="3" s="1"/>
  <c r="A382" i="3"/>
  <c r="B382" i="3"/>
  <c r="J382" i="3"/>
  <c r="K382" i="3"/>
  <c r="L382" i="3"/>
  <c r="W382" i="3" a="1"/>
  <c r="W382" i="3" s="1"/>
  <c r="X382" i="3" a="1"/>
  <c r="X382" i="3" s="1"/>
  <c r="Y382" i="3"/>
  <c r="Z382" i="3"/>
  <c r="AA382" i="3" s="1"/>
  <c r="A383" i="3"/>
  <c r="B383" i="3"/>
  <c r="J383" i="3"/>
  <c r="K383" i="3"/>
  <c r="L383" i="3"/>
  <c r="W383" i="3" a="1"/>
  <c r="W383" i="3" s="1"/>
  <c r="X383" i="3" a="1"/>
  <c r="X383" i="3" s="1"/>
  <c r="Y383" i="3"/>
  <c r="Z383" i="3"/>
  <c r="AA383" i="3" s="1"/>
  <c r="A384" i="3"/>
  <c r="B384" i="3"/>
  <c r="J384" i="3"/>
  <c r="K384" i="3"/>
  <c r="L384" i="3"/>
  <c r="W384" i="3" a="1"/>
  <c r="W384" i="3" s="1"/>
  <c r="X384" i="3" a="1"/>
  <c r="X384" i="3" s="1"/>
  <c r="Y384" i="3"/>
  <c r="Z384" i="3"/>
  <c r="AA384" i="3" s="1"/>
  <c r="A385" i="3"/>
  <c r="B385" i="3"/>
  <c r="J385" i="3"/>
  <c r="K385" i="3"/>
  <c r="L385" i="3"/>
  <c r="W385" i="3" a="1"/>
  <c r="W385" i="3" s="1"/>
  <c r="X385" i="3" a="1"/>
  <c r="X385" i="3" s="1"/>
  <c r="Y385" i="3"/>
  <c r="Z385" i="3"/>
  <c r="AA385" i="3" s="1"/>
  <c r="A386" i="3"/>
  <c r="B386" i="3"/>
  <c r="J386" i="3"/>
  <c r="K386" i="3"/>
  <c r="L386" i="3"/>
  <c r="W386" i="3" a="1"/>
  <c r="W386" i="3" s="1"/>
  <c r="X386" i="3" a="1"/>
  <c r="X386" i="3" s="1"/>
  <c r="Y386" i="3"/>
  <c r="Z386" i="3"/>
  <c r="AA386" i="3"/>
  <c r="A387" i="3"/>
  <c r="B387" i="3"/>
  <c r="J387" i="3"/>
  <c r="K387" i="3"/>
  <c r="L387" i="3"/>
  <c r="W387" i="3" a="1"/>
  <c r="W387" i="3" s="1"/>
  <c r="X387" i="3" a="1"/>
  <c r="X387" i="3" s="1"/>
  <c r="Y387" i="3"/>
  <c r="Z387" i="3"/>
  <c r="AA387" i="3" s="1"/>
  <c r="A388" i="3"/>
  <c r="B388" i="3"/>
  <c r="J388" i="3"/>
  <c r="K388" i="3"/>
  <c r="L388" i="3"/>
  <c r="W388" i="3" a="1"/>
  <c r="W388" i="3" s="1"/>
  <c r="X388" i="3" a="1"/>
  <c r="X388" i="3" s="1"/>
  <c r="Y388" i="3"/>
  <c r="Z388" i="3"/>
  <c r="AA388" i="3" s="1"/>
  <c r="A389" i="3"/>
  <c r="B389" i="3"/>
  <c r="J389" i="3"/>
  <c r="K389" i="3"/>
  <c r="L389" i="3"/>
  <c r="W389" i="3" a="1"/>
  <c r="W389" i="3" s="1"/>
  <c r="X389" i="3" a="1"/>
  <c r="X389" i="3" s="1"/>
  <c r="Y389" i="3"/>
  <c r="Z389" i="3"/>
  <c r="AA389" i="3" s="1"/>
  <c r="A390" i="3"/>
  <c r="B390" i="3"/>
  <c r="J390" i="3"/>
  <c r="K390" i="3"/>
  <c r="L390" i="3"/>
  <c r="W390" i="3" a="1"/>
  <c r="W390" i="3" s="1"/>
  <c r="X390" i="3" a="1"/>
  <c r="X390" i="3" s="1"/>
  <c r="Y390" i="3"/>
  <c r="Z390" i="3"/>
  <c r="AA390" i="3" s="1"/>
  <c r="A391" i="3"/>
  <c r="B391" i="3"/>
  <c r="J391" i="3"/>
  <c r="K391" i="3"/>
  <c r="L391" i="3"/>
  <c r="W391" i="3" a="1"/>
  <c r="W391" i="3" s="1"/>
  <c r="X391" i="3" a="1"/>
  <c r="X391" i="3" s="1"/>
  <c r="Y391" i="3"/>
  <c r="Z391" i="3"/>
  <c r="AA391" i="3" s="1"/>
  <c r="A392" i="3"/>
  <c r="B392" i="3"/>
  <c r="J392" i="3"/>
  <c r="K392" i="3"/>
  <c r="L392" i="3"/>
  <c r="W392" i="3" a="1"/>
  <c r="W392" i="3" s="1"/>
  <c r="X392" i="3" a="1"/>
  <c r="X392" i="3" s="1"/>
  <c r="Y392" i="3"/>
  <c r="Z392" i="3"/>
  <c r="AA392" i="3" s="1"/>
  <c r="A393" i="3"/>
  <c r="B393" i="3"/>
  <c r="J393" i="3"/>
  <c r="K393" i="3"/>
  <c r="L393" i="3"/>
  <c r="W393" i="3" a="1"/>
  <c r="W393" i="3" s="1"/>
  <c r="X393" i="3" a="1"/>
  <c r="X393" i="3" s="1"/>
  <c r="Y393" i="3"/>
  <c r="Z393" i="3"/>
  <c r="AA393" i="3" s="1"/>
  <c r="A394" i="3"/>
  <c r="B394" i="3"/>
  <c r="J394" i="3"/>
  <c r="K394" i="3"/>
  <c r="L394" i="3"/>
  <c r="W394" i="3" a="1"/>
  <c r="W394" i="3" s="1"/>
  <c r="X394" i="3" a="1"/>
  <c r="X394" i="3" s="1"/>
  <c r="Y394" i="3"/>
  <c r="Z394" i="3"/>
  <c r="AA394" i="3" s="1"/>
  <c r="A395" i="3"/>
  <c r="B395" i="3"/>
  <c r="J395" i="3"/>
  <c r="K395" i="3"/>
  <c r="L395" i="3"/>
  <c r="W395" i="3" a="1"/>
  <c r="W395" i="3" s="1"/>
  <c r="X395" i="3" a="1"/>
  <c r="X395" i="3" s="1"/>
  <c r="Y395" i="3"/>
  <c r="Z395" i="3"/>
  <c r="AA395" i="3" s="1"/>
  <c r="A396" i="3"/>
  <c r="B396" i="3"/>
  <c r="J396" i="3"/>
  <c r="K396" i="3"/>
  <c r="L396" i="3"/>
  <c r="W396" i="3" a="1"/>
  <c r="W396" i="3" s="1"/>
  <c r="X396" i="3" a="1"/>
  <c r="X396" i="3" s="1"/>
  <c r="Y396" i="3"/>
  <c r="Z396" i="3"/>
  <c r="AA396" i="3" s="1"/>
  <c r="A397" i="3"/>
  <c r="B397" i="3"/>
  <c r="J397" i="3"/>
  <c r="K397" i="3"/>
  <c r="L397" i="3"/>
  <c r="W397" i="3" a="1"/>
  <c r="W397" i="3" s="1"/>
  <c r="X397" i="3" a="1"/>
  <c r="X397" i="3" s="1"/>
  <c r="Y397" i="3"/>
  <c r="Z397" i="3"/>
  <c r="AA397" i="3" s="1"/>
  <c r="A398" i="3"/>
  <c r="B398" i="3"/>
  <c r="J398" i="3"/>
  <c r="K398" i="3"/>
  <c r="L398" i="3"/>
  <c r="W398" i="3" a="1"/>
  <c r="W398" i="3" s="1"/>
  <c r="X398" i="3" a="1"/>
  <c r="X398" i="3" s="1"/>
  <c r="Y398" i="3"/>
  <c r="Z398" i="3"/>
  <c r="AA398" i="3" s="1"/>
  <c r="A399" i="3"/>
  <c r="B399" i="3"/>
  <c r="J399" i="3"/>
  <c r="K399" i="3"/>
  <c r="L399" i="3"/>
  <c r="W399" i="3" a="1"/>
  <c r="W399" i="3" s="1"/>
  <c r="X399" i="3" a="1"/>
  <c r="X399" i="3" s="1"/>
  <c r="Y399" i="3"/>
  <c r="Z399" i="3"/>
  <c r="AA399" i="3" s="1"/>
  <c r="A400" i="3"/>
  <c r="B400" i="3"/>
  <c r="J400" i="3"/>
  <c r="K400" i="3"/>
  <c r="L400" i="3"/>
  <c r="W400" i="3" a="1"/>
  <c r="W400" i="3" s="1"/>
  <c r="X400" i="3" a="1"/>
  <c r="X400" i="3" s="1"/>
  <c r="Y400" i="3"/>
  <c r="Z400" i="3"/>
  <c r="AA400" i="3" s="1"/>
  <c r="A401" i="3"/>
  <c r="B401" i="3"/>
  <c r="J401" i="3"/>
  <c r="K401" i="3"/>
  <c r="L401" i="3"/>
  <c r="W401" i="3" a="1"/>
  <c r="W401" i="3" s="1"/>
  <c r="X401" i="3" a="1"/>
  <c r="X401" i="3" s="1"/>
  <c r="Y401" i="3"/>
  <c r="Z401" i="3"/>
  <c r="AA401" i="3" s="1"/>
  <c r="A402" i="3"/>
  <c r="B402" i="3"/>
  <c r="J402" i="3"/>
  <c r="K402" i="3"/>
  <c r="L402" i="3"/>
  <c r="W402" i="3" a="1"/>
  <c r="W402" i="3" s="1"/>
  <c r="X402" i="3" a="1"/>
  <c r="X402" i="3" s="1"/>
  <c r="Y402" i="3"/>
  <c r="Z402" i="3"/>
  <c r="AA402" i="3" s="1"/>
  <c r="A403" i="3"/>
  <c r="B403" i="3"/>
  <c r="J403" i="3"/>
  <c r="K403" i="3"/>
  <c r="L403" i="3"/>
  <c r="W403" i="3" a="1"/>
  <c r="W403" i="3" s="1"/>
  <c r="X403" i="3" a="1"/>
  <c r="X403" i="3" s="1"/>
  <c r="Y403" i="3"/>
  <c r="Z403" i="3"/>
  <c r="AA403" i="3" s="1"/>
  <c r="A404" i="3"/>
  <c r="B404" i="3"/>
  <c r="J404" i="3"/>
  <c r="K404" i="3"/>
  <c r="L404" i="3"/>
  <c r="W404" i="3" a="1"/>
  <c r="W404" i="3" s="1"/>
  <c r="X404" i="3" a="1"/>
  <c r="X404" i="3" s="1"/>
  <c r="Y404" i="3"/>
  <c r="Z404" i="3"/>
  <c r="AA404" i="3" s="1"/>
  <c r="A405" i="3"/>
  <c r="B405" i="3"/>
  <c r="J405" i="3"/>
  <c r="K405" i="3"/>
  <c r="L405" i="3"/>
  <c r="W405" i="3" a="1"/>
  <c r="W405" i="3" s="1"/>
  <c r="X405" i="3" a="1"/>
  <c r="X405" i="3" s="1"/>
  <c r="Y405" i="3"/>
  <c r="Z405" i="3"/>
  <c r="AA405" i="3" s="1"/>
  <c r="A406" i="3"/>
  <c r="B406" i="3"/>
  <c r="J406" i="3"/>
  <c r="K406" i="3"/>
  <c r="L406" i="3"/>
  <c r="W406" i="3" a="1"/>
  <c r="W406" i="3" s="1"/>
  <c r="X406" i="3" a="1"/>
  <c r="X406" i="3" s="1"/>
  <c r="Y406" i="3"/>
  <c r="Z406" i="3"/>
  <c r="AA406" i="3"/>
  <c r="A407" i="3"/>
  <c r="B407" i="3"/>
  <c r="J407" i="3"/>
  <c r="K407" i="3"/>
  <c r="L407" i="3"/>
  <c r="W407" i="3" a="1"/>
  <c r="W407" i="3" s="1"/>
  <c r="X407" i="3" a="1"/>
  <c r="X407" i="3" s="1"/>
  <c r="Y407" i="3"/>
  <c r="Z407" i="3"/>
  <c r="AA407" i="3" s="1"/>
  <c r="A408" i="3"/>
  <c r="B408" i="3"/>
  <c r="J408" i="3"/>
  <c r="K408" i="3"/>
  <c r="L408" i="3"/>
  <c r="W408" i="3" a="1"/>
  <c r="W408" i="3" s="1"/>
  <c r="X408" i="3" a="1"/>
  <c r="X408" i="3" s="1"/>
  <c r="Y408" i="3"/>
  <c r="Z408" i="3"/>
  <c r="AA408" i="3" s="1"/>
  <c r="A409" i="3"/>
  <c r="B409" i="3"/>
  <c r="J409" i="3"/>
  <c r="K409" i="3"/>
  <c r="L409" i="3"/>
  <c r="W409" i="3" a="1"/>
  <c r="W409" i="3" s="1"/>
  <c r="X409" i="3" a="1"/>
  <c r="X409" i="3" s="1"/>
  <c r="Y409" i="3"/>
  <c r="Z409" i="3"/>
  <c r="AA409" i="3" s="1"/>
  <c r="A410" i="3"/>
  <c r="B410" i="3"/>
  <c r="J410" i="3"/>
  <c r="K410" i="3"/>
  <c r="L410" i="3"/>
  <c r="W410" i="3" a="1"/>
  <c r="W410" i="3" s="1"/>
  <c r="X410" i="3" a="1"/>
  <c r="X410" i="3" s="1"/>
  <c r="Y410" i="3"/>
  <c r="Z410" i="3"/>
  <c r="AA410" i="3"/>
  <c r="A411" i="3"/>
  <c r="B411" i="3"/>
  <c r="J411" i="3"/>
  <c r="K411" i="3"/>
  <c r="L411" i="3"/>
  <c r="W411" i="3" a="1"/>
  <c r="W411" i="3" s="1"/>
  <c r="X411" i="3" a="1"/>
  <c r="X411" i="3" s="1"/>
  <c r="Y411" i="3"/>
  <c r="Z411" i="3"/>
  <c r="AA411" i="3" s="1"/>
  <c r="A412" i="3"/>
  <c r="B412" i="3"/>
  <c r="J412" i="3"/>
  <c r="K412" i="3"/>
  <c r="L412" i="3"/>
  <c r="W412" i="3" a="1"/>
  <c r="W412" i="3" s="1"/>
  <c r="X412" i="3" a="1"/>
  <c r="X412" i="3" s="1"/>
  <c r="Y412" i="3"/>
  <c r="Z412" i="3"/>
  <c r="AA412" i="3" s="1"/>
  <c r="A413" i="3"/>
  <c r="B413" i="3"/>
  <c r="J413" i="3"/>
  <c r="K413" i="3"/>
  <c r="L413" i="3"/>
  <c r="W413" i="3" a="1"/>
  <c r="W413" i="3" s="1"/>
  <c r="X413" i="3" a="1"/>
  <c r="X413" i="3" s="1"/>
  <c r="Y413" i="3"/>
  <c r="Z413" i="3"/>
  <c r="AA413" i="3" s="1"/>
  <c r="A414" i="3"/>
  <c r="B414" i="3"/>
  <c r="J414" i="3"/>
  <c r="K414" i="3"/>
  <c r="L414" i="3"/>
  <c r="W414" i="3" a="1"/>
  <c r="W414" i="3" s="1"/>
  <c r="X414" i="3" a="1"/>
  <c r="X414" i="3" s="1"/>
  <c r="Y414" i="3"/>
  <c r="Z414" i="3"/>
  <c r="AA414" i="3" s="1"/>
  <c r="A415" i="3"/>
  <c r="B415" i="3"/>
  <c r="J415" i="3"/>
  <c r="K415" i="3"/>
  <c r="L415" i="3"/>
  <c r="W415" i="3" a="1"/>
  <c r="W415" i="3" s="1"/>
  <c r="X415" i="3" a="1"/>
  <c r="X415" i="3" s="1"/>
  <c r="Y415" i="3"/>
  <c r="Z415" i="3"/>
  <c r="AA415" i="3" s="1"/>
  <c r="A416" i="3"/>
  <c r="B416" i="3"/>
  <c r="J416" i="3"/>
  <c r="K416" i="3"/>
  <c r="L416" i="3"/>
  <c r="W416" i="3" a="1"/>
  <c r="W416" i="3" s="1"/>
  <c r="X416" i="3" a="1"/>
  <c r="X416" i="3" s="1"/>
  <c r="Y416" i="3"/>
  <c r="Z416" i="3"/>
  <c r="AA416" i="3" s="1"/>
  <c r="A417" i="3"/>
  <c r="B417" i="3"/>
  <c r="J417" i="3"/>
  <c r="K417" i="3"/>
  <c r="L417" i="3"/>
  <c r="W417" i="3" a="1"/>
  <c r="W417" i="3" s="1"/>
  <c r="X417" i="3" a="1"/>
  <c r="X417" i="3" s="1"/>
  <c r="Y417" i="3"/>
  <c r="Z417" i="3"/>
  <c r="AA417" i="3" s="1"/>
  <c r="A418" i="3"/>
  <c r="B418" i="3"/>
  <c r="J418" i="3"/>
  <c r="K418" i="3"/>
  <c r="L418" i="3"/>
  <c r="W418" i="3" a="1"/>
  <c r="W418" i="3" s="1"/>
  <c r="X418" i="3" a="1"/>
  <c r="X418" i="3" s="1"/>
  <c r="Y418" i="3"/>
  <c r="Z418" i="3"/>
  <c r="AA418" i="3" s="1"/>
  <c r="A419" i="3"/>
  <c r="B419" i="3"/>
  <c r="J419" i="3"/>
  <c r="K419" i="3"/>
  <c r="L419" i="3"/>
  <c r="W419" i="3" a="1"/>
  <c r="W419" i="3" s="1"/>
  <c r="X419" i="3" a="1"/>
  <c r="X419" i="3" s="1"/>
  <c r="Y419" i="3"/>
  <c r="Z419" i="3"/>
  <c r="AA419" i="3" s="1"/>
  <c r="A420" i="3"/>
  <c r="B420" i="3"/>
  <c r="J420" i="3"/>
  <c r="K420" i="3"/>
  <c r="L420" i="3"/>
  <c r="W420" i="3" a="1"/>
  <c r="W420" i="3" s="1"/>
  <c r="X420" i="3" a="1"/>
  <c r="X420" i="3" s="1"/>
  <c r="Y420" i="3"/>
  <c r="Z420" i="3"/>
  <c r="AA420" i="3" s="1"/>
  <c r="A421" i="3"/>
  <c r="B421" i="3"/>
  <c r="J421" i="3"/>
  <c r="K421" i="3"/>
  <c r="L421" i="3"/>
  <c r="W421" i="3" a="1"/>
  <c r="W421" i="3" s="1"/>
  <c r="X421" i="3" a="1"/>
  <c r="X421" i="3" s="1"/>
  <c r="Y421" i="3"/>
  <c r="Z421" i="3"/>
  <c r="AA421" i="3" s="1"/>
  <c r="A422" i="3"/>
  <c r="B422" i="3"/>
  <c r="J422" i="3"/>
  <c r="K422" i="3"/>
  <c r="L422" i="3"/>
  <c r="W422" i="3" a="1"/>
  <c r="W422" i="3" s="1"/>
  <c r="X422" i="3" a="1"/>
  <c r="X422" i="3" s="1"/>
  <c r="Y422" i="3"/>
  <c r="Z422" i="3"/>
  <c r="AA422" i="3" s="1"/>
  <c r="A423" i="3"/>
  <c r="B423" i="3"/>
  <c r="J423" i="3"/>
  <c r="K423" i="3"/>
  <c r="L423" i="3"/>
  <c r="W423" i="3" a="1"/>
  <c r="W423" i="3" s="1"/>
  <c r="X423" i="3" a="1"/>
  <c r="X423" i="3" s="1"/>
  <c r="Y423" i="3"/>
  <c r="Z423" i="3"/>
  <c r="AA423" i="3" s="1"/>
  <c r="A424" i="3"/>
  <c r="B424" i="3"/>
  <c r="J424" i="3"/>
  <c r="K424" i="3"/>
  <c r="L424" i="3"/>
  <c r="W424" i="3" a="1"/>
  <c r="W424" i="3" s="1"/>
  <c r="X424" i="3" a="1"/>
  <c r="X424" i="3" s="1"/>
  <c r="Y424" i="3"/>
  <c r="Z424" i="3"/>
  <c r="AA424" i="3" s="1"/>
  <c r="A425" i="3"/>
  <c r="B425" i="3"/>
  <c r="J425" i="3"/>
  <c r="K425" i="3"/>
  <c r="L425" i="3"/>
  <c r="W425" i="3" a="1"/>
  <c r="W425" i="3" s="1"/>
  <c r="X425" i="3" a="1"/>
  <c r="X425" i="3" s="1"/>
  <c r="Y425" i="3"/>
  <c r="Z425" i="3"/>
  <c r="AA425" i="3" s="1"/>
  <c r="A426" i="3"/>
  <c r="B426" i="3"/>
  <c r="J426" i="3"/>
  <c r="K426" i="3"/>
  <c r="L426" i="3"/>
  <c r="W426" i="3" a="1"/>
  <c r="W426" i="3" s="1"/>
  <c r="X426" i="3" a="1"/>
  <c r="X426" i="3" s="1"/>
  <c r="Y426" i="3"/>
  <c r="Z426" i="3"/>
  <c r="AA426" i="3" s="1"/>
  <c r="A427" i="3"/>
  <c r="B427" i="3"/>
  <c r="J427" i="3"/>
  <c r="K427" i="3"/>
  <c r="L427" i="3"/>
  <c r="W427" i="3" a="1"/>
  <c r="W427" i="3" s="1"/>
  <c r="X427" i="3" a="1"/>
  <c r="X427" i="3" s="1"/>
  <c r="Y427" i="3"/>
  <c r="Z427" i="3"/>
  <c r="AA427" i="3" s="1"/>
  <c r="A428" i="3"/>
  <c r="B428" i="3"/>
  <c r="J428" i="3"/>
  <c r="K428" i="3"/>
  <c r="L428" i="3"/>
  <c r="W428" i="3" a="1"/>
  <c r="W428" i="3" s="1"/>
  <c r="X428" i="3" a="1"/>
  <c r="X428" i="3" s="1"/>
  <c r="Y428" i="3"/>
  <c r="Z428" i="3"/>
  <c r="AA428" i="3" s="1"/>
  <c r="A429" i="3"/>
  <c r="B429" i="3"/>
  <c r="J429" i="3"/>
  <c r="K429" i="3"/>
  <c r="L429" i="3"/>
  <c r="W429" i="3" a="1"/>
  <c r="W429" i="3" s="1"/>
  <c r="X429" i="3" a="1"/>
  <c r="X429" i="3" s="1"/>
  <c r="Y429" i="3"/>
  <c r="Z429" i="3"/>
  <c r="AA429" i="3" s="1"/>
  <c r="A430" i="3"/>
  <c r="B430" i="3"/>
  <c r="J430" i="3"/>
  <c r="K430" i="3"/>
  <c r="L430" i="3"/>
  <c r="W430" i="3" a="1"/>
  <c r="W430" i="3" s="1"/>
  <c r="X430" i="3" a="1"/>
  <c r="X430" i="3" s="1"/>
  <c r="Y430" i="3"/>
  <c r="Z430" i="3"/>
  <c r="AA430" i="3" s="1"/>
  <c r="A431" i="3"/>
  <c r="B431" i="3"/>
  <c r="J431" i="3"/>
  <c r="K431" i="3"/>
  <c r="L431" i="3"/>
  <c r="W431" i="3" a="1"/>
  <c r="W431" i="3" s="1"/>
  <c r="X431" i="3" a="1"/>
  <c r="X431" i="3" s="1"/>
  <c r="Y431" i="3"/>
  <c r="Z431" i="3"/>
  <c r="AA431" i="3" s="1"/>
  <c r="A432" i="3"/>
  <c r="B432" i="3"/>
  <c r="J432" i="3"/>
  <c r="K432" i="3"/>
  <c r="L432" i="3"/>
  <c r="W432" i="3" a="1"/>
  <c r="W432" i="3" s="1"/>
  <c r="X432" i="3" a="1"/>
  <c r="X432" i="3" s="1"/>
  <c r="Y432" i="3"/>
  <c r="Z432" i="3"/>
  <c r="AA432" i="3" s="1"/>
  <c r="A433" i="3"/>
  <c r="B433" i="3"/>
  <c r="J433" i="3"/>
  <c r="K433" i="3"/>
  <c r="L433" i="3"/>
  <c r="W433" i="3" a="1"/>
  <c r="W433" i="3" s="1"/>
  <c r="X433" i="3" a="1"/>
  <c r="X433" i="3" s="1"/>
  <c r="Y433" i="3"/>
  <c r="Z433" i="3"/>
  <c r="AA433" i="3" s="1"/>
  <c r="A434" i="3"/>
  <c r="B434" i="3"/>
  <c r="J434" i="3"/>
  <c r="K434" i="3"/>
  <c r="L434" i="3"/>
  <c r="W434" i="3" a="1"/>
  <c r="W434" i="3" s="1"/>
  <c r="X434" i="3" a="1"/>
  <c r="X434" i="3" s="1"/>
  <c r="Y434" i="3"/>
  <c r="Z434" i="3"/>
  <c r="AA434" i="3" s="1"/>
  <c r="A435" i="3"/>
  <c r="B435" i="3"/>
  <c r="J435" i="3"/>
  <c r="K435" i="3"/>
  <c r="L435" i="3"/>
  <c r="W435" i="3" a="1"/>
  <c r="W435" i="3" s="1"/>
  <c r="X435" i="3" a="1"/>
  <c r="X435" i="3" s="1"/>
  <c r="Y435" i="3"/>
  <c r="Z435" i="3"/>
  <c r="AA435" i="3" s="1"/>
  <c r="A436" i="3"/>
  <c r="B436" i="3"/>
  <c r="J436" i="3"/>
  <c r="K436" i="3"/>
  <c r="L436" i="3"/>
  <c r="W436" i="3" a="1"/>
  <c r="W436" i="3" s="1"/>
  <c r="X436" i="3" a="1"/>
  <c r="X436" i="3" s="1"/>
  <c r="Y436" i="3"/>
  <c r="Z436" i="3"/>
  <c r="AA436" i="3" s="1"/>
  <c r="A437" i="3"/>
  <c r="B437" i="3"/>
  <c r="J437" i="3"/>
  <c r="K437" i="3"/>
  <c r="L437" i="3"/>
  <c r="W437" i="3" a="1"/>
  <c r="W437" i="3" s="1"/>
  <c r="X437" i="3" a="1"/>
  <c r="X437" i="3" s="1"/>
  <c r="Y437" i="3"/>
  <c r="Z437" i="3"/>
  <c r="AA437" i="3" s="1"/>
  <c r="A438" i="3"/>
  <c r="B438" i="3"/>
  <c r="J438" i="3"/>
  <c r="K438" i="3"/>
  <c r="L438" i="3"/>
  <c r="W438" i="3" a="1"/>
  <c r="W438" i="3" s="1"/>
  <c r="X438" i="3" a="1"/>
  <c r="X438" i="3" s="1"/>
  <c r="Y438" i="3"/>
  <c r="Z438" i="3"/>
  <c r="AA438" i="3" s="1"/>
  <c r="A439" i="3"/>
  <c r="B439" i="3"/>
  <c r="J439" i="3"/>
  <c r="K439" i="3"/>
  <c r="L439" i="3"/>
  <c r="W439" i="3" a="1"/>
  <c r="W439" i="3" s="1"/>
  <c r="X439" i="3" a="1"/>
  <c r="X439" i="3" s="1"/>
  <c r="Y439" i="3"/>
  <c r="Z439" i="3"/>
  <c r="AA439" i="3" s="1"/>
  <c r="A440" i="3"/>
  <c r="B440" i="3"/>
  <c r="J440" i="3"/>
  <c r="K440" i="3"/>
  <c r="L440" i="3"/>
  <c r="W440" i="3" a="1"/>
  <c r="W440" i="3" s="1"/>
  <c r="X440" i="3" a="1"/>
  <c r="X440" i="3" s="1"/>
  <c r="Y440" i="3"/>
  <c r="Z440" i="3"/>
  <c r="AA440" i="3" s="1"/>
  <c r="A441" i="3"/>
  <c r="B441" i="3"/>
  <c r="J441" i="3"/>
  <c r="K441" i="3"/>
  <c r="L441" i="3"/>
  <c r="W441" i="3" a="1"/>
  <c r="W441" i="3" s="1"/>
  <c r="X441" i="3" a="1"/>
  <c r="X441" i="3" s="1"/>
  <c r="Y441" i="3"/>
  <c r="Z441" i="3"/>
  <c r="AA441" i="3" s="1"/>
  <c r="A442" i="3"/>
  <c r="B442" i="3"/>
  <c r="J442" i="3"/>
  <c r="K442" i="3"/>
  <c r="L442" i="3"/>
  <c r="W442" i="3" a="1"/>
  <c r="W442" i="3" s="1"/>
  <c r="X442" i="3" a="1"/>
  <c r="X442" i="3" s="1"/>
  <c r="Y442" i="3"/>
  <c r="Z442" i="3"/>
  <c r="AA442" i="3"/>
  <c r="A443" i="3"/>
  <c r="B443" i="3"/>
  <c r="J443" i="3"/>
  <c r="K443" i="3"/>
  <c r="L443" i="3"/>
  <c r="W443" i="3" a="1"/>
  <c r="W443" i="3" s="1"/>
  <c r="X443" i="3" a="1"/>
  <c r="X443" i="3" s="1"/>
  <c r="Y443" i="3"/>
  <c r="Z443" i="3"/>
  <c r="AA443" i="3" s="1"/>
  <c r="A444" i="3"/>
  <c r="B444" i="3"/>
  <c r="J444" i="3"/>
  <c r="K444" i="3"/>
  <c r="L444" i="3"/>
  <c r="W444" i="3" a="1"/>
  <c r="W444" i="3" s="1"/>
  <c r="X444" i="3" a="1"/>
  <c r="X444" i="3" s="1"/>
  <c r="Y444" i="3"/>
  <c r="Z444" i="3"/>
  <c r="AA444" i="3" s="1"/>
  <c r="A445" i="3"/>
  <c r="B445" i="3"/>
  <c r="J445" i="3"/>
  <c r="K445" i="3"/>
  <c r="L445" i="3"/>
  <c r="W445" i="3" a="1"/>
  <c r="W445" i="3" s="1"/>
  <c r="X445" i="3" a="1"/>
  <c r="X445" i="3" s="1"/>
  <c r="Y445" i="3"/>
  <c r="Z445" i="3"/>
  <c r="AA445" i="3" s="1"/>
  <c r="A446" i="3"/>
  <c r="B446" i="3"/>
  <c r="J446" i="3"/>
  <c r="K446" i="3"/>
  <c r="L446" i="3"/>
  <c r="W446" i="3" a="1"/>
  <c r="W446" i="3" s="1"/>
  <c r="X446" i="3" a="1"/>
  <c r="X446" i="3" s="1"/>
  <c r="Y446" i="3"/>
  <c r="Z446" i="3"/>
  <c r="AA446" i="3" s="1"/>
  <c r="A447" i="3"/>
  <c r="B447" i="3"/>
  <c r="J447" i="3"/>
  <c r="K447" i="3"/>
  <c r="L447" i="3"/>
  <c r="W447" i="3" a="1"/>
  <c r="W447" i="3" s="1"/>
  <c r="X447" i="3" a="1"/>
  <c r="X447" i="3" s="1"/>
  <c r="Y447" i="3"/>
  <c r="Z447" i="3"/>
  <c r="AA447" i="3" s="1"/>
  <c r="A448" i="3"/>
  <c r="B448" i="3"/>
  <c r="J448" i="3"/>
  <c r="K448" i="3"/>
  <c r="L448" i="3"/>
  <c r="W448" i="3" a="1"/>
  <c r="W448" i="3" s="1"/>
  <c r="X448" i="3" a="1"/>
  <c r="X448" i="3" s="1"/>
  <c r="Y448" i="3"/>
  <c r="Z448" i="3"/>
  <c r="AA448" i="3" s="1"/>
  <c r="A449" i="3"/>
  <c r="B449" i="3"/>
  <c r="J449" i="3"/>
  <c r="K449" i="3"/>
  <c r="L449" i="3"/>
  <c r="W449" i="3" a="1"/>
  <c r="W449" i="3" s="1"/>
  <c r="X449" i="3" a="1"/>
  <c r="X449" i="3" s="1"/>
  <c r="Y449" i="3"/>
  <c r="Z449" i="3"/>
  <c r="AA449" i="3" s="1"/>
  <c r="A450" i="3"/>
  <c r="B450" i="3"/>
  <c r="J450" i="3"/>
  <c r="K450" i="3"/>
  <c r="L450" i="3"/>
  <c r="W450" i="3" a="1"/>
  <c r="W450" i="3" s="1"/>
  <c r="X450" i="3" a="1"/>
  <c r="X450" i="3" s="1"/>
  <c r="Y450" i="3"/>
  <c r="Z450" i="3"/>
  <c r="AA450" i="3" s="1"/>
  <c r="A451" i="3"/>
  <c r="B451" i="3"/>
  <c r="J451" i="3"/>
  <c r="K451" i="3"/>
  <c r="L451" i="3"/>
  <c r="W451" i="3" a="1"/>
  <c r="W451" i="3" s="1"/>
  <c r="X451" i="3" a="1"/>
  <c r="X451" i="3" s="1"/>
  <c r="Y451" i="3"/>
  <c r="Z451" i="3"/>
  <c r="AA451" i="3" s="1"/>
  <c r="A452" i="3"/>
  <c r="B452" i="3"/>
  <c r="J452" i="3"/>
  <c r="K452" i="3"/>
  <c r="L452" i="3"/>
  <c r="W452" i="3" a="1"/>
  <c r="W452" i="3" s="1"/>
  <c r="X452" i="3" a="1"/>
  <c r="X452" i="3" s="1"/>
  <c r="Y452" i="3"/>
  <c r="Z452" i="3"/>
  <c r="AA452" i="3" s="1"/>
  <c r="A453" i="3"/>
  <c r="B453" i="3"/>
  <c r="J453" i="3"/>
  <c r="K453" i="3"/>
  <c r="L453" i="3"/>
  <c r="W453" i="3" a="1"/>
  <c r="W453" i="3" s="1"/>
  <c r="X453" i="3" a="1"/>
  <c r="X453" i="3" s="1"/>
  <c r="Y453" i="3"/>
  <c r="Z453" i="3"/>
  <c r="AA453" i="3" s="1"/>
  <c r="A454" i="3"/>
  <c r="B454" i="3"/>
  <c r="J454" i="3"/>
  <c r="K454" i="3"/>
  <c r="L454" i="3"/>
  <c r="W454" i="3" a="1"/>
  <c r="W454" i="3" s="1"/>
  <c r="X454" i="3" a="1"/>
  <c r="X454" i="3" s="1"/>
  <c r="Y454" i="3"/>
  <c r="Z454" i="3"/>
  <c r="AA454" i="3" s="1"/>
  <c r="A455" i="3"/>
  <c r="B455" i="3"/>
  <c r="J455" i="3"/>
  <c r="K455" i="3"/>
  <c r="L455" i="3"/>
  <c r="W455" i="3" a="1"/>
  <c r="W455" i="3" s="1"/>
  <c r="X455" i="3" a="1"/>
  <c r="X455" i="3" s="1"/>
  <c r="Y455" i="3"/>
  <c r="Z455" i="3"/>
  <c r="AA455" i="3" s="1"/>
  <c r="A456" i="3"/>
  <c r="B456" i="3"/>
  <c r="J456" i="3"/>
  <c r="K456" i="3"/>
  <c r="L456" i="3"/>
  <c r="W456" i="3" a="1"/>
  <c r="W456" i="3" s="1"/>
  <c r="X456" i="3" a="1"/>
  <c r="X456" i="3" s="1"/>
  <c r="Y456" i="3"/>
  <c r="Z456" i="3"/>
  <c r="AA456" i="3" s="1"/>
  <c r="A457" i="3"/>
  <c r="B457" i="3"/>
  <c r="J457" i="3"/>
  <c r="K457" i="3"/>
  <c r="L457" i="3"/>
  <c r="W457" i="3" a="1"/>
  <c r="W457" i="3" s="1"/>
  <c r="X457" i="3" a="1"/>
  <c r="X457" i="3" s="1"/>
  <c r="Y457" i="3"/>
  <c r="Z457" i="3"/>
  <c r="AA457" i="3" s="1"/>
  <c r="A458" i="3"/>
  <c r="B458" i="3"/>
  <c r="J458" i="3"/>
  <c r="K458" i="3"/>
  <c r="L458" i="3"/>
  <c r="W458" i="3" a="1"/>
  <c r="W458" i="3" s="1"/>
  <c r="X458" i="3" a="1"/>
  <c r="X458" i="3" s="1"/>
  <c r="Y458" i="3"/>
  <c r="Z458" i="3"/>
  <c r="AA458" i="3"/>
  <c r="A459" i="3"/>
  <c r="B459" i="3"/>
  <c r="J459" i="3"/>
  <c r="K459" i="3"/>
  <c r="L459" i="3"/>
  <c r="W459" i="3" a="1"/>
  <c r="W459" i="3" s="1"/>
  <c r="X459" i="3" a="1"/>
  <c r="X459" i="3" s="1"/>
  <c r="Y459" i="3"/>
  <c r="Z459" i="3"/>
  <c r="AA459" i="3"/>
  <c r="A460" i="3"/>
  <c r="B460" i="3"/>
  <c r="J460" i="3"/>
  <c r="K460" i="3"/>
  <c r="L460" i="3"/>
  <c r="W460" i="3" a="1"/>
  <c r="W460" i="3" s="1"/>
  <c r="X460" i="3" a="1"/>
  <c r="X460" i="3" s="1"/>
  <c r="Y460" i="3"/>
  <c r="Z460" i="3"/>
  <c r="AA460" i="3" s="1"/>
  <c r="A461" i="3"/>
  <c r="B461" i="3"/>
  <c r="J461" i="3"/>
  <c r="K461" i="3"/>
  <c r="L461" i="3"/>
  <c r="W461" i="3" a="1"/>
  <c r="W461" i="3" s="1"/>
  <c r="X461" i="3" a="1"/>
  <c r="X461" i="3" s="1"/>
  <c r="Y461" i="3"/>
  <c r="Z461" i="3"/>
  <c r="AA461" i="3" s="1"/>
  <c r="A462" i="3"/>
  <c r="B462" i="3"/>
  <c r="J462" i="3"/>
  <c r="K462" i="3"/>
  <c r="L462" i="3"/>
  <c r="W462" i="3" a="1"/>
  <c r="W462" i="3" s="1"/>
  <c r="X462" i="3" a="1"/>
  <c r="X462" i="3" s="1"/>
  <c r="Y462" i="3"/>
  <c r="Z462" i="3"/>
  <c r="AA462" i="3" s="1"/>
  <c r="A463" i="3"/>
  <c r="B463" i="3"/>
  <c r="J463" i="3"/>
  <c r="K463" i="3"/>
  <c r="L463" i="3"/>
  <c r="W463" i="3" a="1"/>
  <c r="W463" i="3" s="1"/>
  <c r="X463" i="3" a="1"/>
  <c r="X463" i="3" s="1"/>
  <c r="Y463" i="3"/>
  <c r="Z463" i="3"/>
  <c r="AA463" i="3" s="1"/>
  <c r="A464" i="3"/>
  <c r="B464" i="3"/>
  <c r="J464" i="3"/>
  <c r="K464" i="3"/>
  <c r="L464" i="3"/>
  <c r="W464" i="3" a="1"/>
  <c r="W464" i="3" s="1"/>
  <c r="X464" i="3" a="1"/>
  <c r="X464" i="3" s="1"/>
  <c r="Y464" i="3"/>
  <c r="Z464" i="3"/>
  <c r="AA464" i="3"/>
  <c r="A465" i="3"/>
  <c r="B465" i="3"/>
  <c r="J465" i="3"/>
  <c r="K465" i="3"/>
  <c r="L465" i="3"/>
  <c r="W465" i="3" a="1"/>
  <c r="W465" i="3" s="1"/>
  <c r="X465" i="3" a="1"/>
  <c r="X465" i="3" s="1"/>
  <c r="Y465" i="3"/>
  <c r="Z465" i="3"/>
  <c r="AA465" i="3" s="1"/>
  <c r="A466" i="3"/>
  <c r="B466" i="3"/>
  <c r="J466" i="3"/>
  <c r="K466" i="3"/>
  <c r="L466" i="3"/>
  <c r="W466" i="3" a="1"/>
  <c r="W466" i="3" s="1"/>
  <c r="X466" i="3" a="1"/>
  <c r="X466" i="3" s="1"/>
  <c r="Y466" i="3"/>
  <c r="Z466" i="3"/>
  <c r="AA466" i="3" s="1"/>
  <c r="A467" i="3"/>
  <c r="B467" i="3"/>
  <c r="J467" i="3"/>
  <c r="K467" i="3"/>
  <c r="L467" i="3"/>
  <c r="W467" i="3" a="1"/>
  <c r="W467" i="3" s="1"/>
  <c r="X467" i="3" a="1"/>
  <c r="X467" i="3" s="1"/>
  <c r="Y467" i="3"/>
  <c r="Z467" i="3"/>
  <c r="AA467" i="3" s="1"/>
  <c r="A468" i="3"/>
  <c r="B468" i="3"/>
  <c r="J468" i="3"/>
  <c r="K468" i="3"/>
  <c r="L468" i="3"/>
  <c r="W468" i="3" a="1"/>
  <c r="W468" i="3" s="1"/>
  <c r="X468" i="3" a="1"/>
  <c r="X468" i="3" s="1"/>
  <c r="Y468" i="3"/>
  <c r="Z468" i="3"/>
  <c r="AA468" i="3" s="1"/>
  <c r="A469" i="3"/>
  <c r="B469" i="3"/>
  <c r="J469" i="3"/>
  <c r="K469" i="3"/>
  <c r="L469" i="3"/>
  <c r="W469" i="3" a="1"/>
  <c r="W469" i="3" s="1"/>
  <c r="X469" i="3" a="1"/>
  <c r="X469" i="3" s="1"/>
  <c r="Y469" i="3"/>
  <c r="Z469" i="3"/>
  <c r="AA469" i="3" s="1"/>
  <c r="A470" i="3"/>
  <c r="B470" i="3"/>
  <c r="J470" i="3"/>
  <c r="K470" i="3"/>
  <c r="L470" i="3"/>
  <c r="W470" i="3" a="1"/>
  <c r="W470" i="3" s="1"/>
  <c r="X470" i="3" a="1"/>
  <c r="X470" i="3" s="1"/>
  <c r="Y470" i="3"/>
  <c r="Z470" i="3"/>
  <c r="AA470" i="3"/>
  <c r="A471" i="3"/>
  <c r="B471" i="3"/>
  <c r="J471" i="3"/>
  <c r="K471" i="3"/>
  <c r="L471" i="3"/>
  <c r="W471" i="3" a="1"/>
  <c r="W471" i="3" s="1"/>
  <c r="X471" i="3" a="1"/>
  <c r="X471" i="3" s="1"/>
  <c r="Y471" i="3"/>
  <c r="Z471" i="3"/>
  <c r="AA471" i="3" s="1"/>
  <c r="A472" i="3"/>
  <c r="B472" i="3"/>
  <c r="J472" i="3"/>
  <c r="K472" i="3"/>
  <c r="L472" i="3"/>
  <c r="W472" i="3" a="1"/>
  <c r="W472" i="3" s="1"/>
  <c r="X472" i="3" a="1"/>
  <c r="X472" i="3" s="1"/>
  <c r="Y472" i="3"/>
  <c r="Z472" i="3"/>
  <c r="AA472" i="3" s="1"/>
  <c r="A473" i="3"/>
  <c r="B473" i="3"/>
  <c r="J473" i="3"/>
  <c r="K473" i="3"/>
  <c r="L473" i="3"/>
  <c r="W473" i="3" a="1"/>
  <c r="W473" i="3" s="1"/>
  <c r="X473" i="3" a="1"/>
  <c r="X473" i="3" s="1"/>
  <c r="Y473" i="3"/>
  <c r="Z473" i="3"/>
  <c r="AA473" i="3" s="1"/>
  <c r="A474" i="3"/>
  <c r="B474" i="3"/>
  <c r="J474" i="3"/>
  <c r="K474" i="3"/>
  <c r="L474" i="3"/>
  <c r="W474" i="3" a="1"/>
  <c r="W474" i="3" s="1"/>
  <c r="X474" i="3" a="1"/>
  <c r="X474" i="3" s="1"/>
  <c r="Y474" i="3"/>
  <c r="Z474" i="3"/>
  <c r="AA474" i="3"/>
  <c r="A475" i="3"/>
  <c r="B475" i="3"/>
  <c r="J475" i="3"/>
  <c r="K475" i="3"/>
  <c r="L475" i="3"/>
  <c r="W475" i="3" a="1"/>
  <c r="W475" i="3" s="1"/>
  <c r="X475" i="3" a="1"/>
  <c r="X475" i="3" s="1"/>
  <c r="Y475" i="3"/>
  <c r="Z475" i="3"/>
  <c r="AA475" i="3"/>
  <c r="A476" i="3"/>
  <c r="B476" i="3"/>
  <c r="J476" i="3"/>
  <c r="K476" i="3"/>
  <c r="L476" i="3"/>
  <c r="W476" i="3" a="1"/>
  <c r="W476" i="3" s="1"/>
  <c r="X476" i="3" a="1"/>
  <c r="X476" i="3" s="1"/>
  <c r="Y476" i="3"/>
  <c r="Z476" i="3"/>
  <c r="AA476" i="3" s="1"/>
  <c r="A477" i="3"/>
  <c r="B477" i="3"/>
  <c r="J477" i="3"/>
  <c r="K477" i="3"/>
  <c r="L477" i="3"/>
  <c r="W477" i="3" a="1"/>
  <c r="W477" i="3" s="1"/>
  <c r="X477" i="3" a="1"/>
  <c r="X477" i="3" s="1"/>
  <c r="Y477" i="3"/>
  <c r="Z477" i="3"/>
  <c r="AA477" i="3" s="1"/>
  <c r="A478" i="3"/>
  <c r="B478" i="3"/>
  <c r="J478" i="3"/>
  <c r="K478" i="3"/>
  <c r="L478" i="3"/>
  <c r="W478" i="3" a="1"/>
  <c r="W478" i="3" s="1"/>
  <c r="X478" i="3" a="1"/>
  <c r="X478" i="3" s="1"/>
  <c r="Y478" i="3"/>
  <c r="Z478" i="3"/>
  <c r="AA478" i="3" s="1"/>
  <c r="A479" i="3"/>
  <c r="B479" i="3"/>
  <c r="J479" i="3"/>
  <c r="K479" i="3"/>
  <c r="L479" i="3"/>
  <c r="W479" i="3" a="1"/>
  <c r="W479" i="3" s="1"/>
  <c r="X479" i="3" a="1"/>
  <c r="X479" i="3" s="1"/>
  <c r="Y479" i="3"/>
  <c r="Z479" i="3"/>
  <c r="AA479" i="3"/>
  <c r="A480" i="3"/>
  <c r="B480" i="3"/>
  <c r="J480" i="3"/>
  <c r="K480" i="3"/>
  <c r="L480" i="3"/>
  <c r="W480" i="3" a="1"/>
  <c r="W480" i="3" s="1"/>
  <c r="X480" i="3" a="1"/>
  <c r="X480" i="3" s="1"/>
  <c r="Y480" i="3"/>
  <c r="Z480" i="3"/>
  <c r="AA480" i="3" s="1"/>
  <c r="A481" i="3"/>
  <c r="B481" i="3"/>
  <c r="J481" i="3"/>
  <c r="K481" i="3"/>
  <c r="L481" i="3"/>
  <c r="W481" i="3" a="1"/>
  <c r="W481" i="3" s="1"/>
  <c r="X481" i="3" a="1"/>
  <c r="X481" i="3" s="1"/>
  <c r="Y481" i="3"/>
  <c r="Z481" i="3"/>
  <c r="AA481" i="3" s="1"/>
  <c r="A482" i="3"/>
  <c r="B482" i="3"/>
  <c r="J482" i="3"/>
  <c r="K482" i="3"/>
  <c r="L482" i="3"/>
  <c r="W482" i="3" a="1"/>
  <c r="W482" i="3" s="1"/>
  <c r="X482" i="3" a="1"/>
  <c r="X482" i="3" s="1"/>
  <c r="Y482" i="3"/>
  <c r="Z482" i="3"/>
  <c r="AA482" i="3" s="1"/>
  <c r="A483" i="3"/>
  <c r="B483" i="3"/>
  <c r="J483" i="3"/>
  <c r="K483" i="3"/>
  <c r="L483" i="3"/>
  <c r="W483" i="3" a="1"/>
  <c r="W483" i="3" s="1"/>
  <c r="X483" i="3" a="1"/>
  <c r="X483" i="3" s="1"/>
  <c r="Y483" i="3"/>
  <c r="Z483" i="3"/>
  <c r="AA483" i="3" s="1"/>
  <c r="A484" i="3"/>
  <c r="B484" i="3"/>
  <c r="J484" i="3"/>
  <c r="K484" i="3"/>
  <c r="L484" i="3"/>
  <c r="W484" i="3" a="1"/>
  <c r="W484" i="3" s="1"/>
  <c r="X484" i="3" a="1"/>
  <c r="X484" i="3" s="1"/>
  <c r="Y484" i="3"/>
  <c r="Z484" i="3"/>
  <c r="AA484" i="3" s="1"/>
  <c r="A485" i="3"/>
  <c r="B485" i="3"/>
  <c r="J485" i="3"/>
  <c r="K485" i="3"/>
  <c r="L485" i="3"/>
  <c r="W485" i="3" a="1"/>
  <c r="W485" i="3" s="1"/>
  <c r="X485" i="3" a="1"/>
  <c r="X485" i="3" s="1"/>
  <c r="Y485" i="3"/>
  <c r="Z485" i="3"/>
  <c r="AA485" i="3" s="1"/>
  <c r="A486" i="3"/>
  <c r="B486" i="3"/>
  <c r="J486" i="3"/>
  <c r="K486" i="3"/>
  <c r="L486" i="3"/>
  <c r="W486" i="3" a="1"/>
  <c r="W486" i="3" s="1"/>
  <c r="X486" i="3" a="1"/>
  <c r="X486" i="3" s="1"/>
  <c r="Y486" i="3"/>
  <c r="Z486" i="3"/>
  <c r="AA486" i="3" s="1"/>
  <c r="A487" i="3"/>
  <c r="B487" i="3"/>
  <c r="J487" i="3"/>
  <c r="K487" i="3"/>
  <c r="L487" i="3"/>
  <c r="W487" i="3" a="1"/>
  <c r="W487" i="3" s="1"/>
  <c r="X487" i="3" a="1"/>
  <c r="X487" i="3" s="1"/>
  <c r="Y487" i="3"/>
  <c r="Z487" i="3"/>
  <c r="AA487" i="3" s="1"/>
  <c r="A488" i="3"/>
  <c r="B488" i="3"/>
  <c r="J488" i="3"/>
  <c r="K488" i="3"/>
  <c r="L488" i="3"/>
  <c r="W488" i="3" a="1"/>
  <c r="W488" i="3" s="1"/>
  <c r="X488" i="3" a="1"/>
  <c r="X488" i="3" s="1"/>
  <c r="Y488" i="3"/>
  <c r="Z488" i="3"/>
  <c r="AA488" i="3" s="1"/>
  <c r="A489" i="3"/>
  <c r="B489" i="3"/>
  <c r="J489" i="3"/>
  <c r="K489" i="3"/>
  <c r="L489" i="3"/>
  <c r="W489" i="3" a="1"/>
  <c r="W489" i="3" s="1"/>
  <c r="X489" i="3" a="1"/>
  <c r="X489" i="3" s="1"/>
  <c r="Y489" i="3"/>
  <c r="Z489" i="3"/>
  <c r="AA489" i="3" s="1"/>
  <c r="A490" i="3"/>
  <c r="B490" i="3"/>
  <c r="J490" i="3"/>
  <c r="K490" i="3"/>
  <c r="L490" i="3"/>
  <c r="W490" i="3" a="1"/>
  <c r="W490" i="3" s="1"/>
  <c r="X490" i="3" a="1"/>
  <c r="X490" i="3" s="1"/>
  <c r="Y490" i="3"/>
  <c r="Z490" i="3"/>
  <c r="AA490" i="3" s="1"/>
  <c r="A491" i="3"/>
  <c r="B491" i="3"/>
  <c r="J491" i="3"/>
  <c r="K491" i="3"/>
  <c r="L491" i="3"/>
  <c r="W491" i="3" a="1"/>
  <c r="W491" i="3" s="1"/>
  <c r="X491" i="3" a="1"/>
  <c r="X491" i="3" s="1"/>
  <c r="Y491" i="3"/>
  <c r="Z491" i="3"/>
  <c r="AA491" i="3" s="1"/>
  <c r="A492" i="3"/>
  <c r="B492" i="3"/>
  <c r="J492" i="3"/>
  <c r="K492" i="3"/>
  <c r="L492" i="3"/>
  <c r="W492" i="3" a="1"/>
  <c r="W492" i="3" s="1"/>
  <c r="X492" i="3" a="1"/>
  <c r="X492" i="3" s="1"/>
  <c r="Y492" i="3"/>
  <c r="Z492" i="3"/>
  <c r="AA492" i="3" s="1"/>
  <c r="A493" i="3"/>
  <c r="B493" i="3"/>
  <c r="J493" i="3"/>
  <c r="K493" i="3"/>
  <c r="L493" i="3"/>
  <c r="W493" i="3" a="1"/>
  <c r="W493" i="3" s="1"/>
  <c r="X493" i="3" a="1"/>
  <c r="X493" i="3" s="1"/>
  <c r="Y493" i="3"/>
  <c r="Z493" i="3"/>
  <c r="AA493" i="3" s="1"/>
  <c r="A494" i="3"/>
  <c r="B494" i="3"/>
  <c r="J494" i="3"/>
  <c r="K494" i="3"/>
  <c r="L494" i="3"/>
  <c r="W494" i="3" a="1"/>
  <c r="W494" i="3" s="1"/>
  <c r="X494" i="3" a="1"/>
  <c r="X494" i="3" s="1"/>
  <c r="Y494" i="3"/>
  <c r="Z494" i="3"/>
  <c r="AA494" i="3" s="1"/>
  <c r="A495" i="3"/>
  <c r="B495" i="3"/>
  <c r="J495" i="3"/>
  <c r="K495" i="3"/>
  <c r="L495" i="3"/>
  <c r="W495" i="3" a="1"/>
  <c r="W495" i="3" s="1"/>
  <c r="X495" i="3" a="1"/>
  <c r="X495" i="3" s="1"/>
  <c r="Y495" i="3"/>
  <c r="Z495" i="3"/>
  <c r="AA495" i="3" s="1"/>
  <c r="A496" i="3"/>
  <c r="B496" i="3"/>
  <c r="J496" i="3"/>
  <c r="K496" i="3"/>
  <c r="L496" i="3"/>
  <c r="W496" i="3" a="1"/>
  <c r="W496" i="3" s="1"/>
  <c r="X496" i="3" a="1"/>
  <c r="X496" i="3" s="1"/>
  <c r="Y496" i="3"/>
  <c r="Z496" i="3"/>
  <c r="AA496" i="3" s="1"/>
  <c r="A497" i="3"/>
  <c r="B497" i="3"/>
  <c r="J497" i="3"/>
  <c r="K497" i="3"/>
  <c r="L497" i="3"/>
  <c r="W497" i="3" a="1"/>
  <c r="W497" i="3" s="1"/>
  <c r="X497" i="3" a="1"/>
  <c r="X497" i="3" s="1"/>
  <c r="Y497" i="3"/>
  <c r="Z497" i="3"/>
  <c r="AA497" i="3"/>
  <c r="A498" i="3"/>
  <c r="B498" i="3"/>
  <c r="J498" i="3"/>
  <c r="K498" i="3"/>
  <c r="L498" i="3"/>
  <c r="W498" i="3" a="1"/>
  <c r="W498" i="3" s="1"/>
  <c r="X498" i="3" a="1"/>
  <c r="X498" i="3" s="1"/>
  <c r="Y498" i="3"/>
  <c r="Z498" i="3"/>
  <c r="AA498" i="3" s="1"/>
  <c r="A499" i="3"/>
  <c r="B499" i="3"/>
  <c r="J499" i="3"/>
  <c r="K499" i="3"/>
  <c r="L499" i="3"/>
  <c r="W499" i="3" a="1"/>
  <c r="W499" i="3" s="1"/>
  <c r="X499" i="3" a="1"/>
  <c r="X499" i="3" s="1"/>
  <c r="Y499" i="3"/>
  <c r="Z499" i="3"/>
  <c r="AA499" i="3" s="1"/>
  <c r="A500" i="3"/>
  <c r="B500" i="3"/>
  <c r="J500" i="3"/>
  <c r="K500" i="3"/>
  <c r="L500" i="3"/>
  <c r="W500" i="3" a="1"/>
  <c r="W500" i="3" s="1"/>
  <c r="X500" i="3" a="1"/>
  <c r="X500" i="3" s="1"/>
  <c r="Y500" i="3"/>
  <c r="Z500" i="3"/>
  <c r="AA500" i="3"/>
  <c r="A501" i="3"/>
  <c r="B501" i="3"/>
  <c r="J501" i="3"/>
  <c r="K501" i="3"/>
  <c r="L501" i="3"/>
  <c r="W501" i="3" a="1"/>
  <c r="W501" i="3" s="1"/>
  <c r="X501" i="3" a="1"/>
  <c r="X501" i="3" s="1"/>
  <c r="Y501" i="3"/>
  <c r="Z501" i="3"/>
  <c r="AA501" i="3" s="1"/>
  <c r="A502" i="3"/>
  <c r="B502" i="3"/>
  <c r="J502" i="3"/>
  <c r="K502" i="3"/>
  <c r="L502" i="3"/>
  <c r="W502" i="3" a="1"/>
  <c r="W502" i="3" s="1"/>
  <c r="X502" i="3" a="1"/>
  <c r="X502" i="3" s="1"/>
  <c r="Y502" i="3"/>
  <c r="Z502" i="3"/>
  <c r="AA502" i="3" s="1"/>
  <c r="A503" i="3"/>
  <c r="B503" i="3"/>
  <c r="J503" i="3"/>
  <c r="K503" i="3"/>
  <c r="L503" i="3"/>
  <c r="W503" i="3" a="1"/>
  <c r="W503" i="3" s="1"/>
  <c r="X503" i="3" a="1"/>
  <c r="X503" i="3" s="1"/>
  <c r="Y503" i="3"/>
  <c r="Z503" i="3"/>
  <c r="AA503" i="3" s="1"/>
  <c r="A504" i="3"/>
  <c r="B504" i="3"/>
  <c r="J504" i="3"/>
  <c r="K504" i="3"/>
  <c r="L504" i="3"/>
  <c r="W504" i="3" a="1"/>
  <c r="W504" i="3" s="1"/>
  <c r="X504" i="3" a="1"/>
  <c r="X504" i="3" s="1"/>
  <c r="Y504" i="3"/>
  <c r="Z504" i="3"/>
  <c r="AA504" i="3" s="1"/>
  <c r="A505" i="3"/>
  <c r="B505" i="3"/>
  <c r="J505" i="3"/>
  <c r="K505" i="3"/>
  <c r="L505" i="3"/>
  <c r="W505" i="3" a="1"/>
  <c r="W505" i="3" s="1"/>
  <c r="X505" i="3" a="1"/>
  <c r="X505" i="3" s="1"/>
  <c r="Y505" i="3"/>
  <c r="Z505" i="3"/>
  <c r="AA505" i="3" s="1"/>
  <c r="A506" i="3"/>
  <c r="B506" i="3"/>
  <c r="J506" i="3"/>
  <c r="K506" i="3"/>
  <c r="L506" i="3"/>
  <c r="W506" i="3" a="1"/>
  <c r="W506" i="3" s="1"/>
  <c r="X506" i="3" a="1"/>
  <c r="X506" i="3" s="1"/>
  <c r="Y506" i="3"/>
  <c r="Z506" i="3"/>
  <c r="AA506" i="3" s="1"/>
  <c r="A507" i="3"/>
  <c r="B507" i="3"/>
  <c r="J507" i="3"/>
  <c r="K507" i="3"/>
  <c r="L507" i="3"/>
  <c r="W507" i="3" a="1"/>
  <c r="W507" i="3" s="1"/>
  <c r="X507" i="3" a="1"/>
  <c r="X507" i="3" s="1"/>
  <c r="Y507" i="3"/>
  <c r="Z507" i="3"/>
  <c r="AA507" i="3"/>
  <c r="A508" i="3"/>
  <c r="B508" i="3"/>
  <c r="J508" i="3"/>
  <c r="K508" i="3"/>
  <c r="L508" i="3"/>
  <c r="W508" i="3" a="1"/>
  <c r="W508" i="3" s="1"/>
  <c r="X508" i="3" a="1"/>
  <c r="X508" i="3" s="1"/>
  <c r="Y508" i="3"/>
  <c r="Z508" i="3"/>
  <c r="AA508" i="3" s="1"/>
  <c r="A509" i="3"/>
  <c r="B509" i="3"/>
  <c r="J509" i="3"/>
  <c r="K509" i="3"/>
  <c r="L509" i="3"/>
  <c r="W509" i="3" a="1"/>
  <c r="W509" i="3" s="1"/>
  <c r="X509" i="3" a="1"/>
  <c r="X509" i="3" s="1"/>
  <c r="Y509" i="3"/>
  <c r="Z509" i="3"/>
  <c r="AA509" i="3" s="1"/>
  <c r="A510" i="3"/>
  <c r="B510" i="3"/>
  <c r="J510" i="3"/>
  <c r="K510" i="3"/>
  <c r="L510" i="3"/>
  <c r="W510" i="3" a="1"/>
  <c r="W510" i="3" s="1"/>
  <c r="X510" i="3" a="1"/>
  <c r="X510" i="3" s="1"/>
  <c r="Y510" i="3"/>
  <c r="Z510" i="3"/>
  <c r="AA510" i="3" s="1"/>
  <c r="A511" i="3"/>
  <c r="B511" i="3"/>
  <c r="J511" i="3"/>
  <c r="K511" i="3"/>
  <c r="L511" i="3"/>
  <c r="W511" i="3" a="1"/>
  <c r="W511" i="3" s="1"/>
  <c r="X511" i="3" a="1"/>
  <c r="X511" i="3" s="1"/>
  <c r="Y511" i="3"/>
  <c r="Z511" i="3"/>
  <c r="AA511" i="3"/>
  <c r="A512" i="3"/>
  <c r="B512" i="3"/>
  <c r="J512" i="3"/>
  <c r="K512" i="3"/>
  <c r="L512" i="3"/>
  <c r="W512" i="3" a="1"/>
  <c r="W512" i="3" s="1"/>
  <c r="X512" i="3" a="1"/>
  <c r="X512" i="3" s="1"/>
  <c r="Y512" i="3"/>
  <c r="Z512" i="3"/>
  <c r="AA512" i="3" s="1"/>
  <c r="A513" i="3"/>
  <c r="B513" i="3"/>
  <c r="J513" i="3"/>
  <c r="K513" i="3"/>
  <c r="L513" i="3"/>
  <c r="W513" i="3" a="1"/>
  <c r="W513" i="3" s="1"/>
  <c r="X513" i="3" a="1"/>
  <c r="X513" i="3" s="1"/>
  <c r="Y513" i="3"/>
  <c r="Z513" i="3"/>
  <c r="AA513" i="3" s="1"/>
  <c r="A514" i="3"/>
  <c r="B514" i="3"/>
  <c r="J514" i="3"/>
  <c r="K514" i="3"/>
  <c r="L514" i="3"/>
  <c r="W514" i="3" a="1"/>
  <c r="W514" i="3" s="1"/>
  <c r="X514" i="3" a="1"/>
  <c r="X514" i="3" s="1"/>
  <c r="Y514" i="3"/>
  <c r="Z514" i="3"/>
  <c r="AA514" i="3" s="1"/>
  <c r="A515" i="3"/>
  <c r="B515" i="3"/>
  <c r="J515" i="3"/>
  <c r="K515" i="3"/>
  <c r="L515" i="3"/>
  <c r="W515" i="3" a="1"/>
  <c r="W515" i="3" s="1"/>
  <c r="X515" i="3" a="1"/>
  <c r="X515" i="3" s="1"/>
  <c r="Y515" i="3"/>
  <c r="Z515" i="3"/>
  <c r="AA515" i="3" s="1"/>
  <c r="A516" i="3"/>
  <c r="B516" i="3"/>
  <c r="J516" i="3"/>
  <c r="K516" i="3"/>
  <c r="L516" i="3"/>
  <c r="W516" i="3" a="1"/>
  <c r="W516" i="3" s="1"/>
  <c r="X516" i="3" a="1"/>
  <c r="X516" i="3" s="1"/>
  <c r="Y516" i="3"/>
  <c r="Z516" i="3"/>
  <c r="AA516" i="3" s="1"/>
  <c r="A517" i="3"/>
  <c r="B517" i="3"/>
  <c r="J517" i="3"/>
  <c r="K517" i="3"/>
  <c r="L517" i="3"/>
  <c r="W517" i="3" a="1"/>
  <c r="W517" i="3" s="1"/>
  <c r="X517" i="3" a="1"/>
  <c r="X517" i="3" s="1"/>
  <c r="Y517" i="3"/>
  <c r="Z517" i="3"/>
  <c r="AA517" i="3" s="1"/>
  <c r="A518" i="3"/>
  <c r="B518" i="3"/>
  <c r="J518" i="3"/>
  <c r="K518" i="3"/>
  <c r="L518" i="3"/>
  <c r="W518" i="3" a="1"/>
  <c r="W518" i="3" s="1"/>
  <c r="X518" i="3" a="1"/>
  <c r="X518" i="3" s="1"/>
  <c r="Y518" i="3"/>
  <c r="Z518" i="3"/>
  <c r="AA518" i="3" s="1"/>
  <c r="A519" i="3"/>
  <c r="B519" i="3"/>
  <c r="J519" i="3"/>
  <c r="K519" i="3"/>
  <c r="L519" i="3"/>
  <c r="W519" i="3" a="1"/>
  <c r="W519" i="3" s="1"/>
  <c r="X519" i="3" a="1"/>
  <c r="X519" i="3" s="1"/>
  <c r="Y519" i="3"/>
  <c r="Z519" i="3"/>
  <c r="AA519" i="3" s="1"/>
  <c r="A520" i="3"/>
  <c r="B520" i="3"/>
  <c r="J520" i="3"/>
  <c r="K520" i="3"/>
  <c r="L520" i="3"/>
  <c r="W520" i="3" a="1"/>
  <c r="W520" i="3" s="1"/>
  <c r="X520" i="3" a="1"/>
  <c r="X520" i="3" s="1"/>
  <c r="Y520" i="3"/>
  <c r="Z520" i="3"/>
  <c r="AA520" i="3" s="1"/>
  <c r="A521" i="3"/>
  <c r="B521" i="3"/>
  <c r="J521" i="3"/>
  <c r="K521" i="3"/>
  <c r="L521" i="3"/>
  <c r="W521" i="3" a="1"/>
  <c r="W521" i="3" s="1"/>
  <c r="X521" i="3" a="1"/>
  <c r="X521" i="3" s="1"/>
  <c r="Y521" i="3"/>
  <c r="Z521" i="3"/>
  <c r="AA521" i="3" s="1"/>
  <c r="A522" i="3"/>
  <c r="B522" i="3"/>
  <c r="J522" i="3"/>
  <c r="K522" i="3"/>
  <c r="L522" i="3"/>
  <c r="W522" i="3" a="1"/>
  <c r="W522" i="3" s="1"/>
  <c r="X522" i="3" a="1"/>
  <c r="X522" i="3" s="1"/>
  <c r="Y522" i="3"/>
  <c r="Z522" i="3"/>
  <c r="AA522" i="3" s="1"/>
  <c r="A523" i="3"/>
  <c r="B523" i="3"/>
  <c r="J523" i="3"/>
  <c r="K523" i="3"/>
  <c r="L523" i="3"/>
  <c r="W523" i="3" a="1"/>
  <c r="W523" i="3" s="1"/>
  <c r="X523" i="3" a="1"/>
  <c r="X523" i="3" s="1"/>
  <c r="Y523" i="3"/>
  <c r="Z523" i="3"/>
  <c r="AA523" i="3" s="1"/>
  <c r="A524" i="3"/>
  <c r="B524" i="3"/>
  <c r="J524" i="3"/>
  <c r="K524" i="3"/>
  <c r="L524" i="3"/>
  <c r="W524" i="3" a="1"/>
  <c r="W524" i="3" s="1"/>
  <c r="X524" i="3" a="1"/>
  <c r="X524" i="3" s="1"/>
  <c r="Y524" i="3"/>
  <c r="Z524" i="3"/>
  <c r="AA524" i="3" s="1"/>
  <c r="A525" i="3"/>
  <c r="B525" i="3"/>
  <c r="J525" i="3"/>
  <c r="K525" i="3"/>
  <c r="L525" i="3"/>
  <c r="W525" i="3" a="1"/>
  <c r="W525" i="3" s="1"/>
  <c r="X525" i="3" a="1"/>
  <c r="X525" i="3" s="1"/>
  <c r="Y525" i="3"/>
  <c r="Z525" i="3"/>
  <c r="AA525" i="3" s="1"/>
  <c r="A526" i="3"/>
  <c r="B526" i="3"/>
  <c r="J526" i="3"/>
  <c r="K526" i="3"/>
  <c r="L526" i="3"/>
  <c r="W526" i="3" a="1"/>
  <c r="W526" i="3" s="1"/>
  <c r="X526" i="3" a="1"/>
  <c r="X526" i="3" s="1"/>
  <c r="Y526" i="3"/>
  <c r="Z526" i="3"/>
  <c r="AA526" i="3" s="1"/>
  <c r="A527" i="3"/>
  <c r="B527" i="3"/>
  <c r="J527" i="3"/>
  <c r="K527" i="3"/>
  <c r="L527" i="3"/>
  <c r="W527" i="3" a="1"/>
  <c r="W527" i="3" s="1"/>
  <c r="X527" i="3" a="1"/>
  <c r="X527" i="3" s="1"/>
  <c r="Y527" i="3"/>
  <c r="Z527" i="3"/>
  <c r="AA527" i="3" s="1"/>
  <c r="A528" i="3"/>
  <c r="B528" i="3"/>
  <c r="J528" i="3"/>
  <c r="K528" i="3"/>
  <c r="L528" i="3"/>
  <c r="W528" i="3" a="1"/>
  <c r="W528" i="3" s="1"/>
  <c r="X528" i="3" a="1"/>
  <c r="X528" i="3" s="1"/>
  <c r="Y528" i="3"/>
  <c r="Z528" i="3"/>
  <c r="AA528" i="3" s="1"/>
  <c r="A529" i="3"/>
  <c r="B529" i="3"/>
  <c r="J529" i="3"/>
  <c r="K529" i="3"/>
  <c r="L529" i="3"/>
  <c r="W529" i="3" a="1"/>
  <c r="W529" i="3" s="1"/>
  <c r="X529" i="3" a="1"/>
  <c r="X529" i="3" s="1"/>
  <c r="Y529" i="3"/>
  <c r="Z529" i="3"/>
  <c r="AA529" i="3"/>
  <c r="A530" i="3"/>
  <c r="B530" i="3"/>
  <c r="J530" i="3"/>
  <c r="K530" i="3"/>
  <c r="L530" i="3"/>
  <c r="W530" i="3" a="1"/>
  <c r="W530" i="3" s="1"/>
  <c r="X530" i="3" a="1"/>
  <c r="X530" i="3" s="1"/>
  <c r="Y530" i="3"/>
  <c r="Z530" i="3"/>
  <c r="AA530" i="3" s="1"/>
  <c r="A531" i="3"/>
  <c r="B531" i="3"/>
  <c r="J531" i="3"/>
  <c r="K531" i="3"/>
  <c r="L531" i="3"/>
  <c r="W531" i="3" a="1"/>
  <c r="W531" i="3" s="1"/>
  <c r="X531" i="3" a="1"/>
  <c r="X531" i="3" s="1"/>
  <c r="Y531" i="3"/>
  <c r="Z531" i="3"/>
  <c r="AA531" i="3" s="1"/>
  <c r="A532" i="3"/>
  <c r="B532" i="3"/>
  <c r="J532" i="3"/>
  <c r="K532" i="3"/>
  <c r="L532" i="3"/>
  <c r="W532" i="3" a="1"/>
  <c r="W532" i="3" s="1"/>
  <c r="X532" i="3" a="1"/>
  <c r="X532" i="3" s="1"/>
  <c r="Y532" i="3"/>
  <c r="Z532" i="3"/>
  <c r="AA532" i="3" s="1"/>
  <c r="A533" i="3"/>
  <c r="B533" i="3"/>
  <c r="J533" i="3"/>
  <c r="K533" i="3"/>
  <c r="L533" i="3"/>
  <c r="W533" i="3" a="1"/>
  <c r="W533" i="3" s="1"/>
  <c r="X533" i="3" a="1"/>
  <c r="X533" i="3" s="1"/>
  <c r="Y533" i="3"/>
  <c r="Z533" i="3"/>
  <c r="AA533" i="3" s="1"/>
  <c r="A534" i="3"/>
  <c r="B534" i="3"/>
  <c r="J534" i="3"/>
  <c r="K534" i="3"/>
  <c r="L534" i="3"/>
  <c r="W534" i="3" a="1"/>
  <c r="W534" i="3" s="1"/>
  <c r="X534" i="3" a="1"/>
  <c r="X534" i="3" s="1"/>
  <c r="Y534" i="3"/>
  <c r="Z534" i="3"/>
  <c r="AA534" i="3" s="1"/>
  <c r="A535" i="3"/>
  <c r="B535" i="3"/>
  <c r="J535" i="3"/>
  <c r="K535" i="3"/>
  <c r="L535" i="3"/>
  <c r="W535" i="3" a="1"/>
  <c r="W535" i="3" s="1"/>
  <c r="X535" i="3" a="1"/>
  <c r="X535" i="3" s="1"/>
  <c r="Y535" i="3"/>
  <c r="Z535" i="3"/>
  <c r="AA535" i="3"/>
  <c r="A536" i="3"/>
  <c r="B536" i="3"/>
  <c r="J536" i="3"/>
  <c r="K536" i="3"/>
  <c r="L536" i="3"/>
  <c r="W536" i="3" a="1"/>
  <c r="W536" i="3" s="1"/>
  <c r="X536" i="3" a="1"/>
  <c r="X536" i="3" s="1"/>
  <c r="Y536" i="3"/>
  <c r="Z536" i="3"/>
  <c r="AA536" i="3" s="1"/>
  <c r="A537" i="3"/>
  <c r="B537" i="3"/>
  <c r="J537" i="3"/>
  <c r="K537" i="3"/>
  <c r="L537" i="3"/>
  <c r="W537" i="3" a="1"/>
  <c r="W537" i="3" s="1"/>
  <c r="X537" i="3" a="1"/>
  <c r="X537" i="3" s="1"/>
  <c r="Y537" i="3"/>
  <c r="Z537" i="3"/>
  <c r="AA537" i="3" s="1"/>
  <c r="A538" i="3"/>
  <c r="B538" i="3"/>
  <c r="J538" i="3"/>
  <c r="K538" i="3"/>
  <c r="L538" i="3"/>
  <c r="W538" i="3" a="1"/>
  <c r="W538" i="3" s="1"/>
  <c r="X538" i="3" a="1"/>
  <c r="X538" i="3" s="1"/>
  <c r="Y538" i="3"/>
  <c r="Z538" i="3"/>
  <c r="AA538" i="3"/>
  <c r="A539" i="3"/>
  <c r="B539" i="3"/>
  <c r="J539" i="3"/>
  <c r="K539" i="3"/>
  <c r="L539" i="3"/>
  <c r="W539" i="3" a="1"/>
  <c r="W539" i="3" s="1"/>
  <c r="X539" i="3" a="1"/>
  <c r="X539" i="3" s="1"/>
  <c r="Y539" i="3"/>
  <c r="Z539" i="3"/>
  <c r="AA539" i="3"/>
  <c r="A540" i="3"/>
  <c r="B540" i="3"/>
  <c r="J540" i="3"/>
  <c r="K540" i="3"/>
  <c r="L540" i="3"/>
  <c r="W540" i="3" a="1"/>
  <c r="W540" i="3" s="1"/>
  <c r="X540" i="3" a="1"/>
  <c r="X540" i="3" s="1"/>
  <c r="Y540" i="3"/>
  <c r="Z540" i="3"/>
  <c r="AA540" i="3" s="1"/>
  <c r="A541" i="3"/>
  <c r="B541" i="3"/>
  <c r="J541" i="3"/>
  <c r="K541" i="3"/>
  <c r="L541" i="3"/>
  <c r="W541" i="3" a="1"/>
  <c r="W541" i="3" s="1"/>
  <c r="X541" i="3" a="1"/>
  <c r="X541" i="3" s="1"/>
  <c r="Y541" i="3"/>
  <c r="Z541" i="3"/>
  <c r="AA541" i="3" s="1"/>
  <c r="A542" i="3"/>
  <c r="B542" i="3"/>
  <c r="J542" i="3"/>
  <c r="K542" i="3"/>
  <c r="L542" i="3"/>
  <c r="W542" i="3" a="1"/>
  <c r="W542" i="3" s="1"/>
  <c r="X542" i="3" a="1"/>
  <c r="X542" i="3" s="1"/>
  <c r="Y542" i="3"/>
  <c r="Z542" i="3"/>
  <c r="AA542" i="3" s="1"/>
  <c r="A543" i="3"/>
  <c r="B543" i="3"/>
  <c r="J543" i="3"/>
  <c r="K543" i="3"/>
  <c r="L543" i="3"/>
  <c r="W543" i="3" a="1"/>
  <c r="W543" i="3" s="1"/>
  <c r="X543" i="3" a="1"/>
  <c r="X543" i="3" s="1"/>
  <c r="Y543" i="3"/>
  <c r="Z543" i="3"/>
  <c r="AA543" i="3" s="1"/>
  <c r="A544" i="3"/>
  <c r="B544" i="3"/>
  <c r="J544" i="3"/>
  <c r="K544" i="3"/>
  <c r="L544" i="3"/>
  <c r="W544" i="3" a="1"/>
  <c r="W544" i="3" s="1"/>
  <c r="X544" i="3" a="1"/>
  <c r="X544" i="3" s="1"/>
  <c r="Y544" i="3"/>
  <c r="Z544" i="3"/>
  <c r="AA544" i="3" s="1"/>
  <c r="A545" i="3"/>
  <c r="B545" i="3"/>
  <c r="J545" i="3"/>
  <c r="K545" i="3"/>
  <c r="L545" i="3"/>
  <c r="W545" i="3" a="1"/>
  <c r="W545" i="3" s="1"/>
  <c r="X545" i="3" a="1"/>
  <c r="X545" i="3" s="1"/>
  <c r="Y545" i="3"/>
  <c r="Z545" i="3"/>
  <c r="AA545" i="3"/>
  <c r="A546" i="3"/>
  <c r="B546" i="3"/>
  <c r="J546" i="3"/>
  <c r="K546" i="3"/>
  <c r="L546" i="3"/>
  <c r="W546" i="3" a="1"/>
  <c r="W546" i="3" s="1"/>
  <c r="X546" i="3" a="1"/>
  <c r="X546" i="3" s="1"/>
  <c r="Y546" i="3"/>
  <c r="Z546" i="3"/>
  <c r="AA546" i="3" s="1"/>
  <c r="A547" i="3"/>
  <c r="B547" i="3"/>
  <c r="J547" i="3"/>
  <c r="K547" i="3"/>
  <c r="L547" i="3"/>
  <c r="W547" i="3" a="1"/>
  <c r="W547" i="3" s="1"/>
  <c r="X547" i="3" a="1"/>
  <c r="X547" i="3" s="1"/>
  <c r="Y547" i="3"/>
  <c r="Z547" i="3"/>
  <c r="AA547" i="3" s="1"/>
  <c r="A548" i="3"/>
  <c r="B548" i="3"/>
  <c r="J548" i="3"/>
  <c r="K548" i="3"/>
  <c r="L548" i="3"/>
  <c r="W548" i="3" a="1"/>
  <c r="W548" i="3" s="1"/>
  <c r="X548" i="3" a="1"/>
  <c r="X548" i="3" s="1"/>
  <c r="Y548" i="3"/>
  <c r="Z548" i="3"/>
  <c r="AA548" i="3"/>
  <c r="A549" i="3"/>
  <c r="B549" i="3"/>
  <c r="J549" i="3"/>
  <c r="K549" i="3"/>
  <c r="L549" i="3"/>
  <c r="W549" i="3" a="1"/>
  <c r="W549" i="3" s="1"/>
  <c r="X549" i="3" a="1"/>
  <c r="X549" i="3" s="1"/>
  <c r="Y549" i="3"/>
  <c r="Z549" i="3"/>
  <c r="AA549" i="3"/>
  <c r="A550" i="3"/>
  <c r="B550" i="3"/>
  <c r="J550" i="3"/>
  <c r="K550" i="3"/>
  <c r="L550" i="3"/>
  <c r="W550" i="3" a="1"/>
  <c r="W550" i="3" s="1"/>
  <c r="X550" i="3" a="1"/>
  <c r="X550" i="3" s="1"/>
  <c r="Y550" i="3"/>
  <c r="Z550" i="3"/>
  <c r="AA550" i="3" s="1"/>
  <c r="A551" i="3"/>
  <c r="B551" i="3"/>
  <c r="J551" i="3"/>
  <c r="K551" i="3"/>
  <c r="L551" i="3"/>
  <c r="W551" i="3" a="1"/>
  <c r="W551" i="3" s="1"/>
  <c r="X551" i="3" a="1"/>
  <c r="X551" i="3" s="1"/>
  <c r="Y551" i="3"/>
  <c r="Z551" i="3"/>
  <c r="AA551" i="3" s="1"/>
  <c r="A552" i="3"/>
  <c r="B552" i="3"/>
  <c r="J552" i="3"/>
  <c r="K552" i="3"/>
  <c r="L552" i="3"/>
  <c r="W552" i="3" a="1"/>
  <c r="W552" i="3" s="1"/>
  <c r="X552" i="3" a="1"/>
  <c r="X552" i="3" s="1"/>
  <c r="Y552" i="3"/>
  <c r="Z552" i="3"/>
  <c r="AA552" i="3" s="1"/>
  <c r="A553" i="3"/>
  <c r="B553" i="3"/>
  <c r="J553" i="3"/>
  <c r="K553" i="3"/>
  <c r="L553" i="3"/>
  <c r="W553" i="3" a="1"/>
  <c r="W553" i="3" s="1"/>
  <c r="X553" i="3" a="1"/>
  <c r="X553" i="3" s="1"/>
  <c r="Y553" i="3"/>
  <c r="Z553" i="3"/>
  <c r="AA553" i="3" s="1"/>
  <c r="A554" i="3"/>
  <c r="B554" i="3"/>
  <c r="J554" i="3"/>
  <c r="K554" i="3"/>
  <c r="L554" i="3"/>
  <c r="W554" i="3" a="1"/>
  <c r="W554" i="3" s="1"/>
  <c r="X554" i="3" a="1"/>
  <c r="X554" i="3" s="1"/>
  <c r="Y554" i="3"/>
  <c r="Z554" i="3"/>
  <c r="AA554" i="3" s="1"/>
  <c r="A555" i="3"/>
  <c r="B555" i="3"/>
  <c r="J555" i="3"/>
  <c r="K555" i="3"/>
  <c r="L555" i="3"/>
  <c r="W555" i="3" a="1"/>
  <c r="W555" i="3" s="1"/>
  <c r="X555" i="3" a="1"/>
  <c r="X555" i="3" s="1"/>
  <c r="Y555" i="3"/>
  <c r="Z555" i="3"/>
  <c r="AA555" i="3"/>
  <c r="A556" i="3"/>
  <c r="B556" i="3"/>
  <c r="J556" i="3"/>
  <c r="K556" i="3"/>
  <c r="L556" i="3"/>
  <c r="W556" i="3" a="1"/>
  <c r="W556" i="3" s="1"/>
  <c r="X556" i="3" a="1"/>
  <c r="X556" i="3" s="1"/>
  <c r="Y556" i="3"/>
  <c r="Z556" i="3"/>
  <c r="AA556" i="3" s="1"/>
  <c r="A557" i="3"/>
  <c r="B557" i="3"/>
  <c r="J557" i="3"/>
  <c r="K557" i="3"/>
  <c r="L557" i="3"/>
  <c r="W557" i="3" a="1"/>
  <c r="W557" i="3" s="1"/>
  <c r="X557" i="3" a="1"/>
  <c r="X557" i="3" s="1"/>
  <c r="Y557" i="3"/>
  <c r="Z557" i="3"/>
  <c r="AA557" i="3" s="1"/>
  <c r="A558" i="3"/>
  <c r="B558" i="3"/>
  <c r="J558" i="3"/>
  <c r="K558" i="3"/>
  <c r="L558" i="3"/>
  <c r="W558" i="3" a="1"/>
  <c r="W558" i="3" s="1"/>
  <c r="X558" i="3" a="1"/>
  <c r="X558" i="3" s="1"/>
  <c r="Y558" i="3"/>
  <c r="Z558" i="3"/>
  <c r="AA558" i="3" s="1"/>
  <c r="A559" i="3"/>
  <c r="B559" i="3"/>
  <c r="J559" i="3"/>
  <c r="K559" i="3"/>
  <c r="L559" i="3"/>
  <c r="W559" i="3" a="1"/>
  <c r="W559" i="3" s="1"/>
  <c r="X559" i="3" a="1"/>
  <c r="X559" i="3" s="1"/>
  <c r="Y559" i="3"/>
  <c r="Z559" i="3"/>
  <c r="AA559" i="3" s="1"/>
  <c r="A560" i="3"/>
  <c r="B560" i="3"/>
  <c r="J560" i="3"/>
  <c r="K560" i="3"/>
  <c r="L560" i="3"/>
  <c r="W560" i="3" a="1"/>
  <c r="W560" i="3" s="1"/>
  <c r="X560" i="3" a="1"/>
  <c r="X560" i="3" s="1"/>
  <c r="Y560" i="3"/>
  <c r="Z560" i="3"/>
  <c r="AA560" i="3" s="1"/>
  <c r="A561" i="3"/>
  <c r="B561" i="3"/>
  <c r="J561" i="3"/>
  <c r="K561" i="3"/>
  <c r="L561" i="3"/>
  <c r="W561" i="3" a="1"/>
  <c r="W561" i="3" s="1"/>
  <c r="X561" i="3" a="1"/>
  <c r="X561" i="3" s="1"/>
  <c r="Y561" i="3"/>
  <c r="Z561" i="3"/>
  <c r="AA561" i="3" s="1"/>
  <c r="A562" i="3"/>
  <c r="B562" i="3"/>
  <c r="J562" i="3"/>
  <c r="K562" i="3"/>
  <c r="L562" i="3"/>
  <c r="W562" i="3" a="1"/>
  <c r="W562" i="3" s="1"/>
  <c r="X562" i="3" a="1"/>
  <c r="X562" i="3" s="1"/>
  <c r="Y562" i="3"/>
  <c r="Z562" i="3"/>
  <c r="AA562" i="3" s="1"/>
  <c r="A563" i="3"/>
  <c r="B563" i="3"/>
  <c r="J563" i="3"/>
  <c r="K563" i="3"/>
  <c r="L563" i="3"/>
  <c r="W563" i="3" a="1"/>
  <c r="W563" i="3" s="1"/>
  <c r="X563" i="3" a="1"/>
  <c r="X563" i="3" s="1"/>
  <c r="Y563" i="3"/>
  <c r="Z563" i="3"/>
  <c r="AA563" i="3"/>
  <c r="A564" i="3"/>
  <c r="B564" i="3"/>
  <c r="J564" i="3"/>
  <c r="K564" i="3"/>
  <c r="L564" i="3"/>
  <c r="W564" i="3" a="1"/>
  <c r="W564" i="3" s="1"/>
  <c r="X564" i="3" a="1"/>
  <c r="X564" i="3" s="1"/>
  <c r="Y564" i="3"/>
  <c r="Z564" i="3"/>
  <c r="AA564" i="3" s="1"/>
  <c r="A565" i="3"/>
  <c r="B565" i="3"/>
  <c r="J565" i="3"/>
  <c r="K565" i="3"/>
  <c r="L565" i="3"/>
  <c r="W565" i="3" a="1"/>
  <c r="W565" i="3" s="1"/>
  <c r="X565" i="3" a="1"/>
  <c r="X565" i="3" s="1"/>
  <c r="Y565" i="3"/>
  <c r="Z565" i="3"/>
  <c r="AA565" i="3" s="1"/>
  <c r="A566" i="3"/>
  <c r="B566" i="3"/>
  <c r="J566" i="3"/>
  <c r="K566" i="3"/>
  <c r="L566" i="3"/>
  <c r="W566" i="3" a="1"/>
  <c r="W566" i="3" s="1"/>
  <c r="X566" i="3" a="1"/>
  <c r="X566" i="3" s="1"/>
  <c r="Y566" i="3"/>
  <c r="Z566" i="3"/>
  <c r="AA566" i="3"/>
  <c r="A567" i="3"/>
  <c r="B567" i="3"/>
  <c r="J567" i="3"/>
  <c r="K567" i="3"/>
  <c r="L567" i="3"/>
  <c r="W567" i="3" a="1"/>
  <c r="W567" i="3" s="1"/>
  <c r="X567" i="3" a="1"/>
  <c r="X567" i="3" s="1"/>
  <c r="Y567" i="3"/>
  <c r="Z567" i="3"/>
  <c r="AA567" i="3" s="1"/>
  <c r="A568" i="3"/>
  <c r="B568" i="3"/>
  <c r="J568" i="3"/>
  <c r="K568" i="3"/>
  <c r="L568" i="3"/>
  <c r="W568" i="3" a="1"/>
  <c r="W568" i="3" s="1"/>
  <c r="X568" i="3" a="1"/>
  <c r="X568" i="3" s="1"/>
  <c r="Y568" i="3"/>
  <c r="Z568" i="3"/>
  <c r="AA568" i="3" s="1"/>
  <c r="A569" i="3"/>
  <c r="B569" i="3"/>
  <c r="J569" i="3"/>
  <c r="K569" i="3"/>
  <c r="L569" i="3"/>
  <c r="W569" i="3" a="1"/>
  <c r="W569" i="3" s="1"/>
  <c r="X569" i="3" a="1"/>
  <c r="X569" i="3" s="1"/>
  <c r="Y569" i="3"/>
  <c r="Z569" i="3"/>
  <c r="AA569" i="3" s="1"/>
  <c r="A570" i="3"/>
  <c r="B570" i="3"/>
  <c r="J570" i="3"/>
  <c r="K570" i="3"/>
  <c r="L570" i="3"/>
  <c r="W570" i="3" a="1"/>
  <c r="W570" i="3" s="1"/>
  <c r="X570" i="3" a="1"/>
  <c r="X570" i="3" s="1"/>
  <c r="Y570" i="3"/>
  <c r="Z570" i="3"/>
  <c r="AA570" i="3" s="1"/>
  <c r="A571" i="3"/>
  <c r="B571" i="3"/>
  <c r="J571" i="3"/>
  <c r="K571" i="3"/>
  <c r="L571" i="3"/>
  <c r="W571" i="3" a="1"/>
  <c r="W571" i="3" s="1"/>
  <c r="X571" i="3" a="1"/>
  <c r="X571" i="3" s="1"/>
  <c r="Y571" i="3"/>
  <c r="Z571" i="3"/>
  <c r="AA571" i="3"/>
  <c r="A572" i="3"/>
  <c r="B572" i="3"/>
  <c r="J572" i="3"/>
  <c r="K572" i="3"/>
  <c r="L572" i="3"/>
  <c r="W572" i="3" a="1"/>
  <c r="W572" i="3" s="1"/>
  <c r="X572" i="3" a="1"/>
  <c r="X572" i="3" s="1"/>
  <c r="Y572" i="3"/>
  <c r="Z572" i="3"/>
  <c r="AA572" i="3" s="1"/>
  <c r="A573" i="3"/>
  <c r="B573" i="3"/>
  <c r="J573" i="3"/>
  <c r="K573" i="3"/>
  <c r="L573" i="3"/>
  <c r="W573" i="3" a="1"/>
  <c r="W573" i="3" s="1"/>
  <c r="X573" i="3" a="1"/>
  <c r="X573" i="3" s="1"/>
  <c r="Y573" i="3"/>
  <c r="Z573" i="3"/>
  <c r="AA573" i="3" s="1"/>
  <c r="A574" i="3"/>
  <c r="B574" i="3"/>
  <c r="J574" i="3"/>
  <c r="K574" i="3"/>
  <c r="L574" i="3"/>
  <c r="W574" i="3" a="1"/>
  <c r="W574" i="3" s="1"/>
  <c r="X574" i="3" a="1"/>
  <c r="X574" i="3" s="1"/>
  <c r="Y574" i="3"/>
  <c r="Z574" i="3"/>
  <c r="AA574" i="3"/>
  <c r="A575" i="3"/>
  <c r="B575" i="3"/>
  <c r="J575" i="3"/>
  <c r="K575" i="3"/>
  <c r="L575" i="3"/>
  <c r="W575" i="3" a="1"/>
  <c r="W575" i="3" s="1"/>
  <c r="X575" i="3" a="1"/>
  <c r="X575" i="3" s="1"/>
  <c r="Y575" i="3"/>
  <c r="Z575" i="3"/>
  <c r="AA575" i="3" s="1"/>
  <c r="A576" i="3"/>
  <c r="B576" i="3"/>
  <c r="J576" i="3"/>
  <c r="K576" i="3"/>
  <c r="L576" i="3"/>
  <c r="W576" i="3" a="1"/>
  <c r="W576" i="3" s="1"/>
  <c r="X576" i="3" a="1"/>
  <c r="X576" i="3" s="1"/>
  <c r="Y576" i="3"/>
  <c r="Z576" i="3"/>
  <c r="AA576" i="3" s="1"/>
  <c r="A577" i="3"/>
  <c r="B577" i="3"/>
  <c r="J577" i="3"/>
  <c r="K577" i="3"/>
  <c r="L577" i="3"/>
  <c r="W577" i="3" a="1"/>
  <c r="W577" i="3" s="1"/>
  <c r="X577" i="3" a="1"/>
  <c r="X577" i="3" s="1"/>
  <c r="Y577" i="3"/>
  <c r="Z577" i="3"/>
  <c r="AA577" i="3" s="1"/>
  <c r="A578" i="3"/>
  <c r="B578" i="3"/>
  <c r="J578" i="3"/>
  <c r="K578" i="3"/>
  <c r="L578" i="3"/>
  <c r="W578" i="3" a="1"/>
  <c r="W578" i="3" s="1"/>
  <c r="X578" i="3" a="1"/>
  <c r="X578" i="3" s="1"/>
  <c r="Y578" i="3"/>
  <c r="Z578" i="3"/>
  <c r="AA578" i="3" s="1"/>
  <c r="A579" i="3"/>
  <c r="B579" i="3"/>
  <c r="J579" i="3"/>
  <c r="K579" i="3"/>
  <c r="L579" i="3"/>
  <c r="W579" i="3" a="1"/>
  <c r="W579" i="3" s="1"/>
  <c r="X579" i="3" a="1"/>
  <c r="X579" i="3" s="1"/>
  <c r="Y579" i="3"/>
  <c r="Z579" i="3"/>
  <c r="AA579" i="3"/>
  <c r="A580" i="3"/>
  <c r="B580" i="3"/>
  <c r="J580" i="3"/>
  <c r="K580" i="3"/>
  <c r="L580" i="3"/>
  <c r="W580" i="3" a="1"/>
  <c r="W580" i="3" s="1"/>
  <c r="X580" i="3" a="1"/>
  <c r="X580" i="3" s="1"/>
  <c r="Y580" i="3"/>
  <c r="Z580" i="3"/>
  <c r="AA580" i="3" s="1"/>
  <c r="A581" i="3"/>
  <c r="B581" i="3"/>
  <c r="J581" i="3"/>
  <c r="K581" i="3"/>
  <c r="L581" i="3"/>
  <c r="W581" i="3" a="1"/>
  <c r="W581" i="3" s="1"/>
  <c r="X581" i="3" a="1"/>
  <c r="X581" i="3" s="1"/>
  <c r="Y581" i="3"/>
  <c r="Z581" i="3"/>
  <c r="AA581" i="3" s="1"/>
  <c r="A582" i="3"/>
  <c r="B582" i="3"/>
  <c r="J582" i="3"/>
  <c r="K582" i="3"/>
  <c r="L582" i="3"/>
  <c r="W582" i="3" a="1"/>
  <c r="W582" i="3" s="1"/>
  <c r="X582" i="3" a="1"/>
  <c r="X582" i="3" s="1"/>
  <c r="Y582" i="3"/>
  <c r="Z582" i="3"/>
  <c r="AA582" i="3"/>
  <c r="A583" i="3"/>
  <c r="B583" i="3"/>
  <c r="J583" i="3"/>
  <c r="K583" i="3"/>
  <c r="L583" i="3"/>
  <c r="W583" i="3" a="1"/>
  <c r="W583" i="3" s="1"/>
  <c r="X583" i="3" a="1"/>
  <c r="X583" i="3" s="1"/>
  <c r="Y583" i="3"/>
  <c r="Z583" i="3"/>
  <c r="AA583" i="3" s="1"/>
  <c r="A584" i="3"/>
  <c r="B584" i="3"/>
  <c r="J584" i="3"/>
  <c r="K584" i="3"/>
  <c r="L584" i="3"/>
  <c r="W584" i="3" a="1"/>
  <c r="W584" i="3" s="1"/>
  <c r="X584" i="3" a="1"/>
  <c r="X584" i="3" s="1"/>
  <c r="Y584" i="3"/>
  <c r="Z584" i="3"/>
  <c r="AA584" i="3" s="1"/>
  <c r="A585" i="3"/>
  <c r="B585" i="3"/>
  <c r="J585" i="3"/>
  <c r="K585" i="3"/>
  <c r="L585" i="3"/>
  <c r="W585" i="3" a="1"/>
  <c r="W585" i="3" s="1"/>
  <c r="X585" i="3" a="1"/>
  <c r="X585" i="3" s="1"/>
  <c r="Y585" i="3"/>
  <c r="Z585" i="3"/>
  <c r="AA585" i="3" s="1"/>
  <c r="A586" i="3"/>
  <c r="B586" i="3"/>
  <c r="J586" i="3"/>
  <c r="K586" i="3"/>
  <c r="L586" i="3"/>
  <c r="W586" i="3" a="1"/>
  <c r="W586" i="3" s="1"/>
  <c r="X586" i="3" a="1"/>
  <c r="X586" i="3" s="1"/>
  <c r="Y586" i="3"/>
  <c r="Z586" i="3"/>
  <c r="AA586" i="3" s="1"/>
  <c r="A587" i="3"/>
  <c r="B587" i="3"/>
  <c r="J587" i="3"/>
  <c r="K587" i="3"/>
  <c r="L587" i="3"/>
  <c r="W587" i="3" a="1"/>
  <c r="W587" i="3" s="1"/>
  <c r="X587" i="3" a="1"/>
  <c r="X587" i="3" s="1"/>
  <c r="Y587" i="3"/>
  <c r="Z587" i="3"/>
  <c r="AA587" i="3"/>
  <c r="A588" i="3"/>
  <c r="B588" i="3"/>
  <c r="J588" i="3"/>
  <c r="K588" i="3"/>
  <c r="L588" i="3"/>
  <c r="W588" i="3" a="1"/>
  <c r="W588" i="3" s="1"/>
  <c r="X588" i="3" a="1"/>
  <c r="X588" i="3" s="1"/>
  <c r="Y588" i="3"/>
  <c r="Z588" i="3"/>
  <c r="AA588" i="3" s="1"/>
  <c r="A589" i="3"/>
  <c r="B589" i="3"/>
  <c r="J589" i="3"/>
  <c r="K589" i="3"/>
  <c r="L589" i="3"/>
  <c r="W589" i="3" a="1"/>
  <c r="W589" i="3" s="1"/>
  <c r="X589" i="3" a="1"/>
  <c r="X589" i="3" s="1"/>
  <c r="Y589" i="3"/>
  <c r="Z589" i="3"/>
  <c r="AA589" i="3" s="1"/>
  <c r="A590" i="3"/>
  <c r="B590" i="3"/>
  <c r="J590" i="3"/>
  <c r="K590" i="3"/>
  <c r="L590" i="3"/>
  <c r="W590" i="3" a="1"/>
  <c r="W590" i="3" s="1"/>
  <c r="X590" i="3" a="1"/>
  <c r="X590" i="3" s="1"/>
  <c r="Y590" i="3"/>
  <c r="Z590" i="3"/>
  <c r="AA590" i="3"/>
  <c r="A591" i="3"/>
  <c r="B591" i="3"/>
  <c r="J591" i="3"/>
  <c r="K591" i="3"/>
  <c r="L591" i="3"/>
  <c r="W591" i="3" a="1"/>
  <c r="W591" i="3" s="1"/>
  <c r="X591" i="3" a="1"/>
  <c r="X591" i="3" s="1"/>
  <c r="Y591" i="3"/>
  <c r="Z591" i="3"/>
  <c r="AA591" i="3" s="1"/>
  <c r="A592" i="3"/>
  <c r="B592" i="3"/>
  <c r="J592" i="3"/>
  <c r="K592" i="3"/>
  <c r="L592" i="3"/>
  <c r="W592" i="3" a="1"/>
  <c r="W592" i="3" s="1"/>
  <c r="X592" i="3" a="1"/>
  <c r="X592" i="3" s="1"/>
  <c r="Y592" i="3"/>
  <c r="Z592" i="3"/>
  <c r="AA592" i="3" s="1"/>
  <c r="A593" i="3"/>
  <c r="B593" i="3"/>
  <c r="J593" i="3"/>
  <c r="K593" i="3"/>
  <c r="L593" i="3"/>
  <c r="W593" i="3" a="1"/>
  <c r="W593" i="3" s="1"/>
  <c r="X593" i="3" a="1"/>
  <c r="X593" i="3" s="1"/>
  <c r="Y593" i="3"/>
  <c r="Z593" i="3"/>
  <c r="AA593" i="3" s="1"/>
  <c r="A594" i="3"/>
  <c r="B594" i="3"/>
  <c r="J594" i="3"/>
  <c r="K594" i="3"/>
  <c r="L594" i="3"/>
  <c r="W594" i="3" a="1"/>
  <c r="W594" i="3" s="1"/>
  <c r="X594" i="3" a="1"/>
  <c r="X594" i="3" s="1"/>
  <c r="Y594" i="3"/>
  <c r="Z594" i="3"/>
  <c r="AA594" i="3" s="1"/>
  <c r="A595" i="3"/>
  <c r="B595" i="3"/>
  <c r="J595" i="3"/>
  <c r="K595" i="3"/>
  <c r="L595" i="3"/>
  <c r="W595" i="3" a="1"/>
  <c r="W595" i="3" s="1"/>
  <c r="X595" i="3" a="1"/>
  <c r="X595" i="3" s="1"/>
  <c r="Y595" i="3"/>
  <c r="Z595" i="3"/>
  <c r="AA595" i="3"/>
  <c r="A596" i="3"/>
  <c r="B596" i="3"/>
  <c r="J596" i="3"/>
  <c r="K596" i="3"/>
  <c r="L596" i="3"/>
  <c r="W596" i="3" a="1"/>
  <c r="W596" i="3" s="1"/>
  <c r="X596" i="3" a="1"/>
  <c r="X596" i="3" s="1"/>
  <c r="Y596" i="3"/>
  <c r="Z596" i="3"/>
  <c r="AA596" i="3" s="1"/>
  <c r="A597" i="3"/>
  <c r="B597" i="3"/>
  <c r="J597" i="3"/>
  <c r="K597" i="3"/>
  <c r="L597" i="3"/>
  <c r="W597" i="3" a="1"/>
  <c r="W597" i="3" s="1"/>
  <c r="X597" i="3" a="1"/>
  <c r="X597" i="3" s="1"/>
  <c r="Y597" i="3"/>
  <c r="Z597" i="3"/>
  <c r="AA597" i="3" s="1"/>
  <c r="A598" i="3"/>
  <c r="B598" i="3"/>
  <c r="J598" i="3"/>
  <c r="K598" i="3"/>
  <c r="L598" i="3"/>
  <c r="W598" i="3" a="1"/>
  <c r="W598" i="3" s="1"/>
  <c r="X598" i="3" a="1"/>
  <c r="X598" i="3" s="1"/>
  <c r="Y598" i="3"/>
  <c r="Z598" i="3"/>
  <c r="AA598" i="3"/>
  <c r="K5" i="2"/>
  <c r="Z5" i="2" s="1"/>
  <c r="AA5" i="2" s="1"/>
  <c r="W5" i="2" a="1"/>
  <c r="W5" i="2" s="1"/>
  <c r="X5" i="2" a="1"/>
  <c r="X5" i="2" s="1"/>
  <c r="Y5" i="2"/>
  <c r="K6" i="2"/>
  <c r="L6" i="2" s="1"/>
  <c r="W6" i="2" a="1"/>
  <c r="W6" i="2" s="1"/>
  <c r="X6" i="2" a="1"/>
  <c r="X6" i="2" s="1"/>
  <c r="Y6" i="2"/>
  <c r="K7" i="2"/>
  <c r="Z7" i="2" s="1"/>
  <c r="AA7" i="2" s="1"/>
  <c r="W7" i="2" a="1"/>
  <c r="W7" i="2" s="1"/>
  <c r="X7" i="2" a="1"/>
  <c r="X7" i="2" s="1"/>
  <c r="Y7" i="2"/>
  <c r="AD7" i="2"/>
  <c r="AE7" i="2" a="1"/>
  <c r="AE15" i="2" s="1"/>
  <c r="AG7" i="2"/>
  <c r="AH7" i="2" a="1"/>
  <c r="AH7" i="2" s="1"/>
  <c r="AJ7" i="2"/>
  <c r="AK7" i="2" a="1"/>
  <c r="AK7" i="2" s="1"/>
  <c r="K8" i="2"/>
  <c r="Z8" i="2" s="1"/>
  <c r="AA8" i="2" s="1"/>
  <c r="W8" i="2" a="1"/>
  <c r="W8" i="2" s="1"/>
  <c r="X8" i="2" a="1"/>
  <c r="X8" i="2" s="1"/>
  <c r="Y8" i="2"/>
  <c r="AD8" i="2"/>
  <c r="AG8" i="2"/>
  <c r="AJ8" i="2"/>
  <c r="AK8" i="2"/>
  <c r="K9" i="2"/>
  <c r="Z9" i="2" s="1"/>
  <c r="AA9" i="2" s="1"/>
  <c r="W9" i="2" a="1"/>
  <c r="W9" i="2" s="1"/>
  <c r="X9" i="2" a="1"/>
  <c r="X9" i="2" s="1"/>
  <c r="Y9" i="2"/>
  <c r="AD9" i="2"/>
  <c r="AG9" i="2"/>
  <c r="AJ9" i="2"/>
  <c r="K10" i="2"/>
  <c r="W10" i="2" a="1"/>
  <c r="W10" i="2" s="1"/>
  <c r="X10" i="2" a="1"/>
  <c r="X10" i="2" s="1"/>
  <c r="Y10" i="2"/>
  <c r="AD10" i="2"/>
  <c r="AG10" i="2"/>
  <c r="AJ10" i="2"/>
  <c r="K11" i="2"/>
  <c r="W11" i="2" a="1"/>
  <c r="W11" i="2" s="1"/>
  <c r="X11" i="2" a="1"/>
  <c r="X11" i="2" s="1"/>
  <c r="Y11" i="2"/>
  <c r="AD11" i="2"/>
  <c r="AE11" i="2"/>
  <c r="AG11" i="2"/>
  <c r="AH11" i="2"/>
  <c r="AJ11" i="2"/>
  <c r="K12" i="2"/>
  <c r="W12" i="2" a="1"/>
  <c r="W12" i="2" s="1"/>
  <c r="X12" i="2" a="1"/>
  <c r="X12" i="2" s="1"/>
  <c r="Y12" i="2"/>
  <c r="AD12" i="2"/>
  <c r="AG12" i="2"/>
  <c r="AJ12" i="2"/>
  <c r="B13" i="2"/>
  <c r="K13" i="2"/>
  <c r="Z13" i="2" s="1"/>
  <c r="AA13" i="2" s="1"/>
  <c r="W13" i="2" a="1"/>
  <c r="W13" i="2" s="1"/>
  <c r="X13" i="2" a="1"/>
  <c r="X13" i="2" s="1"/>
  <c r="Y13" i="2"/>
  <c r="AD13" i="2"/>
  <c r="AE13" i="2"/>
  <c r="AG13" i="2"/>
  <c r="AJ13" i="2"/>
  <c r="AK13" i="2"/>
  <c r="K14" i="2"/>
  <c r="L14" i="2" s="1"/>
  <c r="W14" i="2" a="1"/>
  <c r="W14" i="2" s="1"/>
  <c r="X14" i="2" a="1"/>
  <c r="X14" i="2" s="1"/>
  <c r="Y14" i="2"/>
  <c r="AD14" i="2"/>
  <c r="AE14" i="2"/>
  <c r="AG14" i="2"/>
  <c r="AJ14" i="2"/>
  <c r="K15" i="2"/>
  <c r="Z15" i="2" s="1"/>
  <c r="AA15" i="2" s="1"/>
  <c r="W15" i="2" a="1"/>
  <c r="W15" i="2" s="1"/>
  <c r="X15" i="2" a="1"/>
  <c r="X15" i="2" s="1"/>
  <c r="Y15" i="2"/>
  <c r="AD15" i="2"/>
  <c r="AF15" i="2" s="1"/>
  <c r="AG15" i="2"/>
  <c r="AJ15" i="2"/>
  <c r="AK15" i="2"/>
  <c r="K16" i="2"/>
  <c r="Z16" i="2" s="1"/>
  <c r="AA16" i="2" s="1"/>
  <c r="W16" i="2" a="1"/>
  <c r="W16" i="2" s="1"/>
  <c r="X16" i="2" a="1"/>
  <c r="X16" i="2" s="1"/>
  <c r="Y16" i="2"/>
  <c r="AD16" i="2"/>
  <c r="AG16" i="2"/>
  <c r="AJ16" i="2"/>
  <c r="AK16" i="2"/>
  <c r="B17" i="2"/>
  <c r="K17" i="2"/>
  <c r="L17" i="2" s="1"/>
  <c r="W17" i="2" a="1"/>
  <c r="W17" i="2" s="1"/>
  <c r="X17" i="2" a="1"/>
  <c r="X17" i="2" s="1"/>
  <c r="Y17" i="2"/>
  <c r="AD17" i="2"/>
  <c r="AG17" i="2"/>
  <c r="AJ17" i="2"/>
  <c r="K18" i="2"/>
  <c r="Z18" i="2" s="1"/>
  <c r="AA18" i="2" s="1"/>
  <c r="W18" i="2" a="1"/>
  <c r="W18" i="2" s="1"/>
  <c r="X18" i="2" a="1"/>
  <c r="X18" i="2" s="1"/>
  <c r="Y18" i="2"/>
  <c r="AD18" i="2"/>
  <c r="AG18" i="2"/>
  <c r="AJ18" i="2"/>
  <c r="K19" i="2"/>
  <c r="W19" i="2" a="1"/>
  <c r="W19" i="2" s="1"/>
  <c r="X19" i="2" a="1"/>
  <c r="X19" i="2" s="1"/>
  <c r="Y19" i="2"/>
  <c r="AD19" i="2"/>
  <c r="AG19" i="2"/>
  <c r="AJ19" i="2"/>
  <c r="B20" i="2"/>
  <c r="K20" i="2"/>
  <c r="W20" i="2" a="1"/>
  <c r="W20" i="2" s="1"/>
  <c r="X20" i="2" a="1"/>
  <c r="X20" i="2" s="1"/>
  <c r="Y20" i="2"/>
  <c r="AD20" i="2"/>
  <c r="AG20" i="2"/>
  <c r="AJ20" i="2"/>
  <c r="B21" i="2"/>
  <c r="K21" i="2"/>
  <c r="L21" i="2" s="1"/>
  <c r="W21" i="2" a="1"/>
  <c r="W21" i="2" s="1"/>
  <c r="X21" i="2" a="1"/>
  <c r="X21" i="2" s="1"/>
  <c r="Y21" i="2"/>
  <c r="AD21" i="2"/>
  <c r="AG21" i="2"/>
  <c r="AJ21" i="2"/>
  <c r="AK21" i="2"/>
  <c r="K22" i="2"/>
  <c r="L22" i="2" s="1"/>
  <c r="W22" i="2" a="1"/>
  <c r="W22" i="2" s="1"/>
  <c r="X22" i="2" a="1"/>
  <c r="X22" i="2" s="1"/>
  <c r="Y22" i="2"/>
  <c r="AD22" i="2"/>
  <c r="AG22" i="2"/>
  <c r="AJ22" i="2"/>
  <c r="K23" i="2"/>
  <c r="Z23" i="2" s="1"/>
  <c r="AA23" i="2" s="1"/>
  <c r="W23" i="2" a="1"/>
  <c r="W23" i="2" s="1"/>
  <c r="X23" i="2" a="1"/>
  <c r="X23" i="2" s="1"/>
  <c r="Y23" i="2"/>
  <c r="AD23" i="2"/>
  <c r="AG23" i="2"/>
  <c r="AJ23" i="2"/>
  <c r="AK23" i="2"/>
  <c r="B24" i="2"/>
  <c r="K24" i="2"/>
  <c r="Z24" i="2" s="1"/>
  <c r="AA24" i="2" s="1"/>
  <c r="W24" i="2" a="1"/>
  <c r="W24" i="2" s="1"/>
  <c r="X24" i="2" a="1"/>
  <c r="X24" i="2" s="1"/>
  <c r="Y24" i="2"/>
  <c r="AD24" i="2"/>
  <c r="AE24" i="2"/>
  <c r="AG24" i="2"/>
  <c r="AJ24" i="2"/>
  <c r="AK24" i="2"/>
  <c r="K25" i="2"/>
  <c r="Z25" i="2" s="1"/>
  <c r="AA25" i="2" s="1"/>
  <c r="W25" i="2" a="1"/>
  <c r="W25" i="2" s="1"/>
  <c r="X25" i="2" a="1"/>
  <c r="X25" i="2" s="1"/>
  <c r="Y25" i="2"/>
  <c r="AD25" i="2"/>
  <c r="AG25" i="2"/>
  <c r="AJ25" i="2"/>
  <c r="K26" i="2"/>
  <c r="Z26" i="2" s="1"/>
  <c r="AA26" i="2" s="1"/>
  <c r="W26" i="2" a="1"/>
  <c r="W26" i="2" s="1"/>
  <c r="X26" i="2" a="1"/>
  <c r="X26" i="2" s="1"/>
  <c r="Y26" i="2"/>
  <c r="AD26" i="2"/>
  <c r="AG26" i="2"/>
  <c r="AJ26" i="2"/>
  <c r="AK26" i="2"/>
  <c r="K27" i="2"/>
  <c r="W27" i="2" a="1"/>
  <c r="W27" i="2" s="1"/>
  <c r="X27" i="2" a="1"/>
  <c r="X27" i="2" s="1"/>
  <c r="Y27" i="2"/>
  <c r="AD27" i="2"/>
  <c r="AG27" i="2"/>
  <c r="AJ27" i="2"/>
  <c r="K28" i="2"/>
  <c r="W28" i="2" a="1"/>
  <c r="W28" i="2" s="1"/>
  <c r="X28" i="2" a="1"/>
  <c r="X28" i="2" s="1"/>
  <c r="Y28" i="2"/>
  <c r="AD28" i="2"/>
  <c r="AG28" i="2"/>
  <c r="AJ28" i="2"/>
  <c r="K29" i="2"/>
  <c r="Z29" i="2" s="1"/>
  <c r="AA29" i="2" s="1"/>
  <c r="W29" i="2" a="1"/>
  <c r="W29" i="2" s="1"/>
  <c r="X29" i="2" a="1"/>
  <c r="X29" i="2" s="1"/>
  <c r="Y29" i="2"/>
  <c r="AD29" i="2"/>
  <c r="AE29" i="2"/>
  <c r="AG29" i="2"/>
  <c r="AH29" i="2"/>
  <c r="AJ29" i="2"/>
  <c r="K30" i="2"/>
  <c r="W30" i="2" a="1"/>
  <c r="W30" i="2" s="1"/>
  <c r="X30" i="2" a="1"/>
  <c r="X30" i="2" s="1"/>
  <c r="Y30" i="2"/>
  <c r="AD30" i="2"/>
  <c r="AG30" i="2"/>
  <c r="AH30" i="2"/>
  <c r="AJ30" i="2"/>
  <c r="K31" i="2"/>
  <c r="L31" i="2" s="1"/>
  <c r="W31" i="2" a="1"/>
  <c r="W31" i="2" s="1"/>
  <c r="X31" i="2" a="1"/>
  <c r="X31" i="2" s="1"/>
  <c r="Y31" i="2"/>
  <c r="AD31" i="2"/>
  <c r="AG31" i="2"/>
  <c r="AJ31" i="2"/>
  <c r="AK31" i="2"/>
  <c r="K32" i="2"/>
  <c r="Z32" i="2" s="1"/>
  <c r="AA32" i="2" s="1"/>
  <c r="W32" i="2" a="1"/>
  <c r="W32" i="2" s="1"/>
  <c r="X32" i="2" a="1"/>
  <c r="X32" i="2" s="1"/>
  <c r="Y32" i="2"/>
  <c r="AD32" i="2"/>
  <c r="AE32" i="2"/>
  <c r="AG32" i="2"/>
  <c r="AJ32" i="2"/>
  <c r="AL32" i="2" s="1"/>
  <c r="AK32" i="2"/>
  <c r="B33" i="2"/>
  <c r="K33" i="2"/>
  <c r="Z33" i="2" s="1"/>
  <c r="AA33" i="2" s="1"/>
  <c r="W33" i="2" a="1"/>
  <c r="W33" i="2" s="1"/>
  <c r="X33" i="2" a="1"/>
  <c r="X33" i="2" s="1"/>
  <c r="Y33" i="2"/>
  <c r="AD33" i="2"/>
  <c r="AG33" i="2"/>
  <c r="AJ33" i="2"/>
  <c r="B34" i="2"/>
  <c r="K34" i="2"/>
  <c r="W34" i="2" a="1"/>
  <c r="W34" i="2" s="1"/>
  <c r="X34" i="2" a="1"/>
  <c r="X34" i="2" s="1"/>
  <c r="Y34" i="2"/>
  <c r="AD34" i="2"/>
  <c r="AG34" i="2"/>
  <c r="AJ34" i="2"/>
  <c r="AK34" i="2"/>
  <c r="K35" i="2"/>
  <c r="W35" i="2" a="1"/>
  <c r="W35" i="2" s="1"/>
  <c r="X35" i="2" a="1"/>
  <c r="X35" i="2" s="1"/>
  <c r="Y35" i="2"/>
  <c r="AD35" i="2"/>
  <c r="AE35" i="2"/>
  <c r="AG35" i="2"/>
  <c r="AH35" i="2"/>
  <c r="AJ35" i="2"/>
  <c r="K36" i="2"/>
  <c r="W36" i="2" a="1"/>
  <c r="W36" i="2" s="1"/>
  <c r="X36" i="2" a="1"/>
  <c r="X36" i="2" s="1"/>
  <c r="Y36" i="2"/>
  <c r="AD36" i="2"/>
  <c r="AG36" i="2"/>
  <c r="AJ36" i="2"/>
  <c r="B37" i="2"/>
  <c r="K37" i="2"/>
  <c r="W37" i="2" a="1"/>
  <c r="W37" i="2" s="1"/>
  <c r="X37" i="2" a="1"/>
  <c r="X37" i="2" s="1"/>
  <c r="Y37" i="2"/>
  <c r="AD37" i="2"/>
  <c r="AE37" i="2"/>
  <c r="AG37" i="2"/>
  <c r="AJ37" i="2"/>
  <c r="K38" i="2"/>
  <c r="Z38" i="2" s="1"/>
  <c r="AA38" i="2" s="1"/>
  <c r="W38" i="2" a="1"/>
  <c r="W38" i="2" s="1"/>
  <c r="X38" i="2" a="1"/>
  <c r="X38" i="2" s="1"/>
  <c r="Y38" i="2"/>
  <c r="K39" i="2"/>
  <c r="W39" i="2" a="1"/>
  <c r="W39" i="2" s="1"/>
  <c r="X39" i="2" a="1"/>
  <c r="X39" i="2" s="1"/>
  <c r="Y39" i="2"/>
  <c r="K40" i="2"/>
  <c r="Z40" i="2" s="1"/>
  <c r="AA40" i="2" s="1"/>
  <c r="W40" i="2" a="1"/>
  <c r="W40" i="2" s="1"/>
  <c r="X40" i="2" a="1"/>
  <c r="X40" i="2" s="1"/>
  <c r="Y40" i="2"/>
  <c r="K41" i="2"/>
  <c r="L41" i="2" s="1"/>
  <c r="W41" i="2" a="1"/>
  <c r="W41" i="2" s="1"/>
  <c r="X41" i="2" a="1"/>
  <c r="X41" i="2" s="1"/>
  <c r="Y41" i="2"/>
  <c r="K42" i="2"/>
  <c r="W42" i="2" a="1"/>
  <c r="W42" i="2" s="1"/>
  <c r="X42" i="2" a="1"/>
  <c r="X42" i="2" s="1"/>
  <c r="Y42" i="2"/>
  <c r="K43" i="2"/>
  <c r="W43" i="2" a="1"/>
  <c r="W43" i="2" s="1"/>
  <c r="X43" i="2" a="1"/>
  <c r="X43" i="2" s="1"/>
  <c r="Y43" i="2"/>
  <c r="K44" i="2"/>
  <c r="W44" i="2" a="1"/>
  <c r="W44" i="2" s="1"/>
  <c r="X44" i="2" a="1"/>
  <c r="X44" i="2" s="1"/>
  <c r="Y44" i="2"/>
  <c r="K45" i="2"/>
  <c r="Z45" i="2" s="1"/>
  <c r="AA45" i="2" s="1"/>
  <c r="W45" i="2" a="1"/>
  <c r="W45" i="2" s="1"/>
  <c r="X45" i="2" a="1"/>
  <c r="X45" i="2" s="1"/>
  <c r="Y45" i="2"/>
  <c r="K46" i="2"/>
  <c r="W46" i="2" a="1"/>
  <c r="W46" i="2" s="1"/>
  <c r="X46" i="2" a="1"/>
  <c r="X46" i="2" s="1"/>
  <c r="Y46" i="2"/>
  <c r="K47" i="2"/>
  <c r="W47" i="2" a="1"/>
  <c r="W47" i="2" s="1"/>
  <c r="X47" i="2" a="1"/>
  <c r="X47" i="2" s="1"/>
  <c r="Y47" i="2"/>
  <c r="K48" i="2"/>
  <c r="L48" i="2" s="1"/>
  <c r="W48" i="2" a="1"/>
  <c r="W48" i="2" s="1"/>
  <c r="X48" i="2" a="1"/>
  <c r="X48" i="2" s="1"/>
  <c r="Y48" i="2"/>
  <c r="K49" i="2"/>
  <c r="W49" i="2" a="1"/>
  <c r="W49" i="2" s="1"/>
  <c r="X49" i="2" a="1"/>
  <c r="X49" i="2" s="1"/>
  <c r="Y49" i="2"/>
  <c r="K50" i="2"/>
  <c r="W50" i="2" a="1"/>
  <c r="W50" i="2" s="1"/>
  <c r="X50" i="2" a="1"/>
  <c r="X50" i="2" s="1"/>
  <c r="Y50" i="2"/>
  <c r="K51" i="2"/>
  <c r="W51" i="2" a="1"/>
  <c r="W51" i="2" s="1"/>
  <c r="X51" i="2" a="1"/>
  <c r="X51" i="2" s="1"/>
  <c r="Y51" i="2"/>
  <c r="K52" i="2"/>
  <c r="W52" i="2" a="1"/>
  <c r="W52" i="2" s="1"/>
  <c r="X52" i="2" a="1"/>
  <c r="X52" i="2" s="1"/>
  <c r="Y52" i="2"/>
  <c r="K53" i="2"/>
  <c r="Z53" i="2" s="1"/>
  <c r="AA53" i="2" s="1"/>
  <c r="W53" i="2" a="1"/>
  <c r="W53" i="2" s="1"/>
  <c r="X53" i="2" a="1"/>
  <c r="X53" i="2" s="1"/>
  <c r="Y53" i="2"/>
  <c r="K54" i="2"/>
  <c r="Z54" i="2" s="1"/>
  <c r="AA54" i="2" s="1"/>
  <c r="W54" i="2" a="1"/>
  <c r="W54" i="2" s="1"/>
  <c r="X54" i="2" a="1"/>
  <c r="X54" i="2" s="1"/>
  <c r="Y54" i="2"/>
  <c r="K55" i="2"/>
  <c r="L55" i="2" s="1"/>
  <c r="W55" i="2" a="1"/>
  <c r="W55" i="2" s="1"/>
  <c r="X55" i="2" a="1"/>
  <c r="X55" i="2" s="1"/>
  <c r="Y55" i="2"/>
  <c r="K56" i="2"/>
  <c r="Z56" i="2" s="1"/>
  <c r="AA56" i="2" s="1"/>
  <c r="W56" i="2" a="1"/>
  <c r="W56" i="2" s="1"/>
  <c r="X56" i="2" a="1"/>
  <c r="X56" i="2" s="1"/>
  <c r="Y56" i="2"/>
  <c r="K57" i="2"/>
  <c r="W57" i="2" a="1"/>
  <c r="W57" i="2" s="1"/>
  <c r="X57" i="2" a="1"/>
  <c r="X57" i="2" s="1"/>
  <c r="Y57" i="2"/>
  <c r="K58" i="2"/>
  <c r="W58" i="2" a="1"/>
  <c r="W58" i="2" s="1"/>
  <c r="X58" i="2" a="1"/>
  <c r="X58" i="2" s="1"/>
  <c r="Y58" i="2"/>
  <c r="K59" i="2"/>
  <c r="W59" i="2" a="1"/>
  <c r="W59" i="2" s="1"/>
  <c r="X59" i="2" a="1"/>
  <c r="X59" i="2" s="1"/>
  <c r="Y59" i="2"/>
  <c r="K60" i="2"/>
  <c r="W60" i="2" a="1"/>
  <c r="W60" i="2" s="1"/>
  <c r="X60" i="2" a="1"/>
  <c r="X60" i="2" s="1"/>
  <c r="Y60" i="2"/>
  <c r="K61" i="2"/>
  <c r="W61" i="2" a="1"/>
  <c r="W61" i="2" s="1"/>
  <c r="X61" i="2" a="1"/>
  <c r="X61" i="2" s="1"/>
  <c r="Y61" i="2"/>
  <c r="K62" i="2"/>
  <c r="W62" i="2" a="1"/>
  <c r="W62" i="2" s="1"/>
  <c r="X62" i="2" a="1"/>
  <c r="X62" i="2" s="1"/>
  <c r="Y62" i="2"/>
  <c r="B63" i="2"/>
  <c r="K63" i="2"/>
  <c r="Z63" i="2" s="1"/>
  <c r="AA63" i="2" s="1"/>
  <c r="W63" i="2" a="1"/>
  <c r="W63" i="2" s="1"/>
  <c r="X63" i="2" a="1"/>
  <c r="X63" i="2" s="1"/>
  <c r="Y63" i="2"/>
  <c r="K64" i="2"/>
  <c r="Z64" i="2" s="1"/>
  <c r="AA64" i="2" s="1"/>
  <c r="W64" i="2" a="1"/>
  <c r="W64" i="2" s="1"/>
  <c r="X64" i="2" a="1"/>
  <c r="X64" i="2" s="1"/>
  <c r="Y64" i="2"/>
  <c r="K65" i="2"/>
  <c r="Z65" i="2" s="1"/>
  <c r="AA65" i="2" s="1"/>
  <c r="W65" i="2" a="1"/>
  <c r="W65" i="2" s="1"/>
  <c r="X65" i="2" a="1"/>
  <c r="X65" i="2" s="1"/>
  <c r="Y65" i="2"/>
  <c r="B66" i="2"/>
  <c r="K66" i="2"/>
  <c r="L66" i="2" s="1"/>
  <c r="W66" i="2" a="1"/>
  <c r="W66" i="2" s="1"/>
  <c r="X66" i="2" a="1"/>
  <c r="X66" i="2" s="1"/>
  <c r="Y66" i="2"/>
  <c r="K67" i="2"/>
  <c r="W67" i="2" a="1"/>
  <c r="W67" i="2" s="1"/>
  <c r="X67" i="2" a="1"/>
  <c r="X67" i="2" s="1"/>
  <c r="Y67" i="2"/>
  <c r="K68" i="2"/>
  <c r="W68" i="2" a="1"/>
  <c r="W68" i="2" s="1"/>
  <c r="X68" i="2" a="1"/>
  <c r="X68" i="2" s="1"/>
  <c r="Y68" i="2"/>
  <c r="K69" i="2"/>
  <c r="L69" i="2" s="1"/>
  <c r="W69" i="2" a="1"/>
  <c r="W69" i="2" s="1"/>
  <c r="X69" i="2" a="1"/>
  <c r="X69" i="2" s="1"/>
  <c r="Y69" i="2"/>
  <c r="K70" i="2"/>
  <c r="W70" i="2" a="1"/>
  <c r="W70" i="2" s="1"/>
  <c r="X70" i="2" a="1"/>
  <c r="X70" i="2" s="1"/>
  <c r="Y70" i="2"/>
  <c r="K71" i="2"/>
  <c r="Z71" i="2" s="1"/>
  <c r="AA71" i="2" s="1"/>
  <c r="W71" i="2" a="1"/>
  <c r="W71" i="2" s="1"/>
  <c r="X71" i="2" a="1"/>
  <c r="X71" i="2" s="1"/>
  <c r="Y71" i="2"/>
  <c r="K72" i="2"/>
  <c r="W72" i="2" a="1"/>
  <c r="W72" i="2" s="1"/>
  <c r="X72" i="2" a="1"/>
  <c r="X72" i="2" s="1"/>
  <c r="Y72" i="2"/>
  <c r="K73" i="2"/>
  <c r="L73" i="2" s="1"/>
  <c r="W73" i="2" a="1"/>
  <c r="W73" i="2" s="1"/>
  <c r="X73" i="2" a="1"/>
  <c r="X73" i="2" s="1"/>
  <c r="Y73" i="2"/>
  <c r="K74" i="2"/>
  <c r="W74" i="2" a="1"/>
  <c r="W74" i="2" s="1"/>
  <c r="X74" i="2" a="1"/>
  <c r="X74" i="2" s="1"/>
  <c r="Y74" i="2"/>
  <c r="K75" i="2"/>
  <c r="W75" i="2" a="1"/>
  <c r="W75" i="2" s="1"/>
  <c r="X75" i="2" a="1"/>
  <c r="X75" i="2" s="1"/>
  <c r="Y75" i="2"/>
  <c r="K76" i="2"/>
  <c r="W76" i="2" a="1"/>
  <c r="W76" i="2" s="1"/>
  <c r="X76" i="2" a="1"/>
  <c r="X76" i="2" s="1"/>
  <c r="Y76" i="2"/>
  <c r="K77" i="2"/>
  <c r="W77" i="2" a="1"/>
  <c r="W77" i="2" s="1"/>
  <c r="X77" i="2" a="1"/>
  <c r="X77" i="2" s="1"/>
  <c r="Y77" i="2"/>
  <c r="K78" i="2"/>
  <c r="W78" i="2" a="1"/>
  <c r="W78" i="2" s="1"/>
  <c r="X78" i="2" a="1"/>
  <c r="X78" i="2" s="1"/>
  <c r="Y78" i="2"/>
  <c r="K79" i="2"/>
  <c r="Z79" i="2" s="1"/>
  <c r="AA79" i="2" s="1"/>
  <c r="W79" i="2" a="1"/>
  <c r="W79" i="2" s="1"/>
  <c r="X79" i="2" a="1"/>
  <c r="X79" i="2" s="1"/>
  <c r="Y79" i="2"/>
  <c r="K80" i="2"/>
  <c r="W80" i="2" a="1"/>
  <c r="W80" i="2" s="1"/>
  <c r="X80" i="2" a="1"/>
  <c r="X80" i="2" s="1"/>
  <c r="Y80" i="2"/>
  <c r="K81" i="2"/>
  <c r="L81" i="2" s="1"/>
  <c r="W81" i="2" a="1"/>
  <c r="W81" i="2" s="1"/>
  <c r="X81" i="2" a="1"/>
  <c r="X81" i="2" s="1"/>
  <c r="Y81" i="2"/>
  <c r="K82" i="2"/>
  <c r="W82" i="2" a="1"/>
  <c r="W82" i="2" s="1"/>
  <c r="X82" i="2" a="1"/>
  <c r="X82" i="2" s="1"/>
  <c r="Y82" i="2"/>
  <c r="K83" i="2"/>
  <c r="W83" i="2" a="1"/>
  <c r="W83" i="2" s="1"/>
  <c r="X83" i="2" a="1"/>
  <c r="X83" i="2" s="1"/>
  <c r="Y83" i="2"/>
  <c r="K84" i="2"/>
  <c r="W84" i="2" a="1"/>
  <c r="W84" i="2" s="1"/>
  <c r="X84" i="2" a="1"/>
  <c r="X84" i="2" s="1"/>
  <c r="Y84" i="2"/>
  <c r="B85" i="2"/>
  <c r="K85" i="2"/>
  <c r="W85" i="2" a="1"/>
  <c r="W85" i="2" s="1"/>
  <c r="X85" i="2" a="1"/>
  <c r="X85" i="2" s="1"/>
  <c r="Y85" i="2"/>
  <c r="K86" i="2"/>
  <c r="L86" i="2" s="1"/>
  <c r="W86" i="2" a="1"/>
  <c r="W86" i="2" s="1"/>
  <c r="X86" i="2" a="1"/>
  <c r="X86" i="2" s="1"/>
  <c r="Y86" i="2"/>
  <c r="K87" i="2"/>
  <c r="Z87" i="2" s="1"/>
  <c r="AA87" i="2" s="1"/>
  <c r="W87" i="2" a="1"/>
  <c r="W87" i="2" s="1"/>
  <c r="X87" i="2" a="1"/>
  <c r="X87" i="2" s="1"/>
  <c r="Y87" i="2"/>
  <c r="K88" i="2"/>
  <c r="Z88" i="2" s="1"/>
  <c r="AA88" i="2" s="1"/>
  <c r="W88" i="2" a="1"/>
  <c r="W88" i="2" s="1"/>
  <c r="X88" i="2" a="1"/>
  <c r="X88" i="2" s="1"/>
  <c r="Y88" i="2"/>
  <c r="K89" i="2"/>
  <c r="Z89" i="2" s="1"/>
  <c r="AA89" i="2" s="1"/>
  <c r="W89" i="2" a="1"/>
  <c r="W89" i="2" s="1"/>
  <c r="X89" i="2" a="1"/>
  <c r="X89" i="2" s="1"/>
  <c r="Y89" i="2"/>
  <c r="K90" i="2"/>
  <c r="W90" i="2" a="1"/>
  <c r="W90" i="2" s="1"/>
  <c r="X90" i="2" a="1"/>
  <c r="X90" i="2" s="1"/>
  <c r="Y90" i="2"/>
  <c r="K91" i="2"/>
  <c r="W91" i="2" a="1"/>
  <c r="W91" i="2" s="1"/>
  <c r="X91" i="2" a="1"/>
  <c r="X91" i="2" s="1"/>
  <c r="Y91" i="2"/>
  <c r="B92" i="2"/>
  <c r="K92" i="2"/>
  <c r="W92" i="2" a="1"/>
  <c r="W92" i="2" s="1"/>
  <c r="X92" i="2" a="1"/>
  <c r="X92" i="2" s="1"/>
  <c r="Y92" i="2"/>
  <c r="K93" i="2"/>
  <c r="Z93" i="2" s="1"/>
  <c r="AA93" i="2" s="1"/>
  <c r="W93" i="2" a="1"/>
  <c r="W93" i="2" s="1"/>
  <c r="X93" i="2" a="1"/>
  <c r="X93" i="2" s="1"/>
  <c r="Y93" i="2"/>
  <c r="K94" i="2"/>
  <c r="Z94" i="2" s="1"/>
  <c r="AA94" i="2" s="1"/>
  <c r="W94" i="2" a="1"/>
  <c r="W94" i="2" s="1"/>
  <c r="X94" i="2" a="1"/>
  <c r="X94" i="2" s="1"/>
  <c r="Y94" i="2"/>
  <c r="K95" i="2"/>
  <c r="Z95" i="2" s="1"/>
  <c r="AA95" i="2" s="1"/>
  <c r="W95" i="2" a="1"/>
  <c r="W95" i="2" s="1"/>
  <c r="X95" i="2" a="1"/>
  <c r="X95" i="2" s="1"/>
  <c r="Y95" i="2"/>
  <c r="K96" i="2"/>
  <c r="L96" i="2" s="1"/>
  <c r="W96" i="2" a="1"/>
  <c r="W96" i="2" s="1"/>
  <c r="X96" i="2" a="1"/>
  <c r="X96" i="2" s="1"/>
  <c r="Y96" i="2"/>
  <c r="K97" i="2"/>
  <c r="Z97" i="2" s="1"/>
  <c r="AA97" i="2" s="1"/>
  <c r="W97" i="2" a="1"/>
  <c r="W97" i="2" s="1"/>
  <c r="X97" i="2" a="1"/>
  <c r="X97" i="2" s="1"/>
  <c r="Y97" i="2"/>
  <c r="K98" i="2"/>
  <c r="W98" i="2" a="1"/>
  <c r="W98" i="2" s="1"/>
  <c r="X98" i="2" a="1"/>
  <c r="X98" i="2" s="1"/>
  <c r="Y98" i="2"/>
  <c r="K99" i="2"/>
  <c r="W99" i="2" a="1"/>
  <c r="W99" i="2" s="1"/>
  <c r="X99" i="2" a="1"/>
  <c r="X99" i="2" s="1"/>
  <c r="Y99" i="2"/>
  <c r="K100" i="2"/>
  <c r="W100" i="2" a="1"/>
  <c r="W100" i="2" s="1"/>
  <c r="X100" i="2" a="1"/>
  <c r="X100" i="2" s="1"/>
  <c r="Y100" i="2"/>
  <c r="K101" i="2"/>
  <c r="W101" i="2" a="1"/>
  <c r="W101" i="2" s="1"/>
  <c r="X101" i="2" a="1"/>
  <c r="X101" i="2" s="1"/>
  <c r="Y101" i="2"/>
  <c r="K102" i="2"/>
  <c r="Z102" i="2" s="1"/>
  <c r="AA102" i="2" s="1"/>
  <c r="W102" i="2" a="1"/>
  <c r="W102" i="2" s="1"/>
  <c r="X102" i="2" a="1"/>
  <c r="X102" i="2" s="1"/>
  <c r="Y102" i="2"/>
  <c r="K103" i="2"/>
  <c r="L103" i="2" s="1"/>
  <c r="W103" i="2" a="1"/>
  <c r="W103" i="2" s="1"/>
  <c r="X103" i="2" a="1"/>
  <c r="X103" i="2" s="1"/>
  <c r="Y103" i="2"/>
  <c r="K104" i="2"/>
  <c r="L104" i="2" s="1"/>
  <c r="W104" i="2" a="1"/>
  <c r="W104" i="2" s="1"/>
  <c r="X104" i="2" a="1"/>
  <c r="X104" i="2" s="1"/>
  <c r="Y104" i="2"/>
  <c r="K105" i="2"/>
  <c r="Z105" i="2" s="1"/>
  <c r="AA105" i="2" s="1"/>
  <c r="W105" i="2" a="1"/>
  <c r="W105" i="2" s="1"/>
  <c r="X105" i="2" a="1"/>
  <c r="X105" i="2" s="1"/>
  <c r="Y105" i="2"/>
  <c r="K106" i="2"/>
  <c r="Z106" i="2" s="1"/>
  <c r="AA106" i="2" s="1"/>
  <c r="W106" i="2" a="1"/>
  <c r="W106" i="2" s="1"/>
  <c r="X106" i="2" a="1"/>
  <c r="X106" i="2" s="1"/>
  <c r="Y106" i="2"/>
  <c r="K107" i="2"/>
  <c r="W107" i="2" a="1"/>
  <c r="W107" i="2" s="1"/>
  <c r="X107" i="2" a="1"/>
  <c r="X107" i="2" s="1"/>
  <c r="Y107" i="2"/>
  <c r="K108" i="2"/>
  <c r="W108" i="2" a="1"/>
  <c r="W108" i="2" s="1"/>
  <c r="X108" i="2" a="1"/>
  <c r="X108" i="2" s="1"/>
  <c r="Y108" i="2"/>
  <c r="K109" i="2"/>
  <c r="W109" i="2" a="1"/>
  <c r="W109" i="2" s="1"/>
  <c r="X109" i="2" a="1"/>
  <c r="X109" i="2" s="1"/>
  <c r="Y109" i="2"/>
  <c r="K110" i="2"/>
  <c r="Z110" i="2" s="1"/>
  <c r="AA110" i="2" s="1"/>
  <c r="W110" i="2" a="1"/>
  <c r="W110" i="2" s="1"/>
  <c r="X110" i="2" a="1"/>
  <c r="X110" i="2" s="1"/>
  <c r="Y110" i="2"/>
  <c r="K111" i="2"/>
  <c r="L111" i="2" s="1"/>
  <c r="W111" i="2" a="1"/>
  <c r="W111" i="2" s="1"/>
  <c r="X111" i="2" a="1"/>
  <c r="X111" i="2" s="1"/>
  <c r="Y111" i="2"/>
  <c r="K112" i="2"/>
  <c r="Z112" i="2" s="1"/>
  <c r="AA112" i="2" s="1"/>
  <c r="W112" i="2" a="1"/>
  <c r="W112" i="2" s="1"/>
  <c r="X112" i="2" a="1"/>
  <c r="X112" i="2" s="1"/>
  <c r="Y112" i="2"/>
  <c r="B113" i="2"/>
  <c r="K113" i="2"/>
  <c r="W113" i="2" a="1"/>
  <c r="W113" i="2" s="1"/>
  <c r="X113" i="2" a="1"/>
  <c r="X113" i="2" s="1"/>
  <c r="Y113" i="2"/>
  <c r="B114" i="2"/>
  <c r="K114" i="2"/>
  <c r="W114" i="2" a="1"/>
  <c r="W114" i="2" s="1"/>
  <c r="X114" i="2" a="1"/>
  <c r="X114" i="2" s="1"/>
  <c r="Y114" i="2"/>
  <c r="K115" i="2"/>
  <c r="W115" i="2" a="1"/>
  <c r="W115" i="2" s="1"/>
  <c r="X115" i="2" a="1"/>
  <c r="X115" i="2" s="1"/>
  <c r="Y115" i="2"/>
  <c r="K116" i="2"/>
  <c r="W116" i="2" a="1"/>
  <c r="W116" i="2" s="1"/>
  <c r="X116" i="2" a="1"/>
  <c r="X116" i="2" s="1"/>
  <c r="Y116" i="2"/>
  <c r="K117" i="2"/>
  <c r="L117" i="2" s="1"/>
  <c r="W117" i="2" a="1"/>
  <c r="W117" i="2" s="1"/>
  <c r="X117" i="2" a="1"/>
  <c r="X117" i="2" s="1"/>
  <c r="Y117" i="2"/>
  <c r="B118" i="2"/>
  <c r="K118" i="2"/>
  <c r="W118" i="2" a="1"/>
  <c r="W118" i="2" s="1"/>
  <c r="X118" i="2" a="1"/>
  <c r="X118" i="2" s="1"/>
  <c r="Y118" i="2"/>
  <c r="K119" i="2"/>
  <c r="Z119" i="2" s="1"/>
  <c r="AA119" i="2" s="1"/>
  <c r="W119" i="2" a="1"/>
  <c r="W119" i="2" s="1"/>
  <c r="X119" i="2" a="1"/>
  <c r="X119" i="2" s="1"/>
  <c r="Y119" i="2"/>
  <c r="K120" i="2"/>
  <c r="Z120" i="2" s="1"/>
  <c r="AA120" i="2" s="1"/>
  <c r="W120" i="2" a="1"/>
  <c r="W120" i="2" s="1"/>
  <c r="X120" i="2" a="1"/>
  <c r="X120" i="2" s="1"/>
  <c r="Y120" i="2"/>
  <c r="K121" i="2"/>
  <c r="W121" i="2" a="1"/>
  <c r="W121" i="2" s="1"/>
  <c r="X121" i="2" a="1"/>
  <c r="X121" i="2" s="1"/>
  <c r="Y121" i="2"/>
  <c r="B122" i="2"/>
  <c r="K122" i="2"/>
  <c r="W122" i="2" a="1"/>
  <c r="W122" i="2" s="1"/>
  <c r="X122" i="2" a="1"/>
  <c r="X122" i="2" s="1"/>
  <c r="Y122" i="2"/>
  <c r="K123" i="2"/>
  <c r="W123" i="2" a="1"/>
  <c r="W123" i="2" s="1"/>
  <c r="X123" i="2" a="1"/>
  <c r="X123" i="2" s="1"/>
  <c r="Y123" i="2"/>
  <c r="K124" i="2"/>
  <c r="W124" i="2" a="1"/>
  <c r="W124" i="2" s="1"/>
  <c r="X124" i="2" a="1"/>
  <c r="X124" i="2" s="1"/>
  <c r="Y124" i="2"/>
  <c r="K125" i="2"/>
  <c r="L125" i="2" s="1"/>
  <c r="W125" i="2" a="1"/>
  <c r="W125" i="2" s="1"/>
  <c r="X125" i="2" a="1"/>
  <c r="X125" i="2" s="1"/>
  <c r="Y125" i="2"/>
  <c r="K126" i="2"/>
  <c r="W126" i="2" a="1"/>
  <c r="W126" i="2" s="1"/>
  <c r="X126" i="2" a="1"/>
  <c r="X126" i="2" s="1"/>
  <c r="Y126" i="2"/>
  <c r="K127" i="2"/>
  <c r="W127" i="2" a="1"/>
  <c r="W127" i="2" s="1"/>
  <c r="X127" i="2" a="1"/>
  <c r="X127" i="2" s="1"/>
  <c r="Y127" i="2"/>
  <c r="K128" i="2"/>
  <c r="L128" i="2" s="1"/>
  <c r="W128" i="2" a="1"/>
  <c r="W128" i="2" s="1"/>
  <c r="X128" i="2" a="1"/>
  <c r="X128" i="2" s="1"/>
  <c r="Y128" i="2"/>
  <c r="K129" i="2"/>
  <c r="W129" i="2" a="1"/>
  <c r="W129" i="2" s="1"/>
  <c r="X129" i="2" a="1"/>
  <c r="X129" i="2" s="1"/>
  <c r="Y129" i="2"/>
  <c r="K130" i="2"/>
  <c r="W130" i="2" a="1"/>
  <c r="W130" i="2" s="1"/>
  <c r="X130" i="2" a="1"/>
  <c r="X130" i="2" s="1"/>
  <c r="Y130" i="2"/>
  <c r="K131" i="2"/>
  <c r="W131" i="2" a="1"/>
  <c r="W131" i="2" s="1"/>
  <c r="X131" i="2" a="1"/>
  <c r="X131" i="2" s="1"/>
  <c r="Y131" i="2"/>
  <c r="K132" i="2"/>
  <c r="W132" i="2" a="1"/>
  <c r="W132" i="2" s="1"/>
  <c r="X132" i="2" a="1"/>
  <c r="X132" i="2" s="1"/>
  <c r="Y132" i="2"/>
  <c r="B133" i="2"/>
  <c r="K133" i="2"/>
  <c r="L133" i="2" s="1"/>
  <c r="W133" i="2" a="1"/>
  <c r="W133" i="2" s="1"/>
  <c r="X133" i="2" a="1"/>
  <c r="X133" i="2" s="1"/>
  <c r="Y133" i="2"/>
  <c r="B134" i="2"/>
  <c r="K134" i="2"/>
  <c r="W134" i="2" a="1"/>
  <c r="W134" i="2" s="1"/>
  <c r="X134" i="2" a="1"/>
  <c r="X134" i="2" s="1"/>
  <c r="Y134" i="2"/>
  <c r="K135" i="2"/>
  <c r="L135" i="2" s="1"/>
  <c r="W135" i="2" a="1"/>
  <c r="W135" i="2" s="1"/>
  <c r="X135" i="2" a="1"/>
  <c r="X135" i="2" s="1"/>
  <c r="Y135" i="2"/>
  <c r="K136" i="2"/>
  <c r="Z136" i="2" s="1"/>
  <c r="AA136" i="2" s="1"/>
  <c r="W136" i="2" a="1"/>
  <c r="W136" i="2" s="1"/>
  <c r="X136" i="2" a="1"/>
  <c r="X136" i="2" s="1"/>
  <c r="Y136" i="2"/>
  <c r="K137" i="2"/>
  <c r="L137" i="2" s="1"/>
  <c r="W137" i="2" a="1"/>
  <c r="W137" i="2" s="1"/>
  <c r="X137" i="2" a="1"/>
  <c r="X137" i="2" s="1"/>
  <c r="Y137" i="2"/>
  <c r="K138" i="2"/>
  <c r="W138" i="2" a="1"/>
  <c r="W138" i="2" s="1"/>
  <c r="X138" i="2" a="1"/>
  <c r="X138" i="2" s="1"/>
  <c r="Y138" i="2"/>
  <c r="K139" i="2"/>
  <c r="W139" i="2" a="1"/>
  <c r="W139" i="2" s="1"/>
  <c r="X139" i="2" a="1"/>
  <c r="X139" i="2" s="1"/>
  <c r="Y139" i="2"/>
  <c r="B140" i="2"/>
  <c r="K140" i="2"/>
  <c r="W140" i="2" a="1"/>
  <c r="W140" i="2" s="1"/>
  <c r="X140" i="2" a="1"/>
  <c r="X140" i="2" s="1"/>
  <c r="Y140" i="2"/>
  <c r="K141" i="2"/>
  <c r="L141" i="2" s="1"/>
  <c r="W141" i="2" a="1"/>
  <c r="W141" i="2" s="1"/>
  <c r="X141" i="2" a="1"/>
  <c r="X141" i="2" s="1"/>
  <c r="Y141" i="2"/>
  <c r="K142" i="2"/>
  <c r="W142" i="2" a="1"/>
  <c r="W142" i="2" s="1"/>
  <c r="X142" i="2" a="1"/>
  <c r="X142" i="2" s="1"/>
  <c r="Y142" i="2"/>
  <c r="K143" i="2"/>
  <c r="L143" i="2" s="1"/>
  <c r="W143" i="2" a="1"/>
  <c r="W143" i="2" s="1"/>
  <c r="X143" i="2" a="1"/>
  <c r="X143" i="2" s="1"/>
  <c r="Y143" i="2"/>
  <c r="K144" i="2"/>
  <c r="L144" i="2" s="1"/>
  <c r="W144" i="2" a="1"/>
  <c r="W144" i="2" s="1"/>
  <c r="X144" i="2" a="1"/>
  <c r="X144" i="2" s="1"/>
  <c r="Y144" i="2"/>
  <c r="K145" i="2"/>
  <c r="W145" i="2" a="1"/>
  <c r="W145" i="2" s="1"/>
  <c r="X145" i="2" a="1"/>
  <c r="X145" i="2" s="1"/>
  <c r="Y145" i="2"/>
  <c r="K146" i="2"/>
  <c r="W146" i="2" a="1"/>
  <c r="W146" i="2" s="1"/>
  <c r="X146" i="2" a="1"/>
  <c r="X146" i="2" s="1"/>
  <c r="Y146" i="2"/>
  <c r="K147" i="2"/>
  <c r="W147" i="2" a="1"/>
  <c r="W147" i="2" s="1"/>
  <c r="X147" i="2" a="1"/>
  <c r="X147" i="2" s="1"/>
  <c r="Y147" i="2"/>
  <c r="K148" i="2"/>
  <c r="W148" i="2" a="1"/>
  <c r="W148" i="2" s="1"/>
  <c r="X148" i="2" a="1"/>
  <c r="X148" i="2" s="1"/>
  <c r="Y148" i="2"/>
  <c r="K149" i="2"/>
  <c r="L149" i="2" s="1"/>
  <c r="W149" i="2" a="1"/>
  <c r="W149" i="2" s="1"/>
  <c r="X149" i="2" a="1"/>
  <c r="X149" i="2" s="1"/>
  <c r="Y149" i="2"/>
  <c r="K150" i="2"/>
  <c r="Z150" i="2" s="1"/>
  <c r="AA150" i="2" s="1"/>
  <c r="W150" i="2" a="1"/>
  <c r="W150" i="2" s="1"/>
  <c r="X150" i="2" a="1"/>
  <c r="X150" i="2" s="1"/>
  <c r="Y150" i="2"/>
  <c r="K151" i="2"/>
  <c r="Z151" i="2" s="1"/>
  <c r="AA151" i="2" s="1"/>
  <c r="W151" i="2" a="1"/>
  <c r="W151" i="2" s="1"/>
  <c r="X151" i="2" a="1"/>
  <c r="X151" i="2" s="1"/>
  <c r="Y151" i="2"/>
  <c r="K152" i="2"/>
  <c r="W152" i="2" a="1"/>
  <c r="W152" i="2" s="1"/>
  <c r="X152" i="2" a="1"/>
  <c r="X152" i="2" s="1"/>
  <c r="Y152" i="2"/>
  <c r="K153" i="2"/>
  <c r="Z153" i="2" s="1"/>
  <c r="AA153" i="2" s="1"/>
  <c r="W153" i="2" a="1"/>
  <c r="W153" i="2" s="1"/>
  <c r="X153" i="2" a="1"/>
  <c r="X153" i="2" s="1"/>
  <c r="Y153" i="2"/>
  <c r="K154" i="2"/>
  <c r="Z154" i="2" s="1"/>
  <c r="AA154" i="2" s="1"/>
  <c r="W154" i="2" a="1"/>
  <c r="W154" i="2" s="1"/>
  <c r="X154" i="2" a="1"/>
  <c r="X154" i="2" s="1"/>
  <c r="Y154" i="2"/>
  <c r="K155" i="2"/>
  <c r="W155" i="2" a="1"/>
  <c r="W155" i="2" s="1"/>
  <c r="X155" i="2" a="1"/>
  <c r="X155" i="2" s="1"/>
  <c r="Y155" i="2"/>
  <c r="K156" i="2"/>
  <c r="W156" i="2" a="1"/>
  <c r="W156" i="2" s="1"/>
  <c r="X156" i="2" a="1"/>
  <c r="X156" i="2" s="1"/>
  <c r="Y156" i="2"/>
  <c r="K157" i="2"/>
  <c r="W157" i="2" a="1"/>
  <c r="W157" i="2" s="1"/>
  <c r="X157" i="2" a="1"/>
  <c r="X157" i="2" s="1"/>
  <c r="Y157" i="2"/>
  <c r="K158" i="2"/>
  <c r="Z158" i="2" s="1"/>
  <c r="AA158" i="2" s="1"/>
  <c r="W158" i="2" a="1"/>
  <c r="W158" i="2" s="1"/>
  <c r="X158" i="2" a="1"/>
  <c r="X158" i="2" s="1"/>
  <c r="Y158" i="2"/>
  <c r="K159" i="2"/>
  <c r="Z159" i="2" s="1"/>
  <c r="AA159" i="2" s="1"/>
  <c r="W159" i="2" a="1"/>
  <c r="W159" i="2" s="1"/>
  <c r="X159" i="2" a="1"/>
  <c r="X159" i="2" s="1"/>
  <c r="Y159" i="2"/>
  <c r="K160" i="2"/>
  <c r="Z160" i="2" s="1"/>
  <c r="AA160" i="2" s="1"/>
  <c r="W160" i="2" a="1"/>
  <c r="W160" i="2" s="1"/>
  <c r="X160" i="2" a="1"/>
  <c r="X160" i="2" s="1"/>
  <c r="Y160" i="2"/>
  <c r="K161" i="2"/>
  <c r="Z161" i="2" s="1"/>
  <c r="AA161" i="2" s="1"/>
  <c r="W161" i="2" a="1"/>
  <c r="W161" i="2" s="1"/>
  <c r="X161" i="2" a="1"/>
  <c r="X161" i="2" s="1"/>
  <c r="Y161" i="2"/>
  <c r="K162" i="2"/>
  <c r="W162" i="2" a="1"/>
  <c r="W162" i="2" s="1"/>
  <c r="X162" i="2" a="1"/>
  <c r="X162" i="2" s="1"/>
  <c r="Y162" i="2"/>
  <c r="K163" i="2"/>
  <c r="W163" i="2" a="1"/>
  <c r="W163" i="2" s="1"/>
  <c r="X163" i="2" a="1"/>
  <c r="X163" i="2" s="1"/>
  <c r="Y163" i="2"/>
  <c r="K164" i="2"/>
  <c r="W164" i="2" a="1"/>
  <c r="W164" i="2" s="1"/>
  <c r="X164" i="2" a="1"/>
  <c r="X164" i="2" s="1"/>
  <c r="Y164" i="2"/>
  <c r="Z165" i="2"/>
  <c r="AA165" i="2" s="1"/>
  <c r="K165" i="2"/>
  <c r="W165" i="2" a="1"/>
  <c r="W165" i="2" s="1"/>
  <c r="X165" i="2" a="1"/>
  <c r="X165" i="2" s="1"/>
  <c r="Y165" i="2"/>
  <c r="K166" i="2"/>
  <c r="Z166" i="2" s="1"/>
  <c r="AA166" i="2" s="1"/>
  <c r="W166" i="2" a="1"/>
  <c r="W166" i="2" s="1"/>
  <c r="X166" i="2" a="1"/>
  <c r="X166" i="2" s="1"/>
  <c r="Y166" i="2"/>
  <c r="K167" i="2"/>
  <c r="L167" i="2" s="1"/>
  <c r="W167" i="2" a="1"/>
  <c r="W167" i="2" s="1"/>
  <c r="X167" i="2" a="1"/>
  <c r="X167" i="2" s="1"/>
  <c r="Y167" i="2"/>
  <c r="K168" i="2"/>
  <c r="W168" i="2" a="1"/>
  <c r="W168" i="2" s="1"/>
  <c r="X168" i="2" a="1"/>
  <c r="X168" i="2" s="1"/>
  <c r="Y168" i="2"/>
  <c r="K169" i="2"/>
  <c r="Z169" i="2" s="1"/>
  <c r="AA169" i="2" s="1"/>
  <c r="W169" i="2" a="1"/>
  <c r="W169" i="2" s="1"/>
  <c r="X169" i="2" a="1"/>
  <c r="X169" i="2" s="1"/>
  <c r="Y169" i="2"/>
  <c r="K170" i="2"/>
  <c r="W170" i="2" a="1"/>
  <c r="W170" i="2" s="1"/>
  <c r="X170" i="2" a="1"/>
  <c r="X170" i="2" s="1"/>
  <c r="Y170" i="2"/>
  <c r="K171" i="2"/>
  <c r="W171" i="2" a="1"/>
  <c r="W171" i="2" s="1"/>
  <c r="X171" i="2" a="1"/>
  <c r="X171" i="2" s="1"/>
  <c r="Y171" i="2"/>
  <c r="K172" i="2"/>
  <c r="W172" i="2" a="1"/>
  <c r="W172" i="2" s="1"/>
  <c r="X172" i="2" a="1"/>
  <c r="X172" i="2" s="1"/>
  <c r="Y172" i="2"/>
  <c r="K173" i="2"/>
  <c r="L173" i="2" s="1"/>
  <c r="W173" i="2" a="1"/>
  <c r="W173" i="2" s="1"/>
  <c r="X173" i="2" a="1"/>
  <c r="X173" i="2" s="1"/>
  <c r="Y173" i="2"/>
  <c r="K174" i="2"/>
  <c r="Z174" i="2" s="1"/>
  <c r="AA174" i="2" s="1"/>
  <c r="W174" i="2" a="1"/>
  <c r="W174" i="2" s="1"/>
  <c r="X174" i="2" a="1"/>
  <c r="X174" i="2" s="1"/>
  <c r="Y174" i="2"/>
  <c r="K175" i="2"/>
  <c r="W175" i="2" a="1"/>
  <c r="W175" i="2" s="1"/>
  <c r="X175" i="2" a="1"/>
  <c r="X175" i="2" s="1"/>
  <c r="Y175" i="2"/>
  <c r="K176" i="2"/>
  <c r="Z176" i="2" s="1"/>
  <c r="AA176" i="2" s="1"/>
  <c r="W176" i="2" a="1"/>
  <c r="W176" i="2" s="1"/>
  <c r="X176" i="2" a="1"/>
  <c r="X176" i="2" s="1"/>
  <c r="Y176" i="2"/>
  <c r="K177" i="2"/>
  <c r="Z177" i="2" s="1"/>
  <c r="AA177" i="2" s="1"/>
  <c r="W177" i="2" a="1"/>
  <c r="W177" i="2" s="1"/>
  <c r="X177" i="2" a="1"/>
  <c r="X177" i="2" s="1"/>
  <c r="Y177" i="2"/>
  <c r="K178" i="2"/>
  <c r="W178" i="2" a="1"/>
  <c r="W178" i="2" s="1"/>
  <c r="X178" i="2" a="1"/>
  <c r="X178" i="2" s="1"/>
  <c r="Y178" i="2"/>
  <c r="B179" i="2"/>
  <c r="K179" i="2"/>
  <c r="W179" i="2" a="1"/>
  <c r="W179" i="2" s="1"/>
  <c r="X179" i="2" a="1"/>
  <c r="X179" i="2" s="1"/>
  <c r="Y179" i="2"/>
  <c r="K180" i="2"/>
  <c r="W180" i="2" a="1"/>
  <c r="W180" i="2" s="1"/>
  <c r="X180" i="2" a="1"/>
  <c r="X180" i="2" s="1"/>
  <c r="Y180" i="2"/>
  <c r="B181" i="2"/>
  <c r="K181" i="2"/>
  <c r="Z181" i="2" s="1"/>
  <c r="AA181" i="2" s="1"/>
  <c r="W181" i="2" a="1"/>
  <c r="W181" i="2" s="1"/>
  <c r="X181" i="2" a="1"/>
  <c r="X181" i="2" s="1"/>
  <c r="Y181" i="2"/>
  <c r="K182" i="2"/>
  <c r="Z182" i="2" s="1"/>
  <c r="AA182" i="2" s="1"/>
  <c r="W182" i="2" a="1"/>
  <c r="W182" i="2" s="1"/>
  <c r="X182" i="2" a="1"/>
  <c r="X182" i="2" s="1"/>
  <c r="Y182" i="2"/>
  <c r="K183" i="2"/>
  <c r="L183" i="2" s="1"/>
  <c r="W183" i="2" a="1"/>
  <c r="W183" i="2" s="1"/>
  <c r="X183" i="2" a="1"/>
  <c r="X183" i="2" s="1"/>
  <c r="Y183" i="2"/>
  <c r="K184" i="2"/>
  <c r="Z184" i="2" s="1"/>
  <c r="AA184" i="2" s="1"/>
  <c r="W184" i="2" a="1"/>
  <c r="W184" i="2" s="1"/>
  <c r="X184" i="2" a="1"/>
  <c r="X184" i="2" s="1"/>
  <c r="Y184" i="2"/>
  <c r="B185" i="2"/>
  <c r="K185" i="2"/>
  <c r="Z185" i="2" s="1"/>
  <c r="AA185" i="2" s="1"/>
  <c r="W185" i="2" a="1"/>
  <c r="W185" i="2" s="1"/>
  <c r="X185" i="2" a="1"/>
  <c r="X185" i="2" s="1"/>
  <c r="Y185" i="2"/>
  <c r="K186" i="2"/>
  <c r="W186" i="2" a="1"/>
  <c r="W186" i="2" s="1"/>
  <c r="X186" i="2" a="1"/>
  <c r="X186" i="2" s="1"/>
  <c r="Y186" i="2"/>
  <c r="K187" i="2"/>
  <c r="W187" i="2" a="1"/>
  <c r="W187" i="2" s="1"/>
  <c r="X187" i="2" a="1"/>
  <c r="X187" i="2" s="1"/>
  <c r="Y187" i="2"/>
  <c r="K188" i="2"/>
  <c r="W188" i="2" a="1"/>
  <c r="W188" i="2" s="1"/>
  <c r="X188" i="2" a="1"/>
  <c r="X188" i="2" s="1"/>
  <c r="Y188" i="2"/>
  <c r="B189" i="2"/>
  <c r="K189" i="2"/>
  <c r="L189" i="2" s="1"/>
  <c r="W189" i="2" a="1"/>
  <c r="W189" i="2" s="1"/>
  <c r="X189" i="2" a="1"/>
  <c r="X189" i="2" s="1"/>
  <c r="Y189" i="2"/>
  <c r="K190" i="2"/>
  <c r="Z190" i="2" s="1"/>
  <c r="AA190" i="2" s="1"/>
  <c r="W190" i="2" a="1"/>
  <c r="W190" i="2" s="1"/>
  <c r="X190" i="2" a="1"/>
  <c r="X190" i="2" s="1"/>
  <c r="Y190" i="2"/>
  <c r="B191" i="2"/>
  <c r="K191" i="2"/>
  <c r="W191" i="2" a="1"/>
  <c r="W191" i="2" s="1"/>
  <c r="X191" i="2" a="1"/>
  <c r="X191" i="2" s="1"/>
  <c r="Y191" i="2"/>
  <c r="K192" i="2"/>
  <c r="Z192" i="2" s="1"/>
  <c r="AA192" i="2" s="1"/>
  <c r="W192" i="2" a="1"/>
  <c r="W192" i="2" s="1"/>
  <c r="X192" i="2" a="1"/>
  <c r="X192" i="2" s="1"/>
  <c r="Y192" i="2"/>
  <c r="K193" i="2"/>
  <c r="W193" i="2" a="1"/>
  <c r="W193" i="2" s="1"/>
  <c r="X193" i="2" a="1"/>
  <c r="X193" i="2" s="1"/>
  <c r="Y193" i="2"/>
  <c r="K194" i="2"/>
  <c r="Z194" i="2" s="1"/>
  <c r="AA194" i="2" s="1"/>
  <c r="W194" i="2" a="1"/>
  <c r="W194" i="2" s="1"/>
  <c r="X194" i="2" a="1"/>
  <c r="X194" i="2" s="1"/>
  <c r="Y194" i="2"/>
  <c r="K195" i="2"/>
  <c r="W195" i="2" a="1"/>
  <c r="W195" i="2" s="1"/>
  <c r="X195" i="2" a="1"/>
  <c r="X195" i="2" s="1"/>
  <c r="Y195" i="2"/>
  <c r="K196" i="2"/>
  <c r="W196" i="2" a="1"/>
  <c r="W196" i="2" s="1"/>
  <c r="X196" i="2" a="1"/>
  <c r="X196" i="2" s="1"/>
  <c r="Y196" i="2"/>
  <c r="B197" i="2"/>
  <c r="K197" i="2"/>
  <c r="W197" i="2" a="1"/>
  <c r="W197" i="2" s="1"/>
  <c r="X197" i="2" a="1"/>
  <c r="X197" i="2" s="1"/>
  <c r="Y197" i="2"/>
  <c r="K198" i="2"/>
  <c r="Z198" i="2" s="1"/>
  <c r="AA198" i="2" s="1"/>
  <c r="W198" i="2" a="1"/>
  <c r="W198" i="2" s="1"/>
  <c r="X198" i="2" a="1"/>
  <c r="X198" i="2" s="1"/>
  <c r="Y198" i="2"/>
  <c r="K199" i="2"/>
  <c r="L199" i="2" s="1"/>
  <c r="W199" i="2" a="1"/>
  <c r="W199" i="2" s="1"/>
  <c r="X199" i="2" a="1"/>
  <c r="X199" i="2" s="1"/>
  <c r="Y199" i="2"/>
  <c r="K200" i="2"/>
  <c r="W200" i="2" a="1"/>
  <c r="W200" i="2" s="1"/>
  <c r="X200" i="2" a="1"/>
  <c r="X200" i="2" s="1"/>
  <c r="Y200" i="2"/>
  <c r="K201" i="2"/>
  <c r="W201" i="2" a="1"/>
  <c r="W201" i="2" s="1"/>
  <c r="X201" i="2" a="1"/>
  <c r="X201" i="2" s="1"/>
  <c r="Y201" i="2"/>
  <c r="K202" i="2"/>
  <c r="W202" i="2" a="1"/>
  <c r="W202" i="2" s="1"/>
  <c r="X202" i="2" a="1"/>
  <c r="X202" i="2" s="1"/>
  <c r="Y202" i="2"/>
  <c r="B203" i="2"/>
  <c r="K203" i="2"/>
  <c r="W203" i="2" a="1"/>
  <c r="W203" i="2" s="1"/>
  <c r="X203" i="2" a="1"/>
  <c r="X203" i="2" s="1"/>
  <c r="Y203" i="2"/>
  <c r="B204" i="2"/>
  <c r="K204" i="2"/>
  <c r="W204" i="2" a="1"/>
  <c r="W204" i="2" s="1"/>
  <c r="X204" i="2" a="1"/>
  <c r="X204" i="2" s="1"/>
  <c r="Y204" i="2"/>
  <c r="K205" i="2"/>
  <c r="W205" i="2" a="1"/>
  <c r="W205" i="2" s="1"/>
  <c r="X205" i="2" a="1"/>
  <c r="X205" i="2" s="1"/>
  <c r="Y205" i="2"/>
  <c r="K206" i="2"/>
  <c r="Z206" i="2" s="1"/>
  <c r="AA206" i="2" s="1"/>
  <c r="W206" i="2" a="1"/>
  <c r="W206" i="2" s="1"/>
  <c r="X206" i="2" a="1"/>
  <c r="X206" i="2" s="1"/>
  <c r="Y206" i="2"/>
  <c r="K207" i="2"/>
  <c r="W207" i="2" a="1"/>
  <c r="W207" i="2" s="1"/>
  <c r="X207" i="2" a="1"/>
  <c r="X207" i="2" s="1"/>
  <c r="Y207" i="2"/>
  <c r="K208" i="2"/>
  <c r="Z208" i="2" s="1"/>
  <c r="AA208" i="2" s="1"/>
  <c r="W208" i="2" a="1"/>
  <c r="W208" i="2" s="1"/>
  <c r="X208" i="2" a="1"/>
  <c r="X208" i="2" s="1"/>
  <c r="Y208" i="2"/>
  <c r="K209" i="2"/>
  <c r="W209" i="2" a="1"/>
  <c r="W209" i="2" s="1"/>
  <c r="X209" i="2" a="1"/>
  <c r="X209" i="2" s="1"/>
  <c r="Y209" i="2"/>
  <c r="K210" i="2"/>
  <c r="W210" i="2" a="1"/>
  <c r="W210" i="2" s="1"/>
  <c r="X210" i="2" a="1"/>
  <c r="X210" i="2" s="1"/>
  <c r="Y210" i="2"/>
  <c r="K211" i="2"/>
  <c r="W211" i="2" a="1"/>
  <c r="W211" i="2" s="1"/>
  <c r="X211" i="2" a="1"/>
  <c r="X211" i="2" s="1"/>
  <c r="Y211" i="2"/>
  <c r="K212" i="2"/>
  <c r="W212" i="2" a="1"/>
  <c r="W212" i="2" s="1"/>
  <c r="X212" i="2" a="1"/>
  <c r="X212" i="2" s="1"/>
  <c r="Y212" i="2"/>
  <c r="K213" i="2"/>
  <c r="W213" i="2" a="1"/>
  <c r="W213" i="2" s="1"/>
  <c r="X213" i="2" a="1"/>
  <c r="X213" i="2" s="1"/>
  <c r="Y213" i="2"/>
  <c r="K214" i="2"/>
  <c r="Z214" i="2" s="1"/>
  <c r="AA214" i="2" s="1"/>
  <c r="W214" i="2" a="1"/>
  <c r="W214" i="2" s="1"/>
  <c r="X214" i="2" a="1"/>
  <c r="X214" i="2" s="1"/>
  <c r="Y214" i="2"/>
  <c r="K215" i="2"/>
  <c r="L215" i="2" s="1"/>
  <c r="W215" i="2" a="1"/>
  <c r="W215" i="2" s="1"/>
  <c r="X215" i="2" a="1"/>
  <c r="X215" i="2" s="1"/>
  <c r="Y215" i="2"/>
  <c r="K216" i="2"/>
  <c r="W216" i="2" a="1"/>
  <c r="W216" i="2" s="1"/>
  <c r="X216" i="2" a="1"/>
  <c r="X216" i="2" s="1"/>
  <c r="Y216" i="2"/>
  <c r="K217" i="2"/>
  <c r="W217" i="2" a="1"/>
  <c r="W217" i="2" s="1"/>
  <c r="X217" i="2" a="1"/>
  <c r="X217" i="2" s="1"/>
  <c r="Y217" i="2"/>
  <c r="K218" i="2"/>
  <c r="L218" i="2" s="1"/>
  <c r="W218" i="2" a="1"/>
  <c r="W218" i="2" s="1"/>
  <c r="X218" i="2" a="1"/>
  <c r="X218" i="2" s="1"/>
  <c r="Y218" i="2"/>
  <c r="K219" i="2"/>
  <c r="W219" i="2" a="1"/>
  <c r="W219" i="2" s="1"/>
  <c r="X219" i="2" a="1"/>
  <c r="X219" i="2" s="1"/>
  <c r="Y219" i="2"/>
  <c r="K220" i="2"/>
  <c r="W220" i="2" a="1"/>
  <c r="W220" i="2" s="1"/>
  <c r="X220" i="2" a="1"/>
  <c r="X220" i="2" s="1"/>
  <c r="Y220" i="2"/>
  <c r="B221" i="2"/>
  <c r="K221" i="2"/>
  <c r="Z221" i="2" s="1"/>
  <c r="AA221" i="2" s="1"/>
  <c r="W221" i="2" a="1"/>
  <c r="W221" i="2" s="1"/>
  <c r="X221" i="2" a="1"/>
  <c r="X221" i="2" s="1"/>
  <c r="Y221" i="2"/>
  <c r="K222" i="2"/>
  <c r="Z222" i="2" s="1"/>
  <c r="AA222" i="2" s="1"/>
  <c r="W222" i="2" a="1"/>
  <c r="W222" i="2" s="1"/>
  <c r="X222" i="2" a="1"/>
  <c r="X222" i="2" s="1"/>
  <c r="Y222" i="2"/>
  <c r="K223" i="2"/>
  <c r="Z223" i="2" s="1"/>
  <c r="AA223" i="2" s="1"/>
  <c r="W223" i="2" a="1"/>
  <c r="W223" i="2" s="1"/>
  <c r="X223" i="2" a="1"/>
  <c r="X223" i="2" s="1"/>
  <c r="Y223" i="2"/>
  <c r="K224" i="2"/>
  <c r="Z224" i="2" s="1"/>
  <c r="AA224" i="2" s="1"/>
  <c r="W224" i="2" a="1"/>
  <c r="W224" i="2" s="1"/>
  <c r="X224" i="2" a="1"/>
  <c r="X224" i="2" s="1"/>
  <c r="Y224" i="2"/>
  <c r="B225" i="2"/>
  <c r="K225" i="2"/>
  <c r="W225" i="2" a="1"/>
  <c r="W225" i="2" s="1"/>
  <c r="X225" i="2" a="1"/>
  <c r="X225" i="2" s="1"/>
  <c r="Y225" i="2"/>
  <c r="K226" i="2"/>
  <c r="Z226" i="2" s="1"/>
  <c r="AA226" i="2" s="1"/>
  <c r="W226" i="2" a="1"/>
  <c r="W226" i="2" s="1"/>
  <c r="X226" i="2" a="1"/>
  <c r="X226" i="2" s="1"/>
  <c r="Y226" i="2"/>
  <c r="K227" i="2"/>
  <c r="W227" i="2" a="1"/>
  <c r="W227" i="2" s="1"/>
  <c r="X227" i="2" a="1"/>
  <c r="X227" i="2" s="1"/>
  <c r="Y227" i="2"/>
  <c r="K228" i="2"/>
  <c r="W228" i="2" a="1"/>
  <c r="W228" i="2" s="1"/>
  <c r="X228" i="2" a="1"/>
  <c r="X228" i="2" s="1"/>
  <c r="Y228" i="2"/>
  <c r="A229" i="2"/>
  <c r="B229" i="2"/>
  <c r="K229" i="2"/>
  <c r="L229" i="2"/>
  <c r="W229" i="2" a="1"/>
  <c r="W229" i="2" s="1"/>
  <c r="X229" i="2" a="1"/>
  <c r="X229" i="2" s="1"/>
  <c r="Y229" i="2"/>
  <c r="Z229" i="2"/>
  <c r="AA229" i="2" s="1"/>
  <c r="A230" i="2"/>
  <c r="B230" i="2"/>
  <c r="K230" i="2"/>
  <c r="L230" i="2"/>
  <c r="W230" i="2" a="1"/>
  <c r="W230" i="2" s="1"/>
  <c r="X230" i="2" a="1"/>
  <c r="X230" i="2" s="1"/>
  <c r="Y230" i="2"/>
  <c r="Z230" i="2"/>
  <c r="AA230" i="2" s="1"/>
  <c r="A231" i="2"/>
  <c r="B231" i="2"/>
  <c r="K231" i="2"/>
  <c r="L231" i="2"/>
  <c r="W231" i="2" a="1"/>
  <c r="W231" i="2" s="1"/>
  <c r="X231" i="2" a="1"/>
  <c r="X231" i="2" s="1"/>
  <c r="Y231" i="2"/>
  <c r="Z231" i="2"/>
  <c r="AA231" i="2" s="1"/>
  <c r="A232" i="2"/>
  <c r="B232" i="2"/>
  <c r="K232" i="2"/>
  <c r="L232" i="2"/>
  <c r="W232" i="2" a="1"/>
  <c r="W232" i="2" s="1"/>
  <c r="X232" i="2" a="1"/>
  <c r="X232" i="2" s="1"/>
  <c r="Y232" i="2"/>
  <c r="Z232" i="2"/>
  <c r="AA232" i="2" s="1"/>
  <c r="A233" i="2"/>
  <c r="B233" i="2"/>
  <c r="K233" i="2"/>
  <c r="L233" i="2"/>
  <c r="W233" i="2" a="1"/>
  <c r="W233" i="2" s="1"/>
  <c r="X233" i="2" a="1"/>
  <c r="X233" i="2" s="1"/>
  <c r="Y233" i="2"/>
  <c r="Z233" i="2"/>
  <c r="AA233" i="2" s="1"/>
  <c r="A234" i="2"/>
  <c r="B234" i="2"/>
  <c r="K234" i="2"/>
  <c r="L234" i="2"/>
  <c r="W234" i="2" a="1"/>
  <c r="W234" i="2" s="1"/>
  <c r="X234" i="2" a="1"/>
  <c r="X234" i="2" s="1"/>
  <c r="Y234" i="2"/>
  <c r="Z234" i="2"/>
  <c r="AA234" i="2" s="1"/>
  <c r="A235" i="2"/>
  <c r="B235" i="2"/>
  <c r="K235" i="2"/>
  <c r="L235" i="2"/>
  <c r="W235" i="2" a="1"/>
  <c r="W235" i="2" s="1"/>
  <c r="X235" i="2" a="1"/>
  <c r="X235" i="2" s="1"/>
  <c r="Y235" i="2"/>
  <c r="Z235" i="2"/>
  <c r="AA235" i="2" s="1"/>
  <c r="A236" i="2"/>
  <c r="B236" i="2"/>
  <c r="K236" i="2"/>
  <c r="L236" i="2"/>
  <c r="W236" i="2" a="1"/>
  <c r="W236" i="2" s="1"/>
  <c r="X236" i="2" a="1"/>
  <c r="X236" i="2" s="1"/>
  <c r="Y236" i="2"/>
  <c r="Z236" i="2"/>
  <c r="AA236" i="2" s="1"/>
  <c r="A237" i="2"/>
  <c r="B237" i="2"/>
  <c r="K237" i="2"/>
  <c r="L237" i="2"/>
  <c r="W237" i="2" a="1"/>
  <c r="W237" i="2" s="1"/>
  <c r="X237" i="2" a="1"/>
  <c r="X237" i="2" s="1"/>
  <c r="Y237" i="2"/>
  <c r="Z237" i="2"/>
  <c r="AA237" i="2" s="1"/>
  <c r="A238" i="2"/>
  <c r="B238" i="2"/>
  <c r="K238" i="2"/>
  <c r="L238" i="2"/>
  <c r="W238" i="2" a="1"/>
  <c r="W238" i="2" s="1"/>
  <c r="X238" i="2" a="1"/>
  <c r="X238" i="2" s="1"/>
  <c r="Y238" i="2"/>
  <c r="Z238" i="2"/>
  <c r="AA238" i="2" s="1"/>
  <c r="A239" i="2"/>
  <c r="B239" i="2"/>
  <c r="K239" i="2"/>
  <c r="L239" i="2"/>
  <c r="W239" i="2" a="1"/>
  <c r="W239" i="2" s="1"/>
  <c r="X239" i="2" a="1"/>
  <c r="X239" i="2" s="1"/>
  <c r="Y239" i="2"/>
  <c r="Z239" i="2"/>
  <c r="AA239" i="2" s="1"/>
  <c r="A240" i="2"/>
  <c r="B240" i="2"/>
  <c r="K240" i="2"/>
  <c r="L240" i="2"/>
  <c r="W240" i="2" a="1"/>
  <c r="W240" i="2" s="1"/>
  <c r="X240" i="2" a="1"/>
  <c r="X240" i="2" s="1"/>
  <c r="Y240" i="2"/>
  <c r="Z240" i="2"/>
  <c r="AA240" i="2" s="1"/>
  <c r="A241" i="2"/>
  <c r="B241" i="2"/>
  <c r="K241" i="2"/>
  <c r="L241" i="2"/>
  <c r="W241" i="2" a="1"/>
  <c r="W241" i="2" s="1"/>
  <c r="X241" i="2" a="1"/>
  <c r="X241" i="2" s="1"/>
  <c r="Y241" i="2"/>
  <c r="Z241" i="2"/>
  <c r="AA241" i="2" s="1"/>
  <c r="A242" i="2"/>
  <c r="B242" i="2"/>
  <c r="K242" i="2"/>
  <c r="L242" i="2"/>
  <c r="W242" i="2" a="1"/>
  <c r="W242" i="2" s="1"/>
  <c r="X242" i="2" a="1"/>
  <c r="X242" i="2" s="1"/>
  <c r="Y242" i="2"/>
  <c r="Z242" i="2"/>
  <c r="AA242" i="2" s="1"/>
  <c r="A243" i="2"/>
  <c r="B243" i="2"/>
  <c r="K243" i="2"/>
  <c r="L243" i="2"/>
  <c r="W243" i="2" a="1"/>
  <c r="W243" i="2" s="1"/>
  <c r="X243" i="2" a="1"/>
  <c r="X243" i="2" s="1"/>
  <c r="Y243" i="2"/>
  <c r="Z243" i="2"/>
  <c r="AA243" i="2" s="1"/>
  <c r="A244" i="2"/>
  <c r="B244" i="2"/>
  <c r="K244" i="2"/>
  <c r="L244" i="2"/>
  <c r="W244" i="2" a="1"/>
  <c r="W244" i="2" s="1"/>
  <c r="X244" i="2" a="1"/>
  <c r="X244" i="2" s="1"/>
  <c r="Y244" i="2"/>
  <c r="Z244" i="2"/>
  <c r="AA244" i="2" s="1"/>
  <c r="A245" i="2"/>
  <c r="B245" i="2"/>
  <c r="K245" i="2"/>
  <c r="L245" i="2"/>
  <c r="W245" i="2" a="1"/>
  <c r="W245" i="2" s="1"/>
  <c r="X245" i="2" a="1"/>
  <c r="X245" i="2" s="1"/>
  <c r="Y245" i="2"/>
  <c r="Z245" i="2"/>
  <c r="AA245" i="2" s="1"/>
  <c r="A246" i="2"/>
  <c r="B246" i="2"/>
  <c r="K246" i="2"/>
  <c r="L246" i="2"/>
  <c r="W246" i="2" a="1"/>
  <c r="W246" i="2" s="1"/>
  <c r="X246" i="2" a="1"/>
  <c r="X246" i="2" s="1"/>
  <c r="Y246" i="2"/>
  <c r="Z246" i="2"/>
  <c r="AA246" i="2" s="1"/>
  <c r="A247" i="2"/>
  <c r="B247" i="2"/>
  <c r="K247" i="2"/>
  <c r="L247" i="2"/>
  <c r="W247" i="2" a="1"/>
  <c r="W247" i="2" s="1"/>
  <c r="X247" i="2" a="1"/>
  <c r="X247" i="2" s="1"/>
  <c r="Y247" i="2"/>
  <c r="Z247" i="2"/>
  <c r="AA247" i="2" s="1"/>
  <c r="A248" i="2"/>
  <c r="B248" i="2"/>
  <c r="K248" i="2"/>
  <c r="L248" i="2"/>
  <c r="W248" i="2" a="1"/>
  <c r="W248" i="2" s="1"/>
  <c r="X248" i="2" a="1"/>
  <c r="X248" i="2" s="1"/>
  <c r="Y248" i="2"/>
  <c r="Z248" i="2"/>
  <c r="AA248" i="2" s="1"/>
  <c r="A249" i="2"/>
  <c r="B249" i="2"/>
  <c r="K249" i="2"/>
  <c r="L249" i="2"/>
  <c r="W249" i="2" a="1"/>
  <c r="W249" i="2" s="1"/>
  <c r="X249" i="2" a="1"/>
  <c r="X249" i="2" s="1"/>
  <c r="Y249" i="2"/>
  <c r="Z249" i="2"/>
  <c r="AA249" i="2" s="1"/>
  <c r="A250" i="2"/>
  <c r="B250" i="2"/>
  <c r="K250" i="2"/>
  <c r="L250" i="2"/>
  <c r="W250" i="2" a="1"/>
  <c r="W250" i="2" s="1"/>
  <c r="X250" i="2" a="1"/>
  <c r="X250" i="2" s="1"/>
  <c r="Y250" i="2"/>
  <c r="Z250" i="2"/>
  <c r="AA250" i="2" s="1"/>
  <c r="A251" i="2"/>
  <c r="B251" i="2"/>
  <c r="K251" i="2"/>
  <c r="L251" i="2"/>
  <c r="W251" i="2" a="1"/>
  <c r="W251" i="2" s="1"/>
  <c r="X251" i="2" a="1"/>
  <c r="X251" i="2" s="1"/>
  <c r="Y251" i="2"/>
  <c r="Z251" i="2"/>
  <c r="AA251" i="2" s="1"/>
  <c r="A252" i="2"/>
  <c r="B252" i="2"/>
  <c r="K252" i="2"/>
  <c r="L252" i="2"/>
  <c r="W252" i="2" a="1"/>
  <c r="W252" i="2" s="1"/>
  <c r="X252" i="2" a="1"/>
  <c r="X252" i="2" s="1"/>
  <c r="Y252" i="2"/>
  <c r="Z252" i="2"/>
  <c r="AA252" i="2" s="1"/>
  <c r="A253" i="2"/>
  <c r="B253" i="2"/>
  <c r="K253" i="2"/>
  <c r="L253" i="2"/>
  <c r="W253" i="2" a="1"/>
  <c r="W253" i="2" s="1"/>
  <c r="X253" i="2" a="1"/>
  <c r="X253" i="2" s="1"/>
  <c r="Y253" i="2"/>
  <c r="Z253" i="2"/>
  <c r="AA253" i="2" s="1"/>
  <c r="A254" i="2"/>
  <c r="B254" i="2"/>
  <c r="K254" i="2"/>
  <c r="L254" i="2"/>
  <c r="W254" i="2" a="1"/>
  <c r="W254" i="2" s="1"/>
  <c r="X254" i="2" a="1"/>
  <c r="X254" i="2" s="1"/>
  <c r="Y254" i="2"/>
  <c r="Z254" i="2"/>
  <c r="AA254" i="2" s="1"/>
  <c r="A255" i="2"/>
  <c r="B255" i="2"/>
  <c r="K255" i="2"/>
  <c r="L255" i="2"/>
  <c r="W255" i="2" a="1"/>
  <c r="W255" i="2" s="1"/>
  <c r="X255" i="2" a="1"/>
  <c r="X255" i="2" s="1"/>
  <c r="Y255" i="2"/>
  <c r="Z255" i="2"/>
  <c r="AA255" i="2" s="1"/>
  <c r="A256" i="2"/>
  <c r="B256" i="2"/>
  <c r="K256" i="2"/>
  <c r="L256" i="2"/>
  <c r="W256" i="2" a="1"/>
  <c r="W256" i="2" s="1"/>
  <c r="X256" i="2" a="1"/>
  <c r="X256" i="2" s="1"/>
  <c r="Y256" i="2"/>
  <c r="Z256" i="2"/>
  <c r="AA256" i="2" s="1"/>
  <c r="A257" i="2"/>
  <c r="B257" i="2"/>
  <c r="K257" i="2"/>
  <c r="L257" i="2"/>
  <c r="W257" i="2" a="1"/>
  <c r="W257" i="2" s="1"/>
  <c r="X257" i="2" a="1"/>
  <c r="X257" i="2" s="1"/>
  <c r="Y257" i="2"/>
  <c r="Z257" i="2"/>
  <c r="AA257" i="2" s="1"/>
  <c r="A258" i="2"/>
  <c r="B258" i="2"/>
  <c r="K258" i="2"/>
  <c r="L258" i="2"/>
  <c r="W258" i="2" a="1"/>
  <c r="W258" i="2" s="1"/>
  <c r="X258" i="2" a="1"/>
  <c r="X258" i="2" s="1"/>
  <c r="Y258" i="2"/>
  <c r="Z258" i="2"/>
  <c r="AA258" i="2" s="1"/>
  <c r="A259" i="2"/>
  <c r="B259" i="2"/>
  <c r="K259" i="2"/>
  <c r="L259" i="2"/>
  <c r="W259" i="2" a="1"/>
  <c r="W259" i="2" s="1"/>
  <c r="X259" i="2" a="1"/>
  <c r="X259" i="2" s="1"/>
  <c r="Y259" i="2"/>
  <c r="Z259" i="2"/>
  <c r="AA259" i="2" s="1"/>
  <c r="A260" i="2"/>
  <c r="B260" i="2"/>
  <c r="K260" i="2"/>
  <c r="L260" i="2"/>
  <c r="W260" i="2" a="1"/>
  <c r="W260" i="2" s="1"/>
  <c r="X260" i="2" a="1"/>
  <c r="X260" i="2" s="1"/>
  <c r="Y260" i="2"/>
  <c r="Z260" i="2"/>
  <c r="AA260" i="2" s="1"/>
  <c r="A261" i="2"/>
  <c r="B261" i="2"/>
  <c r="K261" i="2"/>
  <c r="L261" i="2"/>
  <c r="W261" i="2" a="1"/>
  <c r="W261" i="2" s="1"/>
  <c r="X261" i="2" a="1"/>
  <c r="X261" i="2" s="1"/>
  <c r="Y261" i="2"/>
  <c r="Z261" i="2"/>
  <c r="AA261" i="2" s="1"/>
  <c r="A262" i="2"/>
  <c r="B262" i="2"/>
  <c r="K262" i="2"/>
  <c r="L262" i="2"/>
  <c r="W262" i="2" a="1"/>
  <c r="W262" i="2" s="1"/>
  <c r="X262" i="2" a="1"/>
  <c r="X262" i="2" s="1"/>
  <c r="Y262" i="2"/>
  <c r="Z262" i="2"/>
  <c r="AA262" i="2" s="1"/>
  <c r="A263" i="2"/>
  <c r="B263" i="2"/>
  <c r="K263" i="2"/>
  <c r="L263" i="2"/>
  <c r="W263" i="2" a="1"/>
  <c r="W263" i="2" s="1"/>
  <c r="X263" i="2" a="1"/>
  <c r="X263" i="2" s="1"/>
  <c r="Y263" i="2"/>
  <c r="Z263" i="2"/>
  <c r="AA263" i="2" s="1"/>
  <c r="A264" i="2"/>
  <c r="B264" i="2"/>
  <c r="K264" i="2"/>
  <c r="L264" i="2"/>
  <c r="W264" i="2" a="1"/>
  <c r="W264" i="2" s="1"/>
  <c r="X264" i="2" a="1"/>
  <c r="X264" i="2" s="1"/>
  <c r="Y264" i="2"/>
  <c r="Z264" i="2"/>
  <c r="AA264" i="2" s="1"/>
  <c r="A265" i="2"/>
  <c r="B265" i="2"/>
  <c r="K265" i="2"/>
  <c r="L265" i="2"/>
  <c r="W265" i="2" a="1"/>
  <c r="W265" i="2" s="1"/>
  <c r="X265" i="2" a="1"/>
  <c r="X265" i="2" s="1"/>
  <c r="Y265" i="2"/>
  <c r="Z265" i="2"/>
  <c r="AA265" i="2" s="1"/>
  <c r="A266" i="2"/>
  <c r="B266" i="2"/>
  <c r="K266" i="2"/>
  <c r="L266" i="2"/>
  <c r="W266" i="2" a="1"/>
  <c r="W266" i="2" s="1"/>
  <c r="X266" i="2" a="1"/>
  <c r="X266" i="2" s="1"/>
  <c r="Y266" i="2"/>
  <c r="Z266" i="2"/>
  <c r="AA266" i="2" s="1"/>
  <c r="A267" i="2"/>
  <c r="B267" i="2"/>
  <c r="K267" i="2"/>
  <c r="L267" i="2"/>
  <c r="W267" i="2" a="1"/>
  <c r="W267" i="2" s="1"/>
  <c r="X267" i="2" a="1"/>
  <c r="X267" i="2" s="1"/>
  <c r="Y267" i="2"/>
  <c r="Z267" i="2"/>
  <c r="AA267" i="2" s="1"/>
  <c r="A268" i="2"/>
  <c r="B268" i="2"/>
  <c r="K268" i="2"/>
  <c r="L268" i="2"/>
  <c r="W268" i="2" a="1"/>
  <c r="W268" i="2" s="1"/>
  <c r="X268" i="2" a="1"/>
  <c r="X268" i="2" s="1"/>
  <c r="Y268" i="2"/>
  <c r="Z268" i="2"/>
  <c r="AA268" i="2" s="1"/>
  <c r="A269" i="2"/>
  <c r="B269" i="2"/>
  <c r="K269" i="2"/>
  <c r="L269" i="2"/>
  <c r="W269" i="2" a="1"/>
  <c r="W269" i="2" s="1"/>
  <c r="X269" i="2" a="1"/>
  <c r="X269" i="2" s="1"/>
  <c r="Y269" i="2"/>
  <c r="Z269" i="2"/>
  <c r="AA269" i="2" s="1"/>
  <c r="A270" i="2"/>
  <c r="B270" i="2"/>
  <c r="K270" i="2"/>
  <c r="L270" i="2"/>
  <c r="W270" i="2" a="1"/>
  <c r="W270" i="2" s="1"/>
  <c r="X270" i="2" a="1"/>
  <c r="X270" i="2" s="1"/>
  <c r="Y270" i="2"/>
  <c r="Z270" i="2"/>
  <c r="AA270" i="2" s="1"/>
  <c r="A271" i="2"/>
  <c r="B271" i="2"/>
  <c r="K271" i="2"/>
  <c r="L271" i="2"/>
  <c r="W271" i="2" a="1"/>
  <c r="W271" i="2" s="1"/>
  <c r="X271" i="2" a="1"/>
  <c r="X271" i="2" s="1"/>
  <c r="Y271" i="2"/>
  <c r="Z271" i="2"/>
  <c r="AA271" i="2" s="1"/>
  <c r="A272" i="2"/>
  <c r="B272" i="2"/>
  <c r="K272" i="2"/>
  <c r="L272" i="2"/>
  <c r="W272" i="2" a="1"/>
  <c r="W272" i="2" s="1"/>
  <c r="X272" i="2" a="1"/>
  <c r="X272" i="2" s="1"/>
  <c r="Y272" i="2"/>
  <c r="Z272" i="2"/>
  <c r="AA272" i="2" s="1"/>
  <c r="A273" i="2"/>
  <c r="B273" i="2"/>
  <c r="K273" i="2"/>
  <c r="L273" i="2"/>
  <c r="W273" i="2" a="1"/>
  <c r="W273" i="2" s="1"/>
  <c r="X273" i="2" a="1"/>
  <c r="X273" i="2" s="1"/>
  <c r="Y273" i="2"/>
  <c r="Z273" i="2"/>
  <c r="AA273" i="2" s="1"/>
  <c r="A274" i="2"/>
  <c r="B274" i="2"/>
  <c r="K274" i="2"/>
  <c r="L274" i="2"/>
  <c r="W274" i="2" a="1"/>
  <c r="W274" i="2" s="1"/>
  <c r="X274" i="2" a="1"/>
  <c r="X274" i="2" s="1"/>
  <c r="Y274" i="2"/>
  <c r="Z274" i="2"/>
  <c r="AA274" i="2" s="1"/>
  <c r="A275" i="2"/>
  <c r="B275" i="2"/>
  <c r="K275" i="2"/>
  <c r="L275" i="2"/>
  <c r="W275" i="2" a="1"/>
  <c r="W275" i="2" s="1"/>
  <c r="X275" i="2" a="1"/>
  <c r="X275" i="2" s="1"/>
  <c r="Y275" i="2"/>
  <c r="Z275" i="2"/>
  <c r="AA275" i="2" s="1"/>
  <c r="A276" i="2"/>
  <c r="B276" i="2"/>
  <c r="K276" i="2"/>
  <c r="L276" i="2"/>
  <c r="W276" i="2" a="1"/>
  <c r="W276" i="2" s="1"/>
  <c r="X276" i="2" a="1"/>
  <c r="X276" i="2" s="1"/>
  <c r="Y276" i="2"/>
  <c r="Z276" i="2"/>
  <c r="AA276" i="2" s="1"/>
  <c r="A277" i="2"/>
  <c r="B277" i="2"/>
  <c r="K277" i="2"/>
  <c r="L277" i="2"/>
  <c r="W277" i="2" a="1"/>
  <c r="W277" i="2" s="1"/>
  <c r="X277" i="2" a="1"/>
  <c r="X277" i="2" s="1"/>
  <c r="Y277" i="2"/>
  <c r="Z277" i="2"/>
  <c r="AA277" i="2" s="1"/>
  <c r="A278" i="2"/>
  <c r="B278" i="2"/>
  <c r="K278" i="2"/>
  <c r="L278" i="2"/>
  <c r="W278" i="2" a="1"/>
  <c r="W278" i="2" s="1"/>
  <c r="X278" i="2" a="1"/>
  <c r="X278" i="2" s="1"/>
  <c r="Y278" i="2"/>
  <c r="Z278" i="2"/>
  <c r="AA278" i="2" s="1"/>
  <c r="A279" i="2"/>
  <c r="B279" i="2"/>
  <c r="K279" i="2"/>
  <c r="L279" i="2"/>
  <c r="W279" i="2" a="1"/>
  <c r="W279" i="2" s="1"/>
  <c r="X279" i="2" a="1"/>
  <c r="X279" i="2" s="1"/>
  <c r="Y279" i="2"/>
  <c r="Z279" i="2"/>
  <c r="AA279" i="2" s="1"/>
  <c r="A280" i="2"/>
  <c r="B280" i="2"/>
  <c r="K280" i="2"/>
  <c r="L280" i="2"/>
  <c r="W280" i="2" a="1"/>
  <c r="W280" i="2" s="1"/>
  <c r="X280" i="2" a="1"/>
  <c r="X280" i="2" s="1"/>
  <c r="Y280" i="2"/>
  <c r="Z280" i="2"/>
  <c r="AA280" i="2" s="1"/>
  <c r="A281" i="2"/>
  <c r="B281" i="2"/>
  <c r="K281" i="2"/>
  <c r="L281" i="2"/>
  <c r="W281" i="2" a="1"/>
  <c r="W281" i="2" s="1"/>
  <c r="X281" i="2" a="1"/>
  <c r="X281" i="2" s="1"/>
  <c r="Y281" i="2"/>
  <c r="Z281" i="2"/>
  <c r="AA281" i="2" s="1"/>
  <c r="A282" i="2"/>
  <c r="B282" i="2"/>
  <c r="K282" i="2"/>
  <c r="L282" i="2"/>
  <c r="W282" i="2" a="1"/>
  <c r="W282" i="2" s="1"/>
  <c r="X282" i="2" a="1"/>
  <c r="X282" i="2" s="1"/>
  <c r="Y282" i="2"/>
  <c r="Z282" i="2"/>
  <c r="AA282" i="2" s="1"/>
  <c r="A283" i="2"/>
  <c r="B283" i="2"/>
  <c r="K283" i="2"/>
  <c r="L283" i="2"/>
  <c r="W283" i="2" a="1"/>
  <c r="W283" i="2" s="1"/>
  <c r="X283" i="2" a="1"/>
  <c r="X283" i="2" s="1"/>
  <c r="Y283" i="2"/>
  <c r="Z283" i="2"/>
  <c r="AA283" i="2" s="1"/>
  <c r="A284" i="2"/>
  <c r="B284" i="2"/>
  <c r="K284" i="2"/>
  <c r="L284" i="2"/>
  <c r="W284" i="2" a="1"/>
  <c r="W284" i="2" s="1"/>
  <c r="X284" i="2" a="1"/>
  <c r="X284" i="2" s="1"/>
  <c r="Y284" i="2"/>
  <c r="Z284" i="2"/>
  <c r="AA284" i="2" s="1"/>
  <c r="A285" i="2"/>
  <c r="B285" i="2"/>
  <c r="K285" i="2"/>
  <c r="L285" i="2"/>
  <c r="W285" i="2" a="1"/>
  <c r="W285" i="2" s="1"/>
  <c r="X285" i="2" a="1"/>
  <c r="X285" i="2" s="1"/>
  <c r="Y285" i="2"/>
  <c r="Z285" i="2"/>
  <c r="AA285" i="2" s="1"/>
  <c r="A286" i="2"/>
  <c r="B286" i="2"/>
  <c r="K286" i="2"/>
  <c r="L286" i="2"/>
  <c r="W286" i="2" a="1"/>
  <c r="W286" i="2" s="1"/>
  <c r="X286" i="2" a="1"/>
  <c r="X286" i="2" s="1"/>
  <c r="Y286" i="2"/>
  <c r="Z286" i="2"/>
  <c r="AA286" i="2" s="1"/>
  <c r="A287" i="2"/>
  <c r="B287" i="2"/>
  <c r="K287" i="2"/>
  <c r="L287" i="2"/>
  <c r="W287" i="2" a="1"/>
  <c r="W287" i="2" s="1"/>
  <c r="X287" i="2" a="1"/>
  <c r="X287" i="2" s="1"/>
  <c r="Y287" i="2"/>
  <c r="Z287" i="2"/>
  <c r="AA287" i="2" s="1"/>
  <c r="A288" i="2"/>
  <c r="B288" i="2"/>
  <c r="K288" i="2"/>
  <c r="L288" i="2"/>
  <c r="W288" i="2" a="1"/>
  <c r="W288" i="2" s="1"/>
  <c r="X288" i="2" a="1"/>
  <c r="X288" i="2" s="1"/>
  <c r="Y288" i="2"/>
  <c r="Z288" i="2"/>
  <c r="AA288" i="2" s="1"/>
  <c r="A289" i="2"/>
  <c r="B289" i="2"/>
  <c r="K289" i="2"/>
  <c r="L289" i="2"/>
  <c r="W289" i="2" a="1"/>
  <c r="W289" i="2" s="1"/>
  <c r="X289" i="2" a="1"/>
  <c r="X289" i="2" s="1"/>
  <c r="Y289" i="2"/>
  <c r="Z289" i="2"/>
  <c r="AA289" i="2" s="1"/>
  <c r="A290" i="2"/>
  <c r="B290" i="2"/>
  <c r="K290" i="2"/>
  <c r="L290" i="2"/>
  <c r="W290" i="2" a="1"/>
  <c r="W290" i="2" s="1"/>
  <c r="X290" i="2" a="1"/>
  <c r="X290" i="2" s="1"/>
  <c r="Y290" i="2"/>
  <c r="Z290" i="2"/>
  <c r="AA290" i="2" s="1"/>
  <c r="A291" i="2"/>
  <c r="B291" i="2"/>
  <c r="K291" i="2"/>
  <c r="L291" i="2"/>
  <c r="W291" i="2" a="1"/>
  <c r="W291" i="2" s="1"/>
  <c r="X291" i="2" a="1"/>
  <c r="X291" i="2" s="1"/>
  <c r="Y291" i="2"/>
  <c r="Z291" i="2"/>
  <c r="AA291" i="2" s="1"/>
  <c r="A292" i="2"/>
  <c r="B292" i="2"/>
  <c r="K292" i="2"/>
  <c r="L292" i="2"/>
  <c r="W292" i="2" a="1"/>
  <c r="W292" i="2" s="1"/>
  <c r="X292" i="2" a="1"/>
  <c r="X292" i="2" s="1"/>
  <c r="Y292" i="2"/>
  <c r="Z292" i="2"/>
  <c r="AA292" i="2" s="1"/>
  <c r="A293" i="2"/>
  <c r="B293" i="2"/>
  <c r="K293" i="2"/>
  <c r="L293" i="2"/>
  <c r="W293" i="2" a="1"/>
  <c r="W293" i="2" s="1"/>
  <c r="X293" i="2" a="1"/>
  <c r="X293" i="2" s="1"/>
  <c r="Y293" i="2"/>
  <c r="Z293" i="2"/>
  <c r="AA293" i="2" s="1"/>
  <c r="A294" i="2"/>
  <c r="B294" i="2"/>
  <c r="K294" i="2"/>
  <c r="L294" i="2"/>
  <c r="W294" i="2" a="1"/>
  <c r="W294" i="2" s="1"/>
  <c r="X294" i="2" a="1"/>
  <c r="X294" i="2" s="1"/>
  <c r="Y294" i="2"/>
  <c r="Z294" i="2"/>
  <c r="AA294" i="2" s="1"/>
  <c r="A295" i="2"/>
  <c r="B295" i="2"/>
  <c r="K295" i="2"/>
  <c r="L295" i="2"/>
  <c r="W295" i="2" a="1"/>
  <c r="W295" i="2" s="1"/>
  <c r="X295" i="2" a="1"/>
  <c r="X295" i="2" s="1"/>
  <c r="Y295" i="2"/>
  <c r="Z295" i="2"/>
  <c r="AA295" i="2" s="1"/>
  <c r="A296" i="2"/>
  <c r="B296" i="2"/>
  <c r="K296" i="2"/>
  <c r="L296" i="2"/>
  <c r="W296" i="2" a="1"/>
  <c r="W296" i="2" s="1"/>
  <c r="X296" i="2" a="1"/>
  <c r="X296" i="2" s="1"/>
  <c r="Y296" i="2"/>
  <c r="Z296" i="2"/>
  <c r="AA296" i="2" s="1"/>
  <c r="A297" i="2"/>
  <c r="B297" i="2"/>
  <c r="K297" i="2"/>
  <c r="L297" i="2"/>
  <c r="W297" i="2" a="1"/>
  <c r="W297" i="2" s="1"/>
  <c r="X297" i="2" a="1"/>
  <c r="X297" i="2" s="1"/>
  <c r="Y297" i="2"/>
  <c r="Z297" i="2"/>
  <c r="AA297" i="2" s="1"/>
  <c r="A298" i="2"/>
  <c r="B298" i="2"/>
  <c r="K298" i="2"/>
  <c r="L298" i="2"/>
  <c r="W298" i="2" a="1"/>
  <c r="W298" i="2" s="1"/>
  <c r="X298" i="2" a="1"/>
  <c r="X298" i="2" s="1"/>
  <c r="Y298" i="2"/>
  <c r="Z298" i="2"/>
  <c r="AA298" i="2" s="1"/>
  <c r="A299" i="2"/>
  <c r="B299" i="2"/>
  <c r="K299" i="2"/>
  <c r="L299" i="2"/>
  <c r="W299" i="2" a="1"/>
  <c r="W299" i="2" s="1"/>
  <c r="X299" i="2" a="1"/>
  <c r="X299" i="2" s="1"/>
  <c r="Y299" i="2"/>
  <c r="Z299" i="2"/>
  <c r="AA299" i="2" s="1"/>
  <c r="A300" i="2"/>
  <c r="B300" i="2"/>
  <c r="K300" i="2"/>
  <c r="L300" i="2"/>
  <c r="W300" i="2" a="1"/>
  <c r="W300" i="2" s="1"/>
  <c r="X300" i="2" a="1"/>
  <c r="X300" i="2" s="1"/>
  <c r="Y300" i="2"/>
  <c r="Z300" i="2"/>
  <c r="AA300" i="2" s="1"/>
  <c r="A301" i="2"/>
  <c r="B301" i="2"/>
  <c r="K301" i="2"/>
  <c r="L301" i="2"/>
  <c r="W301" i="2" a="1"/>
  <c r="W301" i="2" s="1"/>
  <c r="X301" i="2" a="1"/>
  <c r="X301" i="2" s="1"/>
  <c r="Y301" i="2"/>
  <c r="Z301" i="2"/>
  <c r="AA301" i="2" s="1"/>
  <c r="A302" i="2"/>
  <c r="B302" i="2"/>
  <c r="K302" i="2"/>
  <c r="L302" i="2"/>
  <c r="W302" i="2" a="1"/>
  <c r="W302" i="2" s="1"/>
  <c r="X302" i="2" a="1"/>
  <c r="X302" i="2" s="1"/>
  <c r="Y302" i="2"/>
  <c r="Z302" i="2"/>
  <c r="AA302" i="2" s="1"/>
  <c r="A303" i="2"/>
  <c r="B303" i="2"/>
  <c r="K303" i="2"/>
  <c r="L303" i="2"/>
  <c r="W303" i="2" a="1"/>
  <c r="W303" i="2" s="1"/>
  <c r="X303" i="2" a="1"/>
  <c r="X303" i="2" s="1"/>
  <c r="Y303" i="2"/>
  <c r="Z303" i="2"/>
  <c r="AA303" i="2" s="1"/>
  <c r="A304" i="2"/>
  <c r="B304" i="2"/>
  <c r="K304" i="2"/>
  <c r="L304" i="2"/>
  <c r="W304" i="2" a="1"/>
  <c r="W304" i="2" s="1"/>
  <c r="X304" i="2" a="1"/>
  <c r="X304" i="2" s="1"/>
  <c r="Y304" i="2"/>
  <c r="Z304" i="2"/>
  <c r="AA304" i="2" s="1"/>
  <c r="A305" i="2"/>
  <c r="B305" i="2"/>
  <c r="K305" i="2"/>
  <c r="L305" i="2"/>
  <c r="W305" i="2" a="1"/>
  <c r="W305" i="2" s="1"/>
  <c r="X305" i="2" a="1"/>
  <c r="X305" i="2" s="1"/>
  <c r="Y305" i="2"/>
  <c r="Z305" i="2"/>
  <c r="AA305" i="2" s="1"/>
  <c r="A306" i="2"/>
  <c r="B306" i="2"/>
  <c r="K306" i="2"/>
  <c r="L306" i="2"/>
  <c r="W306" i="2" a="1"/>
  <c r="W306" i="2" s="1"/>
  <c r="X306" i="2" a="1"/>
  <c r="X306" i="2" s="1"/>
  <c r="Y306" i="2"/>
  <c r="Z306" i="2"/>
  <c r="AA306" i="2" s="1"/>
  <c r="A307" i="2"/>
  <c r="B307" i="2"/>
  <c r="K307" i="2"/>
  <c r="L307" i="2"/>
  <c r="W307" i="2" a="1"/>
  <c r="W307" i="2" s="1"/>
  <c r="X307" i="2" a="1"/>
  <c r="X307" i="2" s="1"/>
  <c r="Y307" i="2"/>
  <c r="Z307" i="2"/>
  <c r="AA307" i="2" s="1"/>
  <c r="A308" i="2"/>
  <c r="B308" i="2"/>
  <c r="K308" i="2"/>
  <c r="L308" i="2"/>
  <c r="W308" i="2" a="1"/>
  <c r="W308" i="2" s="1"/>
  <c r="X308" i="2" a="1"/>
  <c r="X308" i="2" s="1"/>
  <c r="Y308" i="2"/>
  <c r="Z308" i="2"/>
  <c r="AA308" i="2" s="1"/>
  <c r="A309" i="2"/>
  <c r="B309" i="2"/>
  <c r="K309" i="2"/>
  <c r="L309" i="2"/>
  <c r="W309" i="2" a="1"/>
  <c r="W309" i="2" s="1"/>
  <c r="X309" i="2" a="1"/>
  <c r="X309" i="2" s="1"/>
  <c r="Y309" i="2"/>
  <c r="Z309" i="2"/>
  <c r="AA309" i="2" s="1"/>
  <c r="A310" i="2"/>
  <c r="B310" i="2"/>
  <c r="K310" i="2"/>
  <c r="L310" i="2"/>
  <c r="W310" i="2" a="1"/>
  <c r="W310" i="2" s="1"/>
  <c r="X310" i="2" a="1"/>
  <c r="X310" i="2" s="1"/>
  <c r="Y310" i="2"/>
  <c r="Z310" i="2"/>
  <c r="AA310" i="2" s="1"/>
  <c r="A311" i="2"/>
  <c r="B311" i="2"/>
  <c r="K311" i="2"/>
  <c r="L311" i="2"/>
  <c r="W311" i="2" a="1"/>
  <c r="W311" i="2" s="1"/>
  <c r="X311" i="2" a="1"/>
  <c r="X311" i="2" s="1"/>
  <c r="Y311" i="2"/>
  <c r="Z311" i="2"/>
  <c r="AA311" i="2" s="1"/>
  <c r="A312" i="2"/>
  <c r="B312" i="2"/>
  <c r="K312" i="2"/>
  <c r="L312" i="2"/>
  <c r="W312" i="2" a="1"/>
  <c r="W312" i="2" s="1"/>
  <c r="X312" i="2" a="1"/>
  <c r="X312" i="2" s="1"/>
  <c r="Y312" i="2"/>
  <c r="Z312" i="2"/>
  <c r="AA312" i="2" s="1"/>
  <c r="A313" i="2"/>
  <c r="B313" i="2"/>
  <c r="K313" i="2"/>
  <c r="L313" i="2"/>
  <c r="W313" i="2" a="1"/>
  <c r="W313" i="2" s="1"/>
  <c r="X313" i="2" a="1"/>
  <c r="X313" i="2" s="1"/>
  <c r="Y313" i="2"/>
  <c r="Z313" i="2"/>
  <c r="AA313" i="2" s="1"/>
  <c r="A314" i="2"/>
  <c r="B314" i="2"/>
  <c r="K314" i="2"/>
  <c r="L314" i="2"/>
  <c r="W314" i="2" a="1"/>
  <c r="W314" i="2" s="1"/>
  <c r="X314" i="2" a="1"/>
  <c r="X314" i="2" s="1"/>
  <c r="Y314" i="2"/>
  <c r="Z314" i="2"/>
  <c r="AA314" i="2" s="1"/>
  <c r="A315" i="2"/>
  <c r="B315" i="2"/>
  <c r="K315" i="2"/>
  <c r="L315" i="2"/>
  <c r="W315" i="2" a="1"/>
  <c r="W315" i="2" s="1"/>
  <c r="X315" i="2" a="1"/>
  <c r="X315" i="2" s="1"/>
  <c r="Y315" i="2"/>
  <c r="Z315" i="2"/>
  <c r="AA315" i="2" s="1"/>
  <c r="A316" i="2"/>
  <c r="B316" i="2"/>
  <c r="K316" i="2"/>
  <c r="L316" i="2"/>
  <c r="W316" i="2" a="1"/>
  <c r="W316" i="2" s="1"/>
  <c r="X316" i="2" a="1"/>
  <c r="X316" i="2" s="1"/>
  <c r="Y316" i="2"/>
  <c r="Z316" i="2"/>
  <c r="AA316" i="2" s="1"/>
  <c r="A317" i="2"/>
  <c r="B317" i="2"/>
  <c r="K317" i="2"/>
  <c r="L317" i="2"/>
  <c r="W317" i="2" a="1"/>
  <c r="W317" i="2" s="1"/>
  <c r="X317" i="2" a="1"/>
  <c r="X317" i="2" s="1"/>
  <c r="Y317" i="2"/>
  <c r="Z317" i="2"/>
  <c r="AA317" i="2" s="1"/>
  <c r="A318" i="2"/>
  <c r="B318" i="2"/>
  <c r="K318" i="2"/>
  <c r="L318" i="2"/>
  <c r="W318" i="2" a="1"/>
  <c r="W318" i="2" s="1"/>
  <c r="X318" i="2" a="1"/>
  <c r="X318" i="2" s="1"/>
  <c r="Y318" i="2"/>
  <c r="Z318" i="2"/>
  <c r="AA318" i="2" s="1"/>
  <c r="A319" i="2"/>
  <c r="B319" i="2"/>
  <c r="K319" i="2"/>
  <c r="L319" i="2"/>
  <c r="W319" i="2" a="1"/>
  <c r="W319" i="2" s="1"/>
  <c r="X319" i="2" a="1"/>
  <c r="X319" i="2" s="1"/>
  <c r="Y319" i="2"/>
  <c r="Z319" i="2"/>
  <c r="AA319" i="2" s="1"/>
  <c r="A320" i="2"/>
  <c r="B320" i="2"/>
  <c r="K320" i="2"/>
  <c r="L320" i="2"/>
  <c r="W320" i="2" a="1"/>
  <c r="W320" i="2" s="1"/>
  <c r="X320" i="2" a="1"/>
  <c r="X320" i="2" s="1"/>
  <c r="Y320" i="2"/>
  <c r="Z320" i="2"/>
  <c r="AA320" i="2" s="1"/>
  <c r="A321" i="2"/>
  <c r="B321" i="2"/>
  <c r="K321" i="2"/>
  <c r="L321" i="2"/>
  <c r="W321" i="2" a="1"/>
  <c r="W321" i="2" s="1"/>
  <c r="X321" i="2" a="1"/>
  <c r="X321" i="2" s="1"/>
  <c r="Y321" i="2"/>
  <c r="Z321" i="2"/>
  <c r="AA321" i="2" s="1"/>
  <c r="A322" i="2"/>
  <c r="B322" i="2"/>
  <c r="K322" i="2"/>
  <c r="L322" i="2"/>
  <c r="W322" i="2" a="1"/>
  <c r="W322" i="2" s="1"/>
  <c r="X322" i="2" a="1"/>
  <c r="X322" i="2" s="1"/>
  <c r="Y322" i="2"/>
  <c r="Z322" i="2"/>
  <c r="AA322" i="2" s="1"/>
  <c r="A323" i="2"/>
  <c r="B323" i="2"/>
  <c r="K323" i="2"/>
  <c r="L323" i="2"/>
  <c r="W323" i="2" a="1"/>
  <c r="W323" i="2" s="1"/>
  <c r="X323" i="2" a="1"/>
  <c r="X323" i="2" s="1"/>
  <c r="Y323" i="2"/>
  <c r="Z323" i="2"/>
  <c r="AA323" i="2" s="1"/>
  <c r="A324" i="2"/>
  <c r="B324" i="2"/>
  <c r="K324" i="2"/>
  <c r="L324" i="2"/>
  <c r="W324" i="2" a="1"/>
  <c r="W324" i="2" s="1"/>
  <c r="X324" i="2" a="1"/>
  <c r="X324" i="2" s="1"/>
  <c r="Y324" i="2"/>
  <c r="Z324" i="2"/>
  <c r="AA324" i="2" s="1"/>
  <c r="A325" i="2"/>
  <c r="B325" i="2"/>
  <c r="K325" i="2"/>
  <c r="L325" i="2"/>
  <c r="W325" i="2" a="1"/>
  <c r="W325" i="2" s="1"/>
  <c r="X325" i="2" a="1"/>
  <c r="X325" i="2" s="1"/>
  <c r="Y325" i="2"/>
  <c r="Z325" i="2"/>
  <c r="AA325" i="2" s="1"/>
  <c r="A326" i="2"/>
  <c r="B326" i="2"/>
  <c r="K326" i="2"/>
  <c r="L326" i="2"/>
  <c r="W326" i="2" a="1"/>
  <c r="W326" i="2" s="1"/>
  <c r="X326" i="2" a="1"/>
  <c r="X326" i="2" s="1"/>
  <c r="Y326" i="2"/>
  <c r="Z326" i="2"/>
  <c r="AA326" i="2" s="1"/>
  <c r="A327" i="2"/>
  <c r="B327" i="2"/>
  <c r="K327" i="2"/>
  <c r="L327" i="2"/>
  <c r="W327" i="2" a="1"/>
  <c r="W327" i="2" s="1"/>
  <c r="X327" i="2" a="1"/>
  <c r="X327" i="2" s="1"/>
  <c r="Y327" i="2"/>
  <c r="Z327" i="2"/>
  <c r="AA327" i="2" s="1"/>
  <c r="A328" i="2"/>
  <c r="B328" i="2"/>
  <c r="K328" i="2"/>
  <c r="L328" i="2"/>
  <c r="W328" i="2" a="1"/>
  <c r="W328" i="2" s="1"/>
  <c r="X328" i="2" a="1"/>
  <c r="X328" i="2" s="1"/>
  <c r="Y328" i="2"/>
  <c r="Z328" i="2"/>
  <c r="AA328" i="2" s="1"/>
  <c r="A329" i="2"/>
  <c r="B329" i="2"/>
  <c r="K329" i="2"/>
  <c r="L329" i="2"/>
  <c r="W329" i="2" a="1"/>
  <c r="W329" i="2" s="1"/>
  <c r="X329" i="2" a="1"/>
  <c r="X329" i="2" s="1"/>
  <c r="Y329" i="2"/>
  <c r="Z329" i="2"/>
  <c r="AA329" i="2" s="1"/>
  <c r="A330" i="2"/>
  <c r="B330" i="2"/>
  <c r="K330" i="2"/>
  <c r="L330" i="2"/>
  <c r="W330" i="2" a="1"/>
  <c r="W330" i="2" s="1"/>
  <c r="X330" i="2" a="1"/>
  <c r="X330" i="2" s="1"/>
  <c r="Y330" i="2"/>
  <c r="Z330" i="2"/>
  <c r="AA330" i="2" s="1"/>
  <c r="A331" i="2"/>
  <c r="B331" i="2"/>
  <c r="K331" i="2"/>
  <c r="L331" i="2"/>
  <c r="W331" i="2" a="1"/>
  <c r="W331" i="2" s="1"/>
  <c r="X331" i="2" a="1"/>
  <c r="X331" i="2" s="1"/>
  <c r="Y331" i="2"/>
  <c r="Z331" i="2"/>
  <c r="AA331" i="2" s="1"/>
  <c r="A332" i="2"/>
  <c r="B332" i="2"/>
  <c r="K332" i="2"/>
  <c r="L332" i="2"/>
  <c r="W332" i="2" a="1"/>
  <c r="W332" i="2" s="1"/>
  <c r="X332" i="2" a="1"/>
  <c r="X332" i="2" s="1"/>
  <c r="Y332" i="2"/>
  <c r="Z332" i="2"/>
  <c r="AA332" i="2" s="1"/>
  <c r="A333" i="2"/>
  <c r="B333" i="2"/>
  <c r="K333" i="2"/>
  <c r="L333" i="2"/>
  <c r="W333" i="2" a="1"/>
  <c r="W333" i="2" s="1"/>
  <c r="X333" i="2" a="1"/>
  <c r="X333" i="2" s="1"/>
  <c r="Y333" i="2"/>
  <c r="Z333" i="2"/>
  <c r="AA333" i="2" s="1"/>
  <c r="A334" i="2"/>
  <c r="B334" i="2"/>
  <c r="K334" i="2"/>
  <c r="L334" i="2"/>
  <c r="W334" i="2" a="1"/>
  <c r="W334" i="2" s="1"/>
  <c r="X334" i="2" a="1"/>
  <c r="X334" i="2" s="1"/>
  <c r="Y334" i="2"/>
  <c r="Z334" i="2"/>
  <c r="AA334" i="2" s="1"/>
  <c r="A335" i="2"/>
  <c r="B335" i="2"/>
  <c r="K335" i="2"/>
  <c r="L335" i="2"/>
  <c r="W335" i="2" a="1"/>
  <c r="W335" i="2" s="1"/>
  <c r="X335" i="2" a="1"/>
  <c r="X335" i="2" s="1"/>
  <c r="Y335" i="2"/>
  <c r="Z335" i="2"/>
  <c r="AA335" i="2" s="1"/>
  <c r="A336" i="2"/>
  <c r="B336" i="2"/>
  <c r="K336" i="2"/>
  <c r="L336" i="2"/>
  <c r="W336" i="2" a="1"/>
  <c r="W336" i="2" s="1"/>
  <c r="X336" i="2" a="1"/>
  <c r="X336" i="2" s="1"/>
  <c r="Y336" i="2"/>
  <c r="Z336" i="2"/>
  <c r="AA336" i="2" s="1"/>
  <c r="A337" i="2"/>
  <c r="B337" i="2"/>
  <c r="K337" i="2"/>
  <c r="L337" i="2"/>
  <c r="W337" i="2" a="1"/>
  <c r="W337" i="2" s="1"/>
  <c r="X337" i="2" a="1"/>
  <c r="X337" i="2" s="1"/>
  <c r="Y337" i="2"/>
  <c r="Z337" i="2"/>
  <c r="AA337" i="2" s="1"/>
  <c r="A338" i="2"/>
  <c r="B338" i="2"/>
  <c r="K338" i="2"/>
  <c r="L338" i="2"/>
  <c r="W338" i="2" a="1"/>
  <c r="W338" i="2" s="1"/>
  <c r="X338" i="2" a="1"/>
  <c r="X338" i="2" s="1"/>
  <c r="Y338" i="2"/>
  <c r="Z338" i="2"/>
  <c r="AA338" i="2" s="1"/>
  <c r="A339" i="2"/>
  <c r="B339" i="2"/>
  <c r="K339" i="2"/>
  <c r="L339" i="2"/>
  <c r="W339" i="2" a="1"/>
  <c r="W339" i="2" s="1"/>
  <c r="X339" i="2" a="1"/>
  <c r="X339" i="2" s="1"/>
  <c r="Y339" i="2"/>
  <c r="Z339" i="2"/>
  <c r="AA339" i="2" s="1"/>
  <c r="A340" i="2"/>
  <c r="B340" i="2"/>
  <c r="K340" i="2"/>
  <c r="L340" i="2"/>
  <c r="W340" i="2" a="1"/>
  <c r="W340" i="2" s="1"/>
  <c r="X340" i="2" a="1"/>
  <c r="X340" i="2" s="1"/>
  <c r="Y340" i="2"/>
  <c r="Z340" i="2"/>
  <c r="AA340" i="2" s="1"/>
  <c r="A341" i="2"/>
  <c r="B341" i="2"/>
  <c r="K341" i="2"/>
  <c r="L341" i="2"/>
  <c r="W341" i="2" a="1"/>
  <c r="W341" i="2" s="1"/>
  <c r="X341" i="2" a="1"/>
  <c r="X341" i="2" s="1"/>
  <c r="Y341" i="2"/>
  <c r="Z341" i="2"/>
  <c r="AA341" i="2" s="1"/>
  <c r="A342" i="2"/>
  <c r="B342" i="2"/>
  <c r="K342" i="2"/>
  <c r="L342" i="2"/>
  <c r="W342" i="2" a="1"/>
  <c r="W342" i="2" s="1"/>
  <c r="X342" i="2" a="1"/>
  <c r="X342" i="2" s="1"/>
  <c r="Y342" i="2"/>
  <c r="Z342" i="2"/>
  <c r="AA342" i="2" s="1"/>
  <c r="A343" i="2"/>
  <c r="B343" i="2"/>
  <c r="K343" i="2"/>
  <c r="L343" i="2"/>
  <c r="W343" i="2" a="1"/>
  <c r="W343" i="2" s="1"/>
  <c r="X343" i="2" a="1"/>
  <c r="X343" i="2" s="1"/>
  <c r="Y343" i="2"/>
  <c r="Z343" i="2"/>
  <c r="AA343" i="2" s="1"/>
  <c r="A344" i="2"/>
  <c r="B344" i="2"/>
  <c r="K344" i="2"/>
  <c r="L344" i="2"/>
  <c r="W344" i="2" a="1"/>
  <c r="W344" i="2" s="1"/>
  <c r="X344" i="2" a="1"/>
  <c r="X344" i="2" s="1"/>
  <c r="Y344" i="2"/>
  <c r="Z344" i="2"/>
  <c r="AA344" i="2" s="1"/>
  <c r="A345" i="2"/>
  <c r="B345" i="2"/>
  <c r="K345" i="2"/>
  <c r="L345" i="2"/>
  <c r="W345" i="2" a="1"/>
  <c r="W345" i="2" s="1"/>
  <c r="X345" i="2" a="1"/>
  <c r="X345" i="2" s="1"/>
  <c r="Y345" i="2"/>
  <c r="Z345" i="2"/>
  <c r="AA345" i="2" s="1"/>
  <c r="A346" i="2"/>
  <c r="B346" i="2"/>
  <c r="K346" i="2"/>
  <c r="L346" i="2"/>
  <c r="W346" i="2" a="1"/>
  <c r="W346" i="2" s="1"/>
  <c r="X346" i="2" a="1"/>
  <c r="X346" i="2" s="1"/>
  <c r="Y346" i="2"/>
  <c r="Z346" i="2"/>
  <c r="AA346" i="2" s="1"/>
  <c r="A347" i="2"/>
  <c r="B347" i="2"/>
  <c r="K347" i="2"/>
  <c r="L347" i="2"/>
  <c r="W347" i="2" a="1"/>
  <c r="W347" i="2" s="1"/>
  <c r="X347" i="2" a="1"/>
  <c r="X347" i="2" s="1"/>
  <c r="Y347" i="2"/>
  <c r="Z347" i="2"/>
  <c r="AA347" i="2" s="1"/>
  <c r="A348" i="2"/>
  <c r="B348" i="2"/>
  <c r="K348" i="2"/>
  <c r="L348" i="2"/>
  <c r="W348" i="2" a="1"/>
  <c r="W348" i="2" s="1"/>
  <c r="X348" i="2" a="1"/>
  <c r="X348" i="2" s="1"/>
  <c r="Y348" i="2"/>
  <c r="Z348" i="2"/>
  <c r="AA348" i="2" s="1"/>
  <c r="A349" i="2"/>
  <c r="B349" i="2"/>
  <c r="K349" i="2"/>
  <c r="L349" i="2"/>
  <c r="W349" i="2" a="1"/>
  <c r="W349" i="2" s="1"/>
  <c r="X349" i="2" a="1"/>
  <c r="X349" i="2" s="1"/>
  <c r="Y349" i="2"/>
  <c r="Z349" i="2"/>
  <c r="AA349" i="2" s="1"/>
  <c r="A350" i="2"/>
  <c r="B350" i="2"/>
  <c r="K350" i="2"/>
  <c r="L350" i="2"/>
  <c r="W350" i="2" a="1"/>
  <c r="W350" i="2" s="1"/>
  <c r="X350" i="2" a="1"/>
  <c r="X350" i="2" s="1"/>
  <c r="Y350" i="2"/>
  <c r="Z350" i="2"/>
  <c r="AA350" i="2" s="1"/>
  <c r="A351" i="2"/>
  <c r="B351" i="2"/>
  <c r="K351" i="2"/>
  <c r="L351" i="2"/>
  <c r="W351" i="2" a="1"/>
  <c r="W351" i="2" s="1"/>
  <c r="X351" i="2" a="1"/>
  <c r="X351" i="2" s="1"/>
  <c r="Y351" i="2"/>
  <c r="Z351" i="2"/>
  <c r="AA351" i="2" s="1"/>
  <c r="A352" i="2"/>
  <c r="B352" i="2"/>
  <c r="K352" i="2"/>
  <c r="L352" i="2"/>
  <c r="W352" i="2" a="1"/>
  <c r="W352" i="2" s="1"/>
  <c r="X352" i="2" a="1"/>
  <c r="X352" i="2" s="1"/>
  <c r="Y352" i="2"/>
  <c r="Z352" i="2"/>
  <c r="AA352" i="2" s="1"/>
  <c r="A353" i="2"/>
  <c r="B353" i="2"/>
  <c r="K353" i="2"/>
  <c r="L353" i="2"/>
  <c r="W353" i="2" a="1"/>
  <c r="W353" i="2" s="1"/>
  <c r="X353" i="2" a="1"/>
  <c r="X353" i="2" s="1"/>
  <c r="Y353" i="2"/>
  <c r="Z353" i="2"/>
  <c r="AA353" i="2" s="1"/>
  <c r="A354" i="2"/>
  <c r="B354" i="2"/>
  <c r="K354" i="2"/>
  <c r="L354" i="2"/>
  <c r="W354" i="2" a="1"/>
  <c r="W354" i="2" s="1"/>
  <c r="X354" i="2" a="1"/>
  <c r="X354" i="2" s="1"/>
  <c r="Y354" i="2"/>
  <c r="Z354" i="2"/>
  <c r="AA354" i="2" s="1"/>
  <c r="A355" i="2"/>
  <c r="B355" i="2"/>
  <c r="K355" i="2"/>
  <c r="L355" i="2"/>
  <c r="W355" i="2" a="1"/>
  <c r="W355" i="2" s="1"/>
  <c r="X355" i="2" a="1"/>
  <c r="X355" i="2" s="1"/>
  <c r="Y355" i="2"/>
  <c r="Z355" i="2"/>
  <c r="AA355" i="2" s="1"/>
  <c r="A356" i="2"/>
  <c r="B356" i="2"/>
  <c r="K356" i="2"/>
  <c r="L356" i="2"/>
  <c r="W356" i="2" a="1"/>
  <c r="W356" i="2" s="1"/>
  <c r="X356" i="2" a="1"/>
  <c r="X356" i="2" s="1"/>
  <c r="Y356" i="2"/>
  <c r="Z356" i="2"/>
  <c r="AA356" i="2" s="1"/>
  <c r="A357" i="2"/>
  <c r="B357" i="2"/>
  <c r="K357" i="2"/>
  <c r="L357" i="2"/>
  <c r="W357" i="2" a="1"/>
  <c r="W357" i="2" s="1"/>
  <c r="X357" i="2" a="1"/>
  <c r="X357" i="2" s="1"/>
  <c r="Y357" i="2"/>
  <c r="Z357" i="2"/>
  <c r="AA357" i="2" s="1"/>
  <c r="A358" i="2"/>
  <c r="B358" i="2"/>
  <c r="K358" i="2"/>
  <c r="L358" i="2"/>
  <c r="W358" i="2" a="1"/>
  <c r="W358" i="2" s="1"/>
  <c r="X358" i="2" a="1"/>
  <c r="X358" i="2" s="1"/>
  <c r="Y358" i="2"/>
  <c r="Z358" i="2"/>
  <c r="AA358" i="2" s="1"/>
  <c r="A359" i="2"/>
  <c r="B359" i="2"/>
  <c r="K359" i="2"/>
  <c r="L359" i="2"/>
  <c r="W359" i="2" a="1"/>
  <c r="W359" i="2" s="1"/>
  <c r="X359" i="2" a="1"/>
  <c r="X359" i="2" s="1"/>
  <c r="Y359" i="2"/>
  <c r="Z359" i="2"/>
  <c r="AA359" i="2" s="1"/>
  <c r="A360" i="2"/>
  <c r="B360" i="2"/>
  <c r="K360" i="2"/>
  <c r="L360" i="2"/>
  <c r="W360" i="2" a="1"/>
  <c r="W360" i="2" s="1"/>
  <c r="X360" i="2" a="1"/>
  <c r="X360" i="2" s="1"/>
  <c r="Y360" i="2"/>
  <c r="Z360" i="2"/>
  <c r="AA360" i="2" s="1"/>
  <c r="A361" i="2"/>
  <c r="B361" i="2"/>
  <c r="K361" i="2"/>
  <c r="L361" i="2"/>
  <c r="W361" i="2" a="1"/>
  <c r="W361" i="2" s="1"/>
  <c r="X361" i="2" a="1"/>
  <c r="X361" i="2" s="1"/>
  <c r="Y361" i="2"/>
  <c r="Z361" i="2"/>
  <c r="AA361" i="2" s="1"/>
  <c r="A362" i="2"/>
  <c r="B362" i="2"/>
  <c r="K362" i="2"/>
  <c r="L362" i="2"/>
  <c r="W362" i="2" a="1"/>
  <c r="W362" i="2" s="1"/>
  <c r="X362" i="2" a="1"/>
  <c r="X362" i="2" s="1"/>
  <c r="Y362" i="2"/>
  <c r="Z362" i="2"/>
  <c r="AA362" i="2" s="1"/>
  <c r="A363" i="2"/>
  <c r="B363" i="2"/>
  <c r="K363" i="2"/>
  <c r="L363" i="2"/>
  <c r="W363" i="2" a="1"/>
  <c r="W363" i="2" s="1"/>
  <c r="X363" i="2" a="1"/>
  <c r="X363" i="2" s="1"/>
  <c r="Y363" i="2"/>
  <c r="Z363" i="2"/>
  <c r="AA363" i="2" s="1"/>
  <c r="A364" i="2"/>
  <c r="B364" i="2"/>
  <c r="K364" i="2"/>
  <c r="L364" i="2"/>
  <c r="W364" i="2" a="1"/>
  <c r="W364" i="2" s="1"/>
  <c r="X364" i="2" a="1"/>
  <c r="X364" i="2" s="1"/>
  <c r="Y364" i="2"/>
  <c r="Z364" i="2"/>
  <c r="AA364" i="2" s="1"/>
  <c r="A365" i="2"/>
  <c r="B365" i="2"/>
  <c r="K365" i="2"/>
  <c r="L365" i="2"/>
  <c r="W365" i="2" a="1"/>
  <c r="W365" i="2" s="1"/>
  <c r="X365" i="2" a="1"/>
  <c r="X365" i="2" s="1"/>
  <c r="Y365" i="2"/>
  <c r="Z365" i="2"/>
  <c r="AA365" i="2" s="1"/>
  <c r="A366" i="2"/>
  <c r="B366" i="2"/>
  <c r="K366" i="2"/>
  <c r="L366" i="2"/>
  <c r="W366" i="2" a="1"/>
  <c r="W366" i="2" s="1"/>
  <c r="X366" i="2" a="1"/>
  <c r="X366" i="2" s="1"/>
  <c r="Y366" i="2"/>
  <c r="Z366" i="2"/>
  <c r="AA366" i="2" s="1"/>
  <c r="A367" i="2"/>
  <c r="B367" i="2"/>
  <c r="K367" i="2"/>
  <c r="L367" i="2"/>
  <c r="W367" i="2" a="1"/>
  <c r="W367" i="2" s="1"/>
  <c r="X367" i="2" a="1"/>
  <c r="X367" i="2" s="1"/>
  <c r="Y367" i="2"/>
  <c r="Z367" i="2"/>
  <c r="AA367" i="2" s="1"/>
  <c r="A368" i="2"/>
  <c r="B368" i="2"/>
  <c r="K368" i="2"/>
  <c r="L368" i="2"/>
  <c r="W368" i="2" a="1"/>
  <c r="W368" i="2" s="1"/>
  <c r="X368" i="2" a="1"/>
  <c r="X368" i="2" s="1"/>
  <c r="Y368" i="2"/>
  <c r="Z368" i="2"/>
  <c r="AA368" i="2" s="1"/>
  <c r="A369" i="2"/>
  <c r="B369" i="2"/>
  <c r="K369" i="2"/>
  <c r="L369" i="2"/>
  <c r="W369" i="2" a="1"/>
  <c r="W369" i="2" s="1"/>
  <c r="X369" i="2" a="1"/>
  <c r="X369" i="2" s="1"/>
  <c r="Y369" i="2"/>
  <c r="Z369" i="2"/>
  <c r="AA369" i="2" s="1"/>
  <c r="A370" i="2"/>
  <c r="B370" i="2"/>
  <c r="K370" i="2"/>
  <c r="L370" i="2"/>
  <c r="W370" i="2" a="1"/>
  <c r="W370" i="2" s="1"/>
  <c r="X370" i="2" a="1"/>
  <c r="X370" i="2" s="1"/>
  <c r="Y370" i="2"/>
  <c r="Z370" i="2"/>
  <c r="AA370" i="2" s="1"/>
  <c r="A371" i="2"/>
  <c r="B371" i="2"/>
  <c r="K371" i="2"/>
  <c r="L371" i="2"/>
  <c r="W371" i="2" a="1"/>
  <c r="W371" i="2" s="1"/>
  <c r="X371" i="2" a="1"/>
  <c r="X371" i="2" s="1"/>
  <c r="Y371" i="2"/>
  <c r="Z371" i="2"/>
  <c r="AA371" i="2" s="1"/>
  <c r="A372" i="2"/>
  <c r="B372" i="2"/>
  <c r="K372" i="2"/>
  <c r="L372" i="2"/>
  <c r="W372" i="2" a="1"/>
  <c r="W372" i="2" s="1"/>
  <c r="X372" i="2" a="1"/>
  <c r="X372" i="2" s="1"/>
  <c r="Y372" i="2"/>
  <c r="Z372" i="2"/>
  <c r="AA372" i="2" s="1"/>
  <c r="A373" i="2"/>
  <c r="B373" i="2"/>
  <c r="K373" i="2"/>
  <c r="L373" i="2"/>
  <c r="W373" i="2" a="1"/>
  <c r="W373" i="2" s="1"/>
  <c r="X373" i="2" a="1"/>
  <c r="X373" i="2" s="1"/>
  <c r="Y373" i="2"/>
  <c r="Z373" i="2"/>
  <c r="AA373" i="2" s="1"/>
  <c r="A374" i="2"/>
  <c r="B374" i="2"/>
  <c r="K374" i="2"/>
  <c r="L374" i="2"/>
  <c r="W374" i="2" a="1"/>
  <c r="W374" i="2" s="1"/>
  <c r="X374" i="2" a="1"/>
  <c r="X374" i="2" s="1"/>
  <c r="Y374" i="2"/>
  <c r="Z374" i="2"/>
  <c r="AA374" i="2" s="1"/>
  <c r="A375" i="2"/>
  <c r="B375" i="2"/>
  <c r="K375" i="2"/>
  <c r="L375" i="2"/>
  <c r="W375" i="2" a="1"/>
  <c r="W375" i="2" s="1"/>
  <c r="X375" i="2" a="1"/>
  <c r="X375" i="2" s="1"/>
  <c r="Y375" i="2"/>
  <c r="Z375" i="2"/>
  <c r="AA375" i="2" s="1"/>
  <c r="A376" i="2"/>
  <c r="B376" i="2"/>
  <c r="K376" i="2"/>
  <c r="L376" i="2"/>
  <c r="W376" i="2" a="1"/>
  <c r="W376" i="2" s="1"/>
  <c r="X376" i="2" a="1"/>
  <c r="X376" i="2" s="1"/>
  <c r="Y376" i="2"/>
  <c r="Z376" i="2"/>
  <c r="AA376" i="2" s="1"/>
  <c r="A377" i="2"/>
  <c r="B377" i="2"/>
  <c r="K377" i="2"/>
  <c r="L377" i="2"/>
  <c r="W377" i="2" a="1"/>
  <c r="W377" i="2" s="1"/>
  <c r="X377" i="2" a="1"/>
  <c r="X377" i="2" s="1"/>
  <c r="Y377" i="2"/>
  <c r="Z377" i="2"/>
  <c r="AA377" i="2" s="1"/>
  <c r="A378" i="2"/>
  <c r="B378" i="2"/>
  <c r="K378" i="2"/>
  <c r="L378" i="2"/>
  <c r="W378" i="2" a="1"/>
  <c r="W378" i="2" s="1"/>
  <c r="X378" i="2" a="1"/>
  <c r="X378" i="2" s="1"/>
  <c r="Y378" i="2"/>
  <c r="Z378" i="2"/>
  <c r="AA378" i="2" s="1"/>
  <c r="A379" i="2"/>
  <c r="B379" i="2"/>
  <c r="K379" i="2"/>
  <c r="L379" i="2"/>
  <c r="W379" i="2" a="1"/>
  <c r="W379" i="2" s="1"/>
  <c r="X379" i="2" a="1"/>
  <c r="X379" i="2" s="1"/>
  <c r="Y379" i="2"/>
  <c r="Z379" i="2"/>
  <c r="AA379" i="2" s="1"/>
  <c r="A380" i="2"/>
  <c r="B380" i="2"/>
  <c r="K380" i="2"/>
  <c r="L380" i="2"/>
  <c r="W380" i="2" a="1"/>
  <c r="W380" i="2" s="1"/>
  <c r="X380" i="2" a="1"/>
  <c r="X380" i="2" s="1"/>
  <c r="Y380" i="2"/>
  <c r="Z380" i="2"/>
  <c r="AA380" i="2" s="1"/>
  <c r="A381" i="2"/>
  <c r="B381" i="2"/>
  <c r="K381" i="2"/>
  <c r="L381" i="2"/>
  <c r="W381" i="2" a="1"/>
  <c r="W381" i="2" s="1"/>
  <c r="X381" i="2" a="1"/>
  <c r="X381" i="2" s="1"/>
  <c r="Y381" i="2"/>
  <c r="Z381" i="2"/>
  <c r="AA381" i="2" s="1"/>
  <c r="A382" i="2"/>
  <c r="B382" i="2"/>
  <c r="K382" i="2"/>
  <c r="L382" i="2"/>
  <c r="W382" i="2" a="1"/>
  <c r="W382" i="2" s="1"/>
  <c r="X382" i="2" a="1"/>
  <c r="X382" i="2" s="1"/>
  <c r="Y382" i="2"/>
  <c r="Z382" i="2"/>
  <c r="AA382" i="2" s="1"/>
  <c r="A383" i="2"/>
  <c r="B383" i="2"/>
  <c r="K383" i="2"/>
  <c r="L383" i="2"/>
  <c r="W383" i="2" a="1"/>
  <c r="W383" i="2" s="1"/>
  <c r="X383" i="2" a="1"/>
  <c r="X383" i="2" s="1"/>
  <c r="Y383" i="2"/>
  <c r="Z383" i="2"/>
  <c r="AA383" i="2" s="1"/>
  <c r="A384" i="2"/>
  <c r="B384" i="2"/>
  <c r="K384" i="2"/>
  <c r="L384" i="2"/>
  <c r="W384" i="2" a="1"/>
  <c r="W384" i="2" s="1"/>
  <c r="X384" i="2" a="1"/>
  <c r="X384" i="2" s="1"/>
  <c r="Y384" i="2"/>
  <c r="Z384" i="2"/>
  <c r="AA384" i="2" s="1"/>
  <c r="A385" i="2"/>
  <c r="B385" i="2"/>
  <c r="K385" i="2"/>
  <c r="L385" i="2"/>
  <c r="W385" i="2" a="1"/>
  <c r="W385" i="2" s="1"/>
  <c r="X385" i="2" a="1"/>
  <c r="X385" i="2" s="1"/>
  <c r="Y385" i="2"/>
  <c r="Z385" i="2"/>
  <c r="AA385" i="2" s="1"/>
  <c r="A386" i="2"/>
  <c r="B386" i="2"/>
  <c r="K386" i="2"/>
  <c r="L386" i="2"/>
  <c r="W386" i="2" a="1"/>
  <c r="W386" i="2" s="1"/>
  <c r="X386" i="2" a="1"/>
  <c r="X386" i="2" s="1"/>
  <c r="Y386" i="2"/>
  <c r="Z386" i="2"/>
  <c r="AA386" i="2" s="1"/>
  <c r="A387" i="2"/>
  <c r="B387" i="2"/>
  <c r="K387" i="2"/>
  <c r="L387" i="2"/>
  <c r="W387" i="2" a="1"/>
  <c r="W387" i="2" s="1"/>
  <c r="X387" i="2" a="1"/>
  <c r="X387" i="2" s="1"/>
  <c r="Y387" i="2"/>
  <c r="Z387" i="2"/>
  <c r="AA387" i="2" s="1"/>
  <c r="A388" i="2"/>
  <c r="B388" i="2"/>
  <c r="K388" i="2"/>
  <c r="L388" i="2"/>
  <c r="W388" i="2" a="1"/>
  <c r="W388" i="2" s="1"/>
  <c r="X388" i="2" a="1"/>
  <c r="X388" i="2" s="1"/>
  <c r="Y388" i="2"/>
  <c r="Z388" i="2"/>
  <c r="AA388" i="2" s="1"/>
  <c r="A389" i="2"/>
  <c r="B389" i="2"/>
  <c r="K389" i="2"/>
  <c r="L389" i="2"/>
  <c r="W389" i="2" a="1"/>
  <c r="W389" i="2" s="1"/>
  <c r="X389" i="2" a="1"/>
  <c r="X389" i="2" s="1"/>
  <c r="Y389" i="2"/>
  <c r="Z389" i="2"/>
  <c r="AA389" i="2" s="1"/>
  <c r="A390" i="2"/>
  <c r="B390" i="2"/>
  <c r="K390" i="2"/>
  <c r="L390" i="2"/>
  <c r="W390" i="2" a="1"/>
  <c r="W390" i="2" s="1"/>
  <c r="X390" i="2" a="1"/>
  <c r="X390" i="2" s="1"/>
  <c r="Y390" i="2"/>
  <c r="Z390" i="2"/>
  <c r="AA390" i="2" s="1"/>
  <c r="A391" i="2"/>
  <c r="B391" i="2"/>
  <c r="K391" i="2"/>
  <c r="L391" i="2"/>
  <c r="W391" i="2" a="1"/>
  <c r="W391" i="2" s="1"/>
  <c r="X391" i="2" a="1"/>
  <c r="X391" i="2" s="1"/>
  <c r="Y391" i="2"/>
  <c r="Z391" i="2"/>
  <c r="AA391" i="2" s="1"/>
  <c r="A392" i="2"/>
  <c r="B392" i="2"/>
  <c r="K392" i="2"/>
  <c r="L392" i="2"/>
  <c r="W392" i="2" a="1"/>
  <c r="W392" i="2" s="1"/>
  <c r="X392" i="2" a="1"/>
  <c r="X392" i="2" s="1"/>
  <c r="Y392" i="2"/>
  <c r="Z392" i="2"/>
  <c r="AA392" i="2" s="1"/>
  <c r="A393" i="2"/>
  <c r="B393" i="2"/>
  <c r="K393" i="2"/>
  <c r="L393" i="2"/>
  <c r="W393" i="2" a="1"/>
  <c r="W393" i="2" s="1"/>
  <c r="X393" i="2" a="1"/>
  <c r="X393" i="2" s="1"/>
  <c r="Y393" i="2"/>
  <c r="Z393" i="2"/>
  <c r="AA393" i="2" s="1"/>
  <c r="A394" i="2"/>
  <c r="B394" i="2"/>
  <c r="K394" i="2"/>
  <c r="L394" i="2"/>
  <c r="W394" i="2" a="1"/>
  <c r="W394" i="2" s="1"/>
  <c r="X394" i="2" a="1"/>
  <c r="X394" i="2" s="1"/>
  <c r="Y394" i="2"/>
  <c r="Z394" i="2"/>
  <c r="AA394" i="2" s="1"/>
  <c r="A395" i="2"/>
  <c r="B395" i="2"/>
  <c r="K395" i="2"/>
  <c r="L395" i="2"/>
  <c r="W395" i="2" a="1"/>
  <c r="W395" i="2" s="1"/>
  <c r="X395" i="2" a="1"/>
  <c r="X395" i="2" s="1"/>
  <c r="Y395" i="2"/>
  <c r="Z395" i="2"/>
  <c r="AA395" i="2" s="1"/>
  <c r="A396" i="2"/>
  <c r="B396" i="2"/>
  <c r="K396" i="2"/>
  <c r="L396" i="2"/>
  <c r="W396" i="2" a="1"/>
  <c r="W396" i="2" s="1"/>
  <c r="X396" i="2" a="1"/>
  <c r="X396" i="2" s="1"/>
  <c r="Y396" i="2"/>
  <c r="Z396" i="2"/>
  <c r="AA396" i="2" s="1"/>
  <c r="A397" i="2"/>
  <c r="B397" i="2"/>
  <c r="K397" i="2"/>
  <c r="L397" i="2"/>
  <c r="W397" i="2" a="1"/>
  <c r="W397" i="2" s="1"/>
  <c r="X397" i="2" a="1"/>
  <c r="X397" i="2" s="1"/>
  <c r="Y397" i="2"/>
  <c r="Z397" i="2"/>
  <c r="AA397" i="2" s="1"/>
  <c r="A398" i="2"/>
  <c r="B398" i="2"/>
  <c r="K398" i="2"/>
  <c r="L398" i="2"/>
  <c r="W398" i="2" a="1"/>
  <c r="W398" i="2" s="1"/>
  <c r="X398" i="2" a="1"/>
  <c r="X398" i="2" s="1"/>
  <c r="Y398" i="2"/>
  <c r="Z398" i="2"/>
  <c r="AA398" i="2" s="1"/>
  <c r="A399" i="2"/>
  <c r="B399" i="2"/>
  <c r="K399" i="2"/>
  <c r="L399" i="2"/>
  <c r="W399" i="2" a="1"/>
  <c r="W399" i="2" s="1"/>
  <c r="X399" i="2" a="1"/>
  <c r="X399" i="2" s="1"/>
  <c r="Y399" i="2"/>
  <c r="Z399" i="2"/>
  <c r="AA399" i="2" s="1"/>
  <c r="A400" i="2"/>
  <c r="B400" i="2"/>
  <c r="K400" i="2"/>
  <c r="L400" i="2"/>
  <c r="W400" i="2" a="1"/>
  <c r="W400" i="2" s="1"/>
  <c r="X400" i="2" a="1"/>
  <c r="X400" i="2" s="1"/>
  <c r="Y400" i="2"/>
  <c r="Z400" i="2"/>
  <c r="AA400" i="2" s="1"/>
  <c r="A401" i="2"/>
  <c r="B401" i="2"/>
  <c r="K401" i="2"/>
  <c r="L401" i="2"/>
  <c r="W401" i="2" a="1"/>
  <c r="W401" i="2" s="1"/>
  <c r="X401" i="2" a="1"/>
  <c r="X401" i="2" s="1"/>
  <c r="Y401" i="2"/>
  <c r="Z401" i="2"/>
  <c r="AA401" i="2" s="1"/>
  <c r="A402" i="2"/>
  <c r="B402" i="2"/>
  <c r="K402" i="2"/>
  <c r="L402" i="2"/>
  <c r="W402" i="2" a="1"/>
  <c r="W402" i="2" s="1"/>
  <c r="X402" i="2" a="1"/>
  <c r="X402" i="2" s="1"/>
  <c r="Y402" i="2"/>
  <c r="Z402" i="2"/>
  <c r="AA402" i="2" s="1"/>
  <c r="A403" i="2"/>
  <c r="B403" i="2"/>
  <c r="K403" i="2"/>
  <c r="L403" i="2"/>
  <c r="W403" i="2" a="1"/>
  <c r="W403" i="2" s="1"/>
  <c r="X403" i="2" a="1"/>
  <c r="X403" i="2" s="1"/>
  <c r="Y403" i="2"/>
  <c r="Z403" i="2"/>
  <c r="AA403" i="2" s="1"/>
  <c r="A404" i="2"/>
  <c r="B404" i="2"/>
  <c r="K404" i="2"/>
  <c r="L404" i="2"/>
  <c r="W404" i="2" a="1"/>
  <c r="W404" i="2" s="1"/>
  <c r="X404" i="2" a="1"/>
  <c r="X404" i="2" s="1"/>
  <c r="Y404" i="2"/>
  <c r="Z404" i="2"/>
  <c r="AA404" i="2" s="1"/>
  <c r="A405" i="2"/>
  <c r="B405" i="2"/>
  <c r="K405" i="2"/>
  <c r="L405" i="2"/>
  <c r="W405" i="2" a="1"/>
  <c r="W405" i="2" s="1"/>
  <c r="X405" i="2" a="1"/>
  <c r="X405" i="2" s="1"/>
  <c r="Y405" i="2"/>
  <c r="Z405" i="2"/>
  <c r="AA405" i="2" s="1"/>
  <c r="A406" i="2"/>
  <c r="B406" i="2"/>
  <c r="K406" i="2"/>
  <c r="L406" i="2"/>
  <c r="W406" i="2" a="1"/>
  <c r="W406" i="2" s="1"/>
  <c r="X406" i="2" a="1"/>
  <c r="X406" i="2" s="1"/>
  <c r="Y406" i="2"/>
  <c r="Z406" i="2"/>
  <c r="AA406" i="2" s="1"/>
  <c r="A407" i="2"/>
  <c r="B407" i="2"/>
  <c r="K407" i="2"/>
  <c r="L407" i="2"/>
  <c r="W407" i="2" a="1"/>
  <c r="W407" i="2" s="1"/>
  <c r="X407" i="2" a="1"/>
  <c r="X407" i="2" s="1"/>
  <c r="Y407" i="2"/>
  <c r="Z407" i="2"/>
  <c r="AA407" i="2" s="1"/>
  <c r="A408" i="2"/>
  <c r="B408" i="2"/>
  <c r="K408" i="2"/>
  <c r="L408" i="2"/>
  <c r="W408" i="2" a="1"/>
  <c r="W408" i="2" s="1"/>
  <c r="X408" i="2" a="1"/>
  <c r="X408" i="2" s="1"/>
  <c r="Y408" i="2"/>
  <c r="Z408" i="2"/>
  <c r="AA408" i="2" s="1"/>
  <c r="A409" i="2"/>
  <c r="B409" i="2"/>
  <c r="K409" i="2"/>
  <c r="L409" i="2"/>
  <c r="W409" i="2" a="1"/>
  <c r="W409" i="2" s="1"/>
  <c r="X409" i="2" a="1"/>
  <c r="X409" i="2" s="1"/>
  <c r="Y409" i="2"/>
  <c r="Z409" i="2"/>
  <c r="AA409" i="2" s="1"/>
  <c r="A410" i="2"/>
  <c r="B410" i="2"/>
  <c r="K410" i="2"/>
  <c r="L410" i="2"/>
  <c r="W410" i="2" a="1"/>
  <c r="W410" i="2" s="1"/>
  <c r="X410" i="2" a="1"/>
  <c r="X410" i="2" s="1"/>
  <c r="Y410" i="2"/>
  <c r="Z410" i="2"/>
  <c r="AA410" i="2" s="1"/>
  <c r="A411" i="2"/>
  <c r="B411" i="2"/>
  <c r="K411" i="2"/>
  <c r="L411" i="2"/>
  <c r="W411" i="2" a="1"/>
  <c r="W411" i="2" s="1"/>
  <c r="X411" i="2" a="1"/>
  <c r="X411" i="2" s="1"/>
  <c r="Y411" i="2"/>
  <c r="Z411" i="2"/>
  <c r="AA411" i="2" s="1"/>
  <c r="A412" i="2"/>
  <c r="B412" i="2"/>
  <c r="K412" i="2"/>
  <c r="L412" i="2"/>
  <c r="W412" i="2" a="1"/>
  <c r="W412" i="2" s="1"/>
  <c r="X412" i="2" a="1"/>
  <c r="X412" i="2" s="1"/>
  <c r="Y412" i="2"/>
  <c r="Z412" i="2"/>
  <c r="AA412" i="2" s="1"/>
  <c r="A413" i="2"/>
  <c r="B413" i="2"/>
  <c r="K413" i="2"/>
  <c r="L413" i="2"/>
  <c r="W413" i="2" a="1"/>
  <c r="W413" i="2" s="1"/>
  <c r="X413" i="2" a="1"/>
  <c r="X413" i="2" s="1"/>
  <c r="Y413" i="2"/>
  <c r="Z413" i="2"/>
  <c r="AA413" i="2" s="1"/>
  <c r="A414" i="2"/>
  <c r="B414" i="2"/>
  <c r="K414" i="2"/>
  <c r="L414" i="2"/>
  <c r="W414" i="2" a="1"/>
  <c r="W414" i="2" s="1"/>
  <c r="X414" i="2" a="1"/>
  <c r="X414" i="2" s="1"/>
  <c r="Y414" i="2"/>
  <c r="Z414" i="2"/>
  <c r="AA414" i="2" s="1"/>
  <c r="A415" i="2"/>
  <c r="B415" i="2"/>
  <c r="K415" i="2"/>
  <c r="L415" i="2"/>
  <c r="W415" i="2" a="1"/>
  <c r="W415" i="2" s="1"/>
  <c r="X415" i="2" a="1"/>
  <c r="X415" i="2" s="1"/>
  <c r="Y415" i="2"/>
  <c r="Z415" i="2"/>
  <c r="AA415" i="2" s="1"/>
  <c r="A416" i="2"/>
  <c r="B416" i="2"/>
  <c r="K416" i="2"/>
  <c r="L416" i="2"/>
  <c r="W416" i="2" a="1"/>
  <c r="W416" i="2" s="1"/>
  <c r="X416" i="2" a="1"/>
  <c r="X416" i="2" s="1"/>
  <c r="Y416" i="2"/>
  <c r="Z416" i="2"/>
  <c r="AA416" i="2" s="1"/>
  <c r="A417" i="2"/>
  <c r="B417" i="2"/>
  <c r="K417" i="2"/>
  <c r="L417" i="2"/>
  <c r="W417" i="2" a="1"/>
  <c r="W417" i="2" s="1"/>
  <c r="X417" i="2" a="1"/>
  <c r="X417" i="2" s="1"/>
  <c r="Y417" i="2"/>
  <c r="Z417" i="2"/>
  <c r="AA417" i="2" s="1"/>
  <c r="A418" i="2"/>
  <c r="B418" i="2"/>
  <c r="K418" i="2"/>
  <c r="L418" i="2"/>
  <c r="W418" i="2" a="1"/>
  <c r="W418" i="2" s="1"/>
  <c r="X418" i="2" a="1"/>
  <c r="X418" i="2" s="1"/>
  <c r="Y418" i="2"/>
  <c r="Z418" i="2"/>
  <c r="AA418" i="2" s="1"/>
  <c r="A419" i="2"/>
  <c r="B419" i="2"/>
  <c r="K419" i="2"/>
  <c r="L419" i="2"/>
  <c r="W419" i="2" a="1"/>
  <c r="W419" i="2" s="1"/>
  <c r="X419" i="2" a="1"/>
  <c r="X419" i="2" s="1"/>
  <c r="Y419" i="2"/>
  <c r="Z419" i="2"/>
  <c r="AA419" i="2" s="1"/>
  <c r="A420" i="2"/>
  <c r="B420" i="2"/>
  <c r="K420" i="2"/>
  <c r="L420" i="2"/>
  <c r="W420" i="2" a="1"/>
  <c r="W420" i="2" s="1"/>
  <c r="X420" i="2" a="1"/>
  <c r="X420" i="2" s="1"/>
  <c r="Y420" i="2"/>
  <c r="Z420" i="2"/>
  <c r="AA420" i="2" s="1"/>
  <c r="A421" i="2"/>
  <c r="B421" i="2"/>
  <c r="K421" i="2"/>
  <c r="L421" i="2"/>
  <c r="W421" i="2" a="1"/>
  <c r="W421" i="2" s="1"/>
  <c r="X421" i="2" a="1"/>
  <c r="X421" i="2" s="1"/>
  <c r="Y421" i="2"/>
  <c r="Z421" i="2"/>
  <c r="AA421" i="2" s="1"/>
  <c r="A422" i="2"/>
  <c r="B422" i="2"/>
  <c r="K422" i="2"/>
  <c r="L422" i="2"/>
  <c r="W422" i="2" a="1"/>
  <c r="W422" i="2" s="1"/>
  <c r="X422" i="2" a="1"/>
  <c r="X422" i="2" s="1"/>
  <c r="Y422" i="2"/>
  <c r="Z422" i="2"/>
  <c r="AA422" i="2" s="1"/>
  <c r="A423" i="2"/>
  <c r="B423" i="2"/>
  <c r="K423" i="2"/>
  <c r="L423" i="2"/>
  <c r="W423" i="2" a="1"/>
  <c r="W423" i="2" s="1"/>
  <c r="X423" i="2" a="1"/>
  <c r="X423" i="2" s="1"/>
  <c r="Y423" i="2"/>
  <c r="Z423" i="2"/>
  <c r="AA423" i="2" s="1"/>
  <c r="A424" i="2"/>
  <c r="B424" i="2"/>
  <c r="K424" i="2"/>
  <c r="L424" i="2"/>
  <c r="W424" i="2" a="1"/>
  <c r="W424" i="2" s="1"/>
  <c r="X424" i="2" a="1"/>
  <c r="X424" i="2" s="1"/>
  <c r="Y424" i="2"/>
  <c r="Z424" i="2"/>
  <c r="AA424" i="2" s="1"/>
  <c r="A425" i="2"/>
  <c r="B425" i="2"/>
  <c r="K425" i="2"/>
  <c r="L425" i="2"/>
  <c r="W425" i="2" a="1"/>
  <c r="W425" i="2" s="1"/>
  <c r="X425" i="2" a="1"/>
  <c r="X425" i="2" s="1"/>
  <c r="Y425" i="2"/>
  <c r="Z425" i="2"/>
  <c r="AA425" i="2" s="1"/>
  <c r="A426" i="2"/>
  <c r="B426" i="2"/>
  <c r="K426" i="2"/>
  <c r="L426" i="2"/>
  <c r="W426" i="2" a="1"/>
  <c r="W426" i="2" s="1"/>
  <c r="X426" i="2" a="1"/>
  <c r="X426" i="2" s="1"/>
  <c r="Y426" i="2"/>
  <c r="Z426" i="2"/>
  <c r="AA426" i="2" s="1"/>
  <c r="A427" i="2"/>
  <c r="B427" i="2"/>
  <c r="K427" i="2"/>
  <c r="L427" i="2"/>
  <c r="W427" i="2" a="1"/>
  <c r="W427" i="2" s="1"/>
  <c r="X427" i="2" a="1"/>
  <c r="X427" i="2" s="1"/>
  <c r="Y427" i="2"/>
  <c r="Z427" i="2"/>
  <c r="AA427" i="2" s="1"/>
  <c r="A428" i="2"/>
  <c r="B428" i="2"/>
  <c r="K428" i="2"/>
  <c r="L428" i="2"/>
  <c r="W428" i="2" a="1"/>
  <c r="W428" i="2" s="1"/>
  <c r="X428" i="2" a="1"/>
  <c r="X428" i="2" s="1"/>
  <c r="Y428" i="2"/>
  <c r="Z428" i="2"/>
  <c r="AA428" i="2" s="1"/>
  <c r="A429" i="2"/>
  <c r="B429" i="2"/>
  <c r="K429" i="2"/>
  <c r="L429" i="2"/>
  <c r="W429" i="2" a="1"/>
  <c r="W429" i="2" s="1"/>
  <c r="X429" i="2" a="1"/>
  <c r="X429" i="2" s="1"/>
  <c r="Y429" i="2"/>
  <c r="Z429" i="2"/>
  <c r="AA429" i="2" s="1"/>
  <c r="A430" i="2"/>
  <c r="B430" i="2"/>
  <c r="K430" i="2"/>
  <c r="L430" i="2"/>
  <c r="W430" i="2" a="1"/>
  <c r="W430" i="2" s="1"/>
  <c r="X430" i="2" a="1"/>
  <c r="X430" i="2" s="1"/>
  <c r="Y430" i="2"/>
  <c r="Z430" i="2"/>
  <c r="AA430" i="2" s="1"/>
  <c r="A431" i="2"/>
  <c r="B431" i="2"/>
  <c r="K431" i="2"/>
  <c r="L431" i="2"/>
  <c r="W431" i="2" a="1"/>
  <c r="W431" i="2" s="1"/>
  <c r="X431" i="2" a="1"/>
  <c r="X431" i="2" s="1"/>
  <c r="Y431" i="2"/>
  <c r="Z431" i="2"/>
  <c r="AA431" i="2" s="1"/>
  <c r="A432" i="2"/>
  <c r="B432" i="2"/>
  <c r="K432" i="2"/>
  <c r="L432" i="2"/>
  <c r="W432" i="2" a="1"/>
  <c r="W432" i="2" s="1"/>
  <c r="X432" i="2" a="1"/>
  <c r="X432" i="2" s="1"/>
  <c r="Y432" i="2"/>
  <c r="Z432" i="2"/>
  <c r="AA432" i="2" s="1"/>
  <c r="A433" i="2"/>
  <c r="B433" i="2"/>
  <c r="K433" i="2"/>
  <c r="L433" i="2"/>
  <c r="W433" i="2" a="1"/>
  <c r="W433" i="2" s="1"/>
  <c r="X433" i="2" a="1"/>
  <c r="X433" i="2" s="1"/>
  <c r="Y433" i="2"/>
  <c r="Z433" i="2"/>
  <c r="AA433" i="2" s="1"/>
  <c r="A434" i="2"/>
  <c r="B434" i="2"/>
  <c r="K434" i="2"/>
  <c r="L434" i="2"/>
  <c r="W434" i="2" a="1"/>
  <c r="W434" i="2" s="1"/>
  <c r="X434" i="2" a="1"/>
  <c r="X434" i="2" s="1"/>
  <c r="Y434" i="2"/>
  <c r="Z434" i="2"/>
  <c r="AA434" i="2" s="1"/>
  <c r="A435" i="2"/>
  <c r="B435" i="2"/>
  <c r="K435" i="2"/>
  <c r="L435" i="2"/>
  <c r="W435" i="2" a="1"/>
  <c r="W435" i="2" s="1"/>
  <c r="X435" i="2" a="1"/>
  <c r="X435" i="2" s="1"/>
  <c r="Y435" i="2"/>
  <c r="Z435" i="2"/>
  <c r="AA435" i="2" s="1"/>
  <c r="A436" i="2"/>
  <c r="B436" i="2"/>
  <c r="K436" i="2"/>
  <c r="L436" i="2"/>
  <c r="W436" i="2" a="1"/>
  <c r="W436" i="2" s="1"/>
  <c r="X436" i="2" a="1"/>
  <c r="X436" i="2" s="1"/>
  <c r="Y436" i="2"/>
  <c r="Z436" i="2"/>
  <c r="AA436" i="2" s="1"/>
  <c r="A437" i="2"/>
  <c r="B437" i="2"/>
  <c r="K437" i="2"/>
  <c r="L437" i="2"/>
  <c r="W437" i="2" a="1"/>
  <c r="W437" i="2" s="1"/>
  <c r="X437" i="2" a="1"/>
  <c r="X437" i="2" s="1"/>
  <c r="Y437" i="2"/>
  <c r="Z437" i="2"/>
  <c r="AA437" i="2" s="1"/>
  <c r="A438" i="2"/>
  <c r="B438" i="2"/>
  <c r="K438" i="2"/>
  <c r="L438" i="2"/>
  <c r="W438" i="2" a="1"/>
  <c r="W438" i="2" s="1"/>
  <c r="X438" i="2" a="1"/>
  <c r="X438" i="2" s="1"/>
  <c r="Y438" i="2"/>
  <c r="Z438" i="2"/>
  <c r="AA438" i="2" s="1"/>
  <c r="A439" i="2"/>
  <c r="B439" i="2"/>
  <c r="K439" i="2"/>
  <c r="L439" i="2"/>
  <c r="W439" i="2" a="1"/>
  <c r="W439" i="2" s="1"/>
  <c r="X439" i="2" a="1"/>
  <c r="X439" i="2" s="1"/>
  <c r="Y439" i="2"/>
  <c r="Z439" i="2"/>
  <c r="AA439" i="2" s="1"/>
  <c r="A440" i="2"/>
  <c r="B440" i="2"/>
  <c r="K440" i="2"/>
  <c r="L440" i="2"/>
  <c r="W440" i="2" a="1"/>
  <c r="W440" i="2" s="1"/>
  <c r="X440" i="2" a="1"/>
  <c r="X440" i="2" s="1"/>
  <c r="Y440" i="2"/>
  <c r="Z440" i="2"/>
  <c r="AA440" i="2" s="1"/>
  <c r="A441" i="2"/>
  <c r="B441" i="2"/>
  <c r="K441" i="2"/>
  <c r="L441" i="2"/>
  <c r="W441" i="2" a="1"/>
  <c r="W441" i="2" s="1"/>
  <c r="X441" i="2" a="1"/>
  <c r="X441" i="2" s="1"/>
  <c r="Y441" i="2"/>
  <c r="Z441" i="2"/>
  <c r="AA441" i="2" s="1"/>
  <c r="A442" i="2"/>
  <c r="B442" i="2"/>
  <c r="K442" i="2"/>
  <c r="L442" i="2"/>
  <c r="W442" i="2" a="1"/>
  <c r="W442" i="2" s="1"/>
  <c r="X442" i="2" a="1"/>
  <c r="X442" i="2" s="1"/>
  <c r="Y442" i="2"/>
  <c r="Z442" i="2"/>
  <c r="AA442" i="2" s="1"/>
  <c r="A443" i="2"/>
  <c r="B443" i="2"/>
  <c r="K443" i="2"/>
  <c r="L443" i="2"/>
  <c r="W443" i="2" a="1"/>
  <c r="W443" i="2" s="1"/>
  <c r="X443" i="2" a="1"/>
  <c r="X443" i="2" s="1"/>
  <c r="Y443" i="2"/>
  <c r="Z443" i="2"/>
  <c r="AA443" i="2" s="1"/>
  <c r="A444" i="2"/>
  <c r="B444" i="2"/>
  <c r="K444" i="2"/>
  <c r="L444" i="2"/>
  <c r="W444" i="2" a="1"/>
  <c r="W444" i="2" s="1"/>
  <c r="X444" i="2" a="1"/>
  <c r="X444" i="2" s="1"/>
  <c r="Y444" i="2"/>
  <c r="Z444" i="2"/>
  <c r="AA444" i="2" s="1"/>
  <c r="A445" i="2"/>
  <c r="B445" i="2"/>
  <c r="K445" i="2"/>
  <c r="L445" i="2"/>
  <c r="W445" i="2" a="1"/>
  <c r="W445" i="2" s="1"/>
  <c r="X445" i="2" a="1"/>
  <c r="X445" i="2" s="1"/>
  <c r="Y445" i="2"/>
  <c r="Z445" i="2"/>
  <c r="AA445" i="2" s="1"/>
  <c r="A446" i="2"/>
  <c r="B446" i="2"/>
  <c r="K446" i="2"/>
  <c r="L446" i="2"/>
  <c r="W446" i="2" a="1"/>
  <c r="W446" i="2" s="1"/>
  <c r="X446" i="2" a="1"/>
  <c r="X446" i="2" s="1"/>
  <c r="Y446" i="2"/>
  <c r="Z446" i="2"/>
  <c r="AA446" i="2" s="1"/>
  <c r="A447" i="2"/>
  <c r="B447" i="2"/>
  <c r="K447" i="2"/>
  <c r="L447" i="2"/>
  <c r="W447" i="2" a="1"/>
  <c r="W447" i="2" s="1"/>
  <c r="X447" i="2" a="1"/>
  <c r="X447" i="2" s="1"/>
  <c r="Y447" i="2"/>
  <c r="Z447" i="2"/>
  <c r="AA447" i="2" s="1"/>
  <c r="A448" i="2"/>
  <c r="B448" i="2"/>
  <c r="K448" i="2"/>
  <c r="L448" i="2"/>
  <c r="W448" i="2" a="1"/>
  <c r="W448" i="2" s="1"/>
  <c r="X448" i="2" a="1"/>
  <c r="X448" i="2" s="1"/>
  <c r="Y448" i="2"/>
  <c r="Z448" i="2"/>
  <c r="AA448" i="2" s="1"/>
  <c r="A449" i="2"/>
  <c r="B449" i="2"/>
  <c r="K449" i="2"/>
  <c r="L449" i="2"/>
  <c r="W449" i="2" a="1"/>
  <c r="W449" i="2" s="1"/>
  <c r="X449" i="2" a="1"/>
  <c r="X449" i="2" s="1"/>
  <c r="Y449" i="2"/>
  <c r="Z449" i="2"/>
  <c r="AA449" i="2" s="1"/>
  <c r="A450" i="2"/>
  <c r="B450" i="2"/>
  <c r="K450" i="2"/>
  <c r="L450" i="2"/>
  <c r="W450" i="2" a="1"/>
  <c r="W450" i="2" s="1"/>
  <c r="X450" i="2" a="1"/>
  <c r="X450" i="2" s="1"/>
  <c r="Y450" i="2"/>
  <c r="Z450" i="2"/>
  <c r="AA450" i="2" s="1"/>
  <c r="A451" i="2"/>
  <c r="B451" i="2"/>
  <c r="K451" i="2"/>
  <c r="L451" i="2"/>
  <c r="W451" i="2" a="1"/>
  <c r="W451" i="2" s="1"/>
  <c r="X451" i="2" a="1"/>
  <c r="X451" i="2" s="1"/>
  <c r="Y451" i="2"/>
  <c r="Z451" i="2"/>
  <c r="AA451" i="2" s="1"/>
  <c r="A452" i="2"/>
  <c r="B452" i="2"/>
  <c r="K452" i="2"/>
  <c r="L452" i="2"/>
  <c r="W452" i="2" a="1"/>
  <c r="W452" i="2" s="1"/>
  <c r="X452" i="2" a="1"/>
  <c r="X452" i="2" s="1"/>
  <c r="Y452" i="2"/>
  <c r="Z452" i="2"/>
  <c r="AA452" i="2" s="1"/>
  <c r="A453" i="2"/>
  <c r="B453" i="2"/>
  <c r="K453" i="2"/>
  <c r="L453" i="2"/>
  <c r="W453" i="2" a="1"/>
  <c r="W453" i="2" s="1"/>
  <c r="X453" i="2" a="1"/>
  <c r="X453" i="2" s="1"/>
  <c r="Y453" i="2"/>
  <c r="Z453" i="2"/>
  <c r="AA453" i="2" s="1"/>
  <c r="A454" i="2"/>
  <c r="B454" i="2"/>
  <c r="K454" i="2"/>
  <c r="L454" i="2"/>
  <c r="W454" i="2" a="1"/>
  <c r="W454" i="2" s="1"/>
  <c r="X454" i="2" a="1"/>
  <c r="X454" i="2" s="1"/>
  <c r="Y454" i="2"/>
  <c r="Z454" i="2"/>
  <c r="AA454" i="2" s="1"/>
  <c r="A455" i="2"/>
  <c r="B455" i="2"/>
  <c r="K455" i="2"/>
  <c r="L455" i="2"/>
  <c r="W455" i="2" a="1"/>
  <c r="W455" i="2" s="1"/>
  <c r="X455" i="2" a="1"/>
  <c r="X455" i="2" s="1"/>
  <c r="Y455" i="2"/>
  <c r="Z455" i="2"/>
  <c r="AA455" i="2" s="1"/>
  <c r="A456" i="2"/>
  <c r="B456" i="2"/>
  <c r="K456" i="2"/>
  <c r="L456" i="2"/>
  <c r="W456" i="2" a="1"/>
  <c r="W456" i="2" s="1"/>
  <c r="X456" i="2" a="1"/>
  <c r="X456" i="2" s="1"/>
  <c r="Y456" i="2"/>
  <c r="Z456" i="2"/>
  <c r="AA456" i="2" s="1"/>
  <c r="A457" i="2"/>
  <c r="B457" i="2"/>
  <c r="K457" i="2"/>
  <c r="L457" i="2"/>
  <c r="W457" i="2" a="1"/>
  <c r="W457" i="2" s="1"/>
  <c r="X457" i="2" a="1"/>
  <c r="X457" i="2" s="1"/>
  <c r="Y457" i="2"/>
  <c r="Z457" i="2"/>
  <c r="AA457" i="2" s="1"/>
  <c r="A458" i="2"/>
  <c r="B458" i="2"/>
  <c r="K458" i="2"/>
  <c r="L458" i="2"/>
  <c r="W458" i="2" a="1"/>
  <c r="W458" i="2" s="1"/>
  <c r="X458" i="2" a="1"/>
  <c r="X458" i="2" s="1"/>
  <c r="Y458" i="2"/>
  <c r="Z458" i="2"/>
  <c r="AA458" i="2" s="1"/>
  <c r="A459" i="2"/>
  <c r="B459" i="2"/>
  <c r="K459" i="2"/>
  <c r="L459" i="2"/>
  <c r="W459" i="2" a="1"/>
  <c r="W459" i="2" s="1"/>
  <c r="X459" i="2" a="1"/>
  <c r="X459" i="2" s="1"/>
  <c r="Y459" i="2"/>
  <c r="Z459" i="2"/>
  <c r="AA459" i="2" s="1"/>
  <c r="A460" i="2"/>
  <c r="B460" i="2"/>
  <c r="K460" i="2"/>
  <c r="L460" i="2"/>
  <c r="W460" i="2" a="1"/>
  <c r="W460" i="2" s="1"/>
  <c r="X460" i="2" a="1"/>
  <c r="X460" i="2" s="1"/>
  <c r="Y460" i="2"/>
  <c r="Z460" i="2"/>
  <c r="AA460" i="2" s="1"/>
  <c r="A461" i="2"/>
  <c r="B461" i="2"/>
  <c r="K461" i="2"/>
  <c r="L461" i="2"/>
  <c r="W461" i="2" a="1"/>
  <c r="W461" i="2" s="1"/>
  <c r="X461" i="2" a="1"/>
  <c r="X461" i="2" s="1"/>
  <c r="Y461" i="2"/>
  <c r="Z461" i="2"/>
  <c r="AA461" i="2" s="1"/>
  <c r="A462" i="2"/>
  <c r="B462" i="2"/>
  <c r="K462" i="2"/>
  <c r="L462" i="2"/>
  <c r="W462" i="2" a="1"/>
  <c r="W462" i="2" s="1"/>
  <c r="X462" i="2" a="1"/>
  <c r="X462" i="2" s="1"/>
  <c r="Y462" i="2"/>
  <c r="Z462" i="2"/>
  <c r="AA462" i="2" s="1"/>
  <c r="A463" i="2"/>
  <c r="B463" i="2"/>
  <c r="K463" i="2"/>
  <c r="L463" i="2"/>
  <c r="W463" i="2" a="1"/>
  <c r="W463" i="2" s="1"/>
  <c r="X463" i="2" a="1"/>
  <c r="X463" i="2" s="1"/>
  <c r="Y463" i="2"/>
  <c r="Z463" i="2"/>
  <c r="AA463" i="2" s="1"/>
  <c r="A464" i="2"/>
  <c r="B464" i="2"/>
  <c r="K464" i="2"/>
  <c r="L464" i="2"/>
  <c r="W464" i="2" a="1"/>
  <c r="W464" i="2" s="1"/>
  <c r="X464" i="2" a="1"/>
  <c r="X464" i="2" s="1"/>
  <c r="Y464" i="2"/>
  <c r="Z464" i="2"/>
  <c r="AA464" i="2" s="1"/>
  <c r="A465" i="2"/>
  <c r="B465" i="2"/>
  <c r="K465" i="2"/>
  <c r="L465" i="2"/>
  <c r="W465" i="2" a="1"/>
  <c r="W465" i="2" s="1"/>
  <c r="X465" i="2" a="1"/>
  <c r="X465" i="2" s="1"/>
  <c r="Y465" i="2"/>
  <c r="Z465" i="2"/>
  <c r="AA465" i="2" s="1"/>
  <c r="A466" i="2"/>
  <c r="B466" i="2"/>
  <c r="K466" i="2"/>
  <c r="L466" i="2"/>
  <c r="W466" i="2" a="1"/>
  <c r="W466" i="2" s="1"/>
  <c r="X466" i="2" a="1"/>
  <c r="X466" i="2" s="1"/>
  <c r="Y466" i="2"/>
  <c r="Z466" i="2"/>
  <c r="AA466" i="2" s="1"/>
  <c r="A467" i="2"/>
  <c r="B467" i="2"/>
  <c r="K467" i="2"/>
  <c r="L467" i="2"/>
  <c r="W467" i="2" a="1"/>
  <c r="W467" i="2" s="1"/>
  <c r="X467" i="2" a="1"/>
  <c r="X467" i="2" s="1"/>
  <c r="Y467" i="2"/>
  <c r="Z467" i="2"/>
  <c r="AA467" i="2" s="1"/>
  <c r="A468" i="2"/>
  <c r="B468" i="2"/>
  <c r="K468" i="2"/>
  <c r="L468" i="2"/>
  <c r="W468" i="2" a="1"/>
  <c r="W468" i="2" s="1"/>
  <c r="X468" i="2" a="1"/>
  <c r="X468" i="2" s="1"/>
  <c r="Y468" i="2"/>
  <c r="Z468" i="2"/>
  <c r="AA468" i="2" s="1"/>
  <c r="A469" i="2"/>
  <c r="B469" i="2"/>
  <c r="K469" i="2"/>
  <c r="L469" i="2"/>
  <c r="W469" i="2" a="1"/>
  <c r="W469" i="2" s="1"/>
  <c r="X469" i="2" a="1"/>
  <c r="X469" i="2" s="1"/>
  <c r="Y469" i="2"/>
  <c r="Z469" i="2"/>
  <c r="AA469" i="2" s="1"/>
  <c r="A470" i="2"/>
  <c r="B470" i="2"/>
  <c r="K470" i="2"/>
  <c r="L470" i="2"/>
  <c r="W470" i="2" a="1"/>
  <c r="W470" i="2" s="1"/>
  <c r="X470" i="2" a="1"/>
  <c r="X470" i="2" s="1"/>
  <c r="Y470" i="2"/>
  <c r="Z470" i="2"/>
  <c r="AA470" i="2" s="1"/>
  <c r="A471" i="2"/>
  <c r="B471" i="2"/>
  <c r="K471" i="2"/>
  <c r="L471" i="2"/>
  <c r="W471" i="2" a="1"/>
  <c r="W471" i="2" s="1"/>
  <c r="X471" i="2" a="1"/>
  <c r="X471" i="2" s="1"/>
  <c r="Y471" i="2"/>
  <c r="Z471" i="2"/>
  <c r="AA471" i="2" s="1"/>
  <c r="A472" i="2"/>
  <c r="B472" i="2"/>
  <c r="K472" i="2"/>
  <c r="L472" i="2"/>
  <c r="W472" i="2" a="1"/>
  <c r="W472" i="2" s="1"/>
  <c r="X472" i="2" a="1"/>
  <c r="X472" i="2" s="1"/>
  <c r="Y472" i="2"/>
  <c r="Z472" i="2"/>
  <c r="AA472" i="2" s="1"/>
  <c r="A473" i="2"/>
  <c r="B473" i="2"/>
  <c r="K473" i="2"/>
  <c r="L473" i="2"/>
  <c r="W473" i="2" a="1"/>
  <c r="W473" i="2" s="1"/>
  <c r="X473" i="2" a="1"/>
  <c r="X473" i="2" s="1"/>
  <c r="Y473" i="2"/>
  <c r="Z473" i="2"/>
  <c r="AA473" i="2" s="1"/>
  <c r="A474" i="2"/>
  <c r="B474" i="2"/>
  <c r="K474" i="2"/>
  <c r="L474" i="2"/>
  <c r="W474" i="2" a="1"/>
  <c r="W474" i="2" s="1"/>
  <c r="X474" i="2" a="1"/>
  <c r="X474" i="2" s="1"/>
  <c r="Y474" i="2"/>
  <c r="Z474" i="2"/>
  <c r="AA474" i="2" s="1"/>
  <c r="A475" i="2"/>
  <c r="B475" i="2"/>
  <c r="K475" i="2"/>
  <c r="L475" i="2"/>
  <c r="W475" i="2" a="1"/>
  <c r="W475" i="2" s="1"/>
  <c r="X475" i="2" a="1"/>
  <c r="X475" i="2" s="1"/>
  <c r="Y475" i="2"/>
  <c r="Z475" i="2"/>
  <c r="AA475" i="2" s="1"/>
  <c r="A476" i="2"/>
  <c r="B476" i="2"/>
  <c r="K476" i="2"/>
  <c r="L476" i="2"/>
  <c r="W476" i="2" a="1"/>
  <c r="W476" i="2" s="1"/>
  <c r="X476" i="2" a="1"/>
  <c r="X476" i="2" s="1"/>
  <c r="Y476" i="2"/>
  <c r="Z476" i="2"/>
  <c r="AA476" i="2" s="1"/>
  <c r="A477" i="2"/>
  <c r="B477" i="2"/>
  <c r="K477" i="2"/>
  <c r="L477" i="2"/>
  <c r="W477" i="2" a="1"/>
  <c r="W477" i="2" s="1"/>
  <c r="X477" i="2" a="1"/>
  <c r="X477" i="2" s="1"/>
  <c r="Y477" i="2"/>
  <c r="Z477" i="2"/>
  <c r="AA477" i="2" s="1"/>
  <c r="A478" i="2"/>
  <c r="B478" i="2"/>
  <c r="K478" i="2"/>
  <c r="L478" i="2"/>
  <c r="W478" i="2" a="1"/>
  <c r="W478" i="2" s="1"/>
  <c r="X478" i="2" a="1"/>
  <c r="X478" i="2" s="1"/>
  <c r="Y478" i="2"/>
  <c r="Z478" i="2"/>
  <c r="AA478" i="2" s="1"/>
  <c r="A479" i="2"/>
  <c r="B479" i="2"/>
  <c r="K479" i="2"/>
  <c r="L479" i="2"/>
  <c r="W479" i="2" a="1"/>
  <c r="W479" i="2" s="1"/>
  <c r="X479" i="2" a="1"/>
  <c r="X479" i="2" s="1"/>
  <c r="Y479" i="2"/>
  <c r="Z479" i="2"/>
  <c r="AA479" i="2" s="1"/>
  <c r="A480" i="2"/>
  <c r="B480" i="2"/>
  <c r="K480" i="2"/>
  <c r="L480" i="2"/>
  <c r="W480" i="2" a="1"/>
  <c r="W480" i="2" s="1"/>
  <c r="X480" i="2" a="1"/>
  <c r="X480" i="2" s="1"/>
  <c r="Y480" i="2"/>
  <c r="Z480" i="2"/>
  <c r="AA480" i="2" s="1"/>
  <c r="A481" i="2"/>
  <c r="B481" i="2"/>
  <c r="K481" i="2"/>
  <c r="L481" i="2"/>
  <c r="W481" i="2" a="1"/>
  <c r="W481" i="2" s="1"/>
  <c r="X481" i="2" a="1"/>
  <c r="X481" i="2" s="1"/>
  <c r="Y481" i="2"/>
  <c r="Z481" i="2"/>
  <c r="AA481" i="2" s="1"/>
  <c r="A482" i="2"/>
  <c r="B482" i="2"/>
  <c r="K482" i="2"/>
  <c r="L482" i="2"/>
  <c r="W482" i="2" a="1"/>
  <c r="W482" i="2" s="1"/>
  <c r="X482" i="2" a="1"/>
  <c r="X482" i="2" s="1"/>
  <c r="Y482" i="2"/>
  <c r="Z482" i="2"/>
  <c r="AA482" i="2" s="1"/>
  <c r="A483" i="2"/>
  <c r="B483" i="2"/>
  <c r="K483" i="2"/>
  <c r="L483" i="2"/>
  <c r="W483" i="2" a="1"/>
  <c r="W483" i="2" s="1"/>
  <c r="X483" i="2" a="1"/>
  <c r="X483" i="2" s="1"/>
  <c r="Y483" i="2"/>
  <c r="Z483" i="2"/>
  <c r="AA483" i="2" s="1"/>
  <c r="A484" i="2"/>
  <c r="B484" i="2"/>
  <c r="K484" i="2"/>
  <c r="L484" i="2"/>
  <c r="W484" i="2" a="1"/>
  <c r="W484" i="2" s="1"/>
  <c r="X484" i="2" a="1"/>
  <c r="X484" i="2" s="1"/>
  <c r="Y484" i="2"/>
  <c r="Z484" i="2"/>
  <c r="AA484" i="2" s="1"/>
  <c r="A485" i="2"/>
  <c r="B485" i="2"/>
  <c r="K485" i="2"/>
  <c r="L485" i="2"/>
  <c r="W485" i="2" a="1"/>
  <c r="W485" i="2" s="1"/>
  <c r="X485" i="2" a="1"/>
  <c r="X485" i="2" s="1"/>
  <c r="Y485" i="2"/>
  <c r="Z485" i="2"/>
  <c r="AA485" i="2" s="1"/>
  <c r="A486" i="2"/>
  <c r="B486" i="2"/>
  <c r="K486" i="2"/>
  <c r="L486" i="2"/>
  <c r="W486" i="2" a="1"/>
  <c r="W486" i="2" s="1"/>
  <c r="X486" i="2" a="1"/>
  <c r="X486" i="2" s="1"/>
  <c r="Y486" i="2"/>
  <c r="Z486" i="2"/>
  <c r="AA486" i="2" s="1"/>
  <c r="A487" i="2"/>
  <c r="B487" i="2"/>
  <c r="K487" i="2"/>
  <c r="L487" i="2"/>
  <c r="W487" i="2" a="1"/>
  <c r="W487" i="2" s="1"/>
  <c r="X487" i="2" a="1"/>
  <c r="X487" i="2" s="1"/>
  <c r="Y487" i="2"/>
  <c r="Z487" i="2"/>
  <c r="AA487" i="2" s="1"/>
  <c r="A488" i="2"/>
  <c r="B488" i="2"/>
  <c r="K488" i="2"/>
  <c r="L488" i="2"/>
  <c r="W488" i="2" a="1"/>
  <c r="W488" i="2" s="1"/>
  <c r="X488" i="2" a="1"/>
  <c r="X488" i="2" s="1"/>
  <c r="Y488" i="2"/>
  <c r="Z488" i="2"/>
  <c r="AA488" i="2" s="1"/>
  <c r="A489" i="2"/>
  <c r="B489" i="2"/>
  <c r="K489" i="2"/>
  <c r="L489" i="2"/>
  <c r="W489" i="2" a="1"/>
  <c r="W489" i="2" s="1"/>
  <c r="X489" i="2" a="1"/>
  <c r="X489" i="2" s="1"/>
  <c r="Y489" i="2"/>
  <c r="Z489" i="2"/>
  <c r="AA489" i="2" s="1"/>
  <c r="A490" i="2"/>
  <c r="B490" i="2"/>
  <c r="K490" i="2"/>
  <c r="L490" i="2"/>
  <c r="W490" i="2" a="1"/>
  <c r="W490" i="2" s="1"/>
  <c r="X490" i="2" a="1"/>
  <c r="X490" i="2" s="1"/>
  <c r="Y490" i="2"/>
  <c r="Z490" i="2"/>
  <c r="AA490" i="2" s="1"/>
  <c r="A491" i="2"/>
  <c r="B491" i="2"/>
  <c r="K491" i="2"/>
  <c r="L491" i="2"/>
  <c r="W491" i="2" a="1"/>
  <c r="W491" i="2" s="1"/>
  <c r="X491" i="2" a="1"/>
  <c r="X491" i="2" s="1"/>
  <c r="Y491" i="2"/>
  <c r="Z491" i="2"/>
  <c r="AA491" i="2" s="1"/>
  <c r="A492" i="2"/>
  <c r="B492" i="2"/>
  <c r="K492" i="2"/>
  <c r="L492" i="2"/>
  <c r="W492" i="2" a="1"/>
  <c r="W492" i="2" s="1"/>
  <c r="X492" i="2" a="1"/>
  <c r="X492" i="2" s="1"/>
  <c r="Y492" i="2"/>
  <c r="Z492" i="2"/>
  <c r="AA492" i="2" s="1"/>
  <c r="A493" i="2"/>
  <c r="B493" i="2"/>
  <c r="K493" i="2"/>
  <c r="L493" i="2"/>
  <c r="W493" i="2" a="1"/>
  <c r="W493" i="2" s="1"/>
  <c r="X493" i="2" a="1"/>
  <c r="X493" i="2" s="1"/>
  <c r="Y493" i="2"/>
  <c r="Z493" i="2"/>
  <c r="AA493" i="2" s="1"/>
  <c r="A494" i="2"/>
  <c r="B494" i="2"/>
  <c r="K494" i="2"/>
  <c r="L494" i="2"/>
  <c r="W494" i="2" a="1"/>
  <c r="W494" i="2" s="1"/>
  <c r="X494" i="2" a="1"/>
  <c r="X494" i="2" s="1"/>
  <c r="Y494" i="2"/>
  <c r="Z494" i="2"/>
  <c r="AA494" i="2" s="1"/>
  <c r="A495" i="2"/>
  <c r="B495" i="2"/>
  <c r="K495" i="2"/>
  <c r="L495" i="2"/>
  <c r="W495" i="2" a="1"/>
  <c r="W495" i="2" s="1"/>
  <c r="X495" i="2" a="1"/>
  <c r="X495" i="2" s="1"/>
  <c r="Y495" i="2"/>
  <c r="Z495" i="2"/>
  <c r="AA495" i="2" s="1"/>
  <c r="A496" i="2"/>
  <c r="B496" i="2"/>
  <c r="K496" i="2"/>
  <c r="L496" i="2"/>
  <c r="W496" i="2" a="1"/>
  <c r="W496" i="2" s="1"/>
  <c r="X496" i="2" a="1"/>
  <c r="X496" i="2" s="1"/>
  <c r="Y496" i="2"/>
  <c r="Z496" i="2"/>
  <c r="AA496" i="2" s="1"/>
  <c r="A497" i="2"/>
  <c r="B497" i="2"/>
  <c r="K497" i="2"/>
  <c r="L497" i="2"/>
  <c r="W497" i="2" a="1"/>
  <c r="W497" i="2" s="1"/>
  <c r="X497" i="2" a="1"/>
  <c r="X497" i="2" s="1"/>
  <c r="Y497" i="2"/>
  <c r="Z497" i="2"/>
  <c r="AA497" i="2" s="1"/>
  <c r="A498" i="2"/>
  <c r="B498" i="2"/>
  <c r="K498" i="2"/>
  <c r="L498" i="2"/>
  <c r="W498" i="2" a="1"/>
  <c r="W498" i="2" s="1"/>
  <c r="X498" i="2" a="1"/>
  <c r="X498" i="2" s="1"/>
  <c r="Y498" i="2"/>
  <c r="Z498" i="2"/>
  <c r="AA498" i="2" s="1"/>
  <c r="A499" i="2"/>
  <c r="B499" i="2"/>
  <c r="K499" i="2"/>
  <c r="L499" i="2"/>
  <c r="W499" i="2" a="1"/>
  <c r="W499" i="2" s="1"/>
  <c r="X499" i="2" a="1"/>
  <c r="X499" i="2" s="1"/>
  <c r="Y499" i="2"/>
  <c r="Z499" i="2"/>
  <c r="AA499" i="2" s="1"/>
  <c r="A500" i="2"/>
  <c r="B500" i="2"/>
  <c r="K500" i="2"/>
  <c r="L500" i="2"/>
  <c r="W500" i="2" a="1"/>
  <c r="W500" i="2" s="1"/>
  <c r="X500" i="2" a="1"/>
  <c r="X500" i="2" s="1"/>
  <c r="Y500" i="2"/>
  <c r="Z500" i="2"/>
  <c r="AA500" i="2" s="1"/>
  <c r="A501" i="2"/>
  <c r="B501" i="2"/>
  <c r="K501" i="2"/>
  <c r="L501" i="2"/>
  <c r="W501" i="2" a="1"/>
  <c r="W501" i="2" s="1"/>
  <c r="X501" i="2" a="1"/>
  <c r="X501" i="2" s="1"/>
  <c r="Y501" i="2"/>
  <c r="Z501" i="2"/>
  <c r="AA501" i="2" s="1"/>
  <c r="A502" i="2"/>
  <c r="B502" i="2"/>
  <c r="K502" i="2"/>
  <c r="L502" i="2"/>
  <c r="W502" i="2" a="1"/>
  <c r="W502" i="2" s="1"/>
  <c r="X502" i="2" a="1"/>
  <c r="X502" i="2" s="1"/>
  <c r="Y502" i="2"/>
  <c r="Z502" i="2"/>
  <c r="AA502" i="2" s="1"/>
  <c r="A503" i="2"/>
  <c r="B503" i="2"/>
  <c r="K503" i="2"/>
  <c r="L503" i="2"/>
  <c r="W503" i="2" a="1"/>
  <c r="W503" i="2" s="1"/>
  <c r="X503" i="2" a="1"/>
  <c r="X503" i="2" s="1"/>
  <c r="Y503" i="2"/>
  <c r="Z503" i="2"/>
  <c r="AA503" i="2" s="1"/>
  <c r="A504" i="2"/>
  <c r="B504" i="2"/>
  <c r="K504" i="2"/>
  <c r="L504" i="2"/>
  <c r="W504" i="2" a="1"/>
  <c r="W504" i="2" s="1"/>
  <c r="X504" i="2" a="1"/>
  <c r="X504" i="2" s="1"/>
  <c r="Y504" i="2"/>
  <c r="Z504" i="2"/>
  <c r="AA504" i="2" s="1"/>
  <c r="A505" i="2"/>
  <c r="B505" i="2"/>
  <c r="K505" i="2"/>
  <c r="L505" i="2"/>
  <c r="W505" i="2" a="1"/>
  <c r="W505" i="2" s="1"/>
  <c r="X505" i="2" a="1"/>
  <c r="X505" i="2" s="1"/>
  <c r="Y505" i="2"/>
  <c r="Z505" i="2"/>
  <c r="AA505" i="2" s="1"/>
  <c r="A506" i="2"/>
  <c r="B506" i="2"/>
  <c r="K506" i="2"/>
  <c r="L506" i="2"/>
  <c r="W506" i="2" a="1"/>
  <c r="W506" i="2" s="1"/>
  <c r="X506" i="2" a="1"/>
  <c r="X506" i="2" s="1"/>
  <c r="Y506" i="2"/>
  <c r="Z506" i="2"/>
  <c r="AA506" i="2" s="1"/>
  <c r="A507" i="2"/>
  <c r="B507" i="2"/>
  <c r="K507" i="2"/>
  <c r="L507" i="2"/>
  <c r="W507" i="2" a="1"/>
  <c r="W507" i="2" s="1"/>
  <c r="X507" i="2" a="1"/>
  <c r="X507" i="2" s="1"/>
  <c r="Y507" i="2"/>
  <c r="Z507" i="2"/>
  <c r="AA507" i="2" s="1"/>
  <c r="A508" i="2"/>
  <c r="B508" i="2"/>
  <c r="K508" i="2"/>
  <c r="L508" i="2"/>
  <c r="W508" i="2" a="1"/>
  <c r="W508" i="2" s="1"/>
  <c r="X508" i="2" a="1"/>
  <c r="X508" i="2" s="1"/>
  <c r="Y508" i="2"/>
  <c r="Z508" i="2"/>
  <c r="AA508" i="2" s="1"/>
  <c r="A509" i="2"/>
  <c r="B509" i="2"/>
  <c r="K509" i="2"/>
  <c r="L509" i="2"/>
  <c r="W509" i="2" a="1"/>
  <c r="W509" i="2" s="1"/>
  <c r="X509" i="2" a="1"/>
  <c r="X509" i="2" s="1"/>
  <c r="Y509" i="2"/>
  <c r="Z509" i="2"/>
  <c r="AA509" i="2" s="1"/>
  <c r="A510" i="2"/>
  <c r="B510" i="2"/>
  <c r="K510" i="2"/>
  <c r="L510" i="2"/>
  <c r="W510" i="2" a="1"/>
  <c r="W510" i="2" s="1"/>
  <c r="X510" i="2" a="1"/>
  <c r="X510" i="2" s="1"/>
  <c r="Y510" i="2"/>
  <c r="Z510" i="2"/>
  <c r="AA510" i="2" s="1"/>
  <c r="A511" i="2"/>
  <c r="B511" i="2"/>
  <c r="K511" i="2"/>
  <c r="L511" i="2"/>
  <c r="W511" i="2" a="1"/>
  <c r="W511" i="2" s="1"/>
  <c r="X511" i="2" a="1"/>
  <c r="X511" i="2" s="1"/>
  <c r="Y511" i="2"/>
  <c r="Z511" i="2"/>
  <c r="AA511" i="2" s="1"/>
  <c r="A512" i="2"/>
  <c r="B512" i="2"/>
  <c r="K512" i="2"/>
  <c r="L512" i="2"/>
  <c r="W512" i="2" a="1"/>
  <c r="W512" i="2" s="1"/>
  <c r="X512" i="2" a="1"/>
  <c r="X512" i="2" s="1"/>
  <c r="Y512" i="2"/>
  <c r="Z512" i="2"/>
  <c r="AA512" i="2" s="1"/>
  <c r="A513" i="2"/>
  <c r="B513" i="2"/>
  <c r="K513" i="2"/>
  <c r="L513" i="2"/>
  <c r="W513" i="2" a="1"/>
  <c r="W513" i="2" s="1"/>
  <c r="X513" i="2" a="1"/>
  <c r="X513" i="2" s="1"/>
  <c r="Y513" i="2"/>
  <c r="Z513" i="2"/>
  <c r="AA513" i="2"/>
  <c r="A514" i="2"/>
  <c r="B514" i="2"/>
  <c r="K514" i="2"/>
  <c r="L514" i="2"/>
  <c r="W514" i="2" a="1"/>
  <c r="W514" i="2" s="1"/>
  <c r="X514" i="2" a="1"/>
  <c r="X514" i="2" s="1"/>
  <c r="Y514" i="2"/>
  <c r="Z514" i="2"/>
  <c r="AA514" i="2" s="1"/>
  <c r="A515" i="2"/>
  <c r="B515" i="2"/>
  <c r="K515" i="2"/>
  <c r="L515" i="2"/>
  <c r="W515" i="2" a="1"/>
  <c r="W515" i="2" s="1"/>
  <c r="X515" i="2" a="1"/>
  <c r="X515" i="2" s="1"/>
  <c r="Y515" i="2"/>
  <c r="Z515" i="2"/>
  <c r="AA515" i="2" s="1"/>
  <c r="A516" i="2"/>
  <c r="B516" i="2"/>
  <c r="K516" i="2"/>
  <c r="L516" i="2"/>
  <c r="W516" i="2" a="1"/>
  <c r="W516" i="2" s="1"/>
  <c r="X516" i="2" a="1"/>
  <c r="X516" i="2" s="1"/>
  <c r="Y516" i="2"/>
  <c r="Z516" i="2"/>
  <c r="AA516" i="2" s="1"/>
  <c r="A517" i="2"/>
  <c r="B517" i="2"/>
  <c r="K517" i="2"/>
  <c r="L517" i="2"/>
  <c r="W517" i="2" a="1"/>
  <c r="W517" i="2" s="1"/>
  <c r="X517" i="2" a="1"/>
  <c r="X517" i="2" s="1"/>
  <c r="Y517" i="2"/>
  <c r="Z517" i="2"/>
  <c r="AA517" i="2" s="1"/>
  <c r="A518" i="2"/>
  <c r="B518" i="2"/>
  <c r="K518" i="2"/>
  <c r="L518" i="2"/>
  <c r="W518" i="2" a="1"/>
  <c r="W518" i="2" s="1"/>
  <c r="X518" i="2" a="1"/>
  <c r="X518" i="2" s="1"/>
  <c r="Y518" i="2"/>
  <c r="Z518" i="2"/>
  <c r="AA518" i="2" s="1"/>
  <c r="A519" i="2"/>
  <c r="B519" i="2"/>
  <c r="K519" i="2"/>
  <c r="L519" i="2"/>
  <c r="W519" i="2" a="1"/>
  <c r="W519" i="2" s="1"/>
  <c r="X519" i="2" a="1"/>
  <c r="X519" i="2" s="1"/>
  <c r="Y519" i="2"/>
  <c r="Z519" i="2"/>
  <c r="AA519" i="2" s="1"/>
  <c r="A520" i="2"/>
  <c r="B520" i="2"/>
  <c r="K520" i="2"/>
  <c r="L520" i="2"/>
  <c r="W520" i="2" a="1"/>
  <c r="W520" i="2" s="1"/>
  <c r="X520" i="2" a="1"/>
  <c r="X520" i="2" s="1"/>
  <c r="Y520" i="2"/>
  <c r="Z520" i="2"/>
  <c r="AA520" i="2" s="1"/>
  <c r="A521" i="2"/>
  <c r="B521" i="2"/>
  <c r="K521" i="2"/>
  <c r="L521" i="2"/>
  <c r="W521" i="2" a="1"/>
  <c r="W521" i="2" s="1"/>
  <c r="X521" i="2" a="1"/>
  <c r="X521" i="2" s="1"/>
  <c r="Y521" i="2"/>
  <c r="Z521" i="2"/>
  <c r="AA521" i="2" s="1"/>
  <c r="A522" i="2"/>
  <c r="B522" i="2"/>
  <c r="K522" i="2"/>
  <c r="L522" i="2"/>
  <c r="W522" i="2" a="1"/>
  <c r="W522" i="2" s="1"/>
  <c r="X522" i="2" a="1"/>
  <c r="X522" i="2" s="1"/>
  <c r="Y522" i="2"/>
  <c r="Z522" i="2"/>
  <c r="AA522" i="2" s="1"/>
  <c r="A523" i="2"/>
  <c r="B523" i="2"/>
  <c r="K523" i="2"/>
  <c r="L523" i="2"/>
  <c r="W523" i="2" a="1"/>
  <c r="W523" i="2" s="1"/>
  <c r="X523" i="2" a="1"/>
  <c r="X523" i="2" s="1"/>
  <c r="Y523" i="2"/>
  <c r="Z523" i="2"/>
  <c r="AA523" i="2" s="1"/>
  <c r="A524" i="2"/>
  <c r="B524" i="2"/>
  <c r="K524" i="2"/>
  <c r="L524" i="2"/>
  <c r="W524" i="2" a="1"/>
  <c r="W524" i="2" s="1"/>
  <c r="X524" i="2" a="1"/>
  <c r="X524" i="2" s="1"/>
  <c r="Y524" i="2"/>
  <c r="Z524" i="2"/>
  <c r="AA524" i="2" s="1"/>
  <c r="A525" i="2"/>
  <c r="B525" i="2"/>
  <c r="K525" i="2"/>
  <c r="L525" i="2"/>
  <c r="W525" i="2" a="1"/>
  <c r="W525" i="2" s="1"/>
  <c r="X525" i="2" a="1"/>
  <c r="X525" i="2" s="1"/>
  <c r="Y525" i="2"/>
  <c r="Z525" i="2"/>
  <c r="AA525" i="2" s="1"/>
  <c r="A526" i="2"/>
  <c r="B526" i="2"/>
  <c r="K526" i="2"/>
  <c r="L526" i="2"/>
  <c r="W526" i="2" a="1"/>
  <c r="W526" i="2" s="1"/>
  <c r="X526" i="2" a="1"/>
  <c r="X526" i="2" s="1"/>
  <c r="Y526" i="2"/>
  <c r="Z526" i="2"/>
  <c r="AA526" i="2" s="1"/>
  <c r="A527" i="2"/>
  <c r="B527" i="2"/>
  <c r="K527" i="2"/>
  <c r="L527" i="2"/>
  <c r="W527" i="2" a="1"/>
  <c r="W527" i="2" s="1"/>
  <c r="X527" i="2" a="1"/>
  <c r="X527" i="2" s="1"/>
  <c r="Y527" i="2"/>
  <c r="Z527" i="2"/>
  <c r="AA527" i="2" s="1"/>
  <c r="A528" i="2"/>
  <c r="B528" i="2"/>
  <c r="K528" i="2"/>
  <c r="L528" i="2"/>
  <c r="W528" i="2" a="1"/>
  <c r="W528" i="2" s="1"/>
  <c r="X528" i="2" a="1"/>
  <c r="X528" i="2" s="1"/>
  <c r="Y528" i="2"/>
  <c r="Z528" i="2"/>
  <c r="AA528" i="2" s="1"/>
  <c r="A529" i="2"/>
  <c r="B529" i="2"/>
  <c r="K529" i="2"/>
  <c r="L529" i="2"/>
  <c r="W529" i="2" a="1"/>
  <c r="W529" i="2" s="1"/>
  <c r="X529" i="2" a="1"/>
  <c r="X529" i="2" s="1"/>
  <c r="Y529" i="2"/>
  <c r="Z529" i="2"/>
  <c r="AA529" i="2" s="1"/>
  <c r="A530" i="2"/>
  <c r="B530" i="2"/>
  <c r="K530" i="2"/>
  <c r="L530" i="2"/>
  <c r="W530" i="2" a="1"/>
  <c r="W530" i="2" s="1"/>
  <c r="X530" i="2" a="1"/>
  <c r="X530" i="2" s="1"/>
  <c r="Y530" i="2"/>
  <c r="Z530" i="2"/>
  <c r="AA530" i="2" s="1"/>
  <c r="A531" i="2"/>
  <c r="B531" i="2"/>
  <c r="K531" i="2"/>
  <c r="L531" i="2"/>
  <c r="W531" i="2" a="1"/>
  <c r="W531" i="2" s="1"/>
  <c r="X531" i="2" a="1"/>
  <c r="X531" i="2" s="1"/>
  <c r="Y531" i="2"/>
  <c r="Z531" i="2"/>
  <c r="AA531" i="2" s="1"/>
  <c r="A532" i="2"/>
  <c r="B532" i="2"/>
  <c r="K532" i="2"/>
  <c r="L532" i="2"/>
  <c r="W532" i="2" a="1"/>
  <c r="W532" i="2" s="1"/>
  <c r="X532" i="2" a="1"/>
  <c r="X532" i="2" s="1"/>
  <c r="Y532" i="2"/>
  <c r="Z532" i="2"/>
  <c r="AA532" i="2" s="1"/>
  <c r="A533" i="2"/>
  <c r="B533" i="2"/>
  <c r="K533" i="2"/>
  <c r="L533" i="2"/>
  <c r="W533" i="2" a="1"/>
  <c r="W533" i="2" s="1"/>
  <c r="X533" i="2" a="1"/>
  <c r="X533" i="2" s="1"/>
  <c r="Y533" i="2"/>
  <c r="Z533" i="2"/>
  <c r="AA533" i="2" s="1"/>
  <c r="A534" i="2"/>
  <c r="B534" i="2"/>
  <c r="K534" i="2"/>
  <c r="L534" i="2"/>
  <c r="W534" i="2" a="1"/>
  <c r="W534" i="2" s="1"/>
  <c r="X534" i="2" a="1"/>
  <c r="X534" i="2" s="1"/>
  <c r="Y534" i="2"/>
  <c r="Z534" i="2"/>
  <c r="AA534" i="2" s="1"/>
  <c r="A535" i="2"/>
  <c r="B535" i="2"/>
  <c r="K535" i="2"/>
  <c r="L535" i="2"/>
  <c r="W535" i="2" a="1"/>
  <c r="W535" i="2" s="1"/>
  <c r="X535" i="2" a="1"/>
  <c r="X535" i="2" s="1"/>
  <c r="Y535" i="2"/>
  <c r="Z535" i="2"/>
  <c r="AA535" i="2" s="1"/>
  <c r="A536" i="2"/>
  <c r="B536" i="2"/>
  <c r="K536" i="2"/>
  <c r="L536" i="2"/>
  <c r="W536" i="2" a="1"/>
  <c r="W536" i="2" s="1"/>
  <c r="X536" i="2" a="1"/>
  <c r="X536" i="2" s="1"/>
  <c r="Y536" i="2"/>
  <c r="Z536" i="2"/>
  <c r="AA536" i="2" s="1"/>
  <c r="A537" i="2"/>
  <c r="B537" i="2"/>
  <c r="K537" i="2"/>
  <c r="L537" i="2"/>
  <c r="W537" i="2" a="1"/>
  <c r="W537" i="2" s="1"/>
  <c r="X537" i="2" a="1"/>
  <c r="X537" i="2" s="1"/>
  <c r="Y537" i="2"/>
  <c r="Z537" i="2"/>
  <c r="AA537" i="2" s="1"/>
  <c r="A538" i="2"/>
  <c r="B538" i="2"/>
  <c r="K538" i="2"/>
  <c r="L538" i="2"/>
  <c r="W538" i="2" a="1"/>
  <c r="W538" i="2" s="1"/>
  <c r="X538" i="2" a="1"/>
  <c r="X538" i="2" s="1"/>
  <c r="Y538" i="2"/>
  <c r="Z538" i="2"/>
  <c r="AA538" i="2"/>
  <c r="A539" i="2"/>
  <c r="B539" i="2"/>
  <c r="K539" i="2"/>
  <c r="L539" i="2"/>
  <c r="W539" i="2" a="1"/>
  <c r="W539" i="2" s="1"/>
  <c r="X539" i="2" a="1"/>
  <c r="X539" i="2" s="1"/>
  <c r="Y539" i="2"/>
  <c r="Z539" i="2"/>
  <c r="AA539" i="2" s="1"/>
  <c r="A540" i="2"/>
  <c r="B540" i="2"/>
  <c r="K540" i="2"/>
  <c r="L540" i="2"/>
  <c r="W540" i="2" a="1"/>
  <c r="W540" i="2" s="1"/>
  <c r="X540" i="2" a="1"/>
  <c r="X540" i="2" s="1"/>
  <c r="Y540" i="2"/>
  <c r="Z540" i="2"/>
  <c r="AA540" i="2" s="1"/>
  <c r="A541" i="2"/>
  <c r="B541" i="2"/>
  <c r="K541" i="2"/>
  <c r="L541" i="2"/>
  <c r="W541" i="2" a="1"/>
  <c r="W541" i="2" s="1"/>
  <c r="X541" i="2" a="1"/>
  <c r="X541" i="2" s="1"/>
  <c r="Y541" i="2"/>
  <c r="Z541" i="2"/>
  <c r="AA541" i="2" s="1"/>
  <c r="A542" i="2"/>
  <c r="B542" i="2"/>
  <c r="K542" i="2"/>
  <c r="L542" i="2"/>
  <c r="W542" i="2" a="1"/>
  <c r="W542" i="2" s="1"/>
  <c r="X542" i="2" a="1"/>
  <c r="X542" i="2" s="1"/>
  <c r="Y542" i="2"/>
  <c r="Z542" i="2"/>
  <c r="AA542" i="2" s="1"/>
  <c r="A543" i="2"/>
  <c r="B543" i="2"/>
  <c r="K543" i="2"/>
  <c r="L543" i="2"/>
  <c r="W543" i="2" a="1"/>
  <c r="W543" i="2" s="1"/>
  <c r="X543" i="2" a="1"/>
  <c r="X543" i="2" s="1"/>
  <c r="Y543" i="2"/>
  <c r="Z543" i="2"/>
  <c r="AA543" i="2" s="1"/>
  <c r="A544" i="2"/>
  <c r="B544" i="2"/>
  <c r="K544" i="2"/>
  <c r="L544" i="2"/>
  <c r="W544" i="2" a="1"/>
  <c r="W544" i="2" s="1"/>
  <c r="X544" i="2" a="1"/>
  <c r="X544" i="2" s="1"/>
  <c r="Y544" i="2"/>
  <c r="Z544" i="2"/>
  <c r="AA544" i="2" s="1"/>
  <c r="A545" i="2"/>
  <c r="B545" i="2"/>
  <c r="K545" i="2"/>
  <c r="L545" i="2"/>
  <c r="W545" i="2" a="1"/>
  <c r="W545" i="2" s="1"/>
  <c r="X545" i="2" a="1"/>
  <c r="X545" i="2" s="1"/>
  <c r="Y545" i="2"/>
  <c r="Z545" i="2"/>
  <c r="AA545" i="2" s="1"/>
  <c r="A546" i="2"/>
  <c r="B546" i="2"/>
  <c r="K546" i="2"/>
  <c r="L546" i="2"/>
  <c r="W546" i="2" a="1"/>
  <c r="W546" i="2" s="1"/>
  <c r="X546" i="2" a="1"/>
  <c r="X546" i="2" s="1"/>
  <c r="Y546" i="2"/>
  <c r="Z546" i="2"/>
  <c r="AA546" i="2" s="1"/>
  <c r="A547" i="2"/>
  <c r="B547" i="2"/>
  <c r="K547" i="2"/>
  <c r="L547" i="2"/>
  <c r="W547" i="2" a="1"/>
  <c r="W547" i="2" s="1"/>
  <c r="X547" i="2" a="1"/>
  <c r="X547" i="2" s="1"/>
  <c r="Y547" i="2"/>
  <c r="Z547" i="2"/>
  <c r="AA547" i="2" s="1"/>
  <c r="A548" i="2"/>
  <c r="B548" i="2"/>
  <c r="K548" i="2"/>
  <c r="L548" i="2"/>
  <c r="W548" i="2" a="1"/>
  <c r="W548" i="2" s="1"/>
  <c r="X548" i="2" a="1"/>
  <c r="X548" i="2" s="1"/>
  <c r="Y548" i="2"/>
  <c r="Z548" i="2"/>
  <c r="AA548" i="2" s="1"/>
  <c r="A549" i="2"/>
  <c r="B549" i="2"/>
  <c r="K549" i="2"/>
  <c r="L549" i="2"/>
  <c r="W549" i="2" a="1"/>
  <c r="W549" i="2" s="1"/>
  <c r="X549" i="2" a="1"/>
  <c r="X549" i="2" s="1"/>
  <c r="Y549" i="2"/>
  <c r="Z549" i="2"/>
  <c r="AA549" i="2" s="1"/>
  <c r="A550" i="2"/>
  <c r="B550" i="2"/>
  <c r="K550" i="2"/>
  <c r="L550" i="2"/>
  <c r="W550" i="2" a="1"/>
  <c r="W550" i="2" s="1"/>
  <c r="X550" i="2" a="1"/>
  <c r="X550" i="2" s="1"/>
  <c r="Y550" i="2"/>
  <c r="Z550" i="2"/>
  <c r="AA550" i="2" s="1"/>
  <c r="A551" i="2"/>
  <c r="B551" i="2"/>
  <c r="K551" i="2"/>
  <c r="L551" i="2"/>
  <c r="W551" i="2" a="1"/>
  <c r="W551" i="2" s="1"/>
  <c r="X551" i="2" a="1"/>
  <c r="X551" i="2" s="1"/>
  <c r="Y551" i="2"/>
  <c r="Z551" i="2"/>
  <c r="AA551" i="2" s="1"/>
  <c r="A552" i="2"/>
  <c r="B552" i="2"/>
  <c r="K552" i="2"/>
  <c r="L552" i="2"/>
  <c r="W552" i="2" a="1"/>
  <c r="W552" i="2" s="1"/>
  <c r="X552" i="2" a="1"/>
  <c r="X552" i="2" s="1"/>
  <c r="Y552" i="2"/>
  <c r="Z552" i="2"/>
  <c r="AA552" i="2" s="1"/>
  <c r="A553" i="2"/>
  <c r="B553" i="2"/>
  <c r="K553" i="2"/>
  <c r="L553" i="2"/>
  <c r="W553" i="2" a="1"/>
  <c r="W553" i="2" s="1"/>
  <c r="X553" i="2" a="1"/>
  <c r="X553" i="2" s="1"/>
  <c r="Y553" i="2"/>
  <c r="Z553" i="2"/>
  <c r="AA553" i="2" s="1"/>
  <c r="A554" i="2"/>
  <c r="B554" i="2"/>
  <c r="K554" i="2"/>
  <c r="L554" i="2"/>
  <c r="W554" i="2" a="1"/>
  <c r="W554" i="2" s="1"/>
  <c r="X554" i="2" a="1"/>
  <c r="X554" i="2" s="1"/>
  <c r="Y554" i="2"/>
  <c r="Z554" i="2"/>
  <c r="AA554" i="2" s="1"/>
  <c r="A555" i="2"/>
  <c r="B555" i="2"/>
  <c r="K555" i="2"/>
  <c r="L555" i="2"/>
  <c r="W555" i="2" a="1"/>
  <c r="W555" i="2" s="1"/>
  <c r="X555" i="2" a="1"/>
  <c r="X555" i="2" s="1"/>
  <c r="Y555" i="2"/>
  <c r="Z555" i="2"/>
  <c r="AA555" i="2" s="1"/>
  <c r="A556" i="2"/>
  <c r="B556" i="2"/>
  <c r="K556" i="2"/>
  <c r="L556" i="2"/>
  <c r="W556" i="2" a="1"/>
  <c r="W556" i="2" s="1"/>
  <c r="X556" i="2" a="1"/>
  <c r="X556" i="2" s="1"/>
  <c r="Y556" i="2"/>
  <c r="Z556" i="2"/>
  <c r="AA556" i="2" s="1"/>
  <c r="A557" i="2"/>
  <c r="B557" i="2"/>
  <c r="K557" i="2"/>
  <c r="L557" i="2"/>
  <c r="W557" i="2" a="1"/>
  <c r="W557" i="2" s="1"/>
  <c r="X557" i="2" a="1"/>
  <c r="X557" i="2" s="1"/>
  <c r="Y557" i="2"/>
  <c r="Z557" i="2"/>
  <c r="AA557" i="2" s="1"/>
  <c r="A558" i="2"/>
  <c r="B558" i="2"/>
  <c r="K558" i="2"/>
  <c r="L558" i="2"/>
  <c r="W558" i="2" a="1"/>
  <c r="W558" i="2" s="1"/>
  <c r="X558" i="2" a="1"/>
  <c r="X558" i="2" s="1"/>
  <c r="Y558" i="2"/>
  <c r="Z558" i="2"/>
  <c r="AA558" i="2" s="1"/>
  <c r="A559" i="2"/>
  <c r="B559" i="2"/>
  <c r="K559" i="2"/>
  <c r="L559" i="2"/>
  <c r="W559" i="2" a="1"/>
  <c r="W559" i="2" s="1"/>
  <c r="X559" i="2" a="1"/>
  <c r="X559" i="2" s="1"/>
  <c r="Y559" i="2"/>
  <c r="Z559" i="2"/>
  <c r="AA559" i="2" s="1"/>
  <c r="A560" i="2"/>
  <c r="B560" i="2"/>
  <c r="K560" i="2"/>
  <c r="L560" i="2"/>
  <c r="W560" i="2" a="1"/>
  <c r="W560" i="2" s="1"/>
  <c r="X560" i="2" a="1"/>
  <c r="X560" i="2" s="1"/>
  <c r="Y560" i="2"/>
  <c r="Z560" i="2"/>
  <c r="AA560" i="2" s="1"/>
  <c r="A561" i="2"/>
  <c r="B561" i="2"/>
  <c r="K561" i="2"/>
  <c r="L561" i="2"/>
  <c r="W561" i="2" a="1"/>
  <c r="W561" i="2" s="1"/>
  <c r="X561" i="2" a="1"/>
  <c r="X561" i="2" s="1"/>
  <c r="Y561" i="2"/>
  <c r="Z561" i="2"/>
  <c r="AA561" i="2" s="1"/>
  <c r="A562" i="2"/>
  <c r="B562" i="2"/>
  <c r="K562" i="2"/>
  <c r="L562" i="2"/>
  <c r="W562" i="2" a="1"/>
  <c r="W562" i="2" s="1"/>
  <c r="X562" i="2" a="1"/>
  <c r="X562" i="2" s="1"/>
  <c r="Y562" i="2"/>
  <c r="Z562" i="2"/>
  <c r="AA562" i="2" s="1"/>
  <c r="A563" i="2"/>
  <c r="B563" i="2"/>
  <c r="K563" i="2"/>
  <c r="L563" i="2"/>
  <c r="W563" i="2" a="1"/>
  <c r="W563" i="2" s="1"/>
  <c r="X563" i="2" a="1"/>
  <c r="X563" i="2" s="1"/>
  <c r="Y563" i="2"/>
  <c r="Z563" i="2"/>
  <c r="AA563" i="2" s="1"/>
  <c r="A564" i="2"/>
  <c r="B564" i="2"/>
  <c r="K564" i="2"/>
  <c r="L564" i="2"/>
  <c r="W564" i="2" a="1"/>
  <c r="W564" i="2" s="1"/>
  <c r="X564" i="2" a="1"/>
  <c r="X564" i="2" s="1"/>
  <c r="Y564" i="2"/>
  <c r="Z564" i="2"/>
  <c r="AA564" i="2" s="1"/>
  <c r="A565" i="2"/>
  <c r="B565" i="2"/>
  <c r="K565" i="2"/>
  <c r="L565" i="2"/>
  <c r="W565" i="2" a="1"/>
  <c r="W565" i="2" s="1"/>
  <c r="X565" i="2" a="1"/>
  <c r="X565" i="2" s="1"/>
  <c r="Y565" i="2"/>
  <c r="Z565" i="2"/>
  <c r="AA565" i="2" s="1"/>
  <c r="A566" i="2"/>
  <c r="B566" i="2"/>
  <c r="K566" i="2"/>
  <c r="L566" i="2"/>
  <c r="W566" i="2" a="1"/>
  <c r="W566" i="2" s="1"/>
  <c r="X566" i="2" a="1"/>
  <c r="X566" i="2" s="1"/>
  <c r="Y566" i="2"/>
  <c r="Z566" i="2"/>
  <c r="AA566" i="2" s="1"/>
  <c r="A567" i="2"/>
  <c r="B567" i="2"/>
  <c r="K567" i="2"/>
  <c r="L567" i="2"/>
  <c r="W567" i="2" a="1"/>
  <c r="W567" i="2" s="1"/>
  <c r="X567" i="2" a="1"/>
  <c r="X567" i="2" s="1"/>
  <c r="Y567" i="2"/>
  <c r="Z567" i="2"/>
  <c r="AA567" i="2" s="1"/>
  <c r="A568" i="2"/>
  <c r="B568" i="2"/>
  <c r="K568" i="2"/>
  <c r="L568" i="2"/>
  <c r="W568" i="2" a="1"/>
  <c r="W568" i="2" s="1"/>
  <c r="X568" i="2" a="1"/>
  <c r="X568" i="2" s="1"/>
  <c r="Y568" i="2"/>
  <c r="Z568" i="2"/>
  <c r="AA568" i="2" s="1"/>
  <c r="A569" i="2"/>
  <c r="B569" i="2"/>
  <c r="K569" i="2"/>
  <c r="L569" i="2"/>
  <c r="W569" i="2" a="1"/>
  <c r="W569" i="2" s="1"/>
  <c r="X569" i="2" a="1"/>
  <c r="X569" i="2" s="1"/>
  <c r="Y569" i="2"/>
  <c r="Z569" i="2"/>
  <c r="AA569" i="2" s="1"/>
  <c r="A570" i="2"/>
  <c r="B570" i="2"/>
  <c r="K570" i="2"/>
  <c r="L570" i="2"/>
  <c r="W570" i="2" a="1"/>
  <c r="W570" i="2" s="1"/>
  <c r="X570" i="2" a="1"/>
  <c r="X570" i="2" s="1"/>
  <c r="Y570" i="2"/>
  <c r="Z570" i="2"/>
  <c r="AA570" i="2"/>
  <c r="A571" i="2"/>
  <c r="B571" i="2"/>
  <c r="K571" i="2"/>
  <c r="L571" i="2"/>
  <c r="W571" i="2" a="1"/>
  <c r="W571" i="2" s="1"/>
  <c r="X571" i="2" a="1"/>
  <c r="X571" i="2" s="1"/>
  <c r="Y571" i="2"/>
  <c r="Z571" i="2"/>
  <c r="AA571" i="2" s="1"/>
  <c r="A572" i="2"/>
  <c r="B572" i="2"/>
  <c r="K572" i="2"/>
  <c r="L572" i="2"/>
  <c r="W572" i="2" a="1"/>
  <c r="W572" i="2" s="1"/>
  <c r="X572" i="2" a="1"/>
  <c r="X572" i="2" s="1"/>
  <c r="Y572" i="2"/>
  <c r="Z572" i="2"/>
  <c r="AA572" i="2" s="1"/>
  <c r="A573" i="2"/>
  <c r="B573" i="2"/>
  <c r="K573" i="2"/>
  <c r="L573" i="2"/>
  <c r="W573" i="2" a="1"/>
  <c r="W573" i="2" s="1"/>
  <c r="X573" i="2" a="1"/>
  <c r="X573" i="2" s="1"/>
  <c r="Y573" i="2"/>
  <c r="Z573" i="2"/>
  <c r="AA573" i="2" s="1"/>
  <c r="A574" i="2"/>
  <c r="B574" i="2"/>
  <c r="K574" i="2"/>
  <c r="L574" i="2"/>
  <c r="W574" i="2" a="1"/>
  <c r="W574" i="2" s="1"/>
  <c r="X574" i="2" a="1"/>
  <c r="X574" i="2" s="1"/>
  <c r="Y574" i="2"/>
  <c r="Z574" i="2"/>
  <c r="AA574" i="2" s="1"/>
  <c r="A575" i="2"/>
  <c r="B575" i="2"/>
  <c r="K575" i="2"/>
  <c r="L575" i="2"/>
  <c r="W575" i="2" a="1"/>
  <c r="W575" i="2" s="1"/>
  <c r="X575" i="2" a="1"/>
  <c r="X575" i="2" s="1"/>
  <c r="Y575" i="2"/>
  <c r="Z575" i="2"/>
  <c r="AA575" i="2" s="1"/>
  <c r="A576" i="2"/>
  <c r="B576" i="2"/>
  <c r="K576" i="2"/>
  <c r="L576" i="2"/>
  <c r="W576" i="2" a="1"/>
  <c r="W576" i="2" s="1"/>
  <c r="X576" i="2" a="1"/>
  <c r="X576" i="2" s="1"/>
  <c r="Y576" i="2"/>
  <c r="Z576" i="2"/>
  <c r="AA576" i="2" s="1"/>
  <c r="A577" i="2"/>
  <c r="B577" i="2"/>
  <c r="K577" i="2"/>
  <c r="L577" i="2"/>
  <c r="W577" i="2" a="1"/>
  <c r="W577" i="2" s="1"/>
  <c r="X577" i="2" a="1"/>
  <c r="X577" i="2" s="1"/>
  <c r="Y577" i="2"/>
  <c r="Z577" i="2"/>
  <c r="AA577" i="2" s="1"/>
  <c r="A578" i="2"/>
  <c r="B578" i="2"/>
  <c r="K578" i="2"/>
  <c r="L578" i="2"/>
  <c r="W578" i="2" a="1"/>
  <c r="W578" i="2" s="1"/>
  <c r="X578" i="2" a="1"/>
  <c r="X578" i="2" s="1"/>
  <c r="Y578" i="2"/>
  <c r="Z578" i="2"/>
  <c r="AA578" i="2" s="1"/>
  <c r="A579" i="2"/>
  <c r="B579" i="2"/>
  <c r="K579" i="2"/>
  <c r="L579" i="2"/>
  <c r="W579" i="2" a="1"/>
  <c r="W579" i="2" s="1"/>
  <c r="X579" i="2" a="1"/>
  <c r="X579" i="2" s="1"/>
  <c r="Y579" i="2"/>
  <c r="Z579" i="2"/>
  <c r="AA579" i="2" s="1"/>
  <c r="A580" i="2"/>
  <c r="B580" i="2"/>
  <c r="K580" i="2"/>
  <c r="L580" i="2"/>
  <c r="W580" i="2" a="1"/>
  <c r="W580" i="2" s="1"/>
  <c r="X580" i="2" a="1"/>
  <c r="X580" i="2" s="1"/>
  <c r="Y580" i="2"/>
  <c r="Z580" i="2"/>
  <c r="AA580" i="2" s="1"/>
  <c r="A581" i="2"/>
  <c r="B581" i="2"/>
  <c r="K581" i="2"/>
  <c r="L581" i="2"/>
  <c r="W581" i="2" a="1"/>
  <c r="W581" i="2" s="1"/>
  <c r="X581" i="2" a="1"/>
  <c r="X581" i="2" s="1"/>
  <c r="Y581" i="2"/>
  <c r="Z581" i="2"/>
  <c r="AA581" i="2" s="1"/>
  <c r="A582" i="2"/>
  <c r="B582" i="2"/>
  <c r="K582" i="2"/>
  <c r="L582" i="2"/>
  <c r="W582" i="2" a="1"/>
  <c r="W582" i="2" s="1"/>
  <c r="X582" i="2" a="1"/>
  <c r="X582" i="2" s="1"/>
  <c r="Y582" i="2"/>
  <c r="Z582" i="2"/>
  <c r="AA582" i="2" s="1"/>
  <c r="A583" i="2"/>
  <c r="B583" i="2"/>
  <c r="K583" i="2"/>
  <c r="L583" i="2"/>
  <c r="W583" i="2" a="1"/>
  <c r="W583" i="2" s="1"/>
  <c r="X583" i="2" a="1"/>
  <c r="X583" i="2" s="1"/>
  <c r="Y583" i="2"/>
  <c r="Z583" i="2"/>
  <c r="AA583" i="2" s="1"/>
  <c r="A584" i="2"/>
  <c r="B584" i="2"/>
  <c r="K584" i="2"/>
  <c r="L584" i="2"/>
  <c r="W584" i="2" a="1"/>
  <c r="W584" i="2" s="1"/>
  <c r="X584" i="2" a="1"/>
  <c r="X584" i="2" s="1"/>
  <c r="Y584" i="2"/>
  <c r="Z584" i="2"/>
  <c r="AA584" i="2" s="1"/>
  <c r="A585" i="2"/>
  <c r="B585" i="2"/>
  <c r="K585" i="2"/>
  <c r="L585" i="2"/>
  <c r="W585" i="2" a="1"/>
  <c r="W585" i="2" s="1"/>
  <c r="X585" i="2" a="1"/>
  <c r="X585" i="2" s="1"/>
  <c r="Y585" i="2"/>
  <c r="Z585" i="2"/>
  <c r="AA585" i="2" s="1"/>
  <c r="A586" i="2"/>
  <c r="B586" i="2"/>
  <c r="K586" i="2"/>
  <c r="L586" i="2"/>
  <c r="W586" i="2" a="1"/>
  <c r="W586" i="2" s="1"/>
  <c r="X586" i="2" a="1"/>
  <c r="X586" i="2" s="1"/>
  <c r="Y586" i="2"/>
  <c r="Z586" i="2"/>
  <c r="AA586" i="2" s="1"/>
  <c r="A587" i="2"/>
  <c r="B587" i="2"/>
  <c r="K587" i="2"/>
  <c r="L587" i="2"/>
  <c r="W587" i="2" a="1"/>
  <c r="W587" i="2" s="1"/>
  <c r="X587" i="2" a="1"/>
  <c r="X587" i="2" s="1"/>
  <c r="Y587" i="2"/>
  <c r="Z587" i="2"/>
  <c r="AA587" i="2" s="1"/>
  <c r="A588" i="2"/>
  <c r="B588" i="2"/>
  <c r="K588" i="2"/>
  <c r="L588" i="2"/>
  <c r="W588" i="2" a="1"/>
  <c r="W588" i="2" s="1"/>
  <c r="X588" i="2" a="1"/>
  <c r="X588" i="2" s="1"/>
  <c r="Y588" i="2"/>
  <c r="Z588" i="2"/>
  <c r="AA588" i="2" s="1"/>
  <c r="A589" i="2"/>
  <c r="B589" i="2"/>
  <c r="K589" i="2"/>
  <c r="L589" i="2"/>
  <c r="W589" i="2" a="1"/>
  <c r="W589" i="2" s="1"/>
  <c r="X589" i="2" a="1"/>
  <c r="X589" i="2" s="1"/>
  <c r="Y589" i="2"/>
  <c r="Z589" i="2"/>
  <c r="AA589" i="2" s="1"/>
  <c r="A590" i="2"/>
  <c r="B590" i="2"/>
  <c r="K590" i="2"/>
  <c r="L590" i="2"/>
  <c r="W590" i="2" a="1"/>
  <c r="W590" i="2" s="1"/>
  <c r="X590" i="2" a="1"/>
  <c r="X590" i="2" s="1"/>
  <c r="Y590" i="2"/>
  <c r="Z590" i="2"/>
  <c r="AA590" i="2" s="1"/>
  <c r="A591" i="2"/>
  <c r="B591" i="2"/>
  <c r="K591" i="2"/>
  <c r="L591" i="2"/>
  <c r="W591" i="2" a="1"/>
  <c r="W591" i="2" s="1"/>
  <c r="X591" i="2" a="1"/>
  <c r="X591" i="2" s="1"/>
  <c r="Y591" i="2"/>
  <c r="Z591" i="2"/>
  <c r="AA591" i="2" s="1"/>
  <c r="A592" i="2"/>
  <c r="B592" i="2"/>
  <c r="K592" i="2"/>
  <c r="L592" i="2"/>
  <c r="W592" i="2" a="1"/>
  <c r="W592" i="2" s="1"/>
  <c r="X592" i="2" a="1"/>
  <c r="X592" i="2" s="1"/>
  <c r="Y592" i="2"/>
  <c r="Z592" i="2"/>
  <c r="AA592" i="2" s="1"/>
  <c r="A593" i="2"/>
  <c r="B593" i="2"/>
  <c r="K593" i="2"/>
  <c r="L593" i="2"/>
  <c r="W593" i="2" a="1"/>
  <c r="W593" i="2" s="1"/>
  <c r="X593" i="2" a="1"/>
  <c r="X593" i="2" s="1"/>
  <c r="Y593" i="2"/>
  <c r="Z593" i="2"/>
  <c r="AA593" i="2" s="1"/>
  <c r="A594" i="2"/>
  <c r="B594" i="2"/>
  <c r="K594" i="2"/>
  <c r="L594" i="2"/>
  <c r="W594" i="2" a="1"/>
  <c r="W594" i="2" s="1"/>
  <c r="X594" i="2" a="1"/>
  <c r="X594" i="2" s="1"/>
  <c r="Y594" i="2"/>
  <c r="Z594" i="2"/>
  <c r="AA594" i="2" s="1"/>
  <c r="A595" i="2"/>
  <c r="B595" i="2"/>
  <c r="K595" i="2"/>
  <c r="L595" i="2"/>
  <c r="W595" i="2" a="1"/>
  <c r="W595" i="2" s="1"/>
  <c r="X595" i="2" a="1"/>
  <c r="X595" i="2" s="1"/>
  <c r="Y595" i="2"/>
  <c r="Z595" i="2"/>
  <c r="AA595" i="2" s="1"/>
  <c r="A596" i="2"/>
  <c r="B596" i="2"/>
  <c r="K596" i="2"/>
  <c r="L596" i="2"/>
  <c r="W596" i="2" a="1"/>
  <c r="W596" i="2" s="1"/>
  <c r="X596" i="2" a="1"/>
  <c r="X596" i="2" s="1"/>
  <c r="Y596" i="2"/>
  <c r="Z596" i="2"/>
  <c r="AA596" i="2" s="1"/>
  <c r="A597" i="2"/>
  <c r="B597" i="2"/>
  <c r="K597" i="2"/>
  <c r="L597" i="2"/>
  <c r="W597" i="2" a="1"/>
  <c r="W597" i="2" s="1"/>
  <c r="X597" i="2" a="1"/>
  <c r="X597" i="2" s="1"/>
  <c r="Y597" i="2"/>
  <c r="Z597" i="2"/>
  <c r="AA597" i="2" s="1"/>
  <c r="A598" i="2"/>
  <c r="B598" i="2"/>
  <c r="K598" i="2"/>
  <c r="L598" i="2"/>
  <c r="W598" i="2" a="1"/>
  <c r="W598" i="2" s="1"/>
  <c r="X598" i="2" a="1"/>
  <c r="X598" i="2" s="1"/>
  <c r="Y598" i="2"/>
  <c r="Z598" i="2"/>
  <c r="AA598" i="2" s="1"/>
  <c r="AF37" i="7" l="1"/>
  <c r="AI33" i="7"/>
  <c r="AF26" i="7"/>
  <c r="AI25" i="7"/>
  <c r="AL33" i="7"/>
  <c r="AF35" i="7"/>
  <c r="AI11" i="7"/>
  <c r="AI17" i="7"/>
  <c r="AF27" i="7"/>
  <c r="AF16" i="7"/>
  <c r="AI27" i="7"/>
  <c r="AL25" i="7"/>
  <c r="AI32" i="7"/>
  <c r="L5" i="7"/>
  <c r="L12" i="7"/>
  <c r="Z20" i="7"/>
  <c r="AA20" i="7" s="1"/>
  <c r="Z23" i="7"/>
  <c r="AA23" i="7" s="1"/>
  <c r="L26" i="7"/>
  <c r="L31" i="7"/>
  <c r="AF13" i="7"/>
  <c r="AI19" i="7"/>
  <c r="L10" i="7"/>
  <c r="Z16" i="7"/>
  <c r="AA16" i="7" s="1"/>
  <c r="L17" i="7"/>
  <c r="Z14" i="7"/>
  <c r="AA14" i="7" s="1"/>
  <c r="Z24" i="7"/>
  <c r="AA24" i="7" s="1"/>
  <c r="AF8" i="7"/>
  <c r="L14" i="7"/>
  <c r="Z6" i="7"/>
  <c r="AA6" i="7" s="1"/>
  <c r="Z7" i="7"/>
  <c r="AA7" i="7" s="1"/>
  <c r="AF10" i="7"/>
  <c r="Z8" i="7"/>
  <c r="AA8" i="7" s="1"/>
  <c r="L9" i="7"/>
  <c r="Z15" i="7"/>
  <c r="AA15" i="7" s="1"/>
  <c r="Z19" i="7"/>
  <c r="AA19" i="7" s="1"/>
  <c r="AF19" i="7"/>
  <c r="AF21" i="7"/>
  <c r="AI16" i="7"/>
  <c r="AF24" i="7"/>
  <c r="AL17" i="7"/>
  <c r="AI8" i="7"/>
  <c r="AF18" i="7"/>
  <c r="AF29" i="7"/>
  <c r="AF34" i="7"/>
  <c r="AL9" i="7"/>
  <c r="AI29" i="7"/>
  <c r="AF31" i="7"/>
  <c r="AI31" i="7"/>
  <c r="AF33" i="7"/>
  <c r="AF25" i="7"/>
  <c r="AF7" i="7"/>
  <c r="AF17" i="7"/>
  <c r="AL22" i="7"/>
  <c r="AL35" i="7"/>
  <c r="AK14" i="7"/>
  <c r="AL14" i="7" s="1"/>
  <c r="AK22" i="7"/>
  <c r="AK30" i="7"/>
  <c r="AL30" i="7" s="1"/>
  <c r="AK7" i="7"/>
  <c r="AL7" i="7" s="1"/>
  <c r="AK15" i="7"/>
  <c r="AL15" i="7" s="1"/>
  <c r="AK23" i="7"/>
  <c r="AL23" i="7" s="1"/>
  <c r="AK31" i="7"/>
  <c r="AL31" i="7" s="1"/>
  <c r="L13" i="7"/>
  <c r="L21" i="7"/>
  <c r="Z5" i="7"/>
  <c r="AA5" i="7" s="1"/>
  <c r="Z9" i="7"/>
  <c r="AA9" i="7" s="1"/>
  <c r="Z17" i="7"/>
  <c r="AA17" i="7" s="1"/>
  <c r="Z25" i="7"/>
  <c r="AA25" i="7" s="1"/>
  <c r="AE14" i="7"/>
  <c r="AF14" i="7" s="1"/>
  <c r="AE22" i="7"/>
  <c r="AF22" i="7" s="1"/>
  <c r="AE30" i="7"/>
  <c r="AF30" i="7" s="1"/>
  <c r="AH12" i="7"/>
  <c r="AI12" i="7" s="1"/>
  <c r="AH20" i="7"/>
  <c r="AI20" i="7" s="1"/>
  <c r="AH28" i="7"/>
  <c r="AI28" i="7" s="1"/>
  <c r="AH36" i="7"/>
  <c r="AI36" i="7" s="1"/>
  <c r="AK10" i="7"/>
  <c r="AL10" i="7" s="1"/>
  <c r="AK18" i="7"/>
  <c r="AL18" i="7" s="1"/>
  <c r="AK26" i="7"/>
  <c r="AL26" i="7" s="1"/>
  <c r="AK34" i="7"/>
  <c r="AL34" i="7" s="1"/>
  <c r="Z10" i="7"/>
  <c r="AA10" i="7" s="1"/>
  <c r="Z18" i="7"/>
  <c r="AA18" i="7" s="1"/>
  <c r="AE7" i="7"/>
  <c r="AE15" i="7"/>
  <c r="AF15" i="7" s="1"/>
  <c r="AE23" i="7"/>
  <c r="AF23" i="7" s="1"/>
  <c r="AE31" i="7"/>
  <c r="AH13" i="7"/>
  <c r="AI13" i="7" s="1"/>
  <c r="AH21" i="7"/>
  <c r="AI21" i="7" s="1"/>
  <c r="AH29" i="7"/>
  <c r="AH37" i="7"/>
  <c r="AI37" i="7" s="1"/>
  <c r="AK11" i="7"/>
  <c r="AL11" i="7" s="1"/>
  <c r="AK19" i="7"/>
  <c r="AL19" i="7" s="1"/>
  <c r="AK27" i="7"/>
  <c r="AL27" i="7" s="1"/>
  <c r="AK35" i="7"/>
  <c r="AE32" i="7"/>
  <c r="AF32" i="7" s="1"/>
  <c r="AH14" i="7"/>
  <c r="AI14" i="7" s="1"/>
  <c r="AH22" i="7"/>
  <c r="AI22" i="7" s="1"/>
  <c r="AH30" i="7"/>
  <c r="AI30" i="7" s="1"/>
  <c r="AK12" i="7"/>
  <c r="AL12" i="7" s="1"/>
  <c r="AK20" i="7"/>
  <c r="AL20" i="7" s="1"/>
  <c r="AK28" i="7"/>
  <c r="AL28" i="7" s="1"/>
  <c r="AK36" i="7"/>
  <c r="AL36" i="7" s="1"/>
  <c r="AE9" i="7"/>
  <c r="AF9" i="7" s="1"/>
  <c r="AE17" i="7"/>
  <c r="AE25" i="7"/>
  <c r="AH7" i="7"/>
  <c r="AI7" i="7" s="1"/>
  <c r="AH15" i="7"/>
  <c r="AI15" i="7" s="1"/>
  <c r="AH23" i="7"/>
  <c r="AI23" i="7" s="1"/>
  <c r="AK13" i="7"/>
  <c r="AL13" i="7" s="1"/>
  <c r="AK21" i="7"/>
  <c r="AL21" i="7" s="1"/>
  <c r="AK29" i="7"/>
  <c r="AL29" i="7" s="1"/>
  <c r="AF34" i="6"/>
  <c r="AF30" i="6"/>
  <c r="Z13" i="6"/>
  <c r="AA13" i="6" s="1"/>
  <c r="Z18" i="6"/>
  <c r="AA18" i="6" s="1"/>
  <c r="Z6" i="6"/>
  <c r="AA6" i="6" s="1"/>
  <c r="L10" i="6"/>
  <c r="L17" i="6"/>
  <c r="L14" i="6"/>
  <c r="Z8" i="6"/>
  <c r="AA8" i="6" s="1"/>
  <c r="L9" i="6"/>
  <c r="L12" i="6"/>
  <c r="L16" i="6"/>
  <c r="Z21" i="6"/>
  <c r="AA21" i="6" s="1"/>
  <c r="AF19" i="6"/>
  <c r="AL35" i="6"/>
  <c r="AF15" i="6"/>
  <c r="AI21" i="6"/>
  <c r="AF16" i="6"/>
  <c r="AI9" i="6"/>
  <c r="AF23" i="6"/>
  <c r="L5" i="6"/>
  <c r="AL7" i="6"/>
  <c r="AF8" i="6"/>
  <c r="AI13" i="6"/>
  <c r="AL23" i="6"/>
  <c r="Z23" i="6"/>
  <c r="AA23" i="6" s="1"/>
  <c r="L15" i="6"/>
  <c r="AI10" i="6"/>
  <c r="Z17" i="6"/>
  <c r="AA17" i="6" s="1"/>
  <c r="Z20" i="6"/>
  <c r="AA20" i="6" s="1"/>
  <c r="AF7" i="6"/>
  <c r="AI36" i="6"/>
  <c r="Z25" i="6"/>
  <c r="AA25" i="6" s="1"/>
  <c r="A183" i="6"/>
  <c r="A198" i="6"/>
  <c r="A181" i="6"/>
  <c r="A99" i="6"/>
  <c r="A86" i="6"/>
  <c r="A65" i="6"/>
  <c r="A166" i="6"/>
  <c r="A25" i="6"/>
  <c r="A190" i="6"/>
  <c r="A145" i="6"/>
  <c r="A132" i="6"/>
  <c r="A62" i="6"/>
  <c r="A60" i="6"/>
  <c r="A58" i="6"/>
  <c r="A56" i="6"/>
  <c r="A38" i="6"/>
  <c r="A7" i="6"/>
  <c r="A53" i="6"/>
  <c r="AK16" i="6"/>
  <c r="AL16" i="6" s="1"/>
  <c r="AK32" i="6"/>
  <c r="AL14" i="6"/>
  <c r="L166" i="6"/>
  <c r="L7" i="6"/>
  <c r="AK19" i="6"/>
  <c r="AL19" i="6" s="1"/>
  <c r="AK34" i="6"/>
  <c r="AL34" i="6" s="1"/>
  <c r="AK26" i="6"/>
  <c r="AL26" i="6" s="1"/>
  <c r="AK18" i="6"/>
  <c r="AL18" i="6" s="1"/>
  <c r="AK10" i="6"/>
  <c r="AK33" i="6"/>
  <c r="AK25" i="6"/>
  <c r="AL25" i="6" s="1"/>
  <c r="AK17" i="6"/>
  <c r="AL17" i="6" s="1"/>
  <c r="AK9" i="6"/>
  <c r="AL9" i="6" s="1"/>
  <c r="AK37" i="6"/>
  <c r="AL37" i="6" s="1"/>
  <c r="AK29" i="6"/>
  <c r="AK21" i="6"/>
  <c r="AL21" i="6" s="1"/>
  <c r="AK13" i="6"/>
  <c r="AK36" i="6"/>
  <c r="AK28" i="6"/>
  <c r="AL28" i="6" s="1"/>
  <c r="AK20" i="6"/>
  <c r="AL20" i="6" s="1"/>
  <c r="AK12" i="6"/>
  <c r="AL12" i="6" s="1"/>
  <c r="AK22" i="6"/>
  <c r="AL22" i="6" s="1"/>
  <c r="AL13" i="6"/>
  <c r="AI26" i="6"/>
  <c r="AL32" i="6"/>
  <c r="AK8" i="6"/>
  <c r="AL8" i="6" s="1"/>
  <c r="AK24" i="6"/>
  <c r="AL24" i="6" s="1"/>
  <c r="AF20" i="6"/>
  <c r="AF28" i="6"/>
  <c r="A154" i="6"/>
  <c r="AF9" i="6"/>
  <c r="AK11" i="6"/>
  <c r="AL11" i="6" s="1"/>
  <c r="AK27" i="6"/>
  <c r="AL27" i="6" s="1"/>
  <c r="AI23" i="6"/>
  <c r="AL31" i="6"/>
  <c r="AF33" i="6"/>
  <c r="AF35" i="6"/>
  <c r="AL36" i="6"/>
  <c r="AL29" i="6"/>
  <c r="AK14" i="6"/>
  <c r="AK30" i="6"/>
  <c r="AL30" i="6" s="1"/>
  <c r="AI8" i="6"/>
  <c r="AL10" i="6"/>
  <c r="AF22" i="6"/>
  <c r="L25" i="6"/>
  <c r="AI25" i="6"/>
  <c r="AF27" i="6"/>
  <c r="AI33" i="6"/>
  <c r="AK15" i="6"/>
  <c r="AL15" i="6" s="1"/>
  <c r="AK31" i="6"/>
  <c r="AF18" i="6"/>
  <c r="AI27" i="6"/>
  <c r="AF32" i="6"/>
  <c r="AL33" i="6"/>
  <c r="AF37" i="6"/>
  <c r="AH14" i="6"/>
  <c r="AI14" i="6" s="1"/>
  <c r="AH22" i="6"/>
  <c r="AI22" i="6" s="1"/>
  <c r="AH30" i="6"/>
  <c r="AI30" i="6" s="1"/>
  <c r="AE9" i="6"/>
  <c r="AE17" i="6"/>
  <c r="AF17" i="6" s="1"/>
  <c r="AE25" i="6"/>
  <c r="AF25" i="6" s="1"/>
  <c r="AE33" i="6"/>
  <c r="AH7" i="6"/>
  <c r="AI7" i="6" s="1"/>
  <c r="AH15" i="6"/>
  <c r="AI15" i="6" s="1"/>
  <c r="AH23" i="6"/>
  <c r="AH31" i="6"/>
  <c r="AI31" i="6" s="1"/>
  <c r="Z55" i="6"/>
  <c r="AA55" i="6" s="1"/>
  <c r="Z57" i="6"/>
  <c r="AA57" i="6" s="1"/>
  <c r="Z59" i="6"/>
  <c r="AA59" i="6" s="1"/>
  <c r="Z61" i="6"/>
  <c r="AA61" i="6" s="1"/>
  <c r="Z63" i="6"/>
  <c r="AA63" i="6" s="1"/>
  <c r="Z107" i="6"/>
  <c r="AA107" i="6" s="1"/>
  <c r="Z154" i="6"/>
  <c r="AA154" i="6" s="1"/>
  <c r="Z53" i="6"/>
  <c r="AA53" i="6" s="1"/>
  <c r="Z38" i="6"/>
  <c r="AA38" i="6" s="1"/>
  <c r="Z183" i="6"/>
  <c r="AA183" i="6" s="1"/>
  <c r="AE13" i="6"/>
  <c r="AF13" i="6" s="1"/>
  <c r="AE21" i="6"/>
  <c r="AF21" i="6" s="1"/>
  <c r="AE29" i="6"/>
  <c r="AF29" i="6" s="1"/>
  <c r="AE37" i="6"/>
  <c r="AH11" i="6"/>
  <c r="AI11" i="6" s="1"/>
  <c r="AH19" i="6"/>
  <c r="AI19" i="6" s="1"/>
  <c r="AH27" i="6"/>
  <c r="AH35" i="6"/>
  <c r="AI35" i="6" s="1"/>
  <c r="AE14" i="6"/>
  <c r="AF14" i="6" s="1"/>
  <c r="AE22" i="6"/>
  <c r="AH12" i="6"/>
  <c r="AI12" i="6" s="1"/>
  <c r="AH20" i="6"/>
  <c r="AI20" i="6" s="1"/>
  <c r="AH28" i="6"/>
  <c r="AI28" i="6" s="1"/>
  <c r="Z190" i="6"/>
  <c r="AA190" i="6" s="1"/>
  <c r="L190" i="6"/>
  <c r="AF22" i="2"/>
  <c r="AE21" i="2"/>
  <c r="AE27" i="3"/>
  <c r="AF27" i="3" s="1"/>
  <c r="AL26" i="3"/>
  <c r="AL15" i="3"/>
  <c r="AE19" i="2"/>
  <c r="AE16" i="2"/>
  <c r="AH15" i="2"/>
  <c r="AI35" i="3"/>
  <c r="AI32" i="3"/>
  <c r="AE22" i="3"/>
  <c r="AL21" i="3"/>
  <c r="AI13" i="3"/>
  <c r="AE30" i="2"/>
  <c r="AE22" i="2"/>
  <c r="AH21" i="2"/>
  <c r="AL37" i="3"/>
  <c r="AF35" i="3"/>
  <c r="AF32" i="3"/>
  <c r="AL30" i="3"/>
  <c r="AE28" i="3"/>
  <c r="AF28" i="3" s="1"/>
  <c r="AE24" i="3"/>
  <c r="AF24" i="3" s="1"/>
  <c r="AF13" i="3"/>
  <c r="AI12" i="3"/>
  <c r="L183" i="3"/>
  <c r="Z166" i="3"/>
  <c r="AA166" i="3" s="1"/>
  <c r="L132" i="3"/>
  <c r="L86" i="3"/>
  <c r="L25" i="3"/>
  <c r="L58" i="3"/>
  <c r="L60" i="3"/>
  <c r="Z190" i="3"/>
  <c r="AA190" i="3" s="1"/>
  <c r="Z61" i="3"/>
  <c r="AA61" i="3" s="1"/>
  <c r="L53" i="3"/>
  <c r="Z62" i="3"/>
  <c r="AA62" i="3" s="1"/>
  <c r="Z199" i="3"/>
  <c r="AA199" i="3" s="1"/>
  <c r="Z136" i="3"/>
  <c r="AA136" i="3" s="1"/>
  <c r="Z126" i="3"/>
  <c r="AA126" i="3" s="1"/>
  <c r="Z86" i="3"/>
  <c r="AA86" i="3" s="1"/>
  <c r="Z82" i="3"/>
  <c r="AA82" i="3" s="1"/>
  <c r="A163" i="3"/>
  <c r="L31" i="3"/>
  <c r="A30" i="3"/>
  <c r="Z204" i="3"/>
  <c r="AA204" i="3" s="1"/>
  <c r="L204" i="3"/>
  <c r="L146" i="3"/>
  <c r="L100" i="3"/>
  <c r="A60" i="3"/>
  <c r="L42" i="3"/>
  <c r="Z205" i="3"/>
  <c r="AA205" i="3" s="1"/>
  <c r="L174" i="3"/>
  <c r="L161" i="3"/>
  <c r="L137" i="3"/>
  <c r="L128" i="3"/>
  <c r="Z112" i="3"/>
  <c r="AA112" i="3" s="1"/>
  <c r="Z101" i="3"/>
  <c r="AA101" i="3" s="1"/>
  <c r="Z97" i="3"/>
  <c r="AA97" i="3" s="1"/>
  <c r="L88" i="3"/>
  <c r="L35" i="3"/>
  <c r="L26" i="3"/>
  <c r="Z26" i="3"/>
  <c r="AA26" i="3" s="1"/>
  <c r="L13" i="3"/>
  <c r="A23" i="3"/>
  <c r="A25" i="3"/>
  <c r="A15" i="3"/>
  <c r="A33" i="3"/>
  <c r="A42" i="3"/>
  <c r="A175" i="3"/>
  <c r="A22" i="3"/>
  <c r="A96" i="3"/>
  <c r="A191" i="3"/>
  <c r="L175" i="3"/>
  <c r="Z198" i="3"/>
  <c r="AA198" i="3" s="1"/>
  <c r="L193" i="3"/>
  <c r="Z180" i="3"/>
  <c r="AA180" i="3" s="1"/>
  <c r="A142" i="3"/>
  <c r="L113" i="3"/>
  <c r="L102" i="3"/>
  <c r="L98" i="3"/>
  <c r="Z85" i="3"/>
  <c r="AA85" i="3" s="1"/>
  <c r="L18" i="3"/>
  <c r="Z145" i="3"/>
  <c r="AA145" i="3" s="1"/>
  <c r="Z99" i="3"/>
  <c r="AA99" i="3" s="1"/>
  <c r="A94" i="3"/>
  <c r="L200" i="3"/>
  <c r="L187" i="3"/>
  <c r="Z182" i="3"/>
  <c r="AA182" i="3" s="1"/>
  <c r="Z170" i="3"/>
  <c r="AA170" i="3" s="1"/>
  <c r="L169" i="3"/>
  <c r="L154" i="3"/>
  <c r="L138" i="3"/>
  <c r="L129" i="3"/>
  <c r="Z119" i="3"/>
  <c r="AA119" i="3" s="1"/>
  <c r="Z105" i="3"/>
  <c r="AA105" i="3" s="1"/>
  <c r="A112" i="3"/>
  <c r="L89" i="3"/>
  <c r="L75" i="3"/>
  <c r="Z63" i="3"/>
  <c r="AA63" i="3" s="1"/>
  <c r="Z57" i="3"/>
  <c r="AA57" i="3" s="1"/>
  <c r="Z47" i="3"/>
  <c r="AA47" i="3" s="1"/>
  <c r="L44" i="3"/>
  <c r="Z38" i="3"/>
  <c r="AA38" i="3" s="1"/>
  <c r="Z37" i="3"/>
  <c r="AA37" i="3" s="1"/>
  <c r="L15" i="3"/>
  <c r="Z12" i="3"/>
  <c r="AA12" i="3" s="1"/>
  <c r="Z8" i="3"/>
  <c r="AA8" i="3" s="1"/>
  <c r="Z188" i="3"/>
  <c r="AA188" i="3" s="1"/>
  <c r="Z164" i="3"/>
  <c r="AA164" i="3" s="1"/>
  <c r="Z50" i="3"/>
  <c r="AA50" i="3" s="1"/>
  <c r="Z36" i="3"/>
  <c r="AA36" i="3" s="1"/>
  <c r="Z21" i="3"/>
  <c r="AA21" i="3" s="1"/>
  <c r="Z5" i="3"/>
  <c r="AA5" i="3" s="1"/>
  <c r="L196" i="3"/>
  <c r="L190" i="3"/>
  <c r="Z184" i="3"/>
  <c r="AA184" i="3" s="1"/>
  <c r="Z178" i="3"/>
  <c r="AA178" i="3" s="1"/>
  <c r="L166" i="3"/>
  <c r="L151" i="3"/>
  <c r="Z149" i="3"/>
  <c r="AA149" i="3" s="1"/>
  <c r="A150" i="3"/>
  <c r="L109" i="3"/>
  <c r="Z79" i="3"/>
  <c r="AA79" i="3" s="1"/>
  <c r="Z54" i="3"/>
  <c r="AA54" i="3" s="1"/>
  <c r="A105" i="3"/>
  <c r="Z14" i="3"/>
  <c r="AA14" i="3" s="1"/>
  <c r="Z192" i="3"/>
  <c r="AA192" i="3" s="1"/>
  <c r="L191" i="3"/>
  <c r="Z172" i="3"/>
  <c r="AA172" i="3" s="1"/>
  <c r="Z163" i="3"/>
  <c r="AA163" i="3" s="1"/>
  <c r="L140" i="3"/>
  <c r="Z135" i="3"/>
  <c r="AA135" i="3" s="1"/>
  <c r="L134" i="3"/>
  <c r="Z125" i="3"/>
  <c r="AA125" i="3" s="1"/>
  <c r="L123" i="3"/>
  <c r="L71" i="3"/>
  <c r="L46" i="3"/>
  <c r="Z40" i="3"/>
  <c r="AA40" i="3" s="1"/>
  <c r="L30" i="3"/>
  <c r="Z28" i="3"/>
  <c r="AA28" i="3" s="1"/>
  <c r="Z24" i="3"/>
  <c r="AA24" i="3" s="1"/>
  <c r="L20" i="3"/>
  <c r="Z16" i="3"/>
  <c r="AA16" i="3" s="1"/>
  <c r="L9" i="3"/>
  <c r="L198" i="3"/>
  <c r="Z186" i="3"/>
  <c r="AA186" i="3" s="1"/>
  <c r="Z183" i="3"/>
  <c r="AA183" i="3" s="1"/>
  <c r="Z177" i="3"/>
  <c r="AA177" i="3" s="1"/>
  <c r="Z168" i="3"/>
  <c r="AA168" i="3" s="1"/>
  <c r="Z160" i="3"/>
  <c r="AA160" i="3" s="1"/>
  <c r="Z132" i="3"/>
  <c r="AA132" i="3" s="1"/>
  <c r="Z91" i="3"/>
  <c r="AA91" i="3" s="1"/>
  <c r="Z87" i="3"/>
  <c r="AA87" i="3" s="1"/>
  <c r="Z73" i="3"/>
  <c r="AA73" i="3" s="1"/>
  <c r="Z48" i="3"/>
  <c r="AA48" i="3" s="1"/>
  <c r="Z22" i="3"/>
  <c r="AA22" i="3" s="1"/>
  <c r="Z7" i="3"/>
  <c r="AA7" i="3" s="1"/>
  <c r="L107" i="2"/>
  <c r="L83" i="2"/>
  <c r="L228" i="2"/>
  <c r="L65" i="2"/>
  <c r="Z139" i="2"/>
  <c r="AA139" i="2" s="1"/>
  <c r="L52" i="2"/>
  <c r="L211" i="2"/>
  <c r="L203" i="2"/>
  <c r="L131" i="2"/>
  <c r="L123" i="2"/>
  <c r="L159" i="2"/>
  <c r="L94" i="2"/>
  <c r="L209" i="2"/>
  <c r="L33" i="2"/>
  <c r="L25" i="2"/>
  <c r="L9" i="2"/>
  <c r="Z167" i="2"/>
  <c r="AA167" i="2" s="1"/>
  <c r="Z196" i="2"/>
  <c r="AA196" i="2" s="1"/>
  <c r="L160" i="2"/>
  <c r="Z84" i="2"/>
  <c r="AA84" i="2" s="1"/>
  <c r="Z22" i="2"/>
  <c r="AA22" i="2" s="1"/>
  <c r="L12" i="2"/>
  <c r="L109" i="2"/>
  <c r="L53" i="2"/>
  <c r="L29" i="2"/>
  <c r="Z188" i="2"/>
  <c r="AA188" i="2" s="1"/>
  <c r="L93" i="2"/>
  <c r="Z75" i="2"/>
  <c r="AA75" i="2" s="1"/>
  <c r="L67" i="2"/>
  <c r="Z225" i="2"/>
  <c r="AA225" i="2" s="1"/>
  <c r="L222" i="2"/>
  <c r="Z205" i="2"/>
  <c r="AA205" i="2" s="1"/>
  <c r="Z172" i="2"/>
  <c r="AA172" i="2" s="1"/>
  <c r="L145" i="2"/>
  <c r="Z131" i="2"/>
  <c r="AA131" i="2" s="1"/>
  <c r="L100" i="2"/>
  <c r="Z73" i="2"/>
  <c r="AA73" i="2" s="1"/>
  <c r="Z52" i="2"/>
  <c r="AA52" i="2" s="1"/>
  <c r="Z49" i="2"/>
  <c r="AA49" i="2" s="1"/>
  <c r="Z14" i="2"/>
  <c r="AA14" i="2" s="1"/>
  <c r="L226" i="2"/>
  <c r="L58" i="2"/>
  <c r="Z42" i="2"/>
  <c r="AA42" i="2" s="1"/>
  <c r="L10" i="2"/>
  <c r="L105" i="2"/>
  <c r="L87" i="2"/>
  <c r="Z228" i="2"/>
  <c r="AA228" i="2" s="1"/>
  <c r="L148" i="2"/>
  <c r="Z140" i="2"/>
  <c r="AA140" i="2" s="1"/>
  <c r="L76" i="2"/>
  <c r="L217" i="2"/>
  <c r="L206" i="2"/>
  <c r="Z164" i="2"/>
  <c r="AA164" i="2" s="1"/>
  <c r="L161" i="2"/>
  <c r="L154" i="2"/>
  <c r="L129" i="2"/>
  <c r="L121" i="2"/>
  <c r="L113" i="2"/>
  <c r="Z111" i="2"/>
  <c r="AA111" i="2" s="1"/>
  <c r="L95" i="2"/>
  <c r="L79" i="2"/>
  <c r="Z69" i="2"/>
  <c r="AA69" i="2" s="1"/>
  <c r="Z48" i="2"/>
  <c r="AA48" i="2" s="1"/>
  <c r="Z44" i="2"/>
  <c r="AA44" i="2" s="1"/>
  <c r="Z41" i="2"/>
  <c r="AA41" i="2" s="1"/>
  <c r="L38" i="2"/>
  <c r="Z17" i="2"/>
  <c r="AA17" i="2" s="1"/>
  <c r="L108" i="2"/>
  <c r="Z212" i="2"/>
  <c r="AA212" i="2" s="1"/>
  <c r="Z209" i="2"/>
  <c r="AA209" i="2" s="1"/>
  <c r="L195" i="2"/>
  <c r="L132" i="2"/>
  <c r="Z124" i="2"/>
  <c r="AA124" i="2" s="1"/>
  <c r="Z116" i="2"/>
  <c r="AA116" i="2" s="1"/>
  <c r="Z83" i="2"/>
  <c r="AA83" i="2" s="1"/>
  <c r="Z81" i="2"/>
  <c r="AA81" i="2" s="1"/>
  <c r="Z36" i="2"/>
  <c r="AA36" i="2" s="1"/>
  <c r="L20" i="2"/>
  <c r="A135" i="2"/>
  <c r="Z180" i="2"/>
  <c r="AA180" i="2" s="1"/>
  <c r="L92" i="2"/>
  <c r="L89" i="2"/>
  <c r="Z77" i="2"/>
  <c r="AA77" i="2" s="1"/>
  <c r="L224" i="2"/>
  <c r="Z204" i="2"/>
  <c r="AA204" i="2" s="1"/>
  <c r="Z148" i="2"/>
  <c r="AA148" i="2" s="1"/>
  <c r="L99" i="2"/>
  <c r="A113" i="2"/>
  <c r="Z227" i="2"/>
  <c r="AA227" i="2" s="1"/>
  <c r="L208" i="2"/>
  <c r="L192" i="2"/>
  <c r="L188" i="2"/>
  <c r="L185" i="2"/>
  <c r="L179" i="2"/>
  <c r="L176" i="2"/>
  <c r="L172" i="2"/>
  <c r="L169" i="2"/>
  <c r="Z107" i="2"/>
  <c r="AA107" i="2" s="1"/>
  <c r="Z6" i="2"/>
  <c r="AA6" i="2" s="1"/>
  <c r="L163" i="2"/>
  <c r="L147" i="2"/>
  <c r="L205" i="2"/>
  <c r="Z203" i="2"/>
  <c r="AA203" i="2" s="1"/>
  <c r="Z186" i="2"/>
  <c r="AA186" i="2" s="1"/>
  <c r="L177" i="2"/>
  <c r="Z170" i="2"/>
  <c r="AA170" i="2" s="1"/>
  <c r="L77" i="2"/>
  <c r="L74" i="2"/>
  <c r="L63" i="2"/>
  <c r="L40" i="2"/>
  <c r="AL31" i="2"/>
  <c r="AF14" i="2"/>
  <c r="L119" i="2"/>
  <c r="L84" i="2"/>
  <c r="Z67" i="2"/>
  <c r="AA67" i="2" s="1"/>
  <c r="Z35" i="2"/>
  <c r="AA35" i="2" s="1"/>
  <c r="Z217" i="2"/>
  <c r="AA217" i="2" s="1"/>
  <c r="Z143" i="2"/>
  <c r="AA143" i="2" s="1"/>
  <c r="Z123" i="2"/>
  <c r="AA123" i="2" s="1"/>
  <c r="Z114" i="2"/>
  <c r="AA114" i="2" s="1"/>
  <c r="L97" i="2"/>
  <c r="L71" i="2"/>
  <c r="Z58" i="2"/>
  <c r="AA58" i="2" s="1"/>
  <c r="L54" i="2"/>
  <c r="L44" i="2"/>
  <c r="L34" i="2"/>
  <c r="AF32" i="2"/>
  <c r="AH31" i="2"/>
  <c r="AI31" i="2" s="1"/>
  <c r="L26" i="2"/>
  <c r="AF24" i="2"/>
  <c r="AL23" i="2"/>
  <c r="L23" i="2"/>
  <c r="AH13" i="2"/>
  <c r="AI13" i="2" s="1"/>
  <c r="A48" i="2"/>
  <c r="Z210" i="2"/>
  <c r="AA210" i="2" s="1"/>
  <c r="Z202" i="2"/>
  <c r="AA202" i="2" s="1"/>
  <c r="Z178" i="2"/>
  <c r="AA178" i="2" s="1"/>
  <c r="L139" i="2"/>
  <c r="Z99" i="2"/>
  <c r="AA99" i="2" s="1"/>
  <c r="L45" i="2"/>
  <c r="AL34" i="2"/>
  <c r="AE27" i="2"/>
  <c r="AF27" i="2" s="1"/>
  <c r="AH23" i="2"/>
  <c r="AK18" i="2"/>
  <c r="L18" i="2"/>
  <c r="AF16" i="2"/>
  <c r="AL15" i="2"/>
  <c r="L15" i="2"/>
  <c r="L7" i="2"/>
  <c r="AI33" i="3"/>
  <c r="Z218" i="2"/>
  <c r="AA218" i="2" s="1"/>
  <c r="Z189" i="2"/>
  <c r="AA189" i="2" s="1"/>
  <c r="Z187" i="2"/>
  <c r="AA187" i="2" s="1"/>
  <c r="Z173" i="2"/>
  <c r="AA173" i="2" s="1"/>
  <c r="Z171" i="2"/>
  <c r="AA171" i="2" s="1"/>
  <c r="Z135" i="2"/>
  <c r="AA135" i="2" s="1"/>
  <c r="Z98" i="2"/>
  <c r="AA98" i="2" s="1"/>
  <c r="Z90" i="2"/>
  <c r="AA90" i="2" s="1"/>
  <c r="L82" i="2"/>
  <c r="L75" i="2"/>
  <c r="Z10" i="2"/>
  <c r="AA10" i="2" s="1"/>
  <c r="Z162" i="2"/>
  <c r="AA162" i="2" s="1"/>
  <c r="Z155" i="2"/>
  <c r="AA155" i="2" s="1"/>
  <c r="L146" i="2"/>
  <c r="Z103" i="2"/>
  <c r="AA103" i="2" s="1"/>
  <c r="L42" i="2"/>
  <c r="AE34" i="2"/>
  <c r="AF34" i="2" s="1"/>
  <c r="AH33" i="2"/>
  <c r="AI33" i="2" s="1"/>
  <c r="AK29" i="2"/>
  <c r="AL29" i="2" s="1"/>
  <c r="AF19" i="2"/>
  <c r="A15" i="2"/>
  <c r="A33" i="2"/>
  <c r="A6" i="2"/>
  <c r="A221" i="2"/>
  <c r="Z193" i="2"/>
  <c r="AA193" i="2" s="1"/>
  <c r="L193" i="2"/>
  <c r="A162" i="2"/>
  <c r="A204" i="2"/>
  <c r="A151" i="2"/>
  <c r="Z101" i="2"/>
  <c r="AA101" i="2" s="1"/>
  <c r="L101" i="2"/>
  <c r="Z78" i="2"/>
  <c r="AA78" i="2" s="1"/>
  <c r="L78" i="2"/>
  <c r="Z68" i="2"/>
  <c r="AA68" i="2" s="1"/>
  <c r="L68" i="2"/>
  <c r="A62" i="2"/>
  <c r="L27" i="2"/>
  <c r="Z27" i="2"/>
  <c r="AA27" i="2" s="1"/>
  <c r="Z201" i="2"/>
  <c r="AA201" i="2" s="1"/>
  <c r="L201" i="2"/>
  <c r="L219" i="2"/>
  <c r="Z219" i="2"/>
  <c r="AA219" i="2" s="1"/>
  <c r="L152" i="2"/>
  <c r="Z152" i="2"/>
  <c r="AA152" i="2" s="1"/>
  <c r="Z115" i="2"/>
  <c r="AA115" i="2" s="1"/>
  <c r="L115" i="2"/>
  <c r="Z72" i="2"/>
  <c r="AA72" i="2" s="1"/>
  <c r="L72" i="2"/>
  <c r="A225" i="2"/>
  <c r="Z127" i="2"/>
  <c r="AA127" i="2" s="1"/>
  <c r="L127" i="2"/>
  <c r="Z59" i="2"/>
  <c r="AA59" i="2" s="1"/>
  <c r="L59" i="2"/>
  <c r="A44" i="2"/>
  <c r="A35" i="2"/>
  <c r="L19" i="2"/>
  <c r="Z19" i="2"/>
  <c r="AA19" i="2" s="1"/>
  <c r="Z157" i="2"/>
  <c r="AA157" i="2" s="1"/>
  <c r="L157" i="2"/>
  <c r="A219" i="2"/>
  <c r="Z85" i="2"/>
  <c r="AA85" i="2" s="1"/>
  <c r="L85" i="2"/>
  <c r="Z28" i="2"/>
  <c r="AA28" i="2" s="1"/>
  <c r="L28" i="2"/>
  <c r="L220" i="2"/>
  <c r="Z220" i="2"/>
  <c r="AA220" i="2" s="1"/>
  <c r="Z207" i="2"/>
  <c r="AA207" i="2" s="1"/>
  <c r="L207" i="2"/>
  <c r="L191" i="2"/>
  <c r="Z191" i="2"/>
  <c r="AA191" i="2" s="1"/>
  <c r="L175" i="2"/>
  <c r="Z175" i="2"/>
  <c r="AA175" i="2" s="1"/>
  <c r="Z168" i="2"/>
  <c r="AA168" i="2" s="1"/>
  <c r="L168" i="2"/>
  <c r="Z156" i="2"/>
  <c r="AA156" i="2" s="1"/>
  <c r="L156" i="2"/>
  <c r="Z62" i="2"/>
  <c r="AA62" i="2" s="1"/>
  <c r="L62" i="2"/>
  <c r="Z30" i="2"/>
  <c r="AA30" i="2" s="1"/>
  <c r="L30" i="2"/>
  <c r="Z50" i="2"/>
  <c r="AA50" i="2" s="1"/>
  <c r="L50" i="2"/>
  <c r="A161" i="2"/>
  <c r="Z91" i="2"/>
  <c r="AA91" i="2" s="1"/>
  <c r="L91" i="2"/>
  <c r="Z46" i="2"/>
  <c r="AA46" i="2" s="1"/>
  <c r="L46" i="2"/>
  <c r="Z37" i="2"/>
  <c r="AA37" i="2" s="1"/>
  <c r="L37" i="2"/>
  <c r="A23" i="2"/>
  <c r="A12" i="2"/>
  <c r="A14" i="2"/>
  <c r="A22" i="2"/>
  <c r="A121" i="2"/>
  <c r="A125" i="2"/>
  <c r="A143" i="2"/>
  <c r="A149" i="2"/>
  <c r="A183" i="2"/>
  <c r="A52" i="2"/>
  <c r="A165" i="2"/>
  <c r="A171" i="2"/>
  <c r="A187" i="2"/>
  <c r="A28" i="2"/>
  <c r="A30" i="2"/>
  <c r="A129" i="2"/>
  <c r="A198" i="2"/>
  <c r="A223" i="2"/>
  <c r="A40" i="2"/>
  <c r="A119" i="2"/>
  <c r="A164" i="2"/>
  <c r="A201" i="2"/>
  <c r="A127" i="2"/>
  <c r="A137" i="2"/>
  <c r="A141" i="2"/>
  <c r="A169" i="2"/>
  <c r="A185" i="2"/>
  <c r="A227" i="2"/>
  <c r="A5" i="2"/>
  <c r="A9" i="2"/>
  <c r="A17" i="2"/>
  <c r="A25" i="2"/>
  <c r="A131" i="2"/>
  <c r="A145" i="2"/>
  <c r="A180" i="2"/>
  <c r="A168" i="2"/>
  <c r="A167" i="2"/>
  <c r="Z80" i="2"/>
  <c r="AA80" i="2" s="1"/>
  <c r="L80" i="2"/>
  <c r="Z39" i="2"/>
  <c r="AA39" i="2" s="1"/>
  <c r="L39" i="2"/>
  <c r="AI25" i="2"/>
  <c r="Z11" i="2"/>
  <c r="AA11" i="2" s="1"/>
  <c r="L11" i="2"/>
  <c r="AI29" i="2"/>
  <c r="AI23" i="2"/>
  <c r="AL21" i="2"/>
  <c r="AI15" i="2"/>
  <c r="A20" i="2"/>
  <c r="AL13" i="2"/>
  <c r="A7" i="2"/>
  <c r="L187" i="2"/>
  <c r="L171" i="2"/>
  <c r="L158" i="2"/>
  <c r="AH37" i="2"/>
  <c r="AI37" i="2" s="1"/>
  <c r="AF35" i="2"/>
  <c r="AF29" i="2"/>
  <c r="AH28" i="2"/>
  <c r="AL26" i="2"/>
  <c r="AL24" i="2"/>
  <c r="AI21" i="2"/>
  <c r="AL16" i="2"/>
  <c r="AI11" i="2"/>
  <c r="AI28" i="2"/>
  <c r="AH26" i="2"/>
  <c r="AI26" i="2" s="1"/>
  <c r="AH24" i="2"/>
  <c r="AI24" i="2" s="1"/>
  <c r="AH22" i="2"/>
  <c r="AI22" i="2" s="1"/>
  <c r="AH18" i="2"/>
  <c r="AI18" i="2" s="1"/>
  <c r="AH16" i="2"/>
  <c r="AI16" i="2" s="1"/>
  <c r="AH14" i="2"/>
  <c r="L13" i="2"/>
  <c r="AH8" i="2"/>
  <c r="AI8" i="2" s="1"/>
  <c r="L8" i="2"/>
  <c r="L88" i="2"/>
  <c r="L36" i="2"/>
  <c r="AH34" i="2"/>
  <c r="AI34" i="2" s="1"/>
  <c r="AH32" i="2"/>
  <c r="AI32" i="2" s="1"/>
  <c r="AF21" i="2"/>
  <c r="AH20" i="2"/>
  <c r="AI14" i="2"/>
  <c r="AF13" i="2"/>
  <c r="AF11" i="2"/>
  <c r="AH10" i="2"/>
  <c r="AI10" i="2" s="1"/>
  <c r="L204" i="2"/>
  <c r="L190" i="2"/>
  <c r="L174" i="2"/>
  <c r="L150" i="2"/>
  <c r="A153" i="2"/>
  <c r="L90" i="2"/>
  <c r="L49" i="2"/>
  <c r="AF37" i="2"/>
  <c r="AH36" i="2"/>
  <c r="AI36" i="2" s="1"/>
  <c r="AI20" i="2"/>
  <c r="AE8" i="2"/>
  <c r="AF8" i="2" s="1"/>
  <c r="L5" i="2"/>
  <c r="A184" i="2"/>
  <c r="AH27" i="2"/>
  <c r="AI27" i="2" s="1"/>
  <c r="AH25" i="2"/>
  <c r="AH19" i="2"/>
  <c r="AI19" i="2" s="1"/>
  <c r="AH17" i="2"/>
  <c r="AI17" i="2" s="1"/>
  <c r="AH12" i="2"/>
  <c r="AI12" i="2" s="1"/>
  <c r="AH9" i="2"/>
  <c r="AI9" i="2" s="1"/>
  <c r="AI23" i="3"/>
  <c r="AF22" i="3"/>
  <c r="AI37" i="3"/>
  <c r="AI17" i="3"/>
  <c r="AI29" i="3"/>
  <c r="AL16" i="3"/>
  <c r="AL8" i="3"/>
  <c r="AI30" i="3"/>
  <c r="AF36" i="3"/>
  <c r="AI31" i="3"/>
  <c r="AL32" i="3"/>
  <c r="AL29" i="3"/>
  <c r="AI21" i="3"/>
  <c r="AF19" i="3"/>
  <c r="AL7" i="3"/>
  <c r="L173" i="3"/>
  <c r="Z173" i="3"/>
  <c r="AA173" i="3" s="1"/>
  <c r="Z155" i="3"/>
  <c r="AA155" i="3" s="1"/>
  <c r="L155" i="3"/>
  <c r="L197" i="3"/>
  <c r="Z197" i="3"/>
  <c r="AA197" i="3" s="1"/>
  <c r="A183" i="3"/>
  <c r="L165" i="3"/>
  <c r="Z165" i="3"/>
  <c r="AA165" i="3" s="1"/>
  <c r="L156" i="3"/>
  <c r="Z156" i="3"/>
  <c r="AA156" i="3" s="1"/>
  <c r="L189" i="3"/>
  <c r="Z189" i="3"/>
  <c r="AA189" i="3" s="1"/>
  <c r="A136" i="3"/>
  <c r="A143" i="3"/>
  <c r="A169" i="3"/>
  <c r="A177" i="3"/>
  <c r="A185" i="3"/>
  <c r="A193" i="3"/>
  <c r="A199" i="3"/>
  <c r="A203" i="3"/>
  <c r="A152" i="3"/>
  <c r="A159" i="3"/>
  <c r="A161" i="3"/>
  <c r="A171" i="3"/>
  <c r="A179" i="3"/>
  <c r="A187" i="3"/>
  <c r="A195" i="3"/>
  <c r="A126" i="3"/>
  <c r="A141" i="3"/>
  <c r="A207" i="3"/>
  <c r="A209" i="3"/>
  <c r="A149" i="3"/>
  <c r="A157" i="3"/>
  <c r="A165" i="3"/>
  <c r="A173" i="3"/>
  <c r="A181" i="3"/>
  <c r="A189" i="3"/>
  <c r="A197" i="3"/>
  <c r="A201" i="3"/>
  <c r="A205" i="3"/>
  <c r="A120" i="3"/>
  <c r="A158" i="3"/>
  <c r="A208" i="3"/>
  <c r="A210" i="3"/>
  <c r="Z95" i="3"/>
  <c r="AA95" i="3" s="1"/>
  <c r="L95" i="3"/>
  <c r="L201" i="3"/>
  <c r="Z201" i="3"/>
  <c r="AA201" i="3" s="1"/>
  <c r="L181" i="3"/>
  <c r="Z181" i="3"/>
  <c r="AA181" i="3" s="1"/>
  <c r="A167" i="3"/>
  <c r="Z209" i="3"/>
  <c r="AA209" i="3" s="1"/>
  <c r="L209" i="3"/>
  <c r="Z207" i="3"/>
  <c r="AA207" i="3" s="1"/>
  <c r="L207" i="3"/>
  <c r="A128" i="3"/>
  <c r="L205" i="3"/>
  <c r="Z127" i="3"/>
  <c r="AA127" i="3" s="1"/>
  <c r="L127" i="3"/>
  <c r="Z113" i="3"/>
  <c r="AA113" i="3" s="1"/>
  <c r="L162" i="3"/>
  <c r="Z139" i="3"/>
  <c r="AA139" i="3" s="1"/>
  <c r="L139" i="3"/>
  <c r="Z129" i="3"/>
  <c r="AA129" i="3" s="1"/>
  <c r="A110" i="3"/>
  <c r="Z93" i="3"/>
  <c r="AA93" i="3" s="1"/>
  <c r="L93" i="3"/>
  <c r="A78" i="3"/>
  <c r="L194" i="3"/>
  <c r="L186" i="3"/>
  <c r="L178" i="3"/>
  <c r="L170" i="3"/>
  <c r="Z121" i="3"/>
  <c r="AA121" i="3" s="1"/>
  <c r="Z103" i="3"/>
  <c r="AA103" i="3" s="1"/>
  <c r="A48" i="3"/>
  <c r="A66" i="3"/>
  <c r="A82" i="3"/>
  <c r="A98" i="3"/>
  <c r="A114" i="3"/>
  <c r="A130" i="3"/>
  <c r="A139" i="3"/>
  <c r="A148" i="3"/>
  <c r="A155" i="3"/>
  <c r="A76" i="3"/>
  <c r="A92" i="3"/>
  <c r="A108" i="3"/>
  <c r="A124" i="3"/>
  <c r="A134" i="3"/>
  <c r="A137" i="3"/>
  <c r="A146" i="3"/>
  <c r="A153" i="3"/>
  <c r="A70" i="3"/>
  <c r="A86" i="3"/>
  <c r="A102" i="3"/>
  <c r="A118" i="3"/>
  <c r="A144" i="3"/>
  <c r="A151" i="3"/>
  <c r="A160" i="3"/>
  <c r="A162" i="3"/>
  <c r="A164" i="3"/>
  <c r="A166" i="3"/>
  <c r="A168" i="3"/>
  <c r="A170" i="3"/>
  <c r="A172" i="3"/>
  <c r="A174" i="3"/>
  <c r="A176" i="3"/>
  <c r="A178" i="3"/>
  <c r="A180" i="3"/>
  <c r="A182" i="3"/>
  <c r="A184" i="3"/>
  <c r="A186" i="3"/>
  <c r="A188" i="3"/>
  <c r="A190" i="3"/>
  <c r="A192" i="3"/>
  <c r="A194" i="3"/>
  <c r="A196" i="3"/>
  <c r="A198" i="3"/>
  <c r="A200" i="3"/>
  <c r="A202" i="3"/>
  <c r="A204" i="3"/>
  <c r="A206" i="3"/>
  <c r="A37" i="3"/>
  <c r="A56" i="3"/>
  <c r="A64" i="3"/>
  <c r="A80" i="3"/>
  <c r="A58" i="3"/>
  <c r="A74" i="3"/>
  <c r="A90" i="3"/>
  <c r="A106" i="3"/>
  <c r="A122" i="3"/>
  <c r="A140" i="3"/>
  <c r="A147" i="3"/>
  <c r="A156" i="3"/>
  <c r="A68" i="3"/>
  <c r="A84" i="3"/>
  <c r="A100" i="3"/>
  <c r="A116" i="3"/>
  <c r="A132" i="3"/>
  <c r="A138" i="3"/>
  <c r="A145" i="3"/>
  <c r="A154" i="3"/>
  <c r="A46" i="3"/>
  <c r="A72" i="3"/>
  <c r="A88" i="3"/>
  <c r="Z195" i="3"/>
  <c r="AA195" i="3" s="1"/>
  <c r="L192" i="3"/>
  <c r="Z187" i="3"/>
  <c r="AA187" i="3" s="1"/>
  <c r="L184" i="3"/>
  <c r="Z179" i="3"/>
  <c r="AA179" i="3" s="1"/>
  <c r="L176" i="3"/>
  <c r="Z171" i="3"/>
  <c r="AA171" i="3" s="1"/>
  <c r="L168" i="3"/>
  <c r="Z153" i="3"/>
  <c r="AA153" i="3" s="1"/>
  <c r="Z140" i="3"/>
  <c r="AA140" i="3" s="1"/>
  <c r="Z138" i="3"/>
  <c r="AA138" i="3" s="1"/>
  <c r="A104" i="3"/>
  <c r="Z55" i="3"/>
  <c r="AA55" i="3" s="1"/>
  <c r="L55" i="3"/>
  <c r="Z147" i="3"/>
  <c r="AA147" i="3" s="1"/>
  <c r="Z146" i="3"/>
  <c r="AA146" i="3" s="1"/>
  <c r="Z111" i="3"/>
  <c r="AA111" i="3" s="1"/>
  <c r="L111" i="3"/>
  <c r="Z71" i="3"/>
  <c r="AA71" i="3" s="1"/>
  <c r="Z77" i="3"/>
  <c r="AA77" i="3" s="1"/>
  <c r="L77" i="3"/>
  <c r="Z32" i="3"/>
  <c r="AA32" i="3" s="1"/>
  <c r="L32" i="3"/>
  <c r="L57" i="3"/>
  <c r="L56" i="3"/>
  <c r="A121" i="3"/>
  <c r="A123" i="3"/>
  <c r="A125" i="3"/>
  <c r="A127" i="3"/>
  <c r="A129" i="3"/>
  <c r="A131" i="3"/>
  <c r="A133" i="3"/>
  <c r="A135" i="3"/>
  <c r="A36" i="3"/>
  <c r="A40" i="3"/>
  <c r="A50" i="3"/>
  <c r="L79" i="3"/>
  <c r="L63" i="3"/>
  <c r="L49" i="3"/>
  <c r="Z41" i="3"/>
  <c r="AA41" i="3" s="1"/>
  <c r="A54" i="3"/>
  <c r="Z39" i="3"/>
  <c r="AA39" i="3" s="1"/>
  <c r="L39" i="3"/>
  <c r="L59" i="3"/>
  <c r="A52" i="3"/>
  <c r="Z45" i="3"/>
  <c r="AA45" i="3" s="1"/>
  <c r="AL27" i="3"/>
  <c r="A107" i="3"/>
  <c r="A27" i="3"/>
  <c r="A17" i="3"/>
  <c r="AE21" i="3"/>
  <c r="AF21" i="3" s="1"/>
  <c r="AI19" i="3"/>
  <c r="AE14" i="3"/>
  <c r="AF14" i="3" s="1"/>
  <c r="L7" i="3"/>
  <c r="L40" i="3"/>
  <c r="L36" i="3"/>
  <c r="L24" i="3"/>
  <c r="L21" i="3"/>
  <c r="AE15" i="3"/>
  <c r="AE23" i="3"/>
  <c r="AF23" i="3" s="1"/>
  <c r="AE31" i="3"/>
  <c r="AF31" i="3" s="1"/>
  <c r="AE12" i="3"/>
  <c r="AE20" i="3"/>
  <c r="AF20" i="3" s="1"/>
  <c r="AE9" i="3"/>
  <c r="AF9" i="3" s="1"/>
  <c r="AE17" i="3"/>
  <c r="AF17" i="3" s="1"/>
  <c r="AE25" i="3"/>
  <c r="AF25" i="3" s="1"/>
  <c r="AE33" i="3"/>
  <c r="AF33" i="3" s="1"/>
  <c r="A14" i="3"/>
  <c r="AK9" i="3"/>
  <c r="AL9" i="3" s="1"/>
  <c r="AK17" i="3"/>
  <c r="AL17" i="3" s="1"/>
  <c r="AK25" i="3"/>
  <c r="AL25" i="3" s="1"/>
  <c r="AK33" i="3"/>
  <c r="AL33" i="3" s="1"/>
  <c r="AK14" i="3"/>
  <c r="AL14" i="3" s="1"/>
  <c r="AK11" i="3"/>
  <c r="AL11" i="3" s="1"/>
  <c r="AK19" i="3"/>
  <c r="AL19" i="3" s="1"/>
  <c r="AK27" i="3"/>
  <c r="AK35" i="3"/>
  <c r="AL35" i="3" s="1"/>
  <c r="L28" i="3"/>
  <c r="AF12" i="3"/>
  <c r="L12" i="3"/>
  <c r="AE11" i="3"/>
  <c r="AF11" i="3" s="1"/>
  <c r="L6" i="3"/>
  <c r="L5" i="3"/>
  <c r="A119" i="3"/>
  <c r="A117" i="3"/>
  <c r="A115" i="3"/>
  <c r="A113" i="3"/>
  <c r="A111" i="3"/>
  <c r="A109" i="3"/>
  <c r="A103" i="3"/>
  <c r="A101" i="3"/>
  <c r="A99" i="3"/>
  <c r="A97" i="3"/>
  <c r="A95" i="3"/>
  <c r="A93" i="3"/>
  <c r="A91" i="3"/>
  <c r="A89" i="3"/>
  <c r="A87" i="3"/>
  <c r="A85" i="3"/>
  <c r="A83" i="3"/>
  <c r="A81" i="3"/>
  <c r="A79" i="3"/>
  <c r="A77" i="3"/>
  <c r="A75" i="3"/>
  <c r="A73" i="3"/>
  <c r="A71" i="3"/>
  <c r="A69" i="3"/>
  <c r="A67" i="3"/>
  <c r="A65" i="3"/>
  <c r="L62" i="3"/>
  <c r="L54" i="3"/>
  <c r="L38" i="3"/>
  <c r="AL36" i="3"/>
  <c r="AE34" i="3"/>
  <c r="AF34" i="3" s="1"/>
  <c r="AK31" i="3"/>
  <c r="AL31" i="3" s="1"/>
  <c r="A29" i="3"/>
  <c r="AK24" i="3"/>
  <c r="AL24" i="3" s="1"/>
  <c r="A20" i="3"/>
  <c r="AK13" i="3"/>
  <c r="AL13" i="3" s="1"/>
  <c r="A8" i="3"/>
  <c r="A16" i="3"/>
  <c r="A24" i="3"/>
  <c r="A32" i="3"/>
  <c r="A13" i="3"/>
  <c r="A21" i="3"/>
  <c r="A10" i="3"/>
  <c r="A18" i="3"/>
  <c r="A26" i="3"/>
  <c r="A34" i="3"/>
  <c r="A39" i="3"/>
  <c r="A41" i="3"/>
  <c r="A43" i="3"/>
  <c r="A45" i="3"/>
  <c r="A47" i="3"/>
  <c r="A49" i="3"/>
  <c r="A51" i="3"/>
  <c r="A53" i="3"/>
  <c r="A55" i="3"/>
  <c r="A57" i="3"/>
  <c r="A59" i="3"/>
  <c r="A61" i="3"/>
  <c r="A63" i="3"/>
  <c r="L48" i="3"/>
  <c r="A44" i="3"/>
  <c r="AE37" i="3"/>
  <c r="AF37" i="3" s="1"/>
  <c r="A35" i="3"/>
  <c r="AE30" i="3"/>
  <c r="AF30" i="3" s="1"/>
  <c r="AK28" i="3"/>
  <c r="AL28" i="3" s="1"/>
  <c r="A28" i="3"/>
  <c r="AK20" i="3"/>
  <c r="AL20" i="3" s="1"/>
  <c r="AE18" i="3"/>
  <c r="AF18" i="3" s="1"/>
  <c r="AE16" i="3"/>
  <c r="AF16" i="3" s="1"/>
  <c r="A12" i="3"/>
  <c r="AE10" i="3"/>
  <c r="AF10" i="3" s="1"/>
  <c r="AE8" i="3"/>
  <c r="AF8" i="3" s="1"/>
  <c r="A6" i="3"/>
  <c r="A62" i="3"/>
  <c r="A38" i="3"/>
  <c r="A31" i="3"/>
  <c r="AE26" i="3"/>
  <c r="AF26" i="3" s="1"/>
  <c r="AK23" i="3"/>
  <c r="AL23" i="3" s="1"/>
  <c r="A19" i="3"/>
  <c r="Z17" i="3"/>
  <c r="AA17" i="3" s="1"/>
  <c r="AF15" i="3"/>
  <c r="AK12" i="3"/>
  <c r="AL12" i="3" s="1"/>
  <c r="Z9" i="3"/>
  <c r="AA9" i="3" s="1"/>
  <c r="AH10" i="3"/>
  <c r="AI10" i="3" s="1"/>
  <c r="AH7" i="3"/>
  <c r="AI7" i="3" s="1"/>
  <c r="AH16" i="3"/>
  <c r="AI16" i="3" s="1"/>
  <c r="A7" i="3"/>
  <c r="AL8" i="2"/>
  <c r="AI7" i="2"/>
  <c r="AF30" i="2"/>
  <c r="AL18" i="2"/>
  <c r="Z213" i="2"/>
  <c r="AA213" i="2" s="1"/>
  <c r="L213" i="2"/>
  <c r="Z197" i="2"/>
  <c r="AA197" i="2" s="1"/>
  <c r="L197" i="2"/>
  <c r="Z216" i="2"/>
  <c r="AA216" i="2" s="1"/>
  <c r="L216" i="2"/>
  <c r="A214" i="2"/>
  <c r="Z200" i="2"/>
  <c r="AA200" i="2" s="1"/>
  <c r="L200" i="2"/>
  <c r="A203" i="2"/>
  <c r="A216" i="2"/>
  <c r="A217" i="2"/>
  <c r="A196" i="2"/>
  <c r="A199" i="2"/>
  <c r="A212" i="2"/>
  <c r="A215" i="2"/>
  <c r="A218" i="2"/>
  <c r="A220" i="2"/>
  <c r="A222" i="2"/>
  <c r="A224" i="2"/>
  <c r="A226" i="2"/>
  <c r="A228" i="2"/>
  <c r="A200" i="2"/>
  <c r="L227" i="2"/>
  <c r="L225" i="2"/>
  <c r="L223" i="2"/>
  <c r="L221" i="2"/>
  <c r="Z215" i="2"/>
  <c r="AA215" i="2" s="1"/>
  <c r="L214" i="2"/>
  <c r="A209" i="2"/>
  <c r="A206" i="2"/>
  <c r="Z199" i="2"/>
  <c r="AA199" i="2" s="1"/>
  <c r="L198" i="2"/>
  <c r="A193" i="2"/>
  <c r="A190" i="2"/>
  <c r="Z183" i="2"/>
  <c r="AA183" i="2" s="1"/>
  <c r="L182" i="2"/>
  <c r="A177" i="2"/>
  <c r="A174" i="2"/>
  <c r="L166" i="2"/>
  <c r="A158" i="2"/>
  <c r="Z134" i="2"/>
  <c r="AA134" i="2" s="1"/>
  <c r="L134" i="2"/>
  <c r="Z118" i="2"/>
  <c r="AA118" i="2" s="1"/>
  <c r="L118" i="2"/>
  <c r="L116" i="2"/>
  <c r="Z108" i="2"/>
  <c r="AA108" i="2" s="1"/>
  <c r="L70" i="2"/>
  <c r="Z70" i="2"/>
  <c r="AA70" i="2" s="1"/>
  <c r="A155" i="2"/>
  <c r="A91" i="2"/>
  <c r="A95" i="2"/>
  <c r="A99" i="2"/>
  <c r="A103" i="2"/>
  <c r="A107" i="2"/>
  <c r="A111" i="2"/>
  <c r="A115" i="2"/>
  <c r="A147" i="2"/>
  <c r="A89" i="2"/>
  <c r="A93" i="2"/>
  <c r="A97" i="2"/>
  <c r="A101" i="2"/>
  <c r="A105" i="2"/>
  <c r="A109" i="2"/>
  <c r="Z211" i="2"/>
  <c r="AA211" i="2" s="1"/>
  <c r="L210" i="2"/>
  <c r="A205" i="2"/>
  <c r="A202" i="2"/>
  <c r="Z195" i="2"/>
  <c r="AA195" i="2" s="1"/>
  <c r="L194" i="2"/>
  <c r="A189" i="2"/>
  <c r="A186" i="2"/>
  <c r="L181" i="2"/>
  <c r="Z179" i="2"/>
  <c r="AA179" i="2" s="1"/>
  <c r="L178" i="2"/>
  <c r="A173" i="2"/>
  <c r="A170" i="2"/>
  <c r="L165" i="2"/>
  <c r="Z163" i="2"/>
  <c r="AA163" i="2" s="1"/>
  <c r="L162" i="2"/>
  <c r="A157" i="2"/>
  <c r="Z138" i="2"/>
  <c r="AA138" i="2" s="1"/>
  <c r="L138" i="2"/>
  <c r="L136" i="2"/>
  <c r="A133" i="2"/>
  <c r="Z122" i="2"/>
  <c r="AA122" i="2" s="1"/>
  <c r="L122" i="2"/>
  <c r="L120" i="2"/>
  <c r="A117" i="2"/>
  <c r="Z100" i="2"/>
  <c r="AA100" i="2" s="1"/>
  <c r="A211" i="2"/>
  <c r="A208" i="2"/>
  <c r="A195" i="2"/>
  <c r="A192" i="2"/>
  <c r="L184" i="2"/>
  <c r="A179" i="2"/>
  <c r="A176" i="2"/>
  <c r="A163" i="2"/>
  <c r="A160" i="2"/>
  <c r="A182" i="2"/>
  <c r="A166" i="2"/>
  <c r="Z142" i="2"/>
  <c r="AA142" i="2" s="1"/>
  <c r="L142" i="2"/>
  <c r="L140" i="2"/>
  <c r="Z126" i="2"/>
  <c r="AA126" i="2" s="1"/>
  <c r="L126" i="2"/>
  <c r="L124" i="2"/>
  <c r="L212" i="2"/>
  <c r="A207" i="2"/>
  <c r="L196" i="2"/>
  <c r="A191" i="2"/>
  <c r="A188" i="2"/>
  <c r="L180" i="2"/>
  <c r="A175" i="2"/>
  <c r="A172" i="2"/>
  <c r="L164" i="2"/>
  <c r="A159" i="2"/>
  <c r="A156" i="2"/>
  <c r="Z149" i="2"/>
  <c r="AA149" i="2" s="1"/>
  <c r="Z144" i="2"/>
  <c r="AA144" i="2" s="1"/>
  <c r="A139" i="2"/>
  <c r="Z128" i="2"/>
  <c r="AA128" i="2" s="1"/>
  <c r="A123" i="2"/>
  <c r="L112" i="2"/>
  <c r="Z104" i="2"/>
  <c r="AA104" i="2" s="1"/>
  <c r="A213" i="2"/>
  <c r="A210" i="2"/>
  <c r="L202" i="2"/>
  <c r="A197" i="2"/>
  <c r="A194" i="2"/>
  <c r="L186" i="2"/>
  <c r="A181" i="2"/>
  <c r="A178" i="2"/>
  <c r="L170" i="2"/>
  <c r="Z147" i="2"/>
  <c r="AA147" i="2" s="1"/>
  <c r="Z146" i="2"/>
  <c r="AA146" i="2" s="1"/>
  <c r="Z130" i="2"/>
  <c r="AA130" i="2" s="1"/>
  <c r="L130" i="2"/>
  <c r="Z92" i="2"/>
  <c r="AA92" i="2" s="1"/>
  <c r="Z132" i="2"/>
  <c r="AA132" i="2" s="1"/>
  <c r="Z96" i="2"/>
  <c r="AA96" i="2" s="1"/>
  <c r="A64" i="2"/>
  <c r="A152" i="2"/>
  <c r="A154" i="2"/>
  <c r="A85" i="2"/>
  <c r="A87" i="2"/>
  <c r="L153" i="2"/>
  <c r="Z82" i="2"/>
  <c r="AA82" i="2" s="1"/>
  <c r="Z66" i="2"/>
  <c r="AA66" i="2" s="1"/>
  <c r="Z55" i="2"/>
  <c r="AA55" i="2" s="1"/>
  <c r="L114" i="2"/>
  <c r="L110" i="2"/>
  <c r="L106" i="2"/>
  <c r="L102" i="2"/>
  <c r="L98" i="2"/>
  <c r="Z86" i="2"/>
  <c r="AA86" i="2" s="1"/>
  <c r="L43" i="2"/>
  <c r="Z43" i="2"/>
  <c r="AA43" i="2" s="1"/>
  <c r="A66" i="2"/>
  <c r="L61" i="2"/>
  <c r="Z61" i="2"/>
  <c r="AA61" i="2" s="1"/>
  <c r="Z57" i="2"/>
  <c r="AA57" i="2" s="1"/>
  <c r="L57" i="2"/>
  <c r="L47" i="2"/>
  <c r="Z47" i="2"/>
  <c r="AA47" i="2" s="1"/>
  <c r="A146" i="2"/>
  <c r="A86" i="2"/>
  <c r="L155" i="2"/>
  <c r="L60" i="2"/>
  <c r="Z60" i="2"/>
  <c r="AA60" i="2" s="1"/>
  <c r="A148" i="2"/>
  <c r="Z74" i="2"/>
  <c r="AA74" i="2" s="1"/>
  <c r="L151" i="2"/>
  <c r="Z145" i="2"/>
  <c r="AA145" i="2" s="1"/>
  <c r="Z141" i="2"/>
  <c r="AA141" i="2" s="1"/>
  <c r="Z137" i="2"/>
  <c r="AA137" i="2" s="1"/>
  <c r="Z133" i="2"/>
  <c r="AA133" i="2" s="1"/>
  <c r="Z129" i="2"/>
  <c r="AA129" i="2" s="1"/>
  <c r="Z125" i="2"/>
  <c r="AA125" i="2" s="1"/>
  <c r="Z121" i="2"/>
  <c r="AA121" i="2" s="1"/>
  <c r="Z117" i="2"/>
  <c r="AA117" i="2" s="1"/>
  <c r="Z113" i="2"/>
  <c r="AA113" i="2" s="1"/>
  <c r="Z109" i="2"/>
  <c r="AA109" i="2" s="1"/>
  <c r="Z76" i="2"/>
  <c r="AA76" i="2" s="1"/>
  <c r="L51" i="2"/>
  <c r="Z51" i="2"/>
  <c r="AA51" i="2" s="1"/>
  <c r="A138" i="2"/>
  <c r="A78" i="2"/>
  <c r="A83" i="2"/>
  <c r="A81" i="2"/>
  <c r="A79" i="2"/>
  <c r="A77" i="2"/>
  <c r="A75" i="2"/>
  <c r="A73" i="2"/>
  <c r="A71" i="2"/>
  <c r="A69" i="2"/>
  <c r="A67" i="2"/>
  <c r="L64" i="2"/>
  <c r="AI35" i="2"/>
  <c r="Z34" i="2"/>
  <c r="AA34" i="2" s="1"/>
  <c r="Z31" i="2"/>
  <c r="AA31" i="2" s="1"/>
  <c r="A31" i="2"/>
  <c r="Z21" i="2"/>
  <c r="AA21" i="2" s="1"/>
  <c r="AK9" i="2"/>
  <c r="AK17" i="2"/>
  <c r="AL17" i="2" s="1"/>
  <c r="AK25" i="2"/>
  <c r="AL25" i="2" s="1"/>
  <c r="AK33" i="2"/>
  <c r="AL33" i="2" s="1"/>
  <c r="AK14" i="2"/>
  <c r="AL14" i="2" s="1"/>
  <c r="AK22" i="2"/>
  <c r="AL22" i="2" s="1"/>
  <c r="AK30" i="2"/>
  <c r="AL30" i="2" s="1"/>
  <c r="AK11" i="2"/>
  <c r="AL11" i="2" s="1"/>
  <c r="AK19" i="2"/>
  <c r="AL19" i="2" s="1"/>
  <c r="AK27" i="2"/>
  <c r="AL27" i="2" s="1"/>
  <c r="AK35" i="2"/>
  <c r="AL35" i="2" s="1"/>
  <c r="AK12" i="2"/>
  <c r="AL12" i="2" s="1"/>
  <c r="AK20" i="2"/>
  <c r="AL20" i="2" s="1"/>
  <c r="AK28" i="2"/>
  <c r="AL28" i="2" s="1"/>
  <c r="A58" i="2"/>
  <c r="AL7" i="2"/>
  <c r="A38" i="2"/>
  <c r="A54" i="2"/>
  <c r="A50" i="2"/>
  <c r="A46" i="2"/>
  <c r="A42" i="2"/>
  <c r="AI30" i="2"/>
  <c r="A150" i="2"/>
  <c r="A144" i="2"/>
  <c r="A142" i="2"/>
  <c r="A140" i="2"/>
  <c r="A136" i="2"/>
  <c r="A134" i="2"/>
  <c r="A132" i="2"/>
  <c r="A130" i="2"/>
  <c r="A128" i="2"/>
  <c r="A126" i="2"/>
  <c r="A124" i="2"/>
  <c r="A122" i="2"/>
  <c r="A120" i="2"/>
  <c r="A118" i="2"/>
  <c r="A116" i="2"/>
  <c r="A114" i="2"/>
  <c r="A112" i="2"/>
  <c r="A110" i="2"/>
  <c r="A108" i="2"/>
  <c r="A106" i="2"/>
  <c r="A104" i="2"/>
  <c r="A102" i="2"/>
  <c r="A100" i="2"/>
  <c r="A98" i="2"/>
  <c r="A96" i="2"/>
  <c r="A94" i="2"/>
  <c r="A92" i="2"/>
  <c r="A90" i="2"/>
  <c r="A88" i="2"/>
  <c r="A84" i="2"/>
  <c r="A82" i="2"/>
  <c r="A80" i="2"/>
  <c r="A76" i="2"/>
  <c r="A74" i="2"/>
  <c r="A72" i="2"/>
  <c r="A70" i="2"/>
  <c r="A68" i="2"/>
  <c r="A60" i="2"/>
  <c r="L56" i="2"/>
  <c r="AK37" i="2"/>
  <c r="AL37" i="2" s="1"/>
  <c r="A36" i="2"/>
  <c r="L24" i="2"/>
  <c r="L16" i="2"/>
  <c r="A32" i="2"/>
  <c r="A49" i="2"/>
  <c r="A51" i="2"/>
  <c r="A53" i="2"/>
  <c r="A55" i="2"/>
  <c r="A57" i="2"/>
  <c r="A59" i="2"/>
  <c r="A61" i="2"/>
  <c r="A63" i="2"/>
  <c r="A65" i="2"/>
  <c r="A27" i="2"/>
  <c r="AK36" i="2"/>
  <c r="AL36" i="2" s="1"/>
  <c r="L32" i="2"/>
  <c r="Z20" i="2"/>
  <c r="AA20" i="2" s="1"/>
  <c r="Z12" i="2"/>
  <c r="AA12" i="2" s="1"/>
  <c r="A56" i="2"/>
  <c r="AK10" i="2"/>
  <c r="AL10" i="2" s="1"/>
  <c r="AL9" i="2"/>
  <c r="AE26" i="2"/>
  <c r="AF26" i="2" s="1"/>
  <c r="A19" i="2"/>
  <c r="AE18" i="2"/>
  <c r="AF18" i="2" s="1"/>
  <c r="A11" i="2"/>
  <c r="AE10" i="2"/>
  <c r="AF10" i="2" s="1"/>
  <c r="AE7" i="2"/>
  <c r="AF7" i="2" s="1"/>
  <c r="A47" i="2"/>
  <c r="A45" i="2"/>
  <c r="A43" i="2"/>
  <c r="A41" i="2"/>
  <c r="A39" i="2"/>
  <c r="A34" i="2"/>
  <c r="AE33" i="2"/>
  <c r="AF33" i="2" s="1"/>
  <c r="A26" i="2"/>
  <c r="AE25" i="2"/>
  <c r="AF25" i="2" s="1"/>
  <c r="A18" i="2"/>
  <c r="AE17" i="2"/>
  <c r="AF17" i="2" s="1"/>
  <c r="A10" i="2"/>
  <c r="AE9" i="2"/>
  <c r="AF9" i="2" s="1"/>
  <c r="A37" i="2"/>
  <c r="AE36" i="2"/>
  <c r="AF36" i="2" s="1"/>
  <c r="A29" i="2"/>
  <c r="AE28" i="2"/>
  <c r="AF28" i="2" s="1"/>
  <c r="A21" i="2"/>
  <c r="AE20" i="2"/>
  <c r="AF20" i="2" s="1"/>
  <c r="A13" i="2"/>
  <c r="AE12" i="2"/>
  <c r="AF12" i="2" s="1"/>
  <c r="AE31" i="2"/>
  <c r="AF31" i="2" s="1"/>
  <c r="A24" i="2"/>
  <c r="AE23" i="2"/>
  <c r="AF23" i="2" s="1"/>
  <c r="A16" i="2"/>
  <c r="A8" i="2"/>
  <c r="L600" i="7" l="1"/>
  <c r="L600" i="6"/>
  <c r="L600" i="3"/>
  <c r="L600" i="2"/>
</calcChain>
</file>

<file path=xl/sharedStrings.xml><?xml version="1.0" encoding="utf-8"?>
<sst xmlns="http://schemas.openxmlformats.org/spreadsheetml/2006/main" count="704" uniqueCount="79">
  <si>
    <t xml:space="preserve">NORMAL </t>
  </si>
  <si>
    <t xml:space="preserve">RESTORED </t>
  </si>
  <si>
    <t xml:space="preserve">LOAD SHEDDING TO MAINTAIN LOAD ALLOCATION </t>
  </si>
  <si>
    <t>11kV Bajabure</t>
  </si>
  <si>
    <t>33KV Girei</t>
  </si>
  <si>
    <t xml:space="preserve">33kv GIREI TRIPPED ON OC/EF AS A RESULT OF CLOSING SUNG LINK </t>
  </si>
  <si>
    <t>O/C and E/F</t>
  </si>
  <si>
    <t>33kv GIREI TRIPPED ON OVER CURRENT /EARTH FAULT( ALL LINKS OPENED)</t>
  </si>
  <si>
    <t>11kV Futy</t>
  </si>
  <si>
    <t xml:space="preserve">33KV GIREI LINE TRIPPED ON OVER CURRENT EARTH FAULT </t>
  </si>
  <si>
    <t>O/C</t>
  </si>
  <si>
    <t xml:space="preserve">11KV INCOMER  WAS OPENED </t>
  </si>
  <si>
    <t>B/F YEDC</t>
  </si>
  <si>
    <t xml:space="preserve">11kv BAJABURE BREAKER FAULTY </t>
  </si>
  <si>
    <t>11kv BAJA OPENED ON EMERGENCY AS RESULT OF SUSPICIOUS FRM BREAKER</t>
  </si>
  <si>
    <t xml:space="preserve">33kv GIREI TRIPPED ON OVER CURRENT EARTH FAULT </t>
  </si>
  <si>
    <t xml:space="preserve">33kv GIREI TRIPPED ON INSTANTANEOUS EARTH FAULT </t>
  </si>
  <si>
    <t>NORMAL</t>
  </si>
  <si>
    <t>GIREI 33KV FEEDER OPEN ON EMERGENCY DUE FIRE OUTBREAK AT SALAMA S/S  GAN ISOLATOR JABILAMBA</t>
  </si>
  <si>
    <t xml:space="preserve">11KV FEEDER TRIPPED ON EARTH FAULT </t>
  </si>
  <si>
    <t>E/F</t>
  </si>
  <si>
    <t>33KV GIREI</t>
  </si>
  <si>
    <t>11KV BAJABURE</t>
  </si>
  <si>
    <t>11KV FUTY</t>
  </si>
  <si>
    <t>DATE</t>
  </si>
  <si>
    <t>Date In 2</t>
  </si>
  <si>
    <t>Error Check</t>
  </si>
  <si>
    <t>Voltage</t>
  </si>
  <si>
    <t>Responsible</t>
  </si>
  <si>
    <t>Group</t>
  </si>
  <si>
    <t>Technical staff negligence</t>
  </si>
  <si>
    <t>Line in marshy erea</t>
  </si>
  <si>
    <t>Delay to get security</t>
  </si>
  <si>
    <t>Lack of material</t>
  </si>
  <si>
    <t>Lack of staff during restoration work</t>
  </si>
  <si>
    <t>Lack of vehicle or fuel for patrol</t>
  </si>
  <si>
    <t>DSO communicated late</t>
  </si>
  <si>
    <t>Weather Condition</t>
  </si>
  <si>
    <t>Resolution</t>
  </si>
  <si>
    <t>Reason for Interruption (**)</t>
  </si>
  <si>
    <t>Duration</t>
  </si>
  <si>
    <t>Periode In</t>
  </si>
  <si>
    <t>Periode Out</t>
  </si>
  <si>
    <t>Time In</t>
  </si>
  <si>
    <t>Date In</t>
  </si>
  <si>
    <t>Time Out</t>
  </si>
  <si>
    <t>Date Out</t>
  </si>
  <si>
    <t>Load Loss (MW)</t>
  </si>
  <si>
    <t>Interruption Type (*)</t>
  </si>
  <si>
    <t>Affected Feeder</t>
  </si>
  <si>
    <t>Region/BU</t>
  </si>
  <si>
    <t>S/N</t>
  </si>
  <si>
    <t>FEEDERS INTERRUPTION LOG</t>
  </si>
  <si>
    <t>RESTORED</t>
  </si>
  <si>
    <t xml:space="preserve">33kv GIREI TRIPPED ALOONG WITH 33KV FDR IV ON INSTANTANEOUS EARTH FAULT </t>
  </si>
  <si>
    <t>Inst. E/F</t>
  </si>
  <si>
    <t xml:space="preserve">GIREI LINE WAS TRIPPED ON OVER CURRENT EARTH FAULT </t>
  </si>
  <si>
    <t xml:space="preserve">33KV FEEDER 4 TRIPPED AS A RESULT OF GIREI LINE </t>
  </si>
  <si>
    <t xml:space="preserve">33kv GIREI TRIPPED ALOONG WITH 33KV FDR IV TRIPPED ON INSTANTANEOUS EARTH FAULT </t>
  </si>
  <si>
    <t xml:space="preserve">33kv GIREI FDR IV TRIPPED ON INSTANTANEOUS EARTH FAULT </t>
  </si>
  <si>
    <t xml:space="preserve">33KV FEEDER IV TRIPPED ON INSTANTANEOUS EARTH FAULT AS A RESULT OF GIREI </t>
  </si>
  <si>
    <t xml:space="preserve">11KV BAJABURE TRIPPED ON OVER CURRENT AND EARTH FAULT </t>
  </si>
  <si>
    <t xml:space="preserve">DC CHARGER FAULTY </t>
  </si>
  <si>
    <t xml:space="preserve">GIREI 33KV FEEDER TRIPPED ON OVER CURRENT AND EARTH FAULT </t>
  </si>
  <si>
    <t xml:space="preserve">33kv FDR IV TRIPPED ON INSTANTANEOUS EARTH FAULT </t>
  </si>
  <si>
    <t>33kv GIREI TRIPPED ON EARTH FAULT (ACCIDENT ISSUE AT COOL WAVES)</t>
  </si>
  <si>
    <t xml:space="preserve">33kv GIREI TRIPPED ON INSTANTANEOUS E/F PULLING DOWN FDR IV </t>
  </si>
  <si>
    <t xml:space="preserve">11kv BAJABURE TRIPPED ON INSTANTANEOUS EARTH FAULT </t>
  </si>
  <si>
    <t xml:space="preserve">11KV TRIPPED ON OVER CURRENT </t>
  </si>
  <si>
    <t xml:space="preserve">33kv FDR IV TRIPPED ON INSTANTANEOUS EARTH FAULT PULLING DOWN FDR IV </t>
  </si>
  <si>
    <t xml:space="preserve">33kv FDR IV TRIPPED ON INSTANTANEOUS EARTH FAULT CAUSED BY GIREI </t>
  </si>
  <si>
    <t xml:space="preserve">33KV GIREI TRIPPED ON INST EARTH FAULT </t>
  </si>
  <si>
    <t xml:space="preserve">33KV GIREI LINE TRIPPED ON EARTH FAULT </t>
  </si>
  <si>
    <t>33kv GIREI TRIPPED ON INSTANTANEOUS EARTH FAULT AND OVER CURRENT</t>
  </si>
  <si>
    <t>WINDY</t>
  </si>
  <si>
    <t>Inst. O/C</t>
  </si>
  <si>
    <t xml:space="preserve">33kv GIREI TRIPPED ON INST. OVER CURRENT PULLING DOWN FDR IV </t>
  </si>
  <si>
    <t>33kv FDR IV TRIPPED ON INSTANTANEOUS  OVR CURRENT AND EARTH FAULT AS RESULT OF GIREI</t>
  </si>
  <si>
    <t>Jambutu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</si>
</sst>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[h]:mm"/>
    <numFmt numFmtId="166" formatCode="mm\-dd"/>
  </numFmts>
  <fonts count="15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&quot;Times New Roman&quot;"/>
    </font>
    <font>
      <sz val="11"/>
      <color theme="1"/>
      <name val="Teko"/>
    </font>
    <font>
      <sz val="10"/>
      <color rgb="FF000000"/>
      <name val="&quot;Google Sans Mono&quot;"/>
    </font>
    <font>
      <b/>
      <sz val="10"/>
      <color theme="1"/>
      <name val="Calibri"/>
      <scheme val="minor"/>
    </font>
    <font>
      <sz val="10"/>
      <name val="Arial"/>
    </font>
    <font>
      <sz val="13"/>
      <color theme="1"/>
      <name val="Calibri"/>
    </font>
    <font>
      <b/>
      <sz val="13"/>
      <color rgb="FF000000"/>
      <name val="Calibri"/>
    </font>
    <font>
      <b/>
      <sz val="18"/>
      <color rgb="FFFF0000"/>
      <name val="Calibri"/>
    </font>
    <font>
      <sz val="8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</fills>
  <borders count="33">
    <border>
      <left/>
      <right/>
      <top/>
      <bottom/>
      <diagonal/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medium">
        <color rgb="FF000000"/>
      </left>
      <right style="thin">
        <color rgb="FFCC0000"/>
      </right>
      <top style="thin">
        <color rgb="FFCC0000"/>
      </top>
      <bottom style="thin">
        <color rgb="FFCC0000"/>
      </bottom>
      <diagonal/>
    </border>
    <border>
      <left style="thin">
        <color rgb="FFCC0000"/>
      </left>
      <right/>
      <top style="thin">
        <color rgb="FFCC0000"/>
      </top>
      <bottom style="thin">
        <color rgb="FFCC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CC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C0504D"/>
      </bottom>
      <diagonal/>
    </border>
    <border>
      <left style="medium">
        <color rgb="FF000000"/>
      </left>
      <right style="thin">
        <color rgb="FF000000"/>
      </right>
      <top/>
      <bottom style="thin">
        <color rgb="FFC0504D"/>
      </bottom>
      <diagonal/>
    </border>
    <border>
      <left/>
      <right/>
      <top style="thin">
        <color rgb="FFC0504D"/>
      </top>
      <bottom style="thin">
        <color rgb="FFC0504D"/>
      </bottom>
      <diagonal/>
    </border>
    <border>
      <left/>
      <right style="thin">
        <color rgb="FFC0504D"/>
      </right>
      <top style="thin">
        <color rgb="FFC0504D"/>
      </top>
      <bottom style="thin">
        <color rgb="FFC0504D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C0504D"/>
      </right>
      <top/>
      <bottom/>
      <diagonal/>
    </border>
    <border>
      <left/>
      <right style="thin">
        <color rgb="FFC0504D"/>
      </right>
      <top/>
      <bottom style="thin">
        <color rgb="FFC0504D"/>
      </bottom>
      <diagonal/>
    </border>
    <border>
      <left style="thin">
        <color rgb="FFC0504D"/>
      </left>
      <right style="thin">
        <color rgb="FFC0504D"/>
      </right>
      <top style="thin">
        <color rgb="FF000000"/>
      </top>
      <bottom style="thin">
        <color rgb="FFC0504D"/>
      </bottom>
      <diagonal/>
    </border>
    <border>
      <left/>
      <right/>
      <top/>
      <bottom style="thin">
        <color rgb="FFC0504D"/>
      </bottom>
      <diagonal/>
    </border>
    <border>
      <left style="thin">
        <color rgb="FFC0504D"/>
      </left>
      <right style="thin">
        <color rgb="FFC0504D"/>
      </right>
      <top/>
      <bottom style="thin">
        <color rgb="FFC0504D"/>
      </bottom>
      <diagonal/>
    </border>
    <border>
      <left style="thin">
        <color rgb="FFC0504D"/>
      </left>
      <right style="thin">
        <color rgb="FFC0504D"/>
      </right>
      <top/>
      <bottom/>
      <diagonal/>
    </border>
    <border>
      <left/>
      <right style="thin">
        <color rgb="FFC0504D"/>
      </right>
      <top style="thin">
        <color rgb="FFC0504D"/>
      </top>
      <bottom/>
      <diagonal/>
    </border>
    <border>
      <left/>
      <right/>
      <top style="thin">
        <color rgb="FFC0504D"/>
      </top>
      <bottom/>
      <diagonal/>
    </border>
    <border>
      <left style="thin">
        <color rgb="FFC0504D"/>
      </left>
      <right style="thin">
        <color rgb="FFC0504D"/>
      </right>
      <top style="thin">
        <color rgb="FFC0504D"/>
      </top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164" fontId="3" fillId="2" borderId="1" xfId="1" applyNumberFormat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/>
    <xf numFmtId="0" fontId="4" fillId="2" borderId="1" xfId="1" applyFont="1" applyFill="1" applyBorder="1"/>
    <xf numFmtId="165" fontId="5" fillId="3" borderId="1" xfId="1" applyNumberFormat="1" applyFont="1" applyFill="1" applyBorder="1" applyAlignment="1">
      <alignment horizontal="center"/>
    </xf>
    <xf numFmtId="22" fontId="4" fillId="2" borderId="1" xfId="1" applyNumberFormat="1" applyFont="1" applyFill="1" applyBorder="1" applyAlignment="1">
      <alignment horizontal="right"/>
    </xf>
    <xf numFmtId="20" fontId="4" fillId="2" borderId="1" xfId="1" applyNumberFormat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166" fontId="4" fillId="2" borderId="1" xfId="1" applyNumberFormat="1" applyFont="1" applyFill="1" applyBorder="1" applyAlignment="1">
      <alignment horizontal="center"/>
    </xf>
    <xf numFmtId="20" fontId="6" fillId="2" borderId="1" xfId="1" applyNumberFormat="1" applyFont="1" applyFill="1" applyBorder="1" applyAlignment="1">
      <alignment horizontal="center"/>
    </xf>
    <xf numFmtId="0" fontId="3" fillId="2" borderId="1" xfId="1" applyFont="1" applyFill="1" applyBorder="1"/>
    <xf numFmtId="20" fontId="4" fillId="4" borderId="1" xfId="1" applyNumberFormat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20" fontId="6" fillId="4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164" fontId="2" fillId="0" borderId="0" xfId="1" applyNumberFormat="1" applyFont="1" applyAlignment="1">
      <alignment horizontal="center"/>
    </xf>
    <xf numFmtId="0" fontId="8" fillId="5" borderId="4" xfId="1" applyFont="1" applyFill="1" applyBorder="1"/>
    <xf numFmtId="2" fontId="2" fillId="0" borderId="5" xfId="1" applyNumberFormat="1" applyFont="1" applyBorder="1" applyAlignment="1">
      <alignment horizontal="center"/>
    </xf>
    <xf numFmtId="4" fontId="1" fillId="5" borderId="6" xfId="1" applyNumberFormat="1" applyFill="1" applyBorder="1" applyAlignment="1">
      <alignment horizontal="center"/>
    </xf>
    <xf numFmtId="164" fontId="9" fillId="0" borderId="7" xfId="1" applyNumberFormat="1" applyFont="1" applyBorder="1" applyAlignment="1">
      <alignment horizontal="center"/>
    </xf>
    <xf numFmtId="0" fontId="8" fillId="5" borderId="8" xfId="1" applyFont="1" applyFill="1" applyBorder="1"/>
    <xf numFmtId="2" fontId="2" fillId="0" borderId="9" xfId="1" applyNumberFormat="1" applyFont="1" applyBorder="1" applyAlignment="1">
      <alignment horizontal="center"/>
    </xf>
    <xf numFmtId="0" fontId="8" fillId="5" borderId="10" xfId="1" applyFont="1" applyFill="1" applyBorder="1"/>
    <xf numFmtId="2" fontId="2" fillId="0" borderId="11" xfId="1" applyNumberFormat="1" applyFont="1" applyBorder="1" applyAlignment="1">
      <alignment horizontal="center"/>
    </xf>
    <xf numFmtId="2" fontId="1" fillId="0" borderId="11" xfId="1" applyNumberFormat="1" applyBorder="1" applyAlignment="1">
      <alignment horizontal="center"/>
    </xf>
    <xf numFmtId="0" fontId="11" fillId="0" borderId="0" xfId="1" applyFont="1"/>
    <xf numFmtId="0" fontId="11" fillId="0" borderId="0" xfId="1" applyFont="1" applyAlignment="1">
      <alignment horizontal="center"/>
    </xf>
    <xf numFmtId="0" fontId="12" fillId="6" borderId="0" xfId="1" applyFont="1" applyFill="1" applyAlignment="1">
      <alignment horizontal="center" vertical="center" wrapText="1"/>
    </xf>
    <xf numFmtId="0" fontId="12" fillId="6" borderId="19" xfId="1" applyFont="1" applyFill="1" applyBorder="1" applyAlignment="1">
      <alignment horizontal="center" vertical="center"/>
    </xf>
    <xf numFmtId="0" fontId="12" fillId="6" borderId="20" xfId="1" applyFont="1" applyFill="1" applyBorder="1" applyAlignment="1">
      <alignment horizontal="center" vertical="center"/>
    </xf>
    <xf numFmtId="165" fontId="12" fillId="6" borderId="21" xfId="1" applyNumberFormat="1" applyFont="1" applyFill="1" applyBorder="1" applyAlignment="1">
      <alignment horizontal="center" vertical="center" wrapText="1"/>
    </xf>
    <xf numFmtId="165" fontId="12" fillId="6" borderId="22" xfId="1" applyNumberFormat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center" vertical="center"/>
    </xf>
    <xf numFmtId="0" fontId="12" fillId="6" borderId="24" xfId="1" applyFont="1" applyFill="1" applyBorder="1" applyAlignment="1">
      <alignment horizontal="center" vertical="center"/>
    </xf>
    <xf numFmtId="165" fontId="12" fillId="6" borderId="25" xfId="1" applyNumberFormat="1" applyFont="1" applyFill="1" applyBorder="1" applyAlignment="1">
      <alignment horizontal="center" vertical="center"/>
    </xf>
    <xf numFmtId="22" fontId="12" fillId="6" borderId="25" xfId="1" applyNumberFormat="1" applyFont="1" applyFill="1" applyBorder="1" applyAlignment="1">
      <alignment horizontal="center" vertical="center"/>
    </xf>
    <xf numFmtId="20" fontId="12" fillId="6" borderId="24" xfId="1" applyNumberFormat="1" applyFont="1" applyFill="1" applyBorder="1" applyAlignment="1">
      <alignment horizontal="center" vertical="center"/>
    </xf>
    <xf numFmtId="14" fontId="12" fillId="6" borderId="24" xfId="1" applyNumberFormat="1" applyFont="1" applyFill="1" applyBorder="1" applyAlignment="1">
      <alignment horizontal="center" vertical="center"/>
    </xf>
    <xf numFmtId="0" fontId="12" fillId="6" borderId="24" xfId="1" applyFont="1" applyFill="1" applyBorder="1" applyAlignment="1">
      <alignment horizontal="center" vertical="center" wrapText="1"/>
    </xf>
    <xf numFmtId="0" fontId="12" fillId="6" borderId="26" xfId="1" applyFont="1" applyFill="1" applyBorder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1" fillId="0" borderId="0" xfId="1"/>
    <xf numFmtId="0" fontId="9" fillId="0" borderId="17" xfId="1" applyFont="1" applyBorder="1" applyAlignment="1">
      <alignment horizontal="center" vertical="center" wrapText="1"/>
    </xf>
    <xf numFmtId="0" fontId="10" fillId="0" borderId="16" xfId="1" applyFont="1" applyBorder="1"/>
    <xf numFmtId="0" fontId="10" fillId="0" borderId="15" xfId="1" applyFont="1" applyBorder="1"/>
    <xf numFmtId="0" fontId="10" fillId="0" borderId="14" xfId="1" applyFont="1" applyBorder="1"/>
    <xf numFmtId="0" fontId="10" fillId="0" borderId="13" xfId="1" applyFont="1" applyBorder="1"/>
    <xf numFmtId="0" fontId="10" fillId="0" borderId="12" xfId="1" applyFont="1" applyBorder="1"/>
    <xf numFmtId="2" fontId="14" fillId="0" borderId="32" xfId="1" applyNumberFormat="1" applyFont="1" applyBorder="1" applyAlignment="1">
      <alignment horizontal="center"/>
    </xf>
    <xf numFmtId="0" fontId="10" fillId="0" borderId="29" xfId="1" applyFont="1" applyBorder="1"/>
    <xf numFmtId="0" fontId="10" fillId="0" borderId="28" xfId="1" applyFont="1" applyBorder="1"/>
    <xf numFmtId="0" fontId="13" fillId="7" borderId="31" xfId="1" applyFont="1" applyFill="1" applyBorder="1" applyAlignment="1">
      <alignment horizontal="center" vertical="center"/>
    </xf>
    <xf numFmtId="0" fontId="10" fillId="0" borderId="31" xfId="1" applyFont="1" applyBorder="1"/>
    <xf numFmtId="0" fontId="10" fillId="0" borderId="30" xfId="1" applyFont="1" applyBorder="1"/>
    <xf numFmtId="0" fontId="1" fillId="0" borderId="0" xfId="1"/>
    <xf numFmtId="0" fontId="10" fillId="0" borderId="24" xfId="1" applyFont="1" applyBorder="1"/>
    <xf numFmtId="0" fontId="10" fillId="0" borderId="27" xfId="1" applyFont="1" applyBorder="1"/>
    <xf numFmtId="0" fontId="10" fillId="0" borderId="25" xfId="1" applyFont="1" applyBorder="1"/>
    <xf numFmtId="0" fontId="9" fillId="0" borderId="18" xfId="1" applyFont="1" applyBorder="1" applyAlignment="1">
      <alignment horizontal="center" vertical="center"/>
    </xf>
    <xf numFmtId="0" fontId="10" fillId="0" borderId="4" xfId="1" applyFont="1" applyBorder="1"/>
  </cellXfs>
  <cellStyles count="2">
    <cellStyle name="Normal" xfId="0" builtinId="0"/>
    <cellStyle name="Normal 2" xfId="1" xr:uid="{2A759A80-5AFB-4E86-9D17-4DC25C7C9CF6}"/>
  </cellStyles>
  <dxfs count="36"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50D05D"/>
          <bgColor rgb="FF50D05D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50D05D"/>
          <bgColor rgb="FF50D05D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50D05D"/>
          <bgColor rgb="FF50D05D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E06666"/>
          <bgColor rgb="FFE06666"/>
        </patternFill>
      </fill>
    </dxf>
    <dxf>
      <font>
        <color rgb="FFFFFFFF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50D05D"/>
          <bgColor rgb="FF50D05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%20Enoh/Downloads/JANUARY_2026_11KV%20INTERRUPTION%20REAL%20TIME,%20ADAMAWA%20REGION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%20Enoh/Downloads/FEBRUARY_2026_11KV%20INTERRUPTION%20REAL%20TIME,%20ADAMAWA%20RE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3"/>
      <sheetName val="Y4"/>
      <sheetName val="Y5"/>
      <sheetName val="Y6"/>
      <sheetName val="Y7"/>
      <sheetName val="Y8"/>
      <sheetName val="Y9"/>
      <sheetName val="LOKUWA"/>
      <sheetName val="ARHAN KUNU"/>
      <sheetName val="33KV MUBI"/>
      <sheetName val="UBA"/>
      <sheetName val="LASSA"/>
      <sheetName val="33KV GOMBI"/>
      <sheetName val="HONG"/>
      <sheetName val="MAYO BELWA"/>
      <sheetName val="NUMAN"/>
      <sheetName val="ENERGY ACCOUNT"/>
      <sheetName val="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9">
          <cell r="E19">
            <v>23.7</v>
          </cell>
          <cell r="F19">
            <v>23.7</v>
          </cell>
          <cell r="G19">
            <v>23.85</v>
          </cell>
          <cell r="H19">
            <v>24</v>
          </cell>
          <cell r="I19">
            <v>24</v>
          </cell>
          <cell r="J19">
            <v>24</v>
          </cell>
          <cell r="K19">
            <v>24</v>
          </cell>
          <cell r="L19">
            <v>24</v>
          </cell>
          <cell r="M19">
            <v>23.883333333333333</v>
          </cell>
          <cell r="N19">
            <v>23.916666666666668</v>
          </cell>
          <cell r="O19">
            <v>9.4</v>
          </cell>
          <cell r="P19">
            <v>0</v>
          </cell>
          <cell r="Q19">
            <v>22.9</v>
          </cell>
          <cell r="R19">
            <v>24</v>
          </cell>
          <cell r="S19">
            <v>23.833333333333332</v>
          </cell>
          <cell r="T19">
            <v>21.9</v>
          </cell>
          <cell r="U19">
            <v>23.783333333333335</v>
          </cell>
          <cell r="V19">
            <v>22.7</v>
          </cell>
          <cell r="W19">
            <v>22.15</v>
          </cell>
          <cell r="X19">
            <v>23.766666666666666</v>
          </cell>
          <cell r="Y19">
            <v>22.72</v>
          </cell>
          <cell r="Z19">
            <v>23.77</v>
          </cell>
          <cell r="AA19">
            <v>14.35</v>
          </cell>
          <cell r="AB19">
            <v>23.63</v>
          </cell>
          <cell r="AC19">
            <v>20.43</v>
          </cell>
          <cell r="AD19">
            <v>22.63</v>
          </cell>
          <cell r="AE19">
            <v>14.95</v>
          </cell>
          <cell r="AF19">
            <v>23.9</v>
          </cell>
          <cell r="AG19">
            <v>23.72</v>
          </cell>
          <cell r="AH19">
            <v>24</v>
          </cell>
          <cell r="AI19">
            <v>24</v>
          </cell>
        </row>
        <row r="22">
          <cell r="E22">
            <v>3</v>
          </cell>
          <cell r="F22">
            <v>3.95</v>
          </cell>
          <cell r="G22">
            <v>3.0833333333333335</v>
          </cell>
          <cell r="H22">
            <v>3</v>
          </cell>
          <cell r="I22">
            <v>1.2666666666666666</v>
          </cell>
          <cell r="J22">
            <v>4.9333333333333336</v>
          </cell>
          <cell r="K22">
            <v>3.1666666666666665</v>
          </cell>
          <cell r="L22">
            <v>3</v>
          </cell>
          <cell r="M22">
            <v>3</v>
          </cell>
          <cell r="N22">
            <v>3</v>
          </cell>
          <cell r="O22">
            <v>2</v>
          </cell>
          <cell r="P22">
            <v>0</v>
          </cell>
          <cell r="Q22">
            <v>8.3333333333333339</v>
          </cell>
          <cell r="R22">
            <v>5.333333333333333</v>
          </cell>
          <cell r="S22">
            <v>3</v>
          </cell>
          <cell r="T22">
            <v>3</v>
          </cell>
          <cell r="U22">
            <v>3</v>
          </cell>
          <cell r="V22">
            <v>3</v>
          </cell>
          <cell r="W22">
            <v>2.6</v>
          </cell>
          <cell r="X22">
            <v>4.916666666666667</v>
          </cell>
          <cell r="Y22">
            <v>3</v>
          </cell>
          <cell r="Z22">
            <v>3</v>
          </cell>
          <cell r="AA22">
            <v>2.02</v>
          </cell>
          <cell r="AB22">
            <v>1.5</v>
          </cell>
          <cell r="AC22">
            <v>0</v>
          </cell>
          <cell r="AD22">
            <v>6</v>
          </cell>
          <cell r="AE22">
            <v>1.83</v>
          </cell>
          <cell r="AF22">
            <v>2.33</v>
          </cell>
          <cell r="AG22">
            <v>3.32</v>
          </cell>
          <cell r="AH22">
            <v>3</v>
          </cell>
          <cell r="AI22">
            <v>3.33</v>
          </cell>
        </row>
        <row r="25">
          <cell r="E25">
            <v>3</v>
          </cell>
          <cell r="F25">
            <v>2.85</v>
          </cell>
          <cell r="G25">
            <v>6.666666666666667</v>
          </cell>
          <cell r="H25">
            <v>3</v>
          </cell>
          <cell r="I25">
            <v>3</v>
          </cell>
          <cell r="J25">
            <v>3.0833333333333335</v>
          </cell>
          <cell r="K25">
            <v>3.0666666666666669</v>
          </cell>
          <cell r="L25">
            <v>3.05</v>
          </cell>
          <cell r="M25">
            <v>3</v>
          </cell>
          <cell r="N25">
            <v>7</v>
          </cell>
          <cell r="O25">
            <v>2.2166666666666668</v>
          </cell>
          <cell r="P25">
            <v>0</v>
          </cell>
          <cell r="Q25">
            <v>6</v>
          </cell>
          <cell r="R25">
            <v>4.2833333333333332</v>
          </cell>
          <cell r="S25">
            <v>4</v>
          </cell>
          <cell r="T25">
            <v>4</v>
          </cell>
          <cell r="U25">
            <v>6.9666666666666668</v>
          </cell>
          <cell r="V25">
            <v>3</v>
          </cell>
          <cell r="W25">
            <v>3</v>
          </cell>
          <cell r="X25">
            <v>3</v>
          </cell>
          <cell r="Y25">
            <v>3</v>
          </cell>
          <cell r="Z25">
            <v>3</v>
          </cell>
          <cell r="AA25">
            <v>3.53</v>
          </cell>
          <cell r="AB25">
            <v>7.27</v>
          </cell>
          <cell r="AC25">
            <v>2</v>
          </cell>
          <cell r="AD25">
            <v>2</v>
          </cell>
          <cell r="AE25">
            <v>0.92</v>
          </cell>
          <cell r="AF25">
            <v>2</v>
          </cell>
          <cell r="AG25">
            <v>4.12</v>
          </cell>
          <cell r="AH25">
            <v>4</v>
          </cell>
          <cell r="AI25">
            <v>6.98</v>
          </cell>
        </row>
      </sheetData>
      <sheetData sheetId="17">
        <row r="4">
          <cell r="A4" t="str">
            <v>O/C</v>
          </cell>
          <cell r="D4" t="str">
            <v>By Transient Faults</v>
          </cell>
          <cell r="E4" t="str">
            <v>YEDC</v>
          </cell>
        </row>
        <row r="5">
          <cell r="A5" t="str">
            <v>E/F</v>
          </cell>
          <cell r="D5" t="str">
            <v>By Transient Faults</v>
          </cell>
          <cell r="E5" t="str">
            <v>YEDC</v>
          </cell>
        </row>
        <row r="6">
          <cell r="A6"/>
          <cell r="D6" t="str">
            <v>By Transient Faults</v>
          </cell>
          <cell r="E6" t="str">
            <v>TCN</v>
          </cell>
        </row>
        <row r="7">
          <cell r="A7"/>
          <cell r="D7" t="str">
            <v>Limitation</v>
          </cell>
          <cell r="E7" t="str">
            <v>GENCO</v>
          </cell>
        </row>
        <row r="8">
          <cell r="A8"/>
          <cell r="D8" t="str">
            <v>By Transient Faults</v>
          </cell>
          <cell r="E8" t="str">
            <v>TCN</v>
          </cell>
        </row>
        <row r="9">
          <cell r="A9"/>
          <cell r="D9" t="str">
            <v>By Transient Faults</v>
          </cell>
          <cell r="E9" t="str">
            <v>YEDC</v>
          </cell>
        </row>
        <row r="10">
          <cell r="A10" t="str">
            <v>Inst. E/F</v>
          </cell>
          <cell r="D10" t="str">
            <v>By Transient Faults</v>
          </cell>
          <cell r="E10" t="str">
            <v>YEDC</v>
          </cell>
        </row>
        <row r="11">
          <cell r="A11" t="str">
            <v>Inst. O/C</v>
          </cell>
          <cell r="D11" t="str">
            <v>By Transient Faults</v>
          </cell>
          <cell r="E11" t="str">
            <v>YEDC</v>
          </cell>
        </row>
        <row r="12">
          <cell r="A12" t="str">
            <v>O/C and E/F</v>
          </cell>
          <cell r="D12" t="str">
            <v>By Transient Faults</v>
          </cell>
          <cell r="E12" t="str">
            <v>YEDC</v>
          </cell>
        </row>
        <row r="13">
          <cell r="A13" t="str">
            <v>Inst. E/F and H/S</v>
          </cell>
          <cell r="D13" t="str">
            <v>By Transient Faults</v>
          </cell>
          <cell r="E13" t="str">
            <v>YEDC</v>
          </cell>
        </row>
        <row r="14">
          <cell r="A14"/>
          <cell r="D14" t="str">
            <v>By Transient Faults</v>
          </cell>
          <cell r="E14" t="str">
            <v>YEDC</v>
          </cell>
        </row>
        <row r="15">
          <cell r="A15"/>
          <cell r="D15" t="str">
            <v>By Transient Faults</v>
          </cell>
          <cell r="E15" t="str">
            <v>TCN</v>
          </cell>
        </row>
        <row r="16">
          <cell r="A16"/>
          <cell r="D16" t="str">
            <v>By Transient Faults</v>
          </cell>
          <cell r="E16" t="str">
            <v>YEDC</v>
          </cell>
        </row>
        <row r="17">
          <cell r="A17" t="str">
            <v>REF</v>
          </cell>
          <cell r="D17" t="str">
            <v>By Transient Faults</v>
          </cell>
          <cell r="E17" t="str">
            <v>YEDC</v>
          </cell>
        </row>
        <row r="18">
          <cell r="A18"/>
          <cell r="D18" t="str">
            <v>Breaker Fault</v>
          </cell>
          <cell r="E18" t="str">
            <v>TCN</v>
          </cell>
        </row>
        <row r="19">
          <cell r="A19" t="str">
            <v>B/F YEDC</v>
          </cell>
          <cell r="D19" t="str">
            <v>Breaker Fault</v>
          </cell>
          <cell r="E19" t="str">
            <v>YEDC</v>
          </cell>
        </row>
        <row r="20">
          <cell r="A20"/>
          <cell r="D20" t="str">
            <v>Planned outage</v>
          </cell>
          <cell r="E20" t="str">
            <v>TCN</v>
          </cell>
        </row>
        <row r="21">
          <cell r="A21" t="str">
            <v>P/O YEDC</v>
          </cell>
          <cell r="D21" t="str">
            <v>Planned outage</v>
          </cell>
          <cell r="E21" t="str">
            <v>YEDC</v>
          </cell>
        </row>
        <row r="22">
          <cell r="A22" t="str">
            <v>L/S TCN</v>
          </cell>
          <cell r="D22" t="str">
            <v>Limitation</v>
          </cell>
          <cell r="E22" t="str">
            <v>TCN</v>
          </cell>
        </row>
        <row r="23">
          <cell r="A23"/>
          <cell r="D23" t="str">
            <v>Limitation</v>
          </cell>
          <cell r="E23" t="str">
            <v>GENCO</v>
          </cell>
        </row>
        <row r="24">
          <cell r="A24" t="str">
            <v>L/S YEDC</v>
          </cell>
          <cell r="D24" t="str">
            <v>Limitation</v>
          </cell>
          <cell r="E24" t="str">
            <v>YEDC</v>
          </cell>
        </row>
        <row r="25">
          <cell r="A25"/>
          <cell r="D25" t="str">
            <v>Load shedding -Service Base Tarrif</v>
          </cell>
          <cell r="E25" t="str">
            <v>TCN</v>
          </cell>
        </row>
        <row r="26">
          <cell r="A26" t="str">
            <v>SBT YEDC</v>
          </cell>
          <cell r="D26" t="str">
            <v>Load shedding -Service Base Tarrif</v>
          </cell>
          <cell r="E26" t="str">
            <v>YEDC</v>
          </cell>
        </row>
        <row r="27">
          <cell r="A27" t="str">
            <v>C33kV Off/Y</v>
          </cell>
          <cell r="D27" t="str">
            <v>When 11kV out after corresponding 33kV is opened due to YEDC</v>
          </cell>
          <cell r="E27" t="str">
            <v>YEDC</v>
          </cell>
        </row>
        <row r="28">
          <cell r="A28" t="str">
            <v>C33kV Off/T</v>
          </cell>
          <cell r="D28" t="str">
            <v>When 11kV out after corresponding 33kV is opened due to TCN</v>
          </cell>
          <cell r="E28" t="str">
            <v>TCN</v>
          </cell>
        </row>
        <row r="29">
          <cell r="A29" t="str">
            <v>C11KV BY C11KV</v>
          </cell>
          <cell r="D29" t="str">
            <v>Forced Outage</v>
          </cell>
          <cell r="E29" t="str">
            <v>YEDC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3"/>
      <sheetName val="Y4"/>
      <sheetName val="Y5"/>
      <sheetName val="Y6"/>
      <sheetName val="Y7"/>
      <sheetName val="Y8"/>
      <sheetName val="Y9"/>
      <sheetName val="ARHAN KUNU"/>
      <sheetName val="LOKUWA"/>
      <sheetName val="33KV MUBI"/>
      <sheetName val="UBA"/>
      <sheetName val="LASSA"/>
      <sheetName val="33KV GOMBI"/>
      <sheetName val="HONG"/>
      <sheetName val="MAYO BELWA"/>
      <sheetName val="NUMAN"/>
      <sheetName val="ENERGY ACCOUNT"/>
      <sheetName val="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9">
          <cell r="E19">
            <v>24</v>
          </cell>
          <cell r="F19">
            <v>23.75</v>
          </cell>
          <cell r="G19">
            <v>14</v>
          </cell>
          <cell r="H19">
            <v>23.616666666666667</v>
          </cell>
          <cell r="I19">
            <v>23.783333333333335</v>
          </cell>
          <cell r="J19">
            <v>24</v>
          </cell>
          <cell r="K19">
            <v>15.05</v>
          </cell>
          <cell r="L19">
            <v>0</v>
          </cell>
          <cell r="M19">
            <v>5.6833333333333336</v>
          </cell>
          <cell r="N19">
            <v>23.8</v>
          </cell>
          <cell r="O19">
            <v>23</v>
          </cell>
          <cell r="P19">
            <v>23.333333333333332</v>
          </cell>
          <cell r="Q19">
            <v>24</v>
          </cell>
          <cell r="R19">
            <v>24</v>
          </cell>
          <cell r="S19">
            <v>23.383333333333333</v>
          </cell>
          <cell r="T19">
            <v>23.916666666666668</v>
          </cell>
          <cell r="U19">
            <v>22.883333333333333</v>
          </cell>
          <cell r="V19">
            <v>24</v>
          </cell>
          <cell r="W19">
            <v>21.25</v>
          </cell>
          <cell r="X19">
            <v>24</v>
          </cell>
          <cell r="Y19">
            <v>15.766666666666667</v>
          </cell>
          <cell r="Z19">
            <v>24</v>
          </cell>
          <cell r="AA19">
            <v>23.65</v>
          </cell>
          <cell r="AB19">
            <v>23.183333333333334</v>
          </cell>
          <cell r="AC19">
            <v>23.916666666666668</v>
          </cell>
          <cell r="AD19">
            <v>23.466666666666665</v>
          </cell>
          <cell r="AE19">
            <v>12.933333333333334</v>
          </cell>
          <cell r="AF19">
            <v>23.75</v>
          </cell>
          <cell r="AG19">
            <v>0</v>
          </cell>
          <cell r="AH19">
            <v>0</v>
          </cell>
          <cell r="AI19">
            <v>0</v>
          </cell>
        </row>
        <row r="22">
          <cell r="E22">
            <v>3</v>
          </cell>
          <cell r="F22">
            <v>2.8333333333333335</v>
          </cell>
          <cell r="G22">
            <v>0.66666666666666663</v>
          </cell>
          <cell r="H22">
            <v>3.0333333333333332</v>
          </cell>
          <cell r="I22">
            <v>2.9</v>
          </cell>
          <cell r="J22">
            <v>5.083333333333333</v>
          </cell>
          <cell r="K22">
            <v>1.0166666666666666</v>
          </cell>
          <cell r="L22">
            <v>0</v>
          </cell>
          <cell r="M22">
            <v>3.5</v>
          </cell>
          <cell r="N22">
            <v>5.5166666666666666</v>
          </cell>
          <cell r="O22">
            <v>0.56666666666666665</v>
          </cell>
          <cell r="P22">
            <v>3.7666666666666666</v>
          </cell>
          <cell r="Q22">
            <v>4.3666666666666663</v>
          </cell>
          <cell r="R22">
            <v>4</v>
          </cell>
          <cell r="S22">
            <v>4</v>
          </cell>
          <cell r="T22">
            <v>3</v>
          </cell>
          <cell r="U22">
            <v>4.666666666666667</v>
          </cell>
          <cell r="V22">
            <v>4</v>
          </cell>
          <cell r="W22">
            <v>2.0833333333333335</v>
          </cell>
          <cell r="X22">
            <v>4</v>
          </cell>
          <cell r="Y22">
            <v>4</v>
          </cell>
          <cell r="Z22">
            <v>3.9833333333333334</v>
          </cell>
          <cell r="AA22">
            <v>4</v>
          </cell>
          <cell r="AB22">
            <v>4.083333333333333</v>
          </cell>
          <cell r="AC22">
            <v>4.2666666666666666</v>
          </cell>
          <cell r="AD22">
            <v>4</v>
          </cell>
          <cell r="AE22">
            <v>3.9833333333333334</v>
          </cell>
          <cell r="AF22">
            <v>4.5</v>
          </cell>
          <cell r="AG22">
            <v>0</v>
          </cell>
          <cell r="AH22">
            <v>0</v>
          </cell>
          <cell r="AI22">
            <v>0</v>
          </cell>
        </row>
        <row r="25">
          <cell r="E25">
            <v>2</v>
          </cell>
          <cell r="F25">
            <v>2</v>
          </cell>
          <cell r="G25">
            <v>0</v>
          </cell>
          <cell r="H25">
            <v>3.5333333333333332</v>
          </cell>
          <cell r="I25">
            <v>2.3833333333333333</v>
          </cell>
          <cell r="J25">
            <v>2.1833333333333331</v>
          </cell>
          <cell r="K25">
            <v>3.8666666666666667</v>
          </cell>
          <cell r="L25">
            <v>0</v>
          </cell>
          <cell r="M25">
            <v>2.7666666666666666</v>
          </cell>
          <cell r="N25">
            <v>4.0166666666666666</v>
          </cell>
          <cell r="O25">
            <v>0</v>
          </cell>
          <cell r="P25">
            <v>3.9666666666666668</v>
          </cell>
          <cell r="Q25">
            <v>2.9833333333333334</v>
          </cell>
          <cell r="R25">
            <v>7</v>
          </cell>
          <cell r="S25">
            <v>3</v>
          </cell>
          <cell r="T25">
            <v>3</v>
          </cell>
          <cell r="U25">
            <v>3.1666666666666665</v>
          </cell>
          <cell r="V25">
            <v>3</v>
          </cell>
          <cell r="W25">
            <v>0.41666666666666669</v>
          </cell>
          <cell r="X25">
            <v>4.0166666666666666</v>
          </cell>
          <cell r="Y25">
            <v>5</v>
          </cell>
          <cell r="Z25">
            <v>3</v>
          </cell>
          <cell r="AA25">
            <v>3</v>
          </cell>
          <cell r="AB25">
            <v>3</v>
          </cell>
          <cell r="AC25">
            <v>3.6333333333333333</v>
          </cell>
          <cell r="AD25">
            <v>3.0666666666666669</v>
          </cell>
          <cell r="AE25">
            <v>2.4</v>
          </cell>
          <cell r="AF25">
            <v>7</v>
          </cell>
          <cell r="AG25">
            <v>0</v>
          </cell>
          <cell r="AH25">
            <v>0</v>
          </cell>
          <cell r="AI25">
            <v>0</v>
          </cell>
        </row>
      </sheetData>
      <sheetData sheetId="17">
        <row r="4">
          <cell r="A4" t="str">
            <v>O/C</v>
          </cell>
          <cell r="D4" t="str">
            <v>By Transient Faults</v>
          </cell>
          <cell r="E4" t="str">
            <v>YEDC</v>
          </cell>
        </row>
        <row r="5">
          <cell r="A5" t="str">
            <v>E/F</v>
          </cell>
          <cell r="D5" t="str">
            <v>By Transient Faults</v>
          </cell>
          <cell r="E5" t="str">
            <v>YEDC</v>
          </cell>
        </row>
        <row r="6">
          <cell r="A6"/>
          <cell r="D6" t="str">
            <v>By Transient Faults</v>
          </cell>
          <cell r="E6" t="str">
            <v>TCN</v>
          </cell>
        </row>
        <row r="7">
          <cell r="A7"/>
          <cell r="D7" t="str">
            <v>Limitation</v>
          </cell>
          <cell r="E7" t="str">
            <v>GENCO</v>
          </cell>
        </row>
        <row r="8">
          <cell r="A8"/>
          <cell r="D8" t="str">
            <v>By Transient Faults</v>
          </cell>
          <cell r="E8" t="str">
            <v>TCN</v>
          </cell>
        </row>
        <row r="9">
          <cell r="A9"/>
          <cell r="D9" t="str">
            <v>By Transient Faults</v>
          </cell>
          <cell r="E9" t="str">
            <v>YEDC</v>
          </cell>
        </row>
        <row r="10">
          <cell r="A10" t="str">
            <v>Inst. E/F</v>
          </cell>
          <cell r="D10" t="str">
            <v>By Transient Faults</v>
          </cell>
          <cell r="E10" t="str">
            <v>YEDC</v>
          </cell>
        </row>
        <row r="11">
          <cell r="A11" t="str">
            <v>Inst. O/C</v>
          </cell>
          <cell r="D11" t="str">
            <v>By Transient Faults</v>
          </cell>
          <cell r="E11" t="str">
            <v>YEDC</v>
          </cell>
        </row>
        <row r="12">
          <cell r="A12" t="str">
            <v>O/C and E/F</v>
          </cell>
          <cell r="D12" t="str">
            <v>By Transient Faults</v>
          </cell>
          <cell r="E12" t="str">
            <v>YEDC</v>
          </cell>
        </row>
        <row r="13">
          <cell r="A13" t="str">
            <v>Inst. E/F and H/S</v>
          </cell>
          <cell r="D13" t="str">
            <v>By Transient Faults</v>
          </cell>
          <cell r="E13" t="str">
            <v>YEDC</v>
          </cell>
        </row>
        <row r="14">
          <cell r="A14"/>
          <cell r="D14" t="str">
            <v>By Transient Faults</v>
          </cell>
          <cell r="E14" t="str">
            <v>YEDC</v>
          </cell>
        </row>
        <row r="15">
          <cell r="A15"/>
          <cell r="D15" t="str">
            <v>By Transient Faults</v>
          </cell>
          <cell r="E15" t="str">
            <v>TCN</v>
          </cell>
        </row>
        <row r="16">
          <cell r="A16"/>
          <cell r="D16" t="str">
            <v>By Transient Faults</v>
          </cell>
          <cell r="E16" t="str">
            <v>YEDC</v>
          </cell>
        </row>
        <row r="17">
          <cell r="A17" t="str">
            <v>REF</v>
          </cell>
          <cell r="D17" t="str">
            <v>By Transient Faults</v>
          </cell>
          <cell r="E17" t="str">
            <v>YEDC</v>
          </cell>
        </row>
        <row r="18">
          <cell r="A18"/>
          <cell r="D18" t="str">
            <v>Breaker Fault</v>
          </cell>
          <cell r="E18" t="str">
            <v>TCN</v>
          </cell>
        </row>
        <row r="19">
          <cell r="A19" t="str">
            <v>B/F YEDC</v>
          </cell>
          <cell r="D19" t="str">
            <v>Breaker Fault</v>
          </cell>
          <cell r="E19" t="str">
            <v>YEDC</v>
          </cell>
        </row>
        <row r="20">
          <cell r="A20"/>
          <cell r="D20" t="str">
            <v>Planned outage</v>
          </cell>
          <cell r="E20" t="str">
            <v>TCN</v>
          </cell>
        </row>
        <row r="21">
          <cell r="A21" t="str">
            <v>P/O YEDC</v>
          </cell>
          <cell r="D21" t="str">
            <v>Planned outage</v>
          </cell>
          <cell r="E21" t="str">
            <v>YEDC</v>
          </cell>
        </row>
        <row r="22">
          <cell r="A22" t="str">
            <v>L/S TCN</v>
          </cell>
          <cell r="D22" t="str">
            <v>Limitation</v>
          </cell>
          <cell r="E22" t="str">
            <v>TCN</v>
          </cell>
        </row>
        <row r="23">
          <cell r="A23"/>
          <cell r="D23" t="str">
            <v>Limitation</v>
          </cell>
          <cell r="E23" t="str">
            <v>GENCO</v>
          </cell>
        </row>
        <row r="24">
          <cell r="A24" t="str">
            <v>L/S YEDC</v>
          </cell>
          <cell r="D24" t="str">
            <v>Limitation</v>
          </cell>
          <cell r="E24" t="str">
            <v>YEDC</v>
          </cell>
        </row>
        <row r="25">
          <cell r="A25"/>
          <cell r="D25" t="str">
            <v>Load shedding -Service Base Tarrif</v>
          </cell>
          <cell r="E25" t="str">
            <v>TCN</v>
          </cell>
        </row>
        <row r="26">
          <cell r="A26" t="str">
            <v>SBT YEDC</v>
          </cell>
          <cell r="D26" t="str">
            <v>Load shedding -Service Base Tarrif</v>
          </cell>
          <cell r="E26" t="str">
            <v>YEDC</v>
          </cell>
        </row>
        <row r="27">
          <cell r="A27" t="str">
            <v>C33kV Off/Y</v>
          </cell>
          <cell r="D27" t="str">
            <v>When 11kV out after corresponding 33kV is opened due to YEDC</v>
          </cell>
          <cell r="E27" t="str">
            <v>YEDC</v>
          </cell>
        </row>
        <row r="28">
          <cell r="A28" t="str">
            <v>C33kV Off/T</v>
          </cell>
          <cell r="D28" t="str">
            <v>When 11kV out after corresponding 33kV is opened due to TCN</v>
          </cell>
          <cell r="E28" t="str">
            <v>TCN</v>
          </cell>
        </row>
        <row r="29">
          <cell r="A29" t="str">
            <v>C11KV BY C11KV</v>
          </cell>
          <cell r="D29" t="str">
            <v>Forced Outage</v>
          </cell>
          <cell r="E29" t="str">
            <v>YEDC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7890-4C0D-47D5-A3AF-C52C5C790906}">
  <sheetPr>
    <outlinePr summaryBelow="0" summaryRight="0"/>
  </sheetPr>
  <dimension ref="A1:AM1000"/>
  <sheetViews>
    <sheetView topLeftCell="A15" workbookViewId="0">
      <selection activeCell="L197" sqref="L197"/>
    </sheetView>
  </sheetViews>
  <sheetFormatPr defaultColWidth="12.6328125" defaultRowHeight="15.75" customHeight="1" outlineLevelCol="1"/>
  <cols>
    <col min="1" max="1" width="5.90625" style="1" customWidth="1"/>
    <col min="2" max="2" width="17.08984375" style="1" customWidth="1"/>
    <col min="3" max="3" width="18.36328125" style="1" customWidth="1"/>
    <col min="4" max="4" width="15.453125" style="1" customWidth="1"/>
    <col min="5" max="5" width="11.7265625" style="1" customWidth="1"/>
    <col min="6" max="6" width="13.90625" style="1" customWidth="1"/>
    <col min="7" max="7" width="14" style="1" customWidth="1"/>
    <col min="8" max="9" width="12.6328125" style="1"/>
    <col min="10" max="11" width="12.6328125" style="1" outlineLevel="1"/>
    <col min="12" max="12" width="12.6328125" style="1"/>
    <col min="13" max="13" width="60.26953125" style="1" customWidth="1"/>
    <col min="14" max="14" width="14.6328125" style="1" customWidth="1"/>
    <col min="15" max="15" width="20.36328125" style="1" customWidth="1"/>
    <col min="16" max="16" width="12.6328125" style="1" outlineLevel="1"/>
    <col min="17" max="17" width="15.26953125" style="1" customWidth="1" outlineLevel="1"/>
    <col min="18" max="18" width="14.08984375" style="1" customWidth="1" outlineLevel="1"/>
    <col min="19" max="21" width="12.6328125" style="1" outlineLevel="1"/>
    <col min="22" max="22" width="14.6328125" style="1" customWidth="1" outlineLevel="1"/>
    <col min="23" max="23" width="18.90625" style="1" customWidth="1"/>
    <col min="24" max="28" width="12.6328125" style="1"/>
    <col min="29" max="29" width="14.36328125" style="1" customWidth="1"/>
    <col min="30" max="31" width="12.6328125" style="1" outlineLevel="1"/>
    <col min="32" max="32" width="12.6328125" style="1"/>
    <col min="33" max="34" width="12.6328125" style="1" outlineLevel="1"/>
    <col min="35" max="35" width="12.6328125" style="1"/>
    <col min="36" max="37" width="12.6328125" style="1" outlineLevel="1"/>
    <col min="38" max="16384" width="12.6328125" style="1"/>
  </cols>
  <sheetData>
    <row r="1" spans="1:39" ht="15.75" customHeight="1">
      <c r="A1" s="56"/>
      <c r="B1" s="59" t="s">
        <v>52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47"/>
      <c r="AC1" s="48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spans="1:39" ht="15.75" customHeight="1">
      <c r="A2" s="57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3"/>
      <c r="AB2" s="47"/>
      <c r="AC2" s="48"/>
      <c r="AD2" s="47"/>
      <c r="AE2" s="47"/>
      <c r="AF2" s="47"/>
      <c r="AG2" s="47"/>
      <c r="AH2" s="47"/>
      <c r="AI2" s="47"/>
      <c r="AJ2" s="47"/>
      <c r="AK2" s="47"/>
      <c r="AL2" s="47"/>
      <c r="AM2" s="47"/>
    </row>
    <row r="3" spans="1:39" ht="15.75" customHeight="1">
      <c r="A3" s="58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5"/>
      <c r="AB3" s="47"/>
      <c r="AC3" s="48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ht="15.75" customHeight="1" thickBot="1">
      <c r="A4" s="46" t="s">
        <v>51</v>
      </c>
      <c r="B4" s="40" t="s">
        <v>50</v>
      </c>
      <c r="C4" s="40" t="s">
        <v>49</v>
      </c>
      <c r="D4" s="45" t="s">
        <v>48</v>
      </c>
      <c r="E4" s="45" t="s">
        <v>47</v>
      </c>
      <c r="F4" s="44" t="s">
        <v>46</v>
      </c>
      <c r="G4" s="43" t="s">
        <v>45</v>
      </c>
      <c r="H4" s="44" t="s">
        <v>44</v>
      </c>
      <c r="I4" s="43" t="s">
        <v>43</v>
      </c>
      <c r="J4" s="42" t="s">
        <v>42</v>
      </c>
      <c r="K4" s="42" t="s">
        <v>41</v>
      </c>
      <c r="L4" s="41" t="s">
        <v>40</v>
      </c>
      <c r="M4" s="40" t="s">
        <v>39</v>
      </c>
      <c r="N4" s="40" t="s">
        <v>38</v>
      </c>
      <c r="O4" s="39" t="s">
        <v>37</v>
      </c>
      <c r="P4" s="38" t="s">
        <v>36</v>
      </c>
      <c r="Q4" s="38" t="s">
        <v>35</v>
      </c>
      <c r="R4" s="38" t="s">
        <v>34</v>
      </c>
      <c r="S4" s="38" t="s">
        <v>33</v>
      </c>
      <c r="T4" s="38" t="s">
        <v>32</v>
      </c>
      <c r="U4" s="38" t="s">
        <v>31</v>
      </c>
      <c r="V4" s="37" t="s">
        <v>30</v>
      </c>
      <c r="W4" s="36" t="s">
        <v>29</v>
      </c>
      <c r="X4" s="35" t="s">
        <v>28</v>
      </c>
      <c r="Y4" s="35" t="s">
        <v>27</v>
      </c>
      <c r="Z4" s="34" t="s">
        <v>26</v>
      </c>
      <c r="AA4" s="34" t="s">
        <v>25</v>
      </c>
      <c r="AB4" s="32"/>
      <c r="AC4" s="33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pans="1:39" ht="15.75" customHeight="1">
      <c r="A5" s="13" t="str">
        <f>IF(OR(ISBLANK(C5),ISBLANK(D5),ISBLANK(F5),ISBLANK(G5)),"",COUNTIF($B$5:B5,"JAMBUTU"))</f>
        <v/>
      </c>
      <c r="B5" s="8"/>
      <c r="C5" s="8"/>
      <c r="D5" s="8"/>
      <c r="E5" s="13"/>
      <c r="F5" s="12"/>
      <c r="G5" s="11"/>
      <c r="H5" s="12"/>
      <c r="I5" s="11"/>
      <c r="J5" s="10">
        <f t="shared" ref="J5:J36" si="0">DATE(YEAR(F5),MONTH(F5),DAY(F5))+TIME(HOUR(G5),MINUTE(G5), SECOND(G5))</f>
        <v>0</v>
      </c>
      <c r="K5" s="10">
        <f t="shared" ref="K5:K68" si="1">DATE(YEAR(H5),MONTH(H5),DAY(H5))+TIME(HOUR(I5),MINUTE(I5), SECOND(I5))</f>
        <v>0</v>
      </c>
      <c r="L5" s="9" t="str">
        <f t="shared" ref="L5:L68" si="2">IF(ISBLANK(I5),"",IF(J5&gt;K5,(K5+1)-J5,K5-J5))</f>
        <v/>
      </c>
      <c r="M5" s="8"/>
      <c r="N5" s="8"/>
      <c r="O5" s="8"/>
      <c r="P5" s="8"/>
      <c r="Q5" s="8"/>
      <c r="R5" s="8"/>
      <c r="S5" s="8"/>
      <c r="T5" s="8"/>
      <c r="U5" s="8"/>
      <c r="V5" s="7"/>
      <c r="W5" s="6" t="str">
        <f t="array" ref="W5">IF(NOT(ISBLANK(D5)),_xludf.XLOOKUP(D5,[1]CODE!$A$4:$A$100,[1]CODE!$D$4:$D$100),"")</f>
        <v/>
      </c>
      <c r="X5" s="5" t="str">
        <f t="array" ref="X5">IF(NOT(AND(ISBLANK(D5),ISBLANK(C5))),_xludf.XLOOKUP(D5,[1]CODE!$A$4:$A$100,[1]CODE!$E$4:$E$100),"")</f>
        <v/>
      </c>
      <c r="Y5" s="5" t="str">
        <f t="shared" ref="Y5:Y68" si="3">LEFT(C5,4)</f>
        <v/>
      </c>
      <c r="Z5" s="5" t="str">
        <f t="shared" ref="Z5:Z68" si="4">IF(NOT(ISBLANK(C5)), IF(K5&gt;J5,"YES","NO"),"")</f>
        <v/>
      </c>
      <c r="AA5" s="4">
        <f t="shared" ref="AA5:AA68" si="5">IF(AND(F5=H5,Z5="NO"),1+H5,H5)</f>
        <v>0</v>
      </c>
      <c r="AC5" s="66" t="s">
        <v>24</v>
      </c>
      <c r="AD5" s="50" t="s">
        <v>23</v>
      </c>
      <c r="AE5" s="51"/>
      <c r="AF5" s="52"/>
      <c r="AG5" s="50" t="s">
        <v>22</v>
      </c>
      <c r="AH5" s="51"/>
      <c r="AI5" s="52"/>
      <c r="AJ5" s="50" t="s">
        <v>21</v>
      </c>
      <c r="AK5" s="51"/>
      <c r="AL5" s="52"/>
    </row>
    <row r="6" spans="1:39" ht="15.75" customHeight="1" thickBot="1">
      <c r="A6" s="13" t="str">
        <f>IF(OR(ISBLANK(C6),ISBLANK(D6),ISBLANK(F6),ISBLANK(G6)),"",COUNTIF($B$5:B6,"JAMBUTU"))</f>
        <v/>
      </c>
      <c r="B6" s="8"/>
      <c r="C6" s="8"/>
      <c r="D6" s="8"/>
      <c r="E6" s="13"/>
      <c r="F6" s="12"/>
      <c r="G6" s="11"/>
      <c r="H6" s="12"/>
      <c r="I6" s="11"/>
      <c r="J6" s="10">
        <f t="shared" si="0"/>
        <v>0</v>
      </c>
      <c r="K6" s="10">
        <f t="shared" si="1"/>
        <v>0</v>
      </c>
      <c r="L6" s="9" t="str">
        <f t="shared" si="2"/>
        <v/>
      </c>
      <c r="M6" s="8"/>
      <c r="N6" s="8"/>
      <c r="O6" s="8"/>
      <c r="P6" s="8"/>
      <c r="Q6" s="8"/>
      <c r="R6" s="8"/>
      <c r="S6" s="8"/>
      <c r="T6" s="8"/>
      <c r="U6" s="8"/>
      <c r="V6" s="7"/>
      <c r="W6" s="6" t="str">
        <f t="array" ref="W6">IF(NOT(ISBLANK(D6)),_xludf.XLOOKUP(D6,[1]CODE!$A$4:$A$100,[1]CODE!$D$4:$D$100),"")</f>
        <v/>
      </c>
      <c r="X6" s="5" t="str">
        <f t="array" ref="X6">IF(NOT(AND(ISBLANK(D6),ISBLANK(C6))),_xludf.XLOOKUP(D6,[1]CODE!$A$4:$A$100,[1]CODE!$E$4:$E$100),"")</f>
        <v/>
      </c>
      <c r="Y6" s="5" t="str">
        <f t="shared" si="3"/>
        <v/>
      </c>
      <c r="Z6" s="5" t="str">
        <f t="shared" si="4"/>
        <v/>
      </c>
      <c r="AA6" s="4">
        <f t="shared" si="5"/>
        <v>0</v>
      </c>
      <c r="AC6" s="67"/>
      <c r="AD6" s="53"/>
      <c r="AE6" s="54"/>
      <c r="AF6" s="55"/>
      <c r="AG6" s="53"/>
      <c r="AH6" s="54"/>
      <c r="AI6" s="55"/>
      <c r="AJ6" s="53"/>
      <c r="AK6" s="54"/>
      <c r="AL6" s="55"/>
    </row>
    <row r="7" spans="1:39" ht="15.75" customHeight="1">
      <c r="A7" s="13" t="str">
        <f>IF(OR(ISBLANK(C7),ISBLANK(D7),ISBLANK(F7),ISBLANK(G7)),"",COUNTIF($B$5:B7,"JAMBUTU"))</f>
        <v/>
      </c>
      <c r="B7" s="8"/>
      <c r="C7" s="8"/>
      <c r="D7" s="8"/>
      <c r="E7" s="13"/>
      <c r="F7" s="12"/>
      <c r="G7" s="11"/>
      <c r="H7" s="12"/>
      <c r="I7" s="11"/>
      <c r="J7" s="10">
        <f t="shared" si="0"/>
        <v>0</v>
      </c>
      <c r="K7" s="10">
        <f t="shared" si="1"/>
        <v>0</v>
      </c>
      <c r="L7" s="9" t="str">
        <f t="shared" si="2"/>
        <v/>
      </c>
      <c r="M7" s="8"/>
      <c r="N7" s="8"/>
      <c r="O7" s="8"/>
      <c r="P7" s="8"/>
      <c r="Q7" s="8"/>
      <c r="R7" s="8"/>
      <c r="S7" s="8"/>
      <c r="T7" s="8"/>
      <c r="U7" s="8"/>
      <c r="V7" s="7"/>
      <c r="W7" s="6" t="str">
        <f t="array" ref="W7">IF(NOT(ISBLANK(D7)),_xludf.XLOOKUP(D7,[1]CODE!$A$4:$A$100,[1]CODE!$D$4:$D$100),"")</f>
        <v/>
      </c>
      <c r="X7" s="5" t="str">
        <f t="array" ref="X7">IF(NOT(AND(ISBLANK(D7),ISBLANK(C7))),_xludf.XLOOKUP(D7,[1]CODE!$A$4:$A$100,[1]CODE!$E$4:$E$100),"")</f>
        <v/>
      </c>
      <c r="Y7" s="5" t="str">
        <f t="shared" si="3"/>
        <v/>
      </c>
      <c r="Z7" s="5" t="str">
        <f t="shared" si="4"/>
        <v/>
      </c>
      <c r="AA7" s="4">
        <f t="shared" si="5"/>
        <v>0</v>
      </c>
      <c r="AC7" s="26">
        <v>46023</v>
      </c>
      <c r="AD7" s="25">
        <f ca="1">IFERROR(__xludf.DUMMYFUNCTION("IFERROR(SUM(FILTER($L$5:$L$1002,$C$5:$C$1002=$AD$5,$F$5:$F$1002=AC7))*24,0)"),0.300000000104773)</f>
        <v>0.30000000010477301</v>
      </c>
      <c r="AE7" s="30">
        <f t="array" ref="AE7:AE37">TRANSPOSE('[1]ENERGY ACCOUNT'!E19:AI19)</f>
        <v>23.7</v>
      </c>
      <c r="AF7" s="29" t="str">
        <f t="shared" ref="AF7:AF37" ca="1" si="6">IF(SUM(AD7+AE7)=0,"",IF(ABS(24-SUM(AD7+AE7))&lt;0.004,REPT("✅",5),REPT("❌",5)))</f>
        <v>✅✅✅✅✅</v>
      </c>
      <c r="AG7" s="25">
        <f ca="1">IFERROR(__xludf.DUMMYFUNCTION("IFERROR(SUM(FILTER($L$5:$L$1002,$C$5:$C$1002=$AG$5,$F$5:$F$1002=AC7))*24,0)"),21)</f>
        <v>21</v>
      </c>
      <c r="AH7" s="31">
        <f t="array" ref="AH7:AH37">TRANSPOSE('[1]ENERGY ACCOUNT'!E22:AI22)</f>
        <v>3</v>
      </c>
      <c r="AI7" s="29" t="str">
        <f t="shared" ref="AI7:AI37" ca="1" si="7">IF(SUM(AG7+AH7)=0,"",IF(ABS(24-SUM(AG7+AH7))&lt;0.004,REPT("✅",5),REPT("❌",5)))</f>
        <v>✅✅✅✅✅</v>
      </c>
      <c r="AJ7" s="25">
        <f ca="1">IFERROR(__xludf.DUMMYFUNCTION("IFERROR(SUM(FILTER($L$5:$L$1002,$C$5:$C$1002=$AJ$5,$F$5:$F$1002=AC7))*24,0)"),21)</f>
        <v>21</v>
      </c>
      <c r="AK7" s="30">
        <f t="array" ref="AK7:AK37">TRANSPOSE('[1]ENERGY ACCOUNT'!E25:AI25)</f>
        <v>3</v>
      </c>
      <c r="AL7" s="29" t="str">
        <f t="shared" ref="AL7:AL37" ca="1" si="8">IF(SUM(AJ7+AK7)=0,"",IF(ABS(24-SUM(AJ7+AK7))&lt;0.004,REPT("✅",5),REPT("❌",5)))</f>
        <v>✅✅✅✅✅</v>
      </c>
    </row>
    <row r="8" spans="1:39" ht="15.75" customHeight="1">
      <c r="A8" s="13" t="str">
        <f>IF(OR(ISBLANK(C8),ISBLANK(D8),ISBLANK(F8),ISBLANK(G8)),"",COUNTIF($B$5:B8,"JAMBUTU"))</f>
        <v/>
      </c>
      <c r="B8" s="8"/>
      <c r="C8" s="8"/>
      <c r="D8" s="8"/>
      <c r="E8" s="13"/>
      <c r="F8" s="12"/>
      <c r="G8" s="11"/>
      <c r="H8" s="12"/>
      <c r="I8" s="11"/>
      <c r="J8" s="10">
        <f t="shared" si="0"/>
        <v>0</v>
      </c>
      <c r="K8" s="10">
        <f t="shared" si="1"/>
        <v>0</v>
      </c>
      <c r="L8" s="9" t="str">
        <f t="shared" si="2"/>
        <v/>
      </c>
      <c r="M8" s="8"/>
      <c r="N8" s="8"/>
      <c r="O8" s="8"/>
      <c r="P8" s="8"/>
      <c r="Q8" s="8"/>
      <c r="R8" s="8"/>
      <c r="S8" s="8"/>
      <c r="T8" s="8"/>
      <c r="U8" s="8"/>
      <c r="V8" s="7"/>
      <c r="W8" s="6" t="str">
        <f t="array" ref="W8">IF(NOT(ISBLANK(D8)),_xludf.XLOOKUP(D8,[1]CODE!$A$4:$A$100,[1]CODE!$D$4:$D$100),"")</f>
        <v/>
      </c>
      <c r="X8" s="5" t="str">
        <f t="array" ref="X8">IF(NOT(AND(ISBLANK(D8),ISBLANK(C8))),_xludf.XLOOKUP(D8,[1]CODE!$A$4:$A$100,[1]CODE!$E$4:$E$100),"")</f>
        <v/>
      </c>
      <c r="Y8" s="5" t="str">
        <f t="shared" si="3"/>
        <v/>
      </c>
      <c r="Z8" s="5" t="str">
        <f t="shared" si="4"/>
        <v/>
      </c>
      <c r="AA8" s="4">
        <f t="shared" si="5"/>
        <v>0</v>
      </c>
      <c r="AC8" s="26">
        <v>46024</v>
      </c>
      <c r="AD8" s="25">
        <f ca="1">IFERROR(__xludf.DUMMYFUNCTION("IFERROR(SUM(FILTER($L$5:$L$1002,$C$5:$C$1002=$AD$5,$F$5:$F$1002=AC8))*24,0)"),0.300000000104773)</f>
        <v>0.30000000010477301</v>
      </c>
      <c r="AE8" s="28">
        <v>23.7</v>
      </c>
      <c r="AF8" s="27" t="str">
        <f t="shared" ca="1" si="6"/>
        <v>✅✅✅✅✅</v>
      </c>
      <c r="AG8" s="25">
        <f ca="1">IFERROR(__xludf.DUMMYFUNCTION("IFERROR(SUM(FILTER($L$5:$L$1002,$C$5:$C$1002=$AG$5,$F$5:$F$1002=AC8))*24,0)"),20.0499999998719)</f>
        <v>20.049999999871901</v>
      </c>
      <c r="AH8" s="28">
        <v>3.95</v>
      </c>
      <c r="AI8" s="27" t="str">
        <f t="shared" ca="1" si="7"/>
        <v>✅✅✅✅✅</v>
      </c>
      <c r="AJ8" s="25">
        <f ca="1">IFERROR(__xludf.DUMMYFUNCTION("IFERROR(SUM(FILTER($L$5:$L$1002,$C$5:$C$1002=$AJ$5,$F$5:$F$1002=AC8))*24,0)"),21.1499999997904)</f>
        <v>21.149999999790399</v>
      </c>
      <c r="AK8" s="28">
        <v>2.85</v>
      </c>
      <c r="AL8" s="27" t="str">
        <f t="shared" ca="1" si="8"/>
        <v>✅✅✅✅✅</v>
      </c>
    </row>
    <row r="9" spans="1:39" ht="15.75" customHeight="1">
      <c r="A9" s="13" t="str">
        <f>IF(OR(ISBLANK(C9),ISBLANK(D9),ISBLANK(F9),ISBLANK(G9)),"",COUNTIF($B$5:B9,"JAMBUTU"))</f>
        <v/>
      </c>
      <c r="B9" s="8"/>
      <c r="C9" s="8"/>
      <c r="D9" s="8"/>
      <c r="E9" s="13"/>
      <c r="F9" s="12"/>
      <c r="G9" s="11"/>
      <c r="H9" s="12"/>
      <c r="I9" s="11"/>
      <c r="J9" s="10">
        <f t="shared" si="0"/>
        <v>0</v>
      </c>
      <c r="K9" s="10">
        <f t="shared" si="1"/>
        <v>0</v>
      </c>
      <c r="L9" s="9" t="str">
        <f t="shared" si="2"/>
        <v/>
      </c>
      <c r="M9" s="8"/>
      <c r="N9" s="8"/>
      <c r="O9" s="8"/>
      <c r="P9" s="8"/>
      <c r="Q9" s="8"/>
      <c r="R9" s="8"/>
      <c r="S9" s="8"/>
      <c r="T9" s="8"/>
      <c r="U9" s="8"/>
      <c r="V9" s="7"/>
      <c r="W9" s="6" t="str">
        <f t="array" ref="W9">IF(NOT(ISBLANK(D9)),_xludf.XLOOKUP(D9,[1]CODE!$A$4:$A$100,[1]CODE!$D$4:$D$100),"")</f>
        <v/>
      </c>
      <c r="X9" s="5" t="str">
        <f t="array" ref="X9">IF(NOT(AND(ISBLANK(D9),ISBLANK(C9))),_xludf.XLOOKUP(D9,[1]CODE!$A$4:$A$100,[1]CODE!$E$4:$E$100),"")</f>
        <v/>
      </c>
      <c r="Y9" s="5" t="str">
        <f t="shared" si="3"/>
        <v/>
      </c>
      <c r="Z9" s="5" t="str">
        <f t="shared" si="4"/>
        <v/>
      </c>
      <c r="AA9" s="4">
        <f t="shared" si="5"/>
        <v>0</v>
      </c>
      <c r="AC9" s="26">
        <v>46025</v>
      </c>
      <c r="AD9" s="25">
        <f ca="1">IFERROR(__xludf.DUMMYFUNCTION("IFERROR(SUM(FILTER($L$5:$L$1002,$C$5:$C$1002=$AD$5,$F$5:$F$1002=AC9))*24,0)"),0.149999999965075)</f>
        <v>0.14999999996507499</v>
      </c>
      <c r="AE9" s="28">
        <v>23.85</v>
      </c>
      <c r="AF9" s="27" t="str">
        <f t="shared" ca="1" si="6"/>
        <v>✅✅✅✅✅</v>
      </c>
      <c r="AG9" s="25">
        <f ca="1">IFERROR(__xludf.DUMMYFUNCTION("IFERROR(SUM(FILTER($L$5:$L$1002,$C$5:$C$1002=$AG$5,$F$5:$F$1002=AC9))*24,0)"),20.9166666667442)</f>
        <v>20.916666666744199</v>
      </c>
      <c r="AH9" s="28">
        <v>3.0833333333333335</v>
      </c>
      <c r="AI9" s="27" t="str">
        <f t="shared" ca="1" si="7"/>
        <v>✅✅✅✅✅</v>
      </c>
      <c r="AJ9" s="25">
        <f ca="1">IFERROR(__xludf.DUMMYFUNCTION("IFERROR(SUM(FILTER($L$5:$L$1002,$C$5:$C$1002=$AJ$5,$F$5:$F$1002=AC9))*24,0)"),17.3333333334303)</f>
        <v>17.3333333334303</v>
      </c>
      <c r="AK9" s="28">
        <v>6.666666666666667</v>
      </c>
      <c r="AL9" s="27" t="str">
        <f t="shared" ca="1" si="8"/>
        <v>✅✅✅✅✅</v>
      </c>
    </row>
    <row r="10" spans="1:39" ht="15.75" customHeight="1">
      <c r="A10" s="13" t="str">
        <f>IF(OR(ISBLANK(C10),ISBLANK(D10),ISBLANK(F10),ISBLANK(G10)),"",COUNTIF($B$5:B10,"JAMBUTU"))</f>
        <v/>
      </c>
      <c r="B10" s="8"/>
      <c r="C10" s="8"/>
      <c r="D10" s="8"/>
      <c r="E10" s="13"/>
      <c r="F10" s="12"/>
      <c r="G10" s="11"/>
      <c r="H10" s="12"/>
      <c r="I10" s="11"/>
      <c r="J10" s="10">
        <f t="shared" si="0"/>
        <v>0</v>
      </c>
      <c r="K10" s="10">
        <f t="shared" si="1"/>
        <v>0</v>
      </c>
      <c r="L10" s="9" t="str">
        <f t="shared" si="2"/>
        <v/>
      </c>
      <c r="M10" s="8"/>
      <c r="N10" s="8"/>
      <c r="O10" s="8"/>
      <c r="P10" s="8"/>
      <c r="Q10" s="8"/>
      <c r="R10" s="8"/>
      <c r="S10" s="8"/>
      <c r="T10" s="8"/>
      <c r="U10" s="8"/>
      <c r="V10" s="7"/>
      <c r="W10" s="6" t="str">
        <f t="array" ref="W10">IF(NOT(ISBLANK(D10)),_xludf.XLOOKUP(D10,[1]CODE!$A$4:$A$100,[1]CODE!$D$4:$D$100),"")</f>
        <v/>
      </c>
      <c r="X10" s="5" t="str">
        <f t="array" ref="X10">IF(NOT(AND(ISBLANK(D10),ISBLANK(C10))),_xludf.XLOOKUP(D10,[1]CODE!$A$4:$A$100,[1]CODE!$E$4:$E$100),"")</f>
        <v/>
      </c>
      <c r="Y10" s="5" t="str">
        <f t="shared" si="3"/>
        <v/>
      </c>
      <c r="Z10" s="5" t="str">
        <f t="shared" si="4"/>
        <v/>
      </c>
      <c r="AA10" s="4">
        <f t="shared" si="5"/>
        <v>0</v>
      </c>
      <c r="AC10" s="26">
        <v>46026</v>
      </c>
      <c r="AD10" s="25">
        <f ca="1">IFERROR(__xludf.DUMMYFUNCTION("IFERROR(SUM(FILTER($L$5:$L$1002,$C$5:$C$1002=$AD$5,$F$5:$F$1002=AC10))*24,0)"),0)</f>
        <v>0</v>
      </c>
      <c r="AE10" s="28">
        <v>24</v>
      </c>
      <c r="AF10" s="27" t="str">
        <f t="shared" ca="1" si="6"/>
        <v>✅✅✅✅✅</v>
      </c>
      <c r="AG10" s="25">
        <f ca="1">IFERROR(__xludf.DUMMYFUNCTION("IFERROR(SUM(FILTER($L$5:$L$1002,$C$5:$C$1002=$AG$5,$F$5:$F$1002=AC10))*24,0)"),21)</f>
        <v>21</v>
      </c>
      <c r="AH10" s="28">
        <v>3</v>
      </c>
      <c r="AI10" s="27" t="str">
        <f t="shared" ca="1" si="7"/>
        <v>✅✅✅✅✅</v>
      </c>
      <c r="AJ10" s="25">
        <f ca="1">IFERROR(__xludf.DUMMYFUNCTION("IFERROR(SUM(FILTER($L$5:$L$1002,$C$5:$C$1002=$AJ$5,$F$5:$F$1002=AC10))*24,0)"),21)</f>
        <v>21</v>
      </c>
      <c r="AK10" s="28">
        <v>3</v>
      </c>
      <c r="AL10" s="27" t="str">
        <f t="shared" ca="1" si="8"/>
        <v>✅✅✅✅✅</v>
      </c>
    </row>
    <row r="11" spans="1:39" ht="15.75" customHeight="1">
      <c r="A11" s="13" t="str">
        <f>IF(OR(ISBLANK(C11),ISBLANK(D11),ISBLANK(F11),ISBLANK(G11)),"",COUNTIF($B$5:B11,"JAMBUTU"))</f>
        <v/>
      </c>
      <c r="B11" s="8"/>
      <c r="C11" s="8"/>
      <c r="D11" s="8"/>
      <c r="E11" s="13"/>
      <c r="F11" s="12"/>
      <c r="G11" s="11"/>
      <c r="H11" s="12"/>
      <c r="I11" s="11"/>
      <c r="J11" s="10">
        <f t="shared" si="0"/>
        <v>0</v>
      </c>
      <c r="K11" s="10">
        <f t="shared" si="1"/>
        <v>0</v>
      </c>
      <c r="L11" s="9" t="str">
        <f t="shared" si="2"/>
        <v/>
      </c>
      <c r="M11" s="8"/>
      <c r="N11" s="8"/>
      <c r="O11" s="8"/>
      <c r="P11" s="8"/>
      <c r="Q11" s="8"/>
      <c r="R11" s="8"/>
      <c r="S11" s="8"/>
      <c r="T11" s="8"/>
      <c r="U11" s="8"/>
      <c r="V11" s="7"/>
      <c r="W11" s="6" t="str">
        <f t="array" ref="W11">IF(NOT(ISBLANK(D11)),_xludf.XLOOKUP(D11,[1]CODE!$A$4:$A$100,[1]CODE!$D$4:$D$100),"")</f>
        <v/>
      </c>
      <c r="X11" s="5" t="str">
        <f t="array" ref="X11">IF(NOT(AND(ISBLANK(D11),ISBLANK(C11))),_xludf.XLOOKUP(D11,[1]CODE!$A$4:$A$100,[1]CODE!$E$4:$E$100),"")</f>
        <v/>
      </c>
      <c r="Y11" s="5" t="str">
        <f t="shared" si="3"/>
        <v/>
      </c>
      <c r="Z11" s="5" t="str">
        <f t="shared" si="4"/>
        <v/>
      </c>
      <c r="AA11" s="4">
        <f t="shared" si="5"/>
        <v>0</v>
      </c>
      <c r="AC11" s="26">
        <v>46027</v>
      </c>
      <c r="AD11" s="25">
        <f ca="1">IFERROR(__xludf.DUMMYFUNCTION("IFERROR(SUM(FILTER($L$5:$L$1002,$C$5:$C$1002=$AD$5,$F$5:$F$1002=AC11))*24,0)"),0)</f>
        <v>0</v>
      </c>
      <c r="AE11" s="28">
        <v>24</v>
      </c>
      <c r="AF11" s="27" t="str">
        <f t="shared" ca="1" si="6"/>
        <v>✅✅✅✅✅</v>
      </c>
      <c r="AG11" s="25">
        <f ca="1">IFERROR(__xludf.DUMMYFUNCTION("IFERROR(SUM(FILTER($L$5:$L$1002,$C$5:$C$1002=$AG$5,$F$5:$F$1002=AC11))*24,0)"),22.7333333333954)</f>
        <v>22.7333333333954</v>
      </c>
      <c r="AH11" s="28">
        <v>1.2666666666666666</v>
      </c>
      <c r="AI11" s="27" t="str">
        <f t="shared" ca="1" si="7"/>
        <v>✅✅✅✅✅</v>
      </c>
      <c r="AJ11" s="25">
        <f ca="1">IFERROR(__xludf.DUMMYFUNCTION("IFERROR(SUM(FILTER($L$5:$L$1002,$C$5:$C$1002=$AJ$5,$F$5:$F$1002=AC11))*24,0)"),21)</f>
        <v>21</v>
      </c>
      <c r="AK11" s="28">
        <v>3</v>
      </c>
      <c r="AL11" s="27" t="str">
        <f t="shared" ca="1" si="8"/>
        <v>✅✅✅✅✅</v>
      </c>
    </row>
    <row r="12" spans="1:39" ht="15.75" customHeight="1">
      <c r="A12" s="13" t="str">
        <f>IF(OR(ISBLANK(C12),ISBLANK(D12),ISBLANK(F12),ISBLANK(G12)),"",COUNTIF($B$5:B12,"JAMBUTU"))</f>
        <v/>
      </c>
      <c r="B12" s="8"/>
      <c r="C12" s="8"/>
      <c r="D12" s="8"/>
      <c r="E12" s="13"/>
      <c r="F12" s="12"/>
      <c r="G12" s="11"/>
      <c r="H12" s="12"/>
      <c r="I12" s="11"/>
      <c r="J12" s="10">
        <f t="shared" si="0"/>
        <v>0</v>
      </c>
      <c r="K12" s="10">
        <f t="shared" si="1"/>
        <v>0</v>
      </c>
      <c r="L12" s="9" t="str">
        <f t="shared" si="2"/>
        <v/>
      </c>
      <c r="M12" s="8"/>
      <c r="N12" s="8"/>
      <c r="O12" s="8"/>
      <c r="P12" s="8"/>
      <c r="Q12" s="8"/>
      <c r="R12" s="8"/>
      <c r="S12" s="8"/>
      <c r="T12" s="8"/>
      <c r="U12" s="8"/>
      <c r="V12" s="7"/>
      <c r="W12" s="6" t="str">
        <f t="array" ref="W12">IF(NOT(ISBLANK(D12)),_xludf.XLOOKUP(D12,[1]CODE!$A$4:$A$100,[1]CODE!$D$4:$D$100),"")</f>
        <v/>
      </c>
      <c r="X12" s="5" t="str">
        <f t="array" ref="X12">IF(NOT(AND(ISBLANK(D12),ISBLANK(C12))),_xludf.XLOOKUP(D12,[1]CODE!$A$4:$A$100,[1]CODE!$E$4:$E$100),"")</f>
        <v/>
      </c>
      <c r="Y12" s="5" t="str">
        <f t="shared" si="3"/>
        <v/>
      </c>
      <c r="Z12" s="5" t="str">
        <f t="shared" si="4"/>
        <v/>
      </c>
      <c r="AA12" s="4">
        <f t="shared" si="5"/>
        <v>0</v>
      </c>
      <c r="AC12" s="26">
        <v>46028</v>
      </c>
      <c r="AD12" s="25">
        <f ca="1">IFERROR(__xludf.DUMMYFUNCTION("IFERROR(SUM(FILTER($L$5:$L$1002,$C$5:$C$1002=$AD$5,$F$5:$F$1002=AC12))*24,0)"),0)</f>
        <v>0</v>
      </c>
      <c r="AE12" s="28">
        <v>24</v>
      </c>
      <c r="AF12" s="27" t="str">
        <f t="shared" ca="1" si="6"/>
        <v>✅✅✅✅✅</v>
      </c>
      <c r="AG12" s="25">
        <f ca="1">IFERROR(__xludf.DUMMYFUNCTION("IFERROR(SUM(FILTER($L$5:$L$1002,$C$5:$C$1002=$AG$5,$F$5:$F$1002=AC12))*24,0)"),19.0666666666511)</f>
        <v>19.066666666651098</v>
      </c>
      <c r="AH12" s="28">
        <v>4.9333333333333336</v>
      </c>
      <c r="AI12" s="27" t="str">
        <f t="shared" ca="1" si="7"/>
        <v>✅✅✅✅✅</v>
      </c>
      <c r="AJ12" s="25">
        <f ca="1">IFERROR(__xludf.DUMMYFUNCTION("IFERROR(SUM(FILTER($L$5:$L$1002,$C$5:$C$1002=$AJ$5,$F$5:$F$1002=AC12))*24,0)"),20.9166666665696)</f>
        <v>20.916666666569601</v>
      </c>
      <c r="AK12" s="28">
        <v>3.0833333333333335</v>
      </c>
      <c r="AL12" s="27" t="str">
        <f t="shared" ca="1" si="8"/>
        <v>✅✅✅✅✅</v>
      </c>
    </row>
    <row r="13" spans="1:39" ht="15.75" customHeight="1">
      <c r="A13" s="13">
        <f>IF(OR(ISBLANK(C13),ISBLANK(D13),ISBLANK(F13),ISBLANK(G13)),"",COUNTIF($B$5:B13,"JAMBUTU"))</f>
        <v>1</v>
      </c>
      <c r="B13" s="8" t="str">
        <f>IF(C13&lt;&gt;"","Jambutu","")</f>
        <v>Jambutu</v>
      </c>
      <c r="C13" s="8" t="s">
        <v>4</v>
      </c>
      <c r="D13" s="8" t="s">
        <v>6</v>
      </c>
      <c r="E13" s="13">
        <v>3.6</v>
      </c>
      <c r="F13" s="12">
        <v>46024</v>
      </c>
      <c r="G13" s="11">
        <v>0.61250000000000004</v>
      </c>
      <c r="H13" s="12">
        <v>46024</v>
      </c>
      <c r="I13" s="11">
        <v>0.61527777777777781</v>
      </c>
      <c r="J13" s="10">
        <f t="shared" si="0"/>
        <v>46024.612500000003</v>
      </c>
      <c r="K13" s="10">
        <f t="shared" si="1"/>
        <v>46024.615277777775</v>
      </c>
      <c r="L13" s="9">
        <f t="shared" si="2"/>
        <v>2.7777777722803876E-3</v>
      </c>
      <c r="M13" s="8" t="s">
        <v>9</v>
      </c>
      <c r="N13" s="8" t="s">
        <v>1</v>
      </c>
      <c r="O13" s="8" t="s">
        <v>0</v>
      </c>
      <c r="P13" s="8"/>
      <c r="Q13" s="8"/>
      <c r="R13" s="8"/>
      <c r="S13" s="8"/>
      <c r="T13" s="8"/>
      <c r="U13" s="8"/>
      <c r="V13" s="7"/>
      <c r="W13" s="6" t="e">
        <f t="array" aca="1" ref="W13" ca="1">IF(NOT(ISBLANK(D13)),_xludf.XLOOKUP(D13,[1]CODE!$A$4:$A$100,[1]CODE!$D$4:$D$100),"")</f>
        <v>#NAME?</v>
      </c>
      <c r="X13" s="5" t="e">
        <f t="array" aca="1" ref="X13" ca="1">IF(NOT(AND(ISBLANK(D13),ISBLANK(C13))),_xludf.XLOOKUP(D13,[1]CODE!$A$4:$A$100,[1]CODE!$E$4:$E$100),"")</f>
        <v>#NAME?</v>
      </c>
      <c r="Y13" s="5" t="str">
        <f t="shared" si="3"/>
        <v>33KV</v>
      </c>
      <c r="Z13" s="5" t="str">
        <f t="shared" si="4"/>
        <v>YES</v>
      </c>
      <c r="AA13" s="4">
        <f t="shared" si="5"/>
        <v>46024</v>
      </c>
      <c r="AC13" s="26">
        <v>46029</v>
      </c>
      <c r="AD13" s="25">
        <f ca="1">IFERROR(__xludf.DUMMYFUNCTION("IFERROR(SUM(FILTER($L$5:$L$1002,$C$5:$C$1002=$AD$5,$F$5:$F$1002=AC13))*24,0)"),0)</f>
        <v>0</v>
      </c>
      <c r="AE13" s="28">
        <v>24</v>
      </c>
      <c r="AF13" s="27" t="str">
        <f t="shared" ca="1" si="6"/>
        <v>✅✅✅✅✅</v>
      </c>
      <c r="AG13" s="25">
        <f ca="1">IFERROR(__xludf.DUMMYFUNCTION("IFERROR(SUM(FILTER($L$5:$L$1002,$C$5:$C$1002=$AG$5,$F$5:$F$1002=AC13))*24,0)"),20.8333333333139)</f>
        <v>20.833333333313899</v>
      </c>
      <c r="AH13" s="28">
        <v>3.1666666666666665</v>
      </c>
      <c r="AI13" s="27" t="str">
        <f t="shared" ca="1" si="7"/>
        <v>✅✅✅✅✅</v>
      </c>
      <c r="AJ13" s="25">
        <f ca="1">IFERROR(__xludf.DUMMYFUNCTION("IFERROR(SUM(FILTER($L$5:$L$1002,$C$5:$C$1002=$AJ$5,$F$5:$F$1002=AC13))*24,0)"),20.9333333334652)</f>
        <v>20.9333333334652</v>
      </c>
      <c r="AK13" s="28">
        <v>3.0666666666666669</v>
      </c>
      <c r="AL13" s="27" t="str">
        <f t="shared" ca="1" si="8"/>
        <v>✅✅✅✅✅</v>
      </c>
    </row>
    <row r="14" spans="1:39" ht="15.75" customHeight="1">
      <c r="A14" s="13" t="str">
        <f>IF(OR(ISBLANK(C14),ISBLANK(D14),ISBLANK(F14),ISBLANK(G14)),"",COUNTIF($B$5:B14,"JAMBUTU"))</f>
        <v/>
      </c>
      <c r="B14" s="8"/>
      <c r="C14" s="8"/>
      <c r="D14" s="8"/>
      <c r="E14" s="13"/>
      <c r="F14" s="12"/>
      <c r="G14" s="11"/>
      <c r="H14" s="12"/>
      <c r="I14" s="11"/>
      <c r="J14" s="10">
        <f t="shared" si="0"/>
        <v>0</v>
      </c>
      <c r="K14" s="10">
        <f t="shared" si="1"/>
        <v>0</v>
      </c>
      <c r="L14" s="9" t="str">
        <f t="shared" si="2"/>
        <v/>
      </c>
      <c r="M14" s="8"/>
      <c r="N14" s="8"/>
      <c r="O14" s="8"/>
      <c r="P14" s="8"/>
      <c r="Q14" s="8"/>
      <c r="R14" s="8"/>
      <c r="S14" s="8"/>
      <c r="T14" s="8"/>
      <c r="U14" s="8"/>
      <c r="V14" s="7"/>
      <c r="W14" s="6" t="str">
        <f t="array" ref="W14">IF(NOT(ISBLANK(D14)),_xludf.XLOOKUP(D14,[1]CODE!$A$4:$A$100,[1]CODE!$D$4:$D$100),"")</f>
        <v/>
      </c>
      <c r="X14" s="5" t="str">
        <f t="array" ref="X14">IF(NOT(AND(ISBLANK(D14),ISBLANK(C14))),_xludf.XLOOKUP(D14,[1]CODE!$A$4:$A$100,[1]CODE!$E$4:$E$100),"")</f>
        <v/>
      </c>
      <c r="Y14" s="5" t="str">
        <f t="shared" si="3"/>
        <v/>
      </c>
      <c r="Z14" s="5" t="str">
        <f t="shared" si="4"/>
        <v/>
      </c>
      <c r="AA14" s="4">
        <f t="shared" si="5"/>
        <v>0</v>
      </c>
      <c r="AC14" s="26">
        <v>46030</v>
      </c>
      <c r="AD14" s="25">
        <f ca="1">IFERROR(__xludf.DUMMYFUNCTION("IFERROR(SUM(FILTER($L$5:$L$1002,$C$5:$C$1002=$AD$5,$F$5:$F$1002=AC14))*24,0)"),0)</f>
        <v>0</v>
      </c>
      <c r="AE14" s="28">
        <v>24</v>
      </c>
      <c r="AF14" s="27" t="str">
        <f t="shared" ca="1" si="6"/>
        <v>✅✅✅✅✅</v>
      </c>
      <c r="AG14" s="25">
        <f ca="1">IFERROR(__xludf.DUMMYFUNCTION("IFERROR(SUM(FILTER($L$5:$L$1002,$C$5:$C$1002=$AG$5,$F$5:$F$1002=AC14))*24,0)"),21.0000000001746)</f>
        <v>21.000000000174602</v>
      </c>
      <c r="AH14" s="28">
        <v>3</v>
      </c>
      <c r="AI14" s="27" t="str">
        <f t="shared" ca="1" si="7"/>
        <v>✅✅✅✅✅</v>
      </c>
      <c r="AJ14" s="25">
        <f ca="1">IFERROR(__xludf.DUMMYFUNCTION("IFERROR(SUM(FILTER($L$5:$L$1002,$C$5:$C$1002=$AJ$5,$F$5:$F$1002=AC14))*24,0)"),20.9500000000116)</f>
        <v>20.950000000011599</v>
      </c>
      <c r="AK14" s="28">
        <v>3.05</v>
      </c>
      <c r="AL14" s="27" t="str">
        <f t="shared" ca="1" si="8"/>
        <v>✅✅✅✅✅</v>
      </c>
    </row>
    <row r="15" spans="1:39" ht="15.75" customHeight="1">
      <c r="A15" s="13" t="str">
        <f>IF(OR(ISBLANK(C15),ISBLANK(D15),ISBLANK(F15),ISBLANK(G15)),"",COUNTIF($B$5:B15,"JAMBUTU"))</f>
        <v/>
      </c>
      <c r="B15" s="8"/>
      <c r="C15" s="8"/>
      <c r="D15" s="8"/>
      <c r="E15" s="13"/>
      <c r="F15" s="12"/>
      <c r="G15" s="11"/>
      <c r="H15" s="12"/>
      <c r="I15" s="11"/>
      <c r="J15" s="10">
        <f t="shared" si="0"/>
        <v>0</v>
      </c>
      <c r="K15" s="10">
        <f t="shared" si="1"/>
        <v>0</v>
      </c>
      <c r="L15" s="9" t="str">
        <f t="shared" si="2"/>
        <v/>
      </c>
      <c r="M15" s="8"/>
      <c r="N15" s="8"/>
      <c r="O15" s="8"/>
      <c r="P15" s="8"/>
      <c r="Q15" s="8"/>
      <c r="R15" s="8"/>
      <c r="S15" s="8"/>
      <c r="T15" s="8"/>
      <c r="U15" s="8"/>
      <c r="V15" s="7"/>
      <c r="W15" s="6" t="str">
        <f t="array" ref="W15">IF(NOT(ISBLANK(D15)),_xludf.XLOOKUP(D15,[1]CODE!$A$4:$A$100,[1]CODE!$D$4:$D$100),"")</f>
        <v/>
      </c>
      <c r="X15" s="5" t="str">
        <f t="array" ref="X15">IF(NOT(AND(ISBLANK(D15),ISBLANK(C15))),_xludf.XLOOKUP(D15,[1]CODE!$A$4:$A$100,[1]CODE!$E$4:$E$100),"")</f>
        <v/>
      </c>
      <c r="Y15" s="5" t="str">
        <f t="shared" si="3"/>
        <v/>
      </c>
      <c r="Z15" s="5" t="str">
        <f t="shared" si="4"/>
        <v/>
      </c>
      <c r="AA15" s="4">
        <f t="shared" si="5"/>
        <v>0</v>
      </c>
      <c r="AC15" s="26">
        <v>46031</v>
      </c>
      <c r="AD15" s="25">
        <f ca="1">IFERROR(__xludf.DUMMYFUNCTION("IFERROR(SUM(FILTER($L$5:$L$1002,$C$5:$C$1002=$AD$5,$F$5:$F$1002=AC15))*24,0)"),0.116666666523087)</f>
        <v>0.11666666652308701</v>
      </c>
      <c r="AE15" s="28">
        <v>23.883333333333333</v>
      </c>
      <c r="AF15" s="27" t="str">
        <f t="shared" ca="1" si="6"/>
        <v>✅✅✅✅✅</v>
      </c>
      <c r="AG15" s="25">
        <f ca="1">IFERROR(__xludf.DUMMYFUNCTION("IFERROR(SUM(FILTER($L$5:$L$1002,$C$5:$C$1002=$AG$5,$F$5:$F$1002=AC15))*24,0)"),21.0000000001746)</f>
        <v>21.000000000174602</v>
      </c>
      <c r="AH15" s="28">
        <v>3</v>
      </c>
      <c r="AI15" s="27" t="str">
        <f t="shared" ca="1" si="7"/>
        <v>✅✅✅✅✅</v>
      </c>
      <c r="AJ15" s="25">
        <f ca="1">IFERROR(__xludf.DUMMYFUNCTION("IFERROR(SUM(FILTER($L$5:$L$1002,$C$5:$C$1002=$AJ$5,$F$5:$F$1002=AC15))*24,0)"),20.9999999998253)</f>
        <v>20.999999999825299</v>
      </c>
      <c r="AK15" s="28">
        <v>3</v>
      </c>
      <c r="AL15" s="27" t="str">
        <f t="shared" ca="1" si="8"/>
        <v>✅✅✅✅✅</v>
      </c>
    </row>
    <row r="16" spans="1:39" ht="15.75" customHeight="1">
      <c r="A16" s="13" t="str">
        <f>IF(OR(ISBLANK(C16),ISBLANK(D16),ISBLANK(F16),ISBLANK(G16)),"",COUNTIF($B$5:B16,"JAMBUTU"))</f>
        <v/>
      </c>
      <c r="B16" s="8"/>
      <c r="C16" s="8"/>
      <c r="D16" s="8"/>
      <c r="E16" s="13"/>
      <c r="F16" s="12"/>
      <c r="G16" s="11"/>
      <c r="H16" s="12"/>
      <c r="I16" s="11"/>
      <c r="J16" s="10">
        <f t="shared" si="0"/>
        <v>0</v>
      </c>
      <c r="K16" s="10">
        <f t="shared" si="1"/>
        <v>0</v>
      </c>
      <c r="L16" s="9" t="str">
        <f t="shared" si="2"/>
        <v/>
      </c>
      <c r="M16" s="8"/>
      <c r="N16" s="8"/>
      <c r="O16" s="8"/>
      <c r="P16" s="8"/>
      <c r="Q16" s="8"/>
      <c r="R16" s="8"/>
      <c r="S16" s="8"/>
      <c r="T16" s="8"/>
      <c r="U16" s="8"/>
      <c r="V16" s="7"/>
      <c r="W16" s="6" t="str">
        <f t="array" ref="W16">IF(NOT(ISBLANK(D16)),_xludf.XLOOKUP(D16,[1]CODE!$A$4:$A$100,[1]CODE!$D$4:$D$100),"")</f>
        <v/>
      </c>
      <c r="X16" s="5" t="str">
        <f t="array" ref="X16">IF(NOT(AND(ISBLANK(D16),ISBLANK(C16))),_xludf.XLOOKUP(D16,[1]CODE!$A$4:$A$100,[1]CODE!$E$4:$E$100),"")</f>
        <v/>
      </c>
      <c r="Y16" s="5" t="str">
        <f t="shared" si="3"/>
        <v/>
      </c>
      <c r="Z16" s="5" t="str">
        <f t="shared" si="4"/>
        <v/>
      </c>
      <c r="AA16" s="4">
        <f t="shared" si="5"/>
        <v>0</v>
      </c>
      <c r="AC16" s="26">
        <v>46032</v>
      </c>
      <c r="AD16" s="25">
        <f ca="1">IFERROR(__xludf.DUMMYFUNCTION("IFERROR(SUM(FILTER($L$5:$L$1002,$C$5:$C$1002=$AD$5,$F$5:$F$1002=AC16))*24,0)"),0.0833333332557231)</f>
        <v>8.3333333255723105E-2</v>
      </c>
      <c r="AE16" s="28">
        <v>23.916666666666668</v>
      </c>
      <c r="AF16" s="27" t="str">
        <f t="shared" ca="1" si="6"/>
        <v>✅✅✅✅✅</v>
      </c>
      <c r="AG16" s="25">
        <f ca="1">IFERROR(__xludf.DUMMYFUNCTION("IFERROR(SUM(FILTER($L$5:$L$1002,$C$5:$C$1002=$AG$5,$F$5:$F$1002=AC16))*24,0)"),21)</f>
        <v>21</v>
      </c>
      <c r="AH16" s="28">
        <v>3</v>
      </c>
      <c r="AI16" s="27" t="str">
        <f t="shared" ca="1" si="7"/>
        <v>✅✅✅✅✅</v>
      </c>
      <c r="AJ16" s="25">
        <f ca="1">IFERROR(__xludf.DUMMYFUNCTION("IFERROR(SUM(FILTER($L$5:$L$1002,$C$5:$C$1002=$AJ$5,$F$5:$F$1002=AC16))*24,0)"),16.9999999997089)</f>
        <v>16.999999999708901</v>
      </c>
      <c r="AK16" s="28">
        <v>7</v>
      </c>
      <c r="AL16" s="27" t="str">
        <f t="shared" ca="1" si="8"/>
        <v>✅✅✅✅✅</v>
      </c>
    </row>
    <row r="17" spans="1:38" ht="15.5">
      <c r="A17" s="13">
        <f>IF(OR(ISBLANK(C17),ISBLANK(D17),ISBLANK(F17),ISBLANK(G17)),"",COUNTIF($B$5:B17,"JAMBUTU"))</f>
        <v>2</v>
      </c>
      <c r="B17" s="8" t="str">
        <f>IF(C17&lt;&gt;"","Jambutu","")</f>
        <v>Jambutu</v>
      </c>
      <c r="C17" s="8" t="s">
        <v>4</v>
      </c>
      <c r="D17" s="8" t="s">
        <v>6</v>
      </c>
      <c r="E17" s="13">
        <v>3.6</v>
      </c>
      <c r="F17" s="12">
        <v>46025</v>
      </c>
      <c r="G17" s="11">
        <v>0</v>
      </c>
      <c r="H17" s="12">
        <v>46025</v>
      </c>
      <c r="I17" s="11">
        <v>0.3888888888888889</v>
      </c>
      <c r="J17" s="10">
        <f t="shared" si="0"/>
        <v>46025</v>
      </c>
      <c r="K17" s="10">
        <f t="shared" si="1"/>
        <v>46025.388888888891</v>
      </c>
      <c r="L17" s="9">
        <f t="shared" si="2"/>
        <v>0.38888888889050577</v>
      </c>
      <c r="M17" s="8" t="s">
        <v>9</v>
      </c>
      <c r="N17" s="8" t="s">
        <v>1</v>
      </c>
      <c r="O17" s="8" t="s">
        <v>17</v>
      </c>
      <c r="P17" s="8"/>
      <c r="Q17" s="8"/>
      <c r="R17" s="8"/>
      <c r="S17" s="8"/>
      <c r="T17" s="8"/>
      <c r="U17" s="8"/>
      <c r="V17" s="7"/>
      <c r="W17" s="6" t="e">
        <f t="array" aca="1" ref="W17" ca="1">IF(NOT(ISBLANK(D17)),_xludf.XLOOKUP(D17,[1]CODE!$A$4:$A$100,[1]CODE!$D$4:$D$100),"")</f>
        <v>#NAME?</v>
      </c>
      <c r="X17" s="5" t="e">
        <f t="array" aca="1" ref="X17" ca="1">IF(NOT(AND(ISBLANK(D17),ISBLANK(C17))),_xludf.XLOOKUP(D17,[1]CODE!$A$4:$A$100,[1]CODE!$E$4:$E$100),"")</f>
        <v>#NAME?</v>
      </c>
      <c r="Y17" s="5" t="str">
        <f t="shared" si="3"/>
        <v>33KV</v>
      </c>
      <c r="Z17" s="5" t="str">
        <f t="shared" si="4"/>
        <v>YES</v>
      </c>
      <c r="AA17" s="4">
        <f t="shared" si="5"/>
        <v>46025</v>
      </c>
      <c r="AC17" s="26">
        <v>46033</v>
      </c>
      <c r="AD17" s="25">
        <f ca="1">IFERROR(__xludf.DUMMYFUNCTION("IFERROR(SUM(FILTER($L$5:$L$1002,$C$5:$C$1002=$AD$5,$F$5:$F$1002=AC17))*24,0)"),14.5999999999185)</f>
        <v>14.5999999999185</v>
      </c>
      <c r="AE17" s="28">
        <v>9.4</v>
      </c>
      <c r="AF17" s="27" t="str">
        <f t="shared" ca="1" si="6"/>
        <v>✅✅✅✅✅</v>
      </c>
      <c r="AG17" s="25">
        <f ca="1">IFERROR(__xludf.DUMMYFUNCTION("IFERROR(SUM(FILTER($L$5:$L$1002,$C$5:$C$1002=$AG$5,$F$5:$F$1002=AC17))*24,0)"),22.0000000001164)</f>
        <v>22.000000000116401</v>
      </c>
      <c r="AH17" s="28">
        <v>2</v>
      </c>
      <c r="AI17" s="27" t="str">
        <f t="shared" ca="1" si="7"/>
        <v>✅✅✅✅✅</v>
      </c>
      <c r="AJ17" s="25">
        <f ca="1">IFERROR(__xludf.DUMMYFUNCTION("IFERROR(SUM(FILTER($L$5:$L$1002,$C$5:$C$1002=$AJ$5,$F$5:$F$1002=AC17))*24,0)"),21.7833333332673)</f>
        <v>21.783333333267301</v>
      </c>
      <c r="AK17" s="28">
        <v>2.2166666666666668</v>
      </c>
      <c r="AL17" s="27" t="str">
        <f t="shared" ca="1" si="8"/>
        <v>✅✅✅✅✅</v>
      </c>
    </row>
    <row r="18" spans="1:38" ht="15.5">
      <c r="A18" s="13" t="str">
        <f>IF(OR(ISBLANK(C18),ISBLANK(D18),ISBLANK(F18),ISBLANK(G18)),"",COUNTIF($B$5:B18,"JAMBUTU"))</f>
        <v/>
      </c>
      <c r="B18" s="8"/>
      <c r="C18" s="8"/>
      <c r="D18" s="8"/>
      <c r="E18" s="13"/>
      <c r="F18" s="12"/>
      <c r="G18" s="11"/>
      <c r="H18" s="12"/>
      <c r="I18" s="11"/>
      <c r="J18" s="10">
        <f t="shared" si="0"/>
        <v>0</v>
      </c>
      <c r="K18" s="10">
        <f t="shared" si="1"/>
        <v>0</v>
      </c>
      <c r="L18" s="9" t="str">
        <f t="shared" si="2"/>
        <v/>
      </c>
      <c r="M18" s="8"/>
      <c r="N18" s="8"/>
      <c r="O18" s="8"/>
      <c r="P18" s="8"/>
      <c r="Q18" s="8"/>
      <c r="R18" s="8"/>
      <c r="S18" s="8"/>
      <c r="T18" s="8"/>
      <c r="U18" s="8"/>
      <c r="V18" s="7"/>
      <c r="W18" s="6" t="str">
        <f t="array" ref="W18">IF(NOT(ISBLANK(D18)),_xludf.XLOOKUP(D18,[1]CODE!$A$4:$A$100,[1]CODE!$D$4:$D$100),"")</f>
        <v/>
      </c>
      <c r="X18" s="5" t="str">
        <f t="array" ref="X18">IF(NOT(AND(ISBLANK(D18),ISBLANK(C18))),_xludf.XLOOKUP(D18,[1]CODE!$A$4:$A$100,[1]CODE!$E$4:$E$100),"")</f>
        <v/>
      </c>
      <c r="Y18" s="5" t="str">
        <f t="shared" si="3"/>
        <v/>
      </c>
      <c r="Z18" s="5" t="str">
        <f t="shared" si="4"/>
        <v/>
      </c>
      <c r="AA18" s="4">
        <f t="shared" si="5"/>
        <v>0</v>
      </c>
      <c r="AC18" s="26">
        <v>46034</v>
      </c>
      <c r="AD18" s="25">
        <f ca="1">IFERROR(__xludf.DUMMYFUNCTION("IFERROR(SUM(FILTER($L$5:$L$1002,$C$5:$C$1002=$AD$5,$F$5:$F$1002=AC18))*24,0)"),24)</f>
        <v>24</v>
      </c>
      <c r="AE18" s="28">
        <v>0</v>
      </c>
      <c r="AF18" s="27" t="str">
        <f t="shared" ca="1" si="6"/>
        <v>✅✅✅✅✅</v>
      </c>
      <c r="AG18" s="25">
        <f ca="1">IFERROR(__xludf.DUMMYFUNCTION("IFERROR(SUM(FILTER($L$5:$L$1002,$C$5:$C$1002=$AG$5,$F$5:$F$1002=AC18))*24,0)"),24)</f>
        <v>24</v>
      </c>
      <c r="AH18" s="28">
        <v>0</v>
      </c>
      <c r="AI18" s="27" t="str">
        <f t="shared" ca="1" si="7"/>
        <v>✅✅✅✅✅</v>
      </c>
      <c r="AJ18" s="25">
        <f ca="1">IFERROR(__xludf.DUMMYFUNCTION("IFERROR(SUM(FILTER($L$5:$L$1002,$C$5:$C$1002=$AJ$5,$F$5:$F$1002=AC18))*24,0)"),24)</f>
        <v>24</v>
      </c>
      <c r="AK18" s="28">
        <v>0</v>
      </c>
      <c r="AL18" s="27" t="str">
        <f t="shared" ca="1" si="8"/>
        <v>✅✅✅✅✅</v>
      </c>
    </row>
    <row r="19" spans="1:38" ht="15.5">
      <c r="A19" s="13" t="str">
        <f>IF(OR(ISBLANK(C19),ISBLANK(D19),ISBLANK(F19),ISBLANK(G19)),"",COUNTIF($B$5:B19,"JAMBUTU"))</f>
        <v/>
      </c>
      <c r="B19" s="8"/>
      <c r="C19" s="8"/>
      <c r="D19" s="8"/>
      <c r="E19" s="13"/>
      <c r="F19" s="12"/>
      <c r="G19" s="11"/>
      <c r="H19" s="12"/>
      <c r="I19" s="11"/>
      <c r="J19" s="10">
        <f t="shared" si="0"/>
        <v>0</v>
      </c>
      <c r="K19" s="10">
        <f t="shared" si="1"/>
        <v>0</v>
      </c>
      <c r="L19" s="9" t="str">
        <f t="shared" si="2"/>
        <v/>
      </c>
      <c r="M19" s="8"/>
      <c r="N19" s="8"/>
      <c r="O19" s="8"/>
      <c r="P19" s="8"/>
      <c r="Q19" s="8"/>
      <c r="R19" s="8"/>
      <c r="S19" s="8"/>
      <c r="T19" s="8"/>
      <c r="U19" s="8"/>
      <c r="V19" s="7"/>
      <c r="W19" s="6" t="str">
        <f t="array" ref="W19">IF(NOT(ISBLANK(D19)),_xludf.XLOOKUP(D19,[1]CODE!$A$4:$A$100,[1]CODE!$D$4:$D$100),"")</f>
        <v/>
      </c>
      <c r="X19" s="5" t="str">
        <f t="array" ref="X19">IF(NOT(AND(ISBLANK(D19),ISBLANK(C19))),_xludf.XLOOKUP(D19,[1]CODE!$A$4:$A$100,[1]CODE!$E$4:$E$100),"")</f>
        <v/>
      </c>
      <c r="Y19" s="5" t="str">
        <f t="shared" si="3"/>
        <v/>
      </c>
      <c r="Z19" s="5" t="str">
        <f t="shared" si="4"/>
        <v/>
      </c>
      <c r="AA19" s="4">
        <f t="shared" si="5"/>
        <v>0</v>
      </c>
      <c r="AC19" s="26">
        <v>46035</v>
      </c>
      <c r="AD19" s="25">
        <f ca="1">IFERROR(__xludf.DUMMYFUNCTION("IFERROR(SUM(FILTER($L$5:$L$1002,$C$5:$C$1002=$AD$5,$F$5:$F$1002=AC19))*24,0)"),1.10000000009313)</f>
        <v>1.10000000009313</v>
      </c>
      <c r="AE19" s="28">
        <v>22.9</v>
      </c>
      <c r="AF19" s="27" t="str">
        <f t="shared" ca="1" si="6"/>
        <v>✅✅✅✅✅</v>
      </c>
      <c r="AG19" s="25">
        <f ca="1">IFERROR(__xludf.DUMMYFUNCTION("IFERROR(SUM(FILTER($L$5:$L$1002,$C$5:$C$1002=$AG$5,$F$5:$F$1002=AC19))*24,0)"),15.6666666665696)</f>
        <v>15.666666666569601</v>
      </c>
      <c r="AH19" s="28">
        <v>8.3333333333333339</v>
      </c>
      <c r="AI19" s="27" t="str">
        <f t="shared" ca="1" si="7"/>
        <v>✅✅✅✅✅</v>
      </c>
      <c r="AJ19" s="25">
        <f ca="1">IFERROR(__xludf.DUMMYFUNCTION("IFERROR(SUM(FILTER($L$5:$L$1002,$C$5:$C$1002=$AJ$5,$F$5:$F$1002=AC19))*24,0)"),18)</f>
        <v>18</v>
      </c>
      <c r="AK19" s="28">
        <v>6</v>
      </c>
      <c r="AL19" s="27" t="str">
        <f t="shared" ca="1" si="8"/>
        <v>✅✅✅✅✅</v>
      </c>
    </row>
    <row r="20" spans="1:38" ht="15.5">
      <c r="A20" s="13">
        <f>IF(OR(ISBLANK(C20),ISBLANK(D20),ISBLANK(F20),ISBLANK(G20)),"",COUNTIF($B$5:B20,"JAMBUTU"))</f>
        <v>3</v>
      </c>
      <c r="B20" s="8" t="str">
        <f>IF(C20&lt;&gt;"","Jambutu","")</f>
        <v>Jambutu</v>
      </c>
      <c r="C20" s="8" t="s">
        <v>4</v>
      </c>
      <c r="D20" s="8" t="s">
        <v>6</v>
      </c>
      <c r="E20" s="13">
        <v>3.4</v>
      </c>
      <c r="F20" s="12">
        <v>46025</v>
      </c>
      <c r="G20" s="11">
        <v>0.48055555555555557</v>
      </c>
      <c r="H20" s="12">
        <v>46025</v>
      </c>
      <c r="I20" s="11">
        <v>0.48749999999999999</v>
      </c>
      <c r="J20" s="10">
        <f t="shared" si="0"/>
        <v>46025.480555555558</v>
      </c>
      <c r="K20" s="10">
        <f t="shared" si="1"/>
        <v>46025.487500000003</v>
      </c>
      <c r="L20" s="9">
        <f t="shared" si="2"/>
        <v>6.9444444452528842E-3</v>
      </c>
      <c r="M20" s="8" t="s">
        <v>16</v>
      </c>
      <c r="N20" s="8" t="s">
        <v>1</v>
      </c>
      <c r="O20" s="8" t="s">
        <v>0</v>
      </c>
      <c r="P20" s="8"/>
      <c r="Q20" s="8"/>
      <c r="R20" s="8"/>
      <c r="S20" s="8"/>
      <c r="T20" s="8"/>
      <c r="U20" s="8"/>
      <c r="V20" s="7"/>
      <c r="W20" s="6" t="e">
        <f t="array" aca="1" ref="W20" ca="1">IF(NOT(ISBLANK(D20)),_xludf.XLOOKUP(D20,[1]CODE!$A$4:$A$100,[1]CODE!$D$4:$D$100),"")</f>
        <v>#NAME?</v>
      </c>
      <c r="X20" s="5" t="e">
        <f t="array" aca="1" ref="X20" ca="1">IF(NOT(AND(ISBLANK(D20),ISBLANK(C20))),_xludf.XLOOKUP(D20,[1]CODE!$A$4:$A$100,[1]CODE!$E$4:$E$100),"")</f>
        <v>#NAME?</v>
      </c>
      <c r="Y20" s="5" t="str">
        <f t="shared" si="3"/>
        <v>33KV</v>
      </c>
      <c r="Z20" s="5" t="str">
        <f t="shared" si="4"/>
        <v>YES</v>
      </c>
      <c r="AA20" s="4">
        <f t="shared" si="5"/>
        <v>46025</v>
      </c>
      <c r="AC20" s="26">
        <v>46036</v>
      </c>
      <c r="AD20" s="25">
        <f ca="1">IFERROR(__xludf.DUMMYFUNCTION("IFERROR(SUM(FILTER($L$5:$L$1002,$C$5:$C$1002=$AD$5,$F$5:$F$1002=AC20))*24,0)"),0)</f>
        <v>0</v>
      </c>
      <c r="AE20" s="28">
        <v>24</v>
      </c>
      <c r="AF20" s="27" t="str">
        <f t="shared" ca="1" si="6"/>
        <v>✅✅✅✅✅</v>
      </c>
      <c r="AG20" s="25">
        <f ca="1">IFERROR(__xludf.DUMMYFUNCTION("IFERROR(SUM(FILTER($L$5:$L$1002,$C$5:$C$1002=$AG$5,$F$5:$F$1002=AC20))*24,0)"),18.6666666667442)</f>
        <v>18.666666666744199</v>
      </c>
      <c r="AH20" s="28">
        <v>5.333333333333333</v>
      </c>
      <c r="AI20" s="27" t="str">
        <f t="shared" ca="1" si="7"/>
        <v>✅✅✅✅✅</v>
      </c>
      <c r="AJ20" s="25">
        <f ca="1">IFERROR(__xludf.DUMMYFUNCTION("IFERROR(SUM(FILTER($L$5:$L$1002,$C$5:$C$1002=$AJ$5,$F$5:$F$1002=AC20))*24,0)"),19.7166666666744)</f>
        <v>19.716666666674399</v>
      </c>
      <c r="AK20" s="28">
        <v>4.2833333333333332</v>
      </c>
      <c r="AL20" s="27" t="str">
        <f t="shared" ca="1" si="8"/>
        <v>✅✅✅✅✅</v>
      </c>
    </row>
    <row r="21" spans="1:38" ht="15.5">
      <c r="A21" s="13">
        <f>IF(OR(ISBLANK(C21),ISBLANK(D21),ISBLANK(F21),ISBLANK(G21)),"",COUNTIF($B$5:B21,"JAMBUTU"))</f>
        <v>4</v>
      </c>
      <c r="B21" s="8" t="str">
        <f>IF(C21&lt;&gt;"","Jambutu","")</f>
        <v>Jambutu</v>
      </c>
      <c r="C21" s="8" t="s">
        <v>4</v>
      </c>
      <c r="D21" s="8" t="s">
        <v>6</v>
      </c>
      <c r="E21" s="13">
        <v>3.3</v>
      </c>
      <c r="F21" s="12">
        <v>46025</v>
      </c>
      <c r="G21" s="11">
        <v>0.5493055555555556</v>
      </c>
      <c r="H21" s="12">
        <v>46025</v>
      </c>
      <c r="I21" s="11">
        <v>0.55972222222222223</v>
      </c>
      <c r="J21" s="10">
        <f t="shared" si="0"/>
        <v>46025.549305555556</v>
      </c>
      <c r="K21" s="10">
        <f t="shared" si="1"/>
        <v>46025.55972222222</v>
      </c>
      <c r="L21" s="9">
        <f t="shared" si="2"/>
        <v>1.0416666664241347E-2</v>
      </c>
      <c r="M21" s="8" t="s">
        <v>16</v>
      </c>
      <c r="N21" s="8" t="s">
        <v>1</v>
      </c>
      <c r="O21" s="8" t="s">
        <v>0</v>
      </c>
      <c r="P21" s="8"/>
      <c r="Q21" s="8"/>
      <c r="R21" s="8"/>
      <c r="S21" s="8"/>
      <c r="T21" s="8"/>
      <c r="U21" s="8"/>
      <c r="V21" s="7"/>
      <c r="W21" s="6" t="e">
        <f t="array" aca="1" ref="W21" ca="1">IF(NOT(ISBLANK(D21)),_xludf.XLOOKUP(D21,[1]CODE!$A$4:$A$100,[1]CODE!$D$4:$D$100),"")</f>
        <v>#NAME?</v>
      </c>
      <c r="X21" s="5" t="e">
        <f t="array" aca="1" ref="X21" ca="1">IF(NOT(AND(ISBLANK(D21),ISBLANK(C21))),_xludf.XLOOKUP(D21,[1]CODE!$A$4:$A$100,[1]CODE!$E$4:$E$100),"")</f>
        <v>#NAME?</v>
      </c>
      <c r="Y21" s="5" t="str">
        <f t="shared" si="3"/>
        <v>33KV</v>
      </c>
      <c r="Z21" s="5" t="str">
        <f t="shared" si="4"/>
        <v>YES</v>
      </c>
      <c r="AA21" s="4">
        <f t="shared" si="5"/>
        <v>46025</v>
      </c>
      <c r="AC21" s="26">
        <v>46037</v>
      </c>
      <c r="AD21" s="25">
        <f ca="1">IFERROR(__xludf.DUMMYFUNCTION("IFERROR(SUM(FILTER($L$5:$L$1002,$C$5:$C$1002=$AD$5,$F$5:$F$1002=AC21))*24,0)"),0.166666666686069)</f>
        <v>0.166666666686069</v>
      </c>
      <c r="AE21" s="28">
        <v>23.833333333333332</v>
      </c>
      <c r="AF21" s="27" t="str">
        <f t="shared" ca="1" si="6"/>
        <v>✅✅✅✅✅</v>
      </c>
      <c r="AG21" s="25">
        <f ca="1">IFERROR(__xludf.DUMMYFUNCTION("IFERROR(SUM(FILTER($L$5:$L$1002,$C$5:$C$1002=$AG$5,$F$5:$F$1002=AC21))*24,0)"),21)</f>
        <v>21</v>
      </c>
      <c r="AH21" s="28">
        <v>3</v>
      </c>
      <c r="AI21" s="27" t="str">
        <f t="shared" ca="1" si="7"/>
        <v>✅✅✅✅✅</v>
      </c>
      <c r="AJ21" s="25">
        <f ca="1">IFERROR(__xludf.DUMMYFUNCTION("IFERROR(SUM(FILTER($L$5:$L$1002,$C$5:$C$1002=$AJ$5,$F$5:$F$1002=AC21))*24,0)"),20.0000000000582)</f>
        <v>20.000000000058201</v>
      </c>
      <c r="AK21" s="28">
        <v>4</v>
      </c>
      <c r="AL21" s="27" t="str">
        <f t="shared" ca="1" si="8"/>
        <v>✅✅✅✅✅</v>
      </c>
    </row>
    <row r="22" spans="1:38" ht="15.5">
      <c r="A22" s="13" t="str">
        <f>IF(OR(ISBLANK(C22),ISBLANK(D22),ISBLANK(F22),ISBLANK(G22)),"",COUNTIF($B$5:B22,"JAMBUTU"))</f>
        <v/>
      </c>
      <c r="B22" s="8"/>
      <c r="C22" s="8"/>
      <c r="D22" s="8"/>
      <c r="E22" s="13"/>
      <c r="F22" s="12"/>
      <c r="G22" s="11"/>
      <c r="H22" s="12"/>
      <c r="I22" s="11"/>
      <c r="J22" s="10">
        <f t="shared" si="0"/>
        <v>0</v>
      </c>
      <c r="K22" s="10">
        <f t="shared" si="1"/>
        <v>0</v>
      </c>
      <c r="L22" s="9" t="str">
        <f t="shared" si="2"/>
        <v/>
      </c>
      <c r="M22" s="8"/>
      <c r="N22" s="8"/>
      <c r="O22" s="8"/>
      <c r="P22" s="8"/>
      <c r="Q22" s="8"/>
      <c r="R22" s="8"/>
      <c r="S22" s="8"/>
      <c r="T22" s="8"/>
      <c r="U22" s="8"/>
      <c r="V22" s="7"/>
      <c r="W22" s="6" t="str">
        <f t="array" ref="W22">IF(NOT(ISBLANK(D22)),_xludf.XLOOKUP(D22,[1]CODE!$A$4:$A$100,[1]CODE!$D$4:$D$100),"")</f>
        <v/>
      </c>
      <c r="X22" s="5" t="str">
        <f t="array" ref="X22">IF(NOT(AND(ISBLANK(D22),ISBLANK(C22))),_xludf.XLOOKUP(D22,[1]CODE!$A$4:$A$100,[1]CODE!$E$4:$E$100),"")</f>
        <v/>
      </c>
      <c r="Y22" s="5" t="str">
        <f t="shared" si="3"/>
        <v/>
      </c>
      <c r="Z22" s="5" t="str">
        <f t="shared" si="4"/>
        <v/>
      </c>
      <c r="AA22" s="4">
        <f t="shared" si="5"/>
        <v>0</v>
      </c>
      <c r="AC22" s="26">
        <v>46038</v>
      </c>
      <c r="AD22" s="25">
        <f ca="1">IFERROR(__xludf.DUMMYFUNCTION("IFERROR(SUM(FILTER($L$5:$L$1002,$C$5:$C$1002=$AD$5,$F$5:$F$1002=AC22))*24,0)"),2.10000000003492)</f>
        <v>2.1000000000349202</v>
      </c>
      <c r="AE22" s="28">
        <v>21.9</v>
      </c>
      <c r="AF22" s="27" t="str">
        <f t="shared" ca="1" si="6"/>
        <v>✅✅✅✅✅</v>
      </c>
      <c r="AG22" s="25">
        <f ca="1">IFERROR(__xludf.DUMMYFUNCTION("IFERROR(SUM(FILTER($L$5:$L$1002,$C$5:$C$1002=$AG$5,$F$5:$F$1002=AC22))*24,0)"),21)</f>
        <v>21</v>
      </c>
      <c r="AH22" s="28">
        <v>3</v>
      </c>
      <c r="AI22" s="27" t="str">
        <f t="shared" ca="1" si="7"/>
        <v>✅✅✅✅✅</v>
      </c>
      <c r="AJ22" s="25">
        <f ca="1">IFERROR(__xludf.DUMMYFUNCTION("IFERROR(SUM(FILTER($L$5:$L$1002,$C$5:$C$1002=$AJ$5,$F$5:$F$1002=AC22))*24,0)"),20.0000000000582)</f>
        <v>20.000000000058201</v>
      </c>
      <c r="AK22" s="28">
        <v>4</v>
      </c>
      <c r="AL22" s="27" t="str">
        <f t="shared" ca="1" si="8"/>
        <v>✅✅✅✅✅</v>
      </c>
    </row>
    <row r="23" spans="1:38" ht="15.5">
      <c r="A23" s="13" t="str">
        <f>IF(OR(ISBLANK(C23),ISBLANK(D23),ISBLANK(F23),ISBLANK(G23)),"",COUNTIF($B$5:B23,"JAMBUTU"))</f>
        <v/>
      </c>
      <c r="B23" s="8"/>
      <c r="C23" s="8"/>
      <c r="D23" s="8"/>
      <c r="E23" s="13"/>
      <c r="F23" s="12"/>
      <c r="G23" s="11"/>
      <c r="H23" s="12"/>
      <c r="I23" s="11"/>
      <c r="J23" s="10">
        <f t="shared" si="0"/>
        <v>0</v>
      </c>
      <c r="K23" s="10">
        <f t="shared" si="1"/>
        <v>0</v>
      </c>
      <c r="L23" s="9" t="str">
        <f t="shared" si="2"/>
        <v/>
      </c>
      <c r="M23" s="8"/>
      <c r="N23" s="8"/>
      <c r="O23" s="8"/>
      <c r="P23" s="8"/>
      <c r="Q23" s="8"/>
      <c r="R23" s="8"/>
      <c r="S23" s="8"/>
      <c r="T23" s="8"/>
      <c r="U23" s="8"/>
      <c r="V23" s="7"/>
      <c r="W23" s="6" t="str">
        <f t="array" ref="W23">IF(NOT(ISBLANK(D23)),_xludf.XLOOKUP(D23,[1]CODE!$A$4:$A$100,[1]CODE!$D$4:$D$100),"")</f>
        <v/>
      </c>
      <c r="X23" s="5" t="str">
        <f t="array" ref="X23">IF(NOT(AND(ISBLANK(D23),ISBLANK(C23))),_xludf.XLOOKUP(D23,[1]CODE!$A$4:$A$100,[1]CODE!$E$4:$E$100),"")</f>
        <v/>
      </c>
      <c r="Y23" s="5" t="str">
        <f t="shared" si="3"/>
        <v/>
      </c>
      <c r="Z23" s="5" t="str">
        <f t="shared" si="4"/>
        <v/>
      </c>
      <c r="AA23" s="4">
        <f t="shared" si="5"/>
        <v>0</v>
      </c>
      <c r="AC23" s="26">
        <v>46039</v>
      </c>
      <c r="AD23" s="25">
        <f ca="1">IFERROR(__xludf.DUMMYFUNCTION("IFERROR(SUM(FILTER($L$5:$L$1002,$C$5:$C$1002=$AD$5,$F$5:$F$1002=AC23))*24,0)"),0.216666666674427)</f>
        <v>0.21666666667442699</v>
      </c>
      <c r="AE23" s="28">
        <v>23.783333333333335</v>
      </c>
      <c r="AF23" s="27" t="str">
        <f t="shared" ca="1" si="6"/>
        <v>✅✅✅✅✅</v>
      </c>
      <c r="AG23" s="25">
        <f ca="1">IFERROR(__xludf.DUMMYFUNCTION("IFERROR(SUM(FILTER($L$5:$L$1002,$C$5:$C$1002=$AG$5,$F$5:$F$1002=AC23))*24,0)"),21)</f>
        <v>21</v>
      </c>
      <c r="AH23" s="28">
        <v>3</v>
      </c>
      <c r="AI23" s="27" t="str">
        <f t="shared" ca="1" si="7"/>
        <v>✅✅✅✅✅</v>
      </c>
      <c r="AJ23" s="25">
        <f ca="1">IFERROR(__xludf.DUMMYFUNCTION("IFERROR(SUM(FILTER($L$5:$L$1002,$C$5:$C$1002=$AJ$5,$F$5:$F$1002=AC23))*24,0)"),17.0333333335001)</f>
        <v>17.033333333500099</v>
      </c>
      <c r="AK23" s="28">
        <v>6.9666666666666668</v>
      </c>
      <c r="AL23" s="27" t="str">
        <f t="shared" ca="1" si="8"/>
        <v>✅✅✅✅✅</v>
      </c>
    </row>
    <row r="24" spans="1:38" ht="15.5">
      <c r="A24" s="13">
        <f>IF(OR(ISBLANK(C24),ISBLANK(D24),ISBLANK(F24),ISBLANK(G24)),"",COUNTIF($B$5:B24,"JAMBUTU"))</f>
        <v>5</v>
      </c>
      <c r="B24" s="8" t="str">
        <f>IF(C24&lt;&gt;"","Jambutu","")</f>
        <v>Jambutu</v>
      </c>
      <c r="C24" s="8" t="s">
        <v>4</v>
      </c>
      <c r="D24" s="8" t="s">
        <v>6</v>
      </c>
      <c r="E24" s="13">
        <v>3.3</v>
      </c>
      <c r="F24" s="12">
        <v>46025</v>
      </c>
      <c r="G24" s="11">
        <v>0.72499999999999998</v>
      </c>
      <c r="H24" s="12">
        <v>46025</v>
      </c>
      <c r="I24" s="11">
        <v>0.7319444444444444</v>
      </c>
      <c r="J24" s="10">
        <f t="shared" si="0"/>
        <v>46025.724999999999</v>
      </c>
      <c r="K24" s="10">
        <f t="shared" si="1"/>
        <v>46025.731944444444</v>
      </c>
      <c r="L24" s="9">
        <f t="shared" si="2"/>
        <v>6.9444444452528842E-3</v>
      </c>
      <c r="M24" s="8" t="s">
        <v>16</v>
      </c>
      <c r="N24" s="8" t="s">
        <v>1</v>
      </c>
      <c r="O24" s="8" t="s">
        <v>0</v>
      </c>
      <c r="P24" s="8"/>
      <c r="Q24" s="8"/>
      <c r="R24" s="8"/>
      <c r="S24" s="8"/>
      <c r="T24" s="8"/>
      <c r="U24" s="8"/>
      <c r="V24" s="7"/>
      <c r="W24" s="6" t="e">
        <f t="array" aca="1" ref="W24" ca="1">IF(NOT(ISBLANK(D24)),_xludf.XLOOKUP(D24,[1]CODE!$A$4:$A$100,[1]CODE!$D$4:$D$100),"")</f>
        <v>#NAME?</v>
      </c>
      <c r="X24" s="5" t="e">
        <f t="array" aca="1" ref="X24" ca="1">IF(NOT(AND(ISBLANK(D24),ISBLANK(C24))),_xludf.XLOOKUP(D24,[1]CODE!$A$4:$A$100,[1]CODE!$E$4:$E$100),"")</f>
        <v>#NAME?</v>
      </c>
      <c r="Y24" s="5" t="str">
        <f t="shared" si="3"/>
        <v>33KV</v>
      </c>
      <c r="Z24" s="5" t="str">
        <f t="shared" si="4"/>
        <v>YES</v>
      </c>
      <c r="AA24" s="4">
        <f t="shared" si="5"/>
        <v>46025</v>
      </c>
      <c r="AC24" s="26">
        <v>46040</v>
      </c>
      <c r="AD24" s="25">
        <f ca="1">IFERROR(__xludf.DUMMYFUNCTION("IFERROR(SUM(FILTER($L$5:$L$1002,$C$5:$C$1002=$AD$5,$F$5:$F$1002=AC24))*24,0)"),1.30000000004656)</f>
        <v>1.3000000000465599</v>
      </c>
      <c r="AE24" s="28">
        <v>22.7</v>
      </c>
      <c r="AF24" s="27" t="str">
        <f t="shared" ca="1" si="6"/>
        <v>✅✅✅✅✅</v>
      </c>
      <c r="AG24" s="25">
        <f ca="1">IFERROR(__xludf.DUMMYFUNCTION("IFERROR(SUM(FILTER($L$5:$L$1002,$C$5:$C$1002=$AG$5,$F$5:$F$1002=AC24))*24,0)"),21)</f>
        <v>21</v>
      </c>
      <c r="AH24" s="28">
        <v>3</v>
      </c>
      <c r="AI24" s="27" t="str">
        <f t="shared" ca="1" si="7"/>
        <v>✅✅✅✅✅</v>
      </c>
      <c r="AJ24" s="25">
        <f ca="1">IFERROR(__xludf.DUMMYFUNCTION("IFERROR(SUM(FILTER($L$5:$L$1002,$C$5:$C$1002=$AJ$5,$F$5:$F$1002=AC24))*24,0)"),21.0000000001746)</f>
        <v>21.000000000174602</v>
      </c>
      <c r="AK24" s="28">
        <v>3</v>
      </c>
      <c r="AL24" s="27" t="str">
        <f t="shared" ca="1" si="8"/>
        <v>✅✅✅✅✅</v>
      </c>
    </row>
    <row r="25" spans="1:38" ht="15.5">
      <c r="A25" s="13" t="str">
        <f>IF(OR(ISBLANK(C25),ISBLANK(D25),ISBLANK(F25),ISBLANK(G25)),"",COUNTIF($B$5:B25,"JAMBUTU"))</f>
        <v/>
      </c>
      <c r="B25" s="8"/>
      <c r="C25" s="8"/>
      <c r="D25" s="8"/>
      <c r="E25" s="13"/>
      <c r="F25" s="12"/>
      <c r="G25" s="11"/>
      <c r="H25" s="12"/>
      <c r="I25" s="11"/>
      <c r="J25" s="10">
        <f t="shared" si="0"/>
        <v>0</v>
      </c>
      <c r="K25" s="10">
        <f t="shared" si="1"/>
        <v>0</v>
      </c>
      <c r="L25" s="9" t="str">
        <f t="shared" si="2"/>
        <v/>
      </c>
      <c r="M25" s="8"/>
      <c r="N25" s="8"/>
      <c r="O25" s="8"/>
      <c r="P25" s="8"/>
      <c r="Q25" s="8"/>
      <c r="R25" s="8"/>
      <c r="S25" s="8"/>
      <c r="T25" s="8"/>
      <c r="U25" s="8"/>
      <c r="V25" s="7"/>
      <c r="W25" s="6" t="str">
        <f t="array" ref="W25">IF(NOT(ISBLANK(D25)),_xludf.XLOOKUP(D25,[1]CODE!$A$4:$A$100,[1]CODE!$D$4:$D$100),"")</f>
        <v/>
      </c>
      <c r="X25" s="5" t="str">
        <f t="array" ref="X25">IF(NOT(AND(ISBLANK(D25),ISBLANK(C25))),_xludf.XLOOKUP(D25,[1]CODE!$A$4:$A$100,[1]CODE!$E$4:$E$100),"")</f>
        <v/>
      </c>
      <c r="Y25" s="5" t="str">
        <f t="shared" si="3"/>
        <v/>
      </c>
      <c r="Z25" s="5" t="str">
        <f t="shared" si="4"/>
        <v/>
      </c>
      <c r="AA25" s="4">
        <f t="shared" si="5"/>
        <v>0</v>
      </c>
      <c r="AC25" s="26">
        <v>46041</v>
      </c>
      <c r="AD25" s="25">
        <f ca="1">IFERROR(__xludf.DUMMYFUNCTION("IFERROR(SUM(FILTER($L$5:$L$1002,$C$5:$C$1002=$AD$5,$F$5:$F$1002=AC25))*24,0)"),1.85000000009313)</f>
        <v>1.85000000009313</v>
      </c>
      <c r="AE25" s="28">
        <v>22.15</v>
      </c>
      <c r="AF25" s="27" t="str">
        <f t="shared" ca="1" si="6"/>
        <v>✅✅✅✅✅</v>
      </c>
      <c r="AG25" s="25">
        <f ca="1">IFERROR(__xludf.DUMMYFUNCTION("IFERROR(SUM(FILTER($L$5:$L$1002,$C$5:$C$1002=$AG$5,$F$5:$F$1002=AC25))*24,0)"),21.3999999999068)</f>
        <v>21.3999999999068</v>
      </c>
      <c r="AH25" s="28">
        <v>2.6</v>
      </c>
      <c r="AI25" s="27" t="str">
        <f t="shared" ca="1" si="7"/>
        <v>✅✅✅✅✅</v>
      </c>
      <c r="AJ25" s="25">
        <f ca="1">IFERROR(__xludf.DUMMYFUNCTION("IFERROR(SUM(FILTER($L$5:$L$1002,$C$5:$C$1002=$AJ$5,$F$5:$F$1002=AC25))*24,0)"),21)</f>
        <v>21</v>
      </c>
      <c r="AK25" s="28">
        <v>3</v>
      </c>
      <c r="AL25" s="27" t="str">
        <f t="shared" ca="1" si="8"/>
        <v>✅✅✅✅✅</v>
      </c>
    </row>
    <row r="26" spans="1:38" ht="15.5">
      <c r="A26" s="13" t="str">
        <f>IF(OR(ISBLANK(C26),ISBLANK(D26),ISBLANK(F26),ISBLANK(G26)),"",COUNTIF($B$5:B26,"JAMBUTU"))</f>
        <v/>
      </c>
      <c r="B26" s="8"/>
      <c r="C26" s="8"/>
      <c r="D26" s="8"/>
      <c r="E26" s="13"/>
      <c r="F26" s="12"/>
      <c r="G26" s="11"/>
      <c r="H26" s="12"/>
      <c r="I26" s="11"/>
      <c r="J26" s="10">
        <f t="shared" si="0"/>
        <v>0</v>
      </c>
      <c r="K26" s="10">
        <f t="shared" si="1"/>
        <v>0</v>
      </c>
      <c r="L26" s="9" t="str">
        <f t="shared" si="2"/>
        <v/>
      </c>
      <c r="M26" s="8"/>
      <c r="N26" s="8"/>
      <c r="O26" s="8"/>
      <c r="P26" s="8"/>
      <c r="Q26" s="8"/>
      <c r="R26" s="8"/>
      <c r="S26" s="8"/>
      <c r="T26" s="8"/>
      <c r="U26" s="8"/>
      <c r="V26" s="7"/>
      <c r="W26" s="6" t="str">
        <f t="array" ref="W26">IF(NOT(ISBLANK(D26)),_xludf.XLOOKUP(D26,[1]CODE!$A$4:$A$100,[1]CODE!$D$4:$D$100),"")</f>
        <v/>
      </c>
      <c r="X26" s="5" t="str">
        <f t="array" ref="X26">IF(NOT(AND(ISBLANK(D26),ISBLANK(C26))),_xludf.XLOOKUP(D26,[1]CODE!$A$4:$A$100,[1]CODE!$E$4:$E$100),"")</f>
        <v/>
      </c>
      <c r="Y26" s="5" t="str">
        <f t="shared" si="3"/>
        <v/>
      </c>
      <c r="Z26" s="5" t="str">
        <f t="shared" si="4"/>
        <v/>
      </c>
      <c r="AA26" s="4">
        <f t="shared" si="5"/>
        <v>0</v>
      </c>
      <c r="AC26" s="26">
        <v>46042</v>
      </c>
      <c r="AD26" s="25">
        <f ca="1">IFERROR(__xludf.DUMMYFUNCTION("IFERROR(SUM(FILTER($L$5:$L$1002,$C$5:$C$1002=$AD$5,$F$5:$F$1002=AC26))*24,0)"),0.233333333395421)</f>
        <v>0.23333333339542101</v>
      </c>
      <c r="AE26" s="28">
        <v>23.766666666666666</v>
      </c>
      <c r="AF26" s="27" t="str">
        <f t="shared" ca="1" si="6"/>
        <v>✅✅✅✅✅</v>
      </c>
      <c r="AG26" s="25">
        <f ca="1">IFERROR(__xludf.DUMMYFUNCTION("IFERROR(SUM(FILTER($L$5:$L$1002,$C$5:$C$1002=$AG$5,$F$5:$F$1002=AC26))*24,0)"),19.0833333333721)</f>
        <v>19.083333333372099</v>
      </c>
      <c r="AH26" s="28">
        <v>4.916666666666667</v>
      </c>
      <c r="AI26" s="27" t="str">
        <f t="shared" ca="1" si="7"/>
        <v>✅✅✅✅✅</v>
      </c>
      <c r="AJ26" s="25">
        <f ca="1">IFERROR(__xludf.DUMMYFUNCTION("IFERROR(SUM(FILTER($L$5:$L$1002,$C$5:$C$1002=$AJ$5,$F$5:$F$1002=AC26))*24,0)"),21.0000000001746)</f>
        <v>21.000000000174602</v>
      </c>
      <c r="AK26" s="28">
        <v>3</v>
      </c>
      <c r="AL26" s="27" t="str">
        <f t="shared" ca="1" si="8"/>
        <v>✅✅✅✅✅</v>
      </c>
    </row>
    <row r="27" spans="1:38" ht="15.5">
      <c r="A27" s="13" t="str">
        <f>IF(OR(ISBLANK(C27),ISBLANK(D27),ISBLANK(F27),ISBLANK(G27)),"",COUNTIF($B$5:B27,"JAMBUTU"))</f>
        <v/>
      </c>
      <c r="B27" s="8"/>
      <c r="C27" s="8"/>
      <c r="D27" s="8"/>
      <c r="E27" s="13"/>
      <c r="F27" s="12"/>
      <c r="G27" s="11"/>
      <c r="H27" s="12"/>
      <c r="I27" s="11"/>
      <c r="J27" s="10">
        <f t="shared" si="0"/>
        <v>0</v>
      </c>
      <c r="K27" s="10">
        <f t="shared" si="1"/>
        <v>0</v>
      </c>
      <c r="L27" s="9" t="str">
        <f t="shared" si="2"/>
        <v/>
      </c>
      <c r="M27" s="8"/>
      <c r="N27" s="8"/>
      <c r="O27" s="8"/>
      <c r="P27" s="8"/>
      <c r="Q27" s="8"/>
      <c r="R27" s="8"/>
      <c r="S27" s="8"/>
      <c r="T27" s="8"/>
      <c r="U27" s="8"/>
      <c r="V27" s="7"/>
      <c r="W27" s="6" t="str">
        <f t="array" ref="W27">IF(NOT(ISBLANK(D27)),_xludf.XLOOKUP(D27,[1]CODE!$A$4:$A$100,[1]CODE!$D$4:$D$100),"")</f>
        <v/>
      </c>
      <c r="X27" s="5" t="str">
        <f t="array" ref="X27">IF(NOT(AND(ISBLANK(D27),ISBLANK(C27))),_xludf.XLOOKUP(D27,[1]CODE!$A$4:$A$100,[1]CODE!$E$4:$E$100),"")</f>
        <v/>
      </c>
      <c r="Y27" s="5" t="str">
        <f t="shared" si="3"/>
        <v/>
      </c>
      <c r="Z27" s="5" t="str">
        <f t="shared" si="4"/>
        <v/>
      </c>
      <c r="AA27" s="4">
        <f t="shared" si="5"/>
        <v>0</v>
      </c>
      <c r="AC27" s="26">
        <v>46043</v>
      </c>
      <c r="AD27" s="25">
        <f ca="1">IFERROR(__xludf.DUMMYFUNCTION("IFERROR(SUM(FILTER($L$5:$L$1002,$C$5:$C$1002=$AD$5,$F$5:$F$1002=AC27))*24,0)"),1.28333333332557)</f>
        <v>1.2833333333255701</v>
      </c>
      <c r="AE27" s="28">
        <v>22.72</v>
      </c>
      <c r="AF27" s="27" t="str">
        <f t="shared" ca="1" si="6"/>
        <v>✅✅✅✅✅</v>
      </c>
      <c r="AG27" s="25">
        <f ca="1">IFERROR(__xludf.DUMMYFUNCTION("IFERROR(SUM(FILTER($L$5:$L$1002,$C$5:$C$1002=$AG$5,$F$5:$F$1002=AC27))*24,0)"),21)</f>
        <v>21</v>
      </c>
      <c r="AH27" s="28">
        <v>3</v>
      </c>
      <c r="AI27" s="27" t="str">
        <f t="shared" ca="1" si="7"/>
        <v>✅✅✅✅✅</v>
      </c>
      <c r="AJ27" s="25">
        <f ca="1">IFERROR(__xludf.DUMMYFUNCTION("IFERROR(SUM(FILTER($L$5:$L$1002,$C$5:$C$1002=$AJ$5,$F$5:$F$1002=AC27))*24,0)"),21)</f>
        <v>21</v>
      </c>
      <c r="AK27" s="28">
        <v>3</v>
      </c>
      <c r="AL27" s="27" t="str">
        <f t="shared" ca="1" si="8"/>
        <v>✅✅✅✅✅</v>
      </c>
    </row>
    <row r="28" spans="1:38" ht="15.5">
      <c r="A28" s="13" t="str">
        <f>IF(OR(ISBLANK(C28),ISBLANK(D28),ISBLANK(F28),ISBLANK(G28)),"",COUNTIF($B$5:B28,"JAMBUTU"))</f>
        <v/>
      </c>
      <c r="B28" s="8"/>
      <c r="C28" s="8"/>
      <c r="D28" s="8"/>
      <c r="E28" s="13"/>
      <c r="F28" s="12"/>
      <c r="G28" s="11"/>
      <c r="H28" s="12"/>
      <c r="I28" s="11"/>
      <c r="J28" s="10">
        <f t="shared" si="0"/>
        <v>0</v>
      </c>
      <c r="K28" s="10">
        <f t="shared" si="1"/>
        <v>0</v>
      </c>
      <c r="L28" s="9" t="str">
        <f t="shared" si="2"/>
        <v/>
      </c>
      <c r="M28" s="8"/>
      <c r="N28" s="8"/>
      <c r="O28" s="8"/>
      <c r="P28" s="8"/>
      <c r="Q28" s="8"/>
      <c r="R28" s="8"/>
      <c r="S28" s="8"/>
      <c r="T28" s="8"/>
      <c r="U28" s="8"/>
      <c r="V28" s="7"/>
      <c r="W28" s="6" t="str">
        <f t="array" ref="W28">IF(NOT(ISBLANK(D28)),_xludf.XLOOKUP(D28,[1]CODE!$A$4:$A$100,[1]CODE!$D$4:$D$100),"")</f>
        <v/>
      </c>
      <c r="X28" s="5" t="str">
        <f t="array" ref="X28">IF(NOT(AND(ISBLANK(D28),ISBLANK(C28))),_xludf.XLOOKUP(D28,[1]CODE!$A$4:$A$100,[1]CODE!$E$4:$E$100),"")</f>
        <v/>
      </c>
      <c r="Y28" s="5" t="str">
        <f t="shared" si="3"/>
        <v/>
      </c>
      <c r="Z28" s="5" t="str">
        <f t="shared" si="4"/>
        <v/>
      </c>
      <c r="AA28" s="4">
        <f t="shared" si="5"/>
        <v>0</v>
      </c>
      <c r="AC28" s="26">
        <v>46044</v>
      </c>
      <c r="AD28" s="25">
        <f ca="1">IFERROR(__xludf.DUMMYFUNCTION("IFERROR(SUM(FILTER($L$5:$L$1002,$C$5:$C$1002=$AD$5,$F$5:$F$1002=AC28))*24,0)"),0.233333333220798)</f>
        <v>0.23333333322079799</v>
      </c>
      <c r="AE28" s="28">
        <v>23.77</v>
      </c>
      <c r="AF28" s="27" t="str">
        <f t="shared" ca="1" si="6"/>
        <v>✅✅✅✅✅</v>
      </c>
      <c r="AG28" s="25">
        <f ca="1">IFERROR(__xludf.DUMMYFUNCTION("IFERROR(SUM(FILTER($L$5:$L$1002,$C$5:$C$1002=$AG$5,$F$5:$F$1002=AC28))*24,0)"),21)</f>
        <v>21</v>
      </c>
      <c r="AH28" s="28">
        <v>3</v>
      </c>
      <c r="AI28" s="27" t="str">
        <f t="shared" ca="1" si="7"/>
        <v>✅✅✅✅✅</v>
      </c>
      <c r="AJ28" s="25">
        <f ca="1">IFERROR(__xludf.DUMMYFUNCTION("IFERROR(SUM(FILTER($L$5:$L$1002,$C$5:$C$1002=$AJ$5,$F$5:$F$1002=AC28))*24,0)"),21)</f>
        <v>21</v>
      </c>
      <c r="AK28" s="28">
        <v>3</v>
      </c>
      <c r="AL28" s="27" t="str">
        <f t="shared" ca="1" si="8"/>
        <v>✅✅✅✅✅</v>
      </c>
    </row>
    <row r="29" spans="1:38" ht="15.5">
      <c r="A29" s="13" t="str">
        <f>IF(OR(ISBLANK(C29),ISBLANK(D29),ISBLANK(F29),ISBLANK(G29)),"",COUNTIF($B$5:B29,"JAMBUTU"))</f>
        <v/>
      </c>
      <c r="B29" s="8"/>
      <c r="C29" s="8"/>
      <c r="D29" s="8"/>
      <c r="E29" s="13"/>
      <c r="F29" s="12"/>
      <c r="G29" s="11"/>
      <c r="H29" s="12"/>
      <c r="I29" s="11"/>
      <c r="J29" s="10">
        <f t="shared" si="0"/>
        <v>0</v>
      </c>
      <c r="K29" s="10">
        <f t="shared" si="1"/>
        <v>0</v>
      </c>
      <c r="L29" s="9" t="str">
        <f t="shared" si="2"/>
        <v/>
      </c>
      <c r="M29" s="8"/>
      <c r="N29" s="8"/>
      <c r="O29" s="8"/>
      <c r="P29" s="8"/>
      <c r="Q29" s="8"/>
      <c r="R29" s="8"/>
      <c r="S29" s="8"/>
      <c r="T29" s="8"/>
      <c r="U29" s="8"/>
      <c r="V29" s="7"/>
      <c r="W29" s="6" t="str">
        <f t="array" ref="W29">IF(NOT(ISBLANK(D29)),_xludf.XLOOKUP(D29,[1]CODE!$A$4:$A$100,[1]CODE!$D$4:$D$100),"")</f>
        <v/>
      </c>
      <c r="X29" s="5" t="str">
        <f t="array" ref="X29">IF(NOT(AND(ISBLANK(D29),ISBLANK(C29))),_xludf.XLOOKUP(D29,[1]CODE!$A$4:$A$100,[1]CODE!$E$4:$E$100),"")</f>
        <v/>
      </c>
      <c r="Y29" s="5" t="str">
        <f t="shared" si="3"/>
        <v/>
      </c>
      <c r="Z29" s="5" t="str">
        <f t="shared" si="4"/>
        <v/>
      </c>
      <c r="AA29" s="4">
        <f t="shared" si="5"/>
        <v>0</v>
      </c>
      <c r="AC29" s="26">
        <v>46045</v>
      </c>
      <c r="AD29" s="25">
        <f ca="1">IFERROR(__xludf.DUMMYFUNCTION("IFERROR(SUM(FILTER($L$5:$L$1002,$C$5:$C$1002=$AD$5,$F$5:$F$1002=AC29))*24,0)"),9.65000000002328)</f>
        <v>9.6500000000232795</v>
      </c>
      <c r="AE29" s="28">
        <v>14.35</v>
      </c>
      <c r="AF29" s="27" t="str">
        <f t="shared" ca="1" si="6"/>
        <v>✅✅✅✅✅</v>
      </c>
      <c r="AG29" s="25">
        <f ca="1">IFERROR(__xludf.DUMMYFUNCTION("IFERROR(SUM(FILTER($L$5:$L$1002,$C$5:$C$1002=$AG$5,$F$5:$F$1002=AC29))*24,0)"),21.9833333333954)</f>
        <v>21.9833333333954</v>
      </c>
      <c r="AH29" s="28">
        <v>2.02</v>
      </c>
      <c r="AI29" s="27" t="str">
        <f t="shared" ca="1" si="7"/>
        <v>✅✅✅✅✅</v>
      </c>
      <c r="AJ29" s="25">
        <f ca="1">IFERROR(__xludf.DUMMYFUNCTION("IFERROR(SUM(FILTER($L$5:$L$1002,$C$5:$C$1002=$AJ$5,$F$5:$F$1002=AC29))*24,0)"),20.4666666666744)</f>
        <v>20.466666666674399</v>
      </c>
      <c r="AK29" s="28">
        <v>3.53</v>
      </c>
      <c r="AL29" s="27" t="str">
        <f t="shared" ca="1" si="8"/>
        <v>✅✅✅✅✅</v>
      </c>
    </row>
    <row r="30" spans="1:38" ht="15.5">
      <c r="A30" s="13" t="str">
        <f>IF(OR(ISBLANK(C30),ISBLANK(D30),ISBLANK(F30),ISBLANK(G30)),"",COUNTIF($B$5:B30,"JAMBUTU"))</f>
        <v/>
      </c>
      <c r="B30" s="8"/>
      <c r="C30" s="8"/>
      <c r="D30" s="8"/>
      <c r="E30" s="13"/>
      <c r="F30" s="12"/>
      <c r="G30" s="11"/>
      <c r="H30" s="12"/>
      <c r="I30" s="11"/>
      <c r="J30" s="10">
        <f t="shared" si="0"/>
        <v>0</v>
      </c>
      <c r="K30" s="10">
        <f t="shared" si="1"/>
        <v>0</v>
      </c>
      <c r="L30" s="9" t="str">
        <f t="shared" si="2"/>
        <v/>
      </c>
      <c r="M30" s="8"/>
      <c r="N30" s="8"/>
      <c r="O30" s="8"/>
      <c r="P30" s="8"/>
      <c r="Q30" s="8"/>
      <c r="R30" s="8"/>
      <c r="S30" s="8"/>
      <c r="T30" s="8"/>
      <c r="U30" s="8"/>
      <c r="V30" s="7"/>
      <c r="W30" s="6" t="str">
        <f t="array" ref="W30">IF(NOT(ISBLANK(D30)),_xludf.XLOOKUP(D30,[1]CODE!$A$4:$A$100,[1]CODE!$D$4:$D$100),"")</f>
        <v/>
      </c>
      <c r="X30" s="5" t="str">
        <f t="array" ref="X30">IF(NOT(AND(ISBLANK(D30),ISBLANK(C30))),_xludf.XLOOKUP(D30,[1]CODE!$A$4:$A$100,[1]CODE!$E$4:$E$100),"")</f>
        <v/>
      </c>
      <c r="Y30" s="5" t="str">
        <f t="shared" si="3"/>
        <v/>
      </c>
      <c r="Z30" s="5" t="str">
        <f t="shared" si="4"/>
        <v/>
      </c>
      <c r="AA30" s="4">
        <f t="shared" si="5"/>
        <v>0</v>
      </c>
      <c r="AC30" s="26">
        <v>46046</v>
      </c>
      <c r="AD30" s="25">
        <f ca="1">IFERROR(__xludf.DUMMYFUNCTION("IFERROR(SUM(FILTER($L$5:$L$1002,$C$5:$C$1002=$AD$5,$F$5:$F$1002=AC30))*24,0)"),0.366666666639503)</f>
        <v>0.36666666663950298</v>
      </c>
      <c r="AE30" s="28">
        <v>23.63</v>
      </c>
      <c r="AF30" s="27" t="str">
        <f t="shared" ca="1" si="6"/>
        <v>✅✅✅✅✅</v>
      </c>
      <c r="AG30" s="25">
        <f ca="1">IFERROR(__xludf.DUMMYFUNCTION("IFERROR(SUM(FILTER($L$5:$L$1002,$C$5:$C$1002=$AG$5,$F$5:$F$1002=AC30))*24,0)"),22.5000000001746)</f>
        <v>22.500000000174602</v>
      </c>
      <c r="AH30" s="28">
        <v>1.5</v>
      </c>
      <c r="AI30" s="27" t="str">
        <f t="shared" ca="1" si="7"/>
        <v>✅✅✅✅✅</v>
      </c>
      <c r="AJ30" s="25">
        <f ca="1">IFERROR(__xludf.DUMMYFUNCTION("IFERROR(SUM(FILTER($L$5:$L$1002,$C$5:$C$1002=$AJ$5,$F$5:$F$1002=AC30))*24,0)"),16.7333333330461)</f>
        <v>16.733333333046101</v>
      </c>
      <c r="AK30" s="28">
        <v>7.27</v>
      </c>
      <c r="AL30" s="27" t="str">
        <f t="shared" ca="1" si="8"/>
        <v>✅✅✅✅✅</v>
      </c>
    </row>
    <row r="31" spans="1:38" ht="15.5">
      <c r="A31" s="13" t="str">
        <f>IF(OR(ISBLANK(C31),ISBLANK(D31),ISBLANK(F31),ISBLANK(G31)),"",COUNTIF($B$5:B31,"JAMBUTU"))</f>
        <v/>
      </c>
      <c r="B31" s="8"/>
      <c r="C31" s="8"/>
      <c r="D31" s="8"/>
      <c r="E31" s="13"/>
      <c r="F31" s="12"/>
      <c r="G31" s="11"/>
      <c r="H31" s="12"/>
      <c r="I31" s="11"/>
      <c r="J31" s="10">
        <f t="shared" si="0"/>
        <v>0</v>
      </c>
      <c r="K31" s="10">
        <f t="shared" si="1"/>
        <v>0</v>
      </c>
      <c r="L31" s="9" t="str">
        <f t="shared" si="2"/>
        <v/>
      </c>
      <c r="M31" s="8"/>
      <c r="N31" s="8"/>
      <c r="O31" s="8"/>
      <c r="P31" s="8"/>
      <c r="Q31" s="8"/>
      <c r="R31" s="8"/>
      <c r="S31" s="8"/>
      <c r="T31" s="8"/>
      <c r="U31" s="8"/>
      <c r="V31" s="7"/>
      <c r="W31" s="6" t="str">
        <f t="array" ref="W31">IF(NOT(ISBLANK(D31)),_xludf.XLOOKUP(D31,[1]CODE!$A$4:$A$100,[1]CODE!$D$4:$D$100),"")</f>
        <v/>
      </c>
      <c r="X31" s="5" t="str">
        <f t="array" ref="X31">IF(NOT(AND(ISBLANK(D31),ISBLANK(C31))),_xludf.XLOOKUP(D31,[1]CODE!$A$4:$A$100,[1]CODE!$E$4:$E$100),"")</f>
        <v/>
      </c>
      <c r="Y31" s="5" t="str">
        <f t="shared" si="3"/>
        <v/>
      </c>
      <c r="Z31" s="5" t="str">
        <f t="shared" si="4"/>
        <v/>
      </c>
      <c r="AA31" s="4">
        <f t="shared" si="5"/>
        <v>0</v>
      </c>
      <c r="AC31" s="26">
        <v>46047</v>
      </c>
      <c r="AD31" s="25">
        <f ca="1">IFERROR(__xludf.DUMMYFUNCTION("IFERROR(SUM(FILTER($L$5:$L$1002,$C$5:$C$1002=$AD$5,$F$5:$F$1002=AC31))*24,0)"),3.56666666659293)</f>
        <v>3.5666666665929299</v>
      </c>
      <c r="AE31" s="28">
        <v>20.43</v>
      </c>
      <c r="AF31" s="27" t="str">
        <f t="shared" ca="1" si="6"/>
        <v>✅✅✅✅✅</v>
      </c>
      <c r="AG31" s="25">
        <f ca="1">IFERROR(__xludf.DUMMYFUNCTION("IFERROR(SUM(FILTER($L$5:$L$1002,$C$5:$C$1002=$AG$5,$F$5:$F$1002=AC31))*24,0)"),24)</f>
        <v>24</v>
      </c>
      <c r="AH31" s="28">
        <v>0</v>
      </c>
      <c r="AI31" s="27" t="str">
        <f t="shared" ca="1" si="7"/>
        <v>✅✅✅✅✅</v>
      </c>
      <c r="AJ31" s="25">
        <f ca="1">IFERROR(__xludf.DUMMYFUNCTION("IFERROR(SUM(FILTER($L$5:$L$1002,$C$5:$C$1002=$AJ$5,$F$5:$F$1002=AC31))*24,0)"),22.0000000001164)</f>
        <v>22.000000000116401</v>
      </c>
      <c r="AK31" s="28">
        <v>2</v>
      </c>
      <c r="AL31" s="27" t="str">
        <f t="shared" ca="1" si="8"/>
        <v>✅✅✅✅✅</v>
      </c>
    </row>
    <row r="32" spans="1:38" ht="15.5">
      <c r="A32" s="13" t="str">
        <f>IF(OR(ISBLANK(C32),ISBLANK(D32),ISBLANK(F32),ISBLANK(G32)),"",COUNTIF($B$5:B32,"JAMBUTU"))</f>
        <v/>
      </c>
      <c r="B32" s="8"/>
      <c r="C32" s="8"/>
      <c r="D32" s="8"/>
      <c r="E32" s="13"/>
      <c r="F32" s="12"/>
      <c r="G32" s="11"/>
      <c r="H32" s="12"/>
      <c r="I32" s="11"/>
      <c r="J32" s="10">
        <f t="shared" si="0"/>
        <v>0</v>
      </c>
      <c r="K32" s="10">
        <f t="shared" si="1"/>
        <v>0</v>
      </c>
      <c r="L32" s="9" t="str">
        <f t="shared" si="2"/>
        <v/>
      </c>
      <c r="M32" s="8"/>
      <c r="N32" s="8"/>
      <c r="O32" s="8"/>
      <c r="P32" s="8"/>
      <c r="Q32" s="8"/>
      <c r="R32" s="8"/>
      <c r="S32" s="8"/>
      <c r="T32" s="8"/>
      <c r="U32" s="8"/>
      <c r="V32" s="7"/>
      <c r="W32" s="6" t="str">
        <f t="array" ref="W32">IF(NOT(ISBLANK(D32)),_xludf.XLOOKUP(D32,[1]CODE!$A$4:$A$100,[1]CODE!$D$4:$D$100),"")</f>
        <v/>
      </c>
      <c r="X32" s="5" t="str">
        <f t="array" ref="X32">IF(NOT(AND(ISBLANK(D32),ISBLANK(C32))),_xludf.XLOOKUP(D32,[1]CODE!$A$4:$A$100,[1]CODE!$E$4:$E$100),"")</f>
        <v/>
      </c>
      <c r="Y32" s="5" t="str">
        <f t="shared" si="3"/>
        <v/>
      </c>
      <c r="Z32" s="5" t="str">
        <f t="shared" si="4"/>
        <v/>
      </c>
      <c r="AA32" s="4">
        <f t="shared" si="5"/>
        <v>0</v>
      </c>
      <c r="AC32" s="26">
        <v>46048</v>
      </c>
      <c r="AD32" s="25">
        <f ca="1">IFERROR(__xludf.DUMMYFUNCTION("IFERROR(SUM(FILTER($L$5:$L$1002,$C$5:$C$1002=$AD$5,$F$5:$F$1002=AC32))*24,0)"),1.36666666658129)</f>
        <v>1.3666666665812901</v>
      </c>
      <c r="AE32" s="28">
        <v>22.63</v>
      </c>
      <c r="AF32" s="27" t="str">
        <f t="shared" ca="1" si="6"/>
        <v>✅✅✅✅✅</v>
      </c>
      <c r="AG32" s="25">
        <f ca="1">IFERROR(__xludf.DUMMYFUNCTION("IFERROR(SUM(FILTER($L$5:$L$1002,$C$5:$C$1002=$AG$5,$F$5:$F$1002=AC32))*24,0)"),18.0000000001746)</f>
        <v>18.000000000174602</v>
      </c>
      <c r="AH32" s="28">
        <v>6</v>
      </c>
      <c r="AI32" s="27" t="str">
        <f t="shared" ca="1" si="7"/>
        <v>✅✅✅✅✅</v>
      </c>
      <c r="AJ32" s="25">
        <f ca="1">IFERROR(__xludf.DUMMYFUNCTION("IFERROR(SUM(FILTER($L$5:$L$1002,$C$5:$C$1002=$AJ$5,$F$5:$F$1002=AC32))*24,0)"),21.9999999999417)</f>
        <v>21.9999999999417</v>
      </c>
      <c r="AK32" s="28">
        <v>2</v>
      </c>
      <c r="AL32" s="27" t="str">
        <f t="shared" ca="1" si="8"/>
        <v>✅✅✅✅✅</v>
      </c>
    </row>
    <row r="33" spans="1:38" ht="15.5">
      <c r="A33" s="13">
        <f>IF(OR(ISBLANK(C33),ISBLANK(D33),ISBLANK(F33),ISBLANK(G33)),"",COUNTIF($B$5:B33,"JAMBUTU"))</f>
        <v>6</v>
      </c>
      <c r="B33" s="8" t="str">
        <f>IF(C33&lt;&gt;"","Jambutu","")</f>
        <v>Jambutu</v>
      </c>
      <c r="C33" s="8" t="s">
        <v>3</v>
      </c>
      <c r="D33" s="8" t="s">
        <v>20</v>
      </c>
      <c r="E33" s="13">
        <v>4</v>
      </c>
      <c r="F33" s="12">
        <v>46027</v>
      </c>
      <c r="G33" s="11">
        <v>0.55833333333333335</v>
      </c>
      <c r="H33" s="12">
        <v>46028</v>
      </c>
      <c r="I33" s="11">
        <v>0</v>
      </c>
      <c r="J33" s="10">
        <f t="shared" si="0"/>
        <v>46027.558333333334</v>
      </c>
      <c r="K33" s="10">
        <f t="shared" si="1"/>
        <v>46028</v>
      </c>
      <c r="L33" s="9">
        <f t="shared" si="2"/>
        <v>0.44166666666569654</v>
      </c>
      <c r="M33" s="8" t="s">
        <v>19</v>
      </c>
      <c r="N33" s="8" t="s">
        <v>1</v>
      </c>
      <c r="O33" s="8" t="s">
        <v>0</v>
      </c>
      <c r="P33" s="8"/>
      <c r="Q33" s="8"/>
      <c r="R33" s="8"/>
      <c r="S33" s="8"/>
      <c r="T33" s="8"/>
      <c r="U33" s="8"/>
      <c r="V33" s="7"/>
      <c r="W33" s="6" t="e">
        <f t="array" aca="1" ref="W33" ca="1">IF(NOT(ISBLANK(D33)),_xludf.XLOOKUP(D33,[1]CODE!$A$4:$A$100,[1]CODE!$D$4:$D$100),"")</f>
        <v>#NAME?</v>
      </c>
      <c r="X33" s="5" t="e">
        <f t="array" aca="1" ref="X33" ca="1">IF(NOT(AND(ISBLANK(D33),ISBLANK(C33))),_xludf.XLOOKUP(D33,[1]CODE!$A$4:$A$100,[1]CODE!$E$4:$E$100),"")</f>
        <v>#NAME?</v>
      </c>
      <c r="Y33" s="5" t="str">
        <f t="shared" si="3"/>
        <v>11kV</v>
      </c>
      <c r="Z33" s="5" t="str">
        <f t="shared" si="4"/>
        <v>YES</v>
      </c>
      <c r="AA33" s="4">
        <f t="shared" si="5"/>
        <v>46028</v>
      </c>
      <c r="AC33" s="26">
        <v>46049</v>
      </c>
      <c r="AD33" s="25">
        <f ca="1">IFERROR(__xludf.DUMMYFUNCTION("IFERROR(SUM(FILTER($L$5:$L$1002,$C$5:$C$1002=$AD$5,$F$5:$F$1002=AC33))*24,0)"),9.04999999998835)</f>
        <v>9.0499999999883496</v>
      </c>
      <c r="AE33" s="28">
        <v>14.95</v>
      </c>
      <c r="AF33" s="27" t="str">
        <f t="shared" ca="1" si="6"/>
        <v>✅✅✅✅✅</v>
      </c>
      <c r="AG33" s="25">
        <f ca="1">IFERROR(__xludf.DUMMYFUNCTION("IFERROR(SUM(FILTER($L$5:$L$1002,$C$5:$C$1002=$AG$5,$F$5:$F$1002=AC33))*24,0)"),22.1666666666278)</f>
        <v>22.166666666627801</v>
      </c>
      <c r="AH33" s="28">
        <v>1.83</v>
      </c>
      <c r="AI33" s="27" t="str">
        <f t="shared" ca="1" si="7"/>
        <v>✅✅✅✅✅</v>
      </c>
      <c r="AJ33" s="25">
        <f ca="1">IFERROR(__xludf.DUMMYFUNCTION("IFERROR(SUM(FILTER($L$5:$L$1002,$C$5:$C$1002=$AJ$5,$F$5:$F$1002=AC33))*24,0)"),23.0833333333139)</f>
        <v>23.083333333313899</v>
      </c>
      <c r="AK33" s="28">
        <v>0.92</v>
      </c>
      <c r="AL33" s="27" t="str">
        <f t="shared" ca="1" si="8"/>
        <v>✅✅✅✅✅</v>
      </c>
    </row>
    <row r="34" spans="1:38" ht="15.5">
      <c r="A34" s="13">
        <f>IF(OR(ISBLANK(C34),ISBLANK(D34),ISBLANK(F34),ISBLANK(G34)),"",COUNTIF($B$5:B34,"JAMBUTU"))</f>
        <v>7</v>
      </c>
      <c r="B34" s="8" t="str">
        <f>IF(C34&lt;&gt;"","Jambutu","")</f>
        <v>Jambutu</v>
      </c>
      <c r="C34" s="8" t="s">
        <v>4</v>
      </c>
      <c r="D34" s="8" t="s">
        <v>6</v>
      </c>
      <c r="E34" s="13">
        <v>4</v>
      </c>
      <c r="F34" s="12">
        <v>46027</v>
      </c>
      <c r="G34" s="11">
        <v>0.65069444444444446</v>
      </c>
      <c r="H34" s="12">
        <v>46027</v>
      </c>
      <c r="I34" s="11">
        <v>0.65763888888888888</v>
      </c>
      <c r="J34" s="10">
        <f t="shared" si="0"/>
        <v>46027.650694444441</v>
      </c>
      <c r="K34" s="10">
        <f t="shared" si="1"/>
        <v>46027.657638888886</v>
      </c>
      <c r="L34" s="9">
        <f t="shared" si="2"/>
        <v>6.9444444452528842E-3</v>
      </c>
      <c r="M34" s="8" t="s">
        <v>9</v>
      </c>
      <c r="N34" s="8" t="s">
        <v>1</v>
      </c>
      <c r="O34" s="8" t="s">
        <v>0</v>
      </c>
      <c r="P34" s="8"/>
      <c r="Q34" s="8"/>
      <c r="R34" s="8"/>
      <c r="S34" s="8"/>
      <c r="T34" s="8"/>
      <c r="U34" s="8"/>
      <c r="V34" s="7"/>
      <c r="W34" s="6" t="e">
        <f t="array" aca="1" ref="W34" ca="1">IF(NOT(ISBLANK(D34)),_xludf.XLOOKUP(D34,[1]CODE!$A$4:$A$100,[1]CODE!$D$4:$D$100),"")</f>
        <v>#NAME?</v>
      </c>
      <c r="X34" s="5" t="e">
        <f t="array" aca="1" ref="X34" ca="1">IF(NOT(AND(ISBLANK(D34),ISBLANK(C34))),_xludf.XLOOKUP(D34,[1]CODE!$A$4:$A$100,[1]CODE!$E$4:$E$100),"")</f>
        <v>#NAME?</v>
      </c>
      <c r="Y34" s="5" t="str">
        <f t="shared" si="3"/>
        <v>33KV</v>
      </c>
      <c r="Z34" s="5" t="str">
        <f t="shared" si="4"/>
        <v>YES</v>
      </c>
      <c r="AA34" s="4">
        <f t="shared" si="5"/>
        <v>46027</v>
      </c>
      <c r="AC34" s="26">
        <v>46050</v>
      </c>
      <c r="AD34" s="25">
        <f ca="1">IFERROR(__xludf.DUMMYFUNCTION("IFERROR(SUM(FILTER($L$5:$L$1002,$C$5:$C$1002=$AD$5,$F$5:$F$1002=AC34))*24,0)"),0.0999999999767169)</f>
        <v>9.9999999976716894E-2</v>
      </c>
      <c r="AE34" s="28">
        <v>23.9</v>
      </c>
      <c r="AF34" s="27" t="str">
        <f t="shared" ca="1" si="6"/>
        <v>✅✅✅✅✅</v>
      </c>
      <c r="AG34" s="25">
        <f ca="1">IFERROR(__xludf.DUMMYFUNCTION("IFERROR(SUM(FILTER($L$5:$L$1002,$C$5:$C$1002=$AG$5,$F$5:$F$1002=AC34))*24,0)"),21.6666666667442)</f>
        <v>21.666666666744199</v>
      </c>
      <c r="AH34" s="28">
        <v>2.33</v>
      </c>
      <c r="AI34" s="27" t="str">
        <f t="shared" ca="1" si="7"/>
        <v>✅✅✅✅✅</v>
      </c>
      <c r="AJ34" s="25">
        <f ca="1">IFERROR(__xludf.DUMMYFUNCTION("IFERROR(SUM(FILTER($L$5:$L$1002,$C$5:$C$1002=$AJ$5,$F$5:$F$1002=AC34))*24,0)"),22.000000000291)</f>
        <v>22.000000000290999</v>
      </c>
      <c r="AK34" s="28">
        <v>2</v>
      </c>
      <c r="AL34" s="27" t="str">
        <f t="shared" ca="1" si="8"/>
        <v>✅✅✅✅✅</v>
      </c>
    </row>
    <row r="35" spans="1:38" ht="15.5">
      <c r="A35" s="13" t="str">
        <f>IF(OR(ISBLANK(C35),ISBLANK(D35),ISBLANK(F35),ISBLANK(G35)),"",COUNTIF($B$5:B35,"JAMBUTU"))</f>
        <v/>
      </c>
      <c r="B35" s="8"/>
      <c r="C35" s="8"/>
      <c r="D35" s="8"/>
      <c r="E35" s="13"/>
      <c r="F35" s="12"/>
      <c r="G35" s="11"/>
      <c r="H35" s="12"/>
      <c r="I35" s="11"/>
      <c r="J35" s="10">
        <f t="shared" si="0"/>
        <v>0</v>
      </c>
      <c r="K35" s="10">
        <f t="shared" si="1"/>
        <v>0</v>
      </c>
      <c r="L35" s="9" t="str">
        <f t="shared" si="2"/>
        <v/>
      </c>
      <c r="M35" s="8"/>
      <c r="N35" s="8"/>
      <c r="O35" s="8"/>
      <c r="P35" s="8"/>
      <c r="Q35" s="8"/>
      <c r="R35" s="8"/>
      <c r="S35" s="8"/>
      <c r="T35" s="8"/>
      <c r="U35" s="8"/>
      <c r="V35" s="7"/>
      <c r="W35" s="6" t="str">
        <f t="array" ref="W35">IF(NOT(ISBLANK(D35)),_xludf.XLOOKUP(D35,[1]CODE!$A$4:$A$100,[1]CODE!$D$4:$D$100),"")</f>
        <v/>
      </c>
      <c r="X35" s="5" t="str">
        <f t="array" ref="X35">IF(NOT(AND(ISBLANK(D35),ISBLANK(C35))),_xludf.XLOOKUP(D35,[1]CODE!$A$4:$A$100,[1]CODE!$E$4:$E$100),"")</f>
        <v/>
      </c>
      <c r="Y35" s="5" t="str">
        <f t="shared" si="3"/>
        <v/>
      </c>
      <c r="Z35" s="5" t="str">
        <f t="shared" si="4"/>
        <v/>
      </c>
      <c r="AA35" s="4">
        <f t="shared" si="5"/>
        <v>0</v>
      </c>
      <c r="AC35" s="26">
        <v>46051</v>
      </c>
      <c r="AD35" s="25">
        <f ca="1">IFERROR(__xludf.DUMMYFUNCTION("IFERROR(SUM(FILTER($L$5:$L$1002,$C$5:$C$1002=$AD$5,$F$5:$F$1002=AC35))*24,0)"),0.283333333558402)</f>
        <v>0.28333333355840201</v>
      </c>
      <c r="AE35" s="28">
        <v>23.72</v>
      </c>
      <c r="AF35" s="27" t="str">
        <f t="shared" ca="1" si="6"/>
        <v>✅✅✅✅✅</v>
      </c>
      <c r="AG35" s="25">
        <f ca="1">IFERROR(__xludf.DUMMYFUNCTION("IFERROR(SUM(FILTER($L$5:$L$1002,$C$5:$C$1002=$AG$5,$F$5:$F$1002=AC35))*24,0)"),20.6833333335234)</f>
        <v>20.6833333335234</v>
      </c>
      <c r="AH35" s="28">
        <v>3.32</v>
      </c>
      <c r="AI35" s="27" t="str">
        <f t="shared" ca="1" si="7"/>
        <v>✅✅✅✅✅</v>
      </c>
      <c r="AJ35" s="25">
        <f ca="1">IFERROR(__xludf.DUMMYFUNCTION("IFERROR(SUM(FILTER($L$5:$L$1002,$C$5:$C$1002=$AJ$5,$F$5:$F$1002=AC35))*24,0)"),19.8833333333604)</f>
        <v>19.883333333360401</v>
      </c>
      <c r="AK35" s="28">
        <v>4.12</v>
      </c>
      <c r="AL35" s="27" t="str">
        <f t="shared" ca="1" si="8"/>
        <v>✅✅✅✅✅</v>
      </c>
    </row>
    <row r="36" spans="1:38" ht="15.5">
      <c r="A36" s="13" t="str">
        <f>IF(OR(ISBLANK(C36),ISBLANK(D36),ISBLANK(F36),ISBLANK(G36)),"",COUNTIF($B$5:B36,"JAMBUTU"))</f>
        <v/>
      </c>
      <c r="B36" s="8"/>
      <c r="C36" s="8"/>
      <c r="D36" s="8"/>
      <c r="E36" s="13"/>
      <c r="F36" s="12"/>
      <c r="G36" s="11"/>
      <c r="H36" s="12"/>
      <c r="I36" s="11"/>
      <c r="J36" s="10">
        <f t="shared" si="0"/>
        <v>0</v>
      </c>
      <c r="K36" s="10">
        <f t="shared" si="1"/>
        <v>0</v>
      </c>
      <c r="L36" s="9" t="str">
        <f t="shared" si="2"/>
        <v/>
      </c>
      <c r="M36" s="8"/>
      <c r="N36" s="8"/>
      <c r="O36" s="8"/>
      <c r="P36" s="8"/>
      <c r="Q36" s="8"/>
      <c r="R36" s="8"/>
      <c r="S36" s="8"/>
      <c r="T36" s="8"/>
      <c r="U36" s="8"/>
      <c r="V36" s="7"/>
      <c r="W36" s="6" t="str">
        <f t="array" ref="W36">IF(NOT(ISBLANK(D36)),_xludf.XLOOKUP(D36,[1]CODE!$A$4:$A$100,[1]CODE!$D$4:$D$100),"")</f>
        <v/>
      </c>
      <c r="X36" s="5" t="str">
        <f t="array" ref="X36">IF(NOT(AND(ISBLANK(D36),ISBLANK(C36))),_xludf.XLOOKUP(D36,[1]CODE!$A$4:$A$100,[1]CODE!$E$4:$E$100),"")</f>
        <v/>
      </c>
      <c r="Y36" s="5" t="str">
        <f t="shared" si="3"/>
        <v/>
      </c>
      <c r="Z36" s="5" t="str">
        <f t="shared" si="4"/>
        <v/>
      </c>
      <c r="AA36" s="4">
        <f t="shared" si="5"/>
        <v>0</v>
      </c>
      <c r="AC36" s="26">
        <v>46052</v>
      </c>
      <c r="AD36" s="25">
        <f ca="1">IFERROR(__xludf.DUMMYFUNCTION("IFERROR(SUM(FILTER($L$5:$L$1002,$C$5:$C$1002=$AD$5,$F$5:$F$1002=AC36))*24,0)"),0)</f>
        <v>0</v>
      </c>
      <c r="AE36" s="28">
        <v>24</v>
      </c>
      <c r="AF36" s="27" t="str">
        <f t="shared" ca="1" si="6"/>
        <v>✅✅✅✅✅</v>
      </c>
      <c r="AG36" s="25">
        <f ca="1">IFERROR(__xludf.DUMMYFUNCTION("IFERROR(SUM(FILTER($L$5:$L$1002,$C$5:$C$1002=$AG$5,$F$5:$F$1002=AC36))*24,0)"),21)</f>
        <v>21</v>
      </c>
      <c r="AH36" s="28">
        <v>3</v>
      </c>
      <c r="AI36" s="27" t="str">
        <f t="shared" ca="1" si="7"/>
        <v>✅✅✅✅✅</v>
      </c>
      <c r="AJ36" s="25">
        <f ca="1">IFERROR(__xludf.DUMMYFUNCTION("IFERROR(SUM(FILTER($L$5:$L$1002,$C$5:$C$1002=$AJ$5,$F$5:$F$1002=AC36))*24,0)"),19.9999999998835)</f>
        <v>19.999999999883499</v>
      </c>
      <c r="AK36" s="28">
        <v>4</v>
      </c>
      <c r="AL36" s="27" t="str">
        <f t="shared" ca="1" si="8"/>
        <v>✅✅✅✅✅</v>
      </c>
    </row>
    <row r="37" spans="1:38" ht="16" thickBot="1">
      <c r="A37" s="13">
        <f>IF(OR(ISBLANK(C37),ISBLANK(D37),ISBLANK(F37),ISBLANK(G37)),"",COUNTIF($B$5:B37,"JAMBUTU"))</f>
        <v>8</v>
      </c>
      <c r="B37" s="8" t="str">
        <f>IF(C37&lt;&gt;"","Jambutu","")</f>
        <v>Jambutu</v>
      </c>
      <c r="C37" s="8" t="s">
        <v>3</v>
      </c>
      <c r="D37" s="8" t="s">
        <v>20</v>
      </c>
      <c r="E37" s="13">
        <v>4</v>
      </c>
      <c r="F37" s="12">
        <v>46028</v>
      </c>
      <c r="G37" s="11">
        <v>0</v>
      </c>
      <c r="H37" s="12">
        <v>46028</v>
      </c>
      <c r="I37" s="11">
        <v>0.46250000000000002</v>
      </c>
      <c r="J37" s="10">
        <f t="shared" ref="J37:J68" si="9">DATE(YEAR(F37),MONTH(F37),DAY(F37))+TIME(HOUR(G37),MINUTE(G37), SECOND(G37))</f>
        <v>46028</v>
      </c>
      <c r="K37" s="10">
        <f t="shared" si="1"/>
        <v>46028.462500000001</v>
      </c>
      <c r="L37" s="9">
        <f t="shared" si="2"/>
        <v>0.46250000000145519</v>
      </c>
      <c r="M37" s="8" t="s">
        <v>19</v>
      </c>
      <c r="N37" s="8" t="s">
        <v>1</v>
      </c>
      <c r="O37" s="8" t="s">
        <v>0</v>
      </c>
      <c r="P37" s="8"/>
      <c r="Q37" s="8"/>
      <c r="R37" s="8"/>
      <c r="S37" s="8"/>
      <c r="T37" s="8"/>
      <c r="U37" s="8"/>
      <c r="V37" s="7"/>
      <c r="W37" s="6" t="e">
        <f t="array" aca="1" ref="W37" ca="1">IF(NOT(ISBLANK(D37)),_xludf.XLOOKUP(D37,[1]CODE!$A$4:$A$100,[1]CODE!$D$4:$D$100),"")</f>
        <v>#NAME?</v>
      </c>
      <c r="X37" s="5" t="e">
        <f t="array" aca="1" ref="X37" ca="1">IF(NOT(AND(ISBLANK(D37),ISBLANK(C37))),_xludf.XLOOKUP(D37,[1]CODE!$A$4:$A$100,[1]CODE!$E$4:$E$100),"")</f>
        <v>#NAME?</v>
      </c>
      <c r="Y37" s="5" t="str">
        <f t="shared" si="3"/>
        <v>11kV</v>
      </c>
      <c r="Z37" s="5" t="str">
        <f t="shared" si="4"/>
        <v>YES</v>
      </c>
      <c r="AA37" s="4">
        <f t="shared" si="5"/>
        <v>46028</v>
      </c>
      <c r="AC37" s="26">
        <v>46053</v>
      </c>
      <c r="AD37" s="25">
        <f ca="1">IFERROR(__xludf.DUMMYFUNCTION("IFERROR(SUM(FILTER($L$5:$L$1002,$C$5:$C$1002=$AD$5,$F$5:$F$1002=AC37))*24,0)"),0)</f>
        <v>0</v>
      </c>
      <c r="AE37" s="24">
        <v>24</v>
      </c>
      <c r="AF37" s="23" t="str">
        <f t="shared" ca="1" si="6"/>
        <v>✅✅✅✅✅</v>
      </c>
      <c r="AG37" s="25">
        <f ca="1">IFERROR(__xludf.DUMMYFUNCTION("IFERROR(SUM(FILTER($L$5:$L$1002,$C$5:$C$1002=$AG$5,$F$5:$F$1002=AC37))*24,0)"),20.6666666664532)</f>
        <v>20.666666666453199</v>
      </c>
      <c r="AH37" s="24">
        <v>3.33</v>
      </c>
      <c r="AI37" s="23" t="str">
        <f t="shared" ca="1" si="7"/>
        <v>✅✅✅✅✅</v>
      </c>
      <c r="AJ37" s="25">
        <f ca="1">IFERROR(__xludf.DUMMYFUNCTION("IFERROR(SUM(FILTER($L$5:$L$1002,$C$5:$C$1002=$AJ$5,$F$5:$F$1002=AC37))*24,0)"),17.0166666664299)</f>
        <v>17.016666666429899</v>
      </c>
      <c r="AK37" s="24">
        <v>6.98</v>
      </c>
      <c r="AL37" s="23" t="str">
        <f t="shared" ca="1" si="8"/>
        <v>✅✅✅✅✅</v>
      </c>
    </row>
    <row r="38" spans="1:38" ht="15.5">
      <c r="A38" s="13" t="str">
        <f>IF(OR(ISBLANK(C38),ISBLANK(D38),ISBLANK(F38),ISBLANK(G38)),"",COUNTIF($B$5:B38,"JAMBUTU"))</f>
        <v/>
      </c>
      <c r="B38" s="8"/>
      <c r="C38" s="8"/>
      <c r="D38" s="8"/>
      <c r="E38" s="13"/>
      <c r="F38" s="12"/>
      <c r="G38" s="11"/>
      <c r="H38" s="12"/>
      <c r="I38" s="11"/>
      <c r="J38" s="10">
        <f t="shared" si="9"/>
        <v>0</v>
      </c>
      <c r="K38" s="10">
        <f t="shared" si="1"/>
        <v>0</v>
      </c>
      <c r="L38" s="9" t="str">
        <f t="shared" si="2"/>
        <v/>
      </c>
      <c r="M38" s="8"/>
      <c r="N38" s="8"/>
      <c r="O38" s="8"/>
      <c r="P38" s="8"/>
      <c r="Q38" s="8"/>
      <c r="R38" s="8"/>
      <c r="S38" s="8"/>
      <c r="T38" s="8"/>
      <c r="U38" s="8"/>
      <c r="V38" s="7"/>
      <c r="W38" s="6" t="str">
        <f t="array" ref="W38">IF(NOT(ISBLANK(D38)),_xludf.XLOOKUP(D38,[1]CODE!$A$4:$A$100,[1]CODE!$D$4:$D$100),"")</f>
        <v/>
      </c>
      <c r="X38" s="5" t="str">
        <f t="array" ref="X38">IF(NOT(AND(ISBLANK(D38),ISBLANK(C38))),_xludf.XLOOKUP(D38,[1]CODE!$A$4:$A$100,[1]CODE!$E$4:$E$100),"")</f>
        <v/>
      </c>
      <c r="Y38" s="5" t="str">
        <f t="shared" si="3"/>
        <v/>
      </c>
      <c r="Z38" s="5" t="str">
        <f t="shared" si="4"/>
        <v/>
      </c>
      <c r="AA38" s="4">
        <f t="shared" si="5"/>
        <v>0</v>
      </c>
      <c r="AC38" s="22"/>
    </row>
    <row r="39" spans="1:38" ht="15.5">
      <c r="A39" s="13" t="str">
        <f>IF(OR(ISBLANK(C39),ISBLANK(D39),ISBLANK(F39),ISBLANK(G39)),"",COUNTIF($B$5:B39,"JAMBUTU"))</f>
        <v/>
      </c>
      <c r="B39" s="8"/>
      <c r="C39" s="8"/>
      <c r="D39" s="8"/>
      <c r="E39" s="13"/>
      <c r="F39" s="12"/>
      <c r="G39" s="11"/>
      <c r="H39" s="12"/>
      <c r="I39" s="11"/>
      <c r="J39" s="10">
        <f t="shared" si="9"/>
        <v>0</v>
      </c>
      <c r="K39" s="10">
        <f t="shared" si="1"/>
        <v>0</v>
      </c>
      <c r="L39" s="9" t="str">
        <f t="shared" si="2"/>
        <v/>
      </c>
      <c r="M39" s="8"/>
      <c r="N39" s="8"/>
      <c r="O39" s="8"/>
      <c r="P39" s="8"/>
      <c r="Q39" s="8"/>
      <c r="R39" s="8"/>
      <c r="S39" s="8"/>
      <c r="T39" s="8"/>
      <c r="U39" s="8"/>
      <c r="V39" s="7"/>
      <c r="W39" s="6" t="str">
        <f t="array" ref="W39">IF(NOT(ISBLANK(D39)),_xludf.XLOOKUP(D39,[1]CODE!$A$4:$A$100,[1]CODE!$D$4:$D$100),"")</f>
        <v/>
      </c>
      <c r="X39" s="5" t="str">
        <f t="array" ref="X39">IF(NOT(AND(ISBLANK(D39),ISBLANK(C39))),_xludf.XLOOKUP(D39,[1]CODE!$A$4:$A$100,[1]CODE!$E$4:$E$100),"")</f>
        <v/>
      </c>
      <c r="Y39" s="5" t="str">
        <f t="shared" si="3"/>
        <v/>
      </c>
      <c r="Z39" s="5" t="str">
        <f t="shared" si="4"/>
        <v/>
      </c>
      <c r="AA39" s="4">
        <f t="shared" si="5"/>
        <v>0</v>
      </c>
      <c r="AC39" s="22"/>
    </row>
    <row r="40" spans="1:38" ht="15.5">
      <c r="A40" s="13" t="str">
        <f>IF(OR(ISBLANK(C40),ISBLANK(D40),ISBLANK(F40),ISBLANK(G40)),"",COUNTIF($B$5:B40,"JAMBUTU"))</f>
        <v/>
      </c>
      <c r="B40" s="8"/>
      <c r="C40" s="8"/>
      <c r="D40" s="8"/>
      <c r="E40" s="13"/>
      <c r="F40" s="12"/>
      <c r="G40" s="11"/>
      <c r="H40" s="12"/>
      <c r="I40" s="11"/>
      <c r="J40" s="10">
        <f t="shared" si="9"/>
        <v>0</v>
      </c>
      <c r="K40" s="10">
        <f t="shared" si="1"/>
        <v>0</v>
      </c>
      <c r="L40" s="9" t="str">
        <f t="shared" si="2"/>
        <v/>
      </c>
      <c r="M40" s="8"/>
      <c r="N40" s="8"/>
      <c r="O40" s="8"/>
      <c r="P40" s="8"/>
      <c r="Q40" s="8"/>
      <c r="R40" s="8"/>
      <c r="S40" s="8"/>
      <c r="T40" s="8"/>
      <c r="U40" s="8"/>
      <c r="V40" s="7"/>
      <c r="W40" s="6" t="str">
        <f t="array" ref="W40">IF(NOT(ISBLANK(D40)),_xludf.XLOOKUP(D40,[1]CODE!$A$4:$A$100,[1]CODE!$D$4:$D$100),"")</f>
        <v/>
      </c>
      <c r="X40" s="5" t="str">
        <f t="array" ref="X40">IF(NOT(AND(ISBLANK(D40),ISBLANK(C40))),_xludf.XLOOKUP(D40,[1]CODE!$A$4:$A$100,[1]CODE!$E$4:$E$100),"")</f>
        <v/>
      </c>
      <c r="Y40" s="5" t="str">
        <f t="shared" si="3"/>
        <v/>
      </c>
      <c r="Z40" s="5" t="str">
        <f t="shared" si="4"/>
        <v/>
      </c>
      <c r="AA40" s="4">
        <f t="shared" si="5"/>
        <v>0</v>
      </c>
      <c r="AC40" s="2"/>
    </row>
    <row r="41" spans="1:38" ht="15.5">
      <c r="A41" s="13" t="str">
        <f>IF(OR(ISBLANK(C41),ISBLANK(D41),ISBLANK(F41),ISBLANK(G41)),"",COUNTIF($B$5:B41,"JAMBUTU"))</f>
        <v/>
      </c>
      <c r="B41" s="8"/>
      <c r="C41" s="8"/>
      <c r="D41" s="8"/>
      <c r="E41" s="13"/>
      <c r="F41" s="12"/>
      <c r="G41" s="11"/>
      <c r="H41" s="12"/>
      <c r="I41" s="11"/>
      <c r="J41" s="10">
        <f t="shared" si="9"/>
        <v>0</v>
      </c>
      <c r="K41" s="10">
        <f t="shared" si="1"/>
        <v>0</v>
      </c>
      <c r="L41" s="9" t="str">
        <f t="shared" si="2"/>
        <v/>
      </c>
      <c r="M41" s="8"/>
      <c r="N41" s="8"/>
      <c r="O41" s="8"/>
      <c r="P41" s="8"/>
      <c r="Q41" s="8"/>
      <c r="R41" s="8"/>
      <c r="S41" s="8"/>
      <c r="T41" s="8"/>
      <c r="U41" s="8"/>
      <c r="V41" s="7"/>
      <c r="W41" s="6" t="str">
        <f t="array" ref="W41">IF(NOT(ISBLANK(D41)),_xludf.XLOOKUP(D41,[1]CODE!$A$4:$A$100,[1]CODE!$D$4:$D$100),"")</f>
        <v/>
      </c>
      <c r="X41" s="5" t="str">
        <f t="array" ref="X41">IF(NOT(AND(ISBLANK(D41),ISBLANK(C41))),_xludf.XLOOKUP(D41,[1]CODE!$A$4:$A$100,[1]CODE!$E$4:$E$100),"")</f>
        <v/>
      </c>
      <c r="Y41" s="5" t="str">
        <f t="shared" si="3"/>
        <v/>
      </c>
      <c r="Z41" s="5" t="str">
        <f t="shared" si="4"/>
        <v/>
      </c>
      <c r="AA41" s="4">
        <f t="shared" si="5"/>
        <v>0</v>
      </c>
      <c r="AC41" s="22"/>
    </row>
    <row r="42" spans="1:38" ht="15.5">
      <c r="A42" s="13" t="str">
        <f>IF(OR(ISBLANK(C42),ISBLANK(D42),ISBLANK(F42),ISBLANK(G42)),"",COUNTIF($B$5:B42,"JAMBUTU"))</f>
        <v/>
      </c>
      <c r="B42" s="8"/>
      <c r="C42" s="8"/>
      <c r="D42" s="8"/>
      <c r="E42" s="13"/>
      <c r="F42" s="12"/>
      <c r="G42" s="11"/>
      <c r="H42" s="12"/>
      <c r="I42" s="11"/>
      <c r="J42" s="10">
        <f t="shared" si="9"/>
        <v>0</v>
      </c>
      <c r="K42" s="10">
        <f t="shared" si="1"/>
        <v>0</v>
      </c>
      <c r="L42" s="9" t="str">
        <f t="shared" si="2"/>
        <v/>
      </c>
      <c r="M42" s="8"/>
      <c r="N42" s="8"/>
      <c r="O42" s="8"/>
      <c r="P42" s="8"/>
      <c r="Q42" s="8"/>
      <c r="R42" s="8"/>
      <c r="S42" s="8"/>
      <c r="T42" s="8"/>
      <c r="U42" s="8"/>
      <c r="V42" s="7"/>
      <c r="W42" s="6" t="str">
        <f t="array" ref="W42">IF(NOT(ISBLANK(D42)),_xludf.XLOOKUP(D42,[1]CODE!$A$4:$A$100,[1]CODE!$D$4:$D$100),"")</f>
        <v/>
      </c>
      <c r="X42" s="5" t="str">
        <f t="array" ref="X42">IF(NOT(AND(ISBLANK(D42),ISBLANK(C42))),_xludf.XLOOKUP(D42,[1]CODE!$A$4:$A$100,[1]CODE!$E$4:$E$100),"")</f>
        <v/>
      </c>
      <c r="Y42" s="5" t="str">
        <f t="shared" si="3"/>
        <v/>
      </c>
      <c r="Z42" s="5" t="str">
        <f t="shared" si="4"/>
        <v/>
      </c>
      <c r="AA42" s="4">
        <f t="shared" si="5"/>
        <v>0</v>
      </c>
      <c r="AC42" s="2"/>
    </row>
    <row r="43" spans="1:38" ht="15.5">
      <c r="A43" s="13" t="str">
        <f>IF(OR(ISBLANK(C43),ISBLANK(D43),ISBLANK(F43),ISBLANK(G43)),"",COUNTIF($B$5:B43,"JAMBUTU"))</f>
        <v/>
      </c>
      <c r="B43" s="8"/>
      <c r="C43" s="8"/>
      <c r="D43" s="8"/>
      <c r="E43" s="13"/>
      <c r="F43" s="12"/>
      <c r="G43" s="11"/>
      <c r="H43" s="12"/>
      <c r="I43" s="15"/>
      <c r="J43" s="10">
        <f t="shared" si="9"/>
        <v>0</v>
      </c>
      <c r="K43" s="10">
        <f t="shared" si="1"/>
        <v>0</v>
      </c>
      <c r="L43" s="9" t="str">
        <f t="shared" si="2"/>
        <v/>
      </c>
      <c r="M43" s="8"/>
      <c r="N43" s="8"/>
      <c r="O43" s="8"/>
      <c r="P43" s="8"/>
      <c r="Q43" s="8"/>
      <c r="R43" s="8"/>
      <c r="S43" s="8"/>
      <c r="T43" s="8"/>
      <c r="U43" s="8"/>
      <c r="V43" s="7"/>
      <c r="W43" s="6" t="str">
        <f t="array" ref="W43">IF(NOT(ISBLANK(D43)),_xludf.XLOOKUP(D43,[1]CODE!$A$4:$A$100,[1]CODE!$D$4:$D$100),"")</f>
        <v/>
      </c>
      <c r="X43" s="5" t="str">
        <f t="array" ref="X43">IF(NOT(AND(ISBLANK(D43),ISBLANK(C43))),_xludf.XLOOKUP(D43,[1]CODE!$A$4:$A$100,[1]CODE!$E$4:$E$100),"")</f>
        <v/>
      </c>
      <c r="Y43" s="5" t="str">
        <f t="shared" si="3"/>
        <v/>
      </c>
      <c r="Z43" s="5" t="str">
        <f t="shared" si="4"/>
        <v/>
      </c>
      <c r="AA43" s="4">
        <f t="shared" si="5"/>
        <v>0</v>
      </c>
      <c r="AB43" s="2"/>
      <c r="AC43" s="2"/>
    </row>
    <row r="44" spans="1:38" ht="15.5">
      <c r="A44" s="13" t="str">
        <f>IF(OR(ISBLANK(C44),ISBLANK(D44),ISBLANK(F44),ISBLANK(G44)),"",COUNTIF($B$5:B44,"JAMBUTU"))</f>
        <v/>
      </c>
      <c r="B44" s="8"/>
      <c r="C44" s="8"/>
      <c r="D44" s="8"/>
      <c r="E44" s="13"/>
      <c r="F44" s="12"/>
      <c r="G44" s="11"/>
      <c r="H44" s="12"/>
      <c r="I44" s="11"/>
      <c r="J44" s="10">
        <f t="shared" si="9"/>
        <v>0</v>
      </c>
      <c r="K44" s="10">
        <f t="shared" si="1"/>
        <v>0</v>
      </c>
      <c r="L44" s="9" t="str">
        <f t="shared" si="2"/>
        <v/>
      </c>
      <c r="M44" s="8"/>
      <c r="N44" s="8"/>
      <c r="O44" s="8"/>
      <c r="P44" s="8"/>
      <c r="Q44" s="8"/>
      <c r="R44" s="8"/>
      <c r="S44" s="8"/>
      <c r="T44" s="8"/>
      <c r="U44" s="8"/>
      <c r="V44" s="7"/>
      <c r="W44" s="6" t="str">
        <f t="array" ref="W44">IF(NOT(ISBLANK(D44)),_xludf.XLOOKUP(D44,[1]CODE!$A$4:$A$100,[1]CODE!$D$4:$D$100),"")</f>
        <v/>
      </c>
      <c r="X44" s="5" t="str">
        <f t="array" ref="X44">IF(NOT(AND(ISBLANK(D44),ISBLANK(C44))),_xludf.XLOOKUP(D44,[1]CODE!$A$4:$A$100,[1]CODE!$E$4:$E$100),"")</f>
        <v/>
      </c>
      <c r="Y44" s="5" t="str">
        <f t="shared" si="3"/>
        <v/>
      </c>
      <c r="Z44" s="5" t="str">
        <f t="shared" si="4"/>
        <v/>
      </c>
      <c r="AA44" s="4">
        <f t="shared" si="5"/>
        <v>0</v>
      </c>
      <c r="AC44" s="2"/>
    </row>
    <row r="45" spans="1:38" ht="15.5">
      <c r="A45" s="13" t="str">
        <f>IF(OR(ISBLANK(C45),ISBLANK(D45),ISBLANK(F45),ISBLANK(G45)),"",COUNTIF($B$5:B45,"JAMBUTU"))</f>
        <v/>
      </c>
      <c r="B45" s="8"/>
      <c r="C45" s="8"/>
      <c r="D45" s="8"/>
      <c r="E45" s="13"/>
      <c r="F45" s="12"/>
      <c r="G45" s="11"/>
      <c r="H45" s="12"/>
      <c r="I45" s="11"/>
      <c r="J45" s="10">
        <f t="shared" si="9"/>
        <v>0</v>
      </c>
      <c r="K45" s="10">
        <f t="shared" si="1"/>
        <v>0</v>
      </c>
      <c r="L45" s="9" t="str">
        <f t="shared" si="2"/>
        <v/>
      </c>
      <c r="M45" s="8"/>
      <c r="N45" s="8"/>
      <c r="O45" s="8"/>
      <c r="P45" s="8"/>
      <c r="Q45" s="8"/>
      <c r="R45" s="8"/>
      <c r="S45" s="8"/>
      <c r="T45" s="8"/>
      <c r="U45" s="8"/>
      <c r="V45" s="7"/>
      <c r="W45" s="6" t="str">
        <f t="array" ref="W45">IF(NOT(ISBLANK(D45)),_xludf.XLOOKUP(D45,[1]CODE!$A$4:$A$100,[1]CODE!$D$4:$D$100),"")</f>
        <v/>
      </c>
      <c r="X45" s="5" t="str">
        <f t="array" ref="X45">IF(NOT(AND(ISBLANK(D45),ISBLANK(C45))),_xludf.XLOOKUP(D45,[1]CODE!$A$4:$A$100,[1]CODE!$E$4:$E$100),"")</f>
        <v/>
      </c>
      <c r="Y45" s="5" t="str">
        <f t="shared" si="3"/>
        <v/>
      </c>
      <c r="Z45" s="5" t="str">
        <f t="shared" si="4"/>
        <v/>
      </c>
      <c r="AA45" s="4">
        <f t="shared" si="5"/>
        <v>0</v>
      </c>
      <c r="AC45" s="2"/>
    </row>
    <row r="46" spans="1:38" ht="15.5">
      <c r="A46" s="13" t="str">
        <f>IF(OR(ISBLANK(C46),ISBLANK(D46),ISBLANK(F46),ISBLANK(G46)),"",COUNTIF($B$5:B46,"JAMBUTU"))</f>
        <v/>
      </c>
      <c r="B46" s="8"/>
      <c r="C46" s="8"/>
      <c r="D46" s="8"/>
      <c r="E46" s="13"/>
      <c r="F46" s="12"/>
      <c r="G46" s="11"/>
      <c r="H46" s="12"/>
      <c r="I46" s="11"/>
      <c r="J46" s="10">
        <f t="shared" si="9"/>
        <v>0</v>
      </c>
      <c r="K46" s="10">
        <f t="shared" si="1"/>
        <v>0</v>
      </c>
      <c r="L46" s="9" t="str">
        <f t="shared" si="2"/>
        <v/>
      </c>
      <c r="M46" s="8"/>
      <c r="N46" s="8"/>
      <c r="O46" s="8"/>
      <c r="P46" s="8"/>
      <c r="Q46" s="8"/>
      <c r="R46" s="8"/>
      <c r="S46" s="8"/>
      <c r="T46" s="8"/>
      <c r="U46" s="8"/>
      <c r="V46" s="7"/>
      <c r="W46" s="6" t="str">
        <f t="array" ref="W46">IF(NOT(ISBLANK(D46)),_xludf.XLOOKUP(D46,[1]CODE!$A$4:$A$100,[1]CODE!$D$4:$D$100),"")</f>
        <v/>
      </c>
      <c r="X46" s="5" t="str">
        <f t="array" ref="X46">IF(NOT(AND(ISBLANK(D46),ISBLANK(C46))),_xludf.XLOOKUP(D46,[1]CODE!$A$4:$A$100,[1]CODE!$E$4:$E$100),"")</f>
        <v/>
      </c>
      <c r="Y46" s="5" t="str">
        <f t="shared" si="3"/>
        <v/>
      </c>
      <c r="Z46" s="5" t="str">
        <f t="shared" si="4"/>
        <v/>
      </c>
      <c r="AA46" s="4">
        <f t="shared" si="5"/>
        <v>0</v>
      </c>
      <c r="AC46" s="2"/>
    </row>
    <row r="47" spans="1:38" ht="15.5">
      <c r="A47" s="13" t="str">
        <f>IF(OR(ISBLANK(C47),ISBLANK(D47),ISBLANK(F47),ISBLANK(G47)),"",COUNTIF($B$5:B47,"JAMBUTU"))</f>
        <v/>
      </c>
      <c r="B47" s="8"/>
      <c r="C47" s="8"/>
      <c r="D47" s="8"/>
      <c r="E47" s="13"/>
      <c r="F47" s="12"/>
      <c r="G47" s="11"/>
      <c r="H47" s="12"/>
      <c r="I47" s="11"/>
      <c r="J47" s="10">
        <f t="shared" si="9"/>
        <v>0</v>
      </c>
      <c r="K47" s="10">
        <f t="shared" si="1"/>
        <v>0</v>
      </c>
      <c r="L47" s="9" t="str">
        <f t="shared" si="2"/>
        <v/>
      </c>
      <c r="M47" s="8"/>
      <c r="N47" s="8"/>
      <c r="O47" s="8"/>
      <c r="P47" s="8"/>
      <c r="Q47" s="8"/>
      <c r="R47" s="8"/>
      <c r="S47" s="8"/>
      <c r="T47" s="8"/>
      <c r="U47" s="8"/>
      <c r="V47" s="7"/>
      <c r="W47" s="6" t="str">
        <f t="array" ref="W47">IF(NOT(ISBLANK(D47)),_xludf.XLOOKUP(D47,[1]CODE!$A$4:$A$100,[1]CODE!$D$4:$D$100),"")</f>
        <v/>
      </c>
      <c r="X47" s="5" t="str">
        <f t="array" ref="X47">IF(NOT(AND(ISBLANK(D47),ISBLANK(C47))),_xludf.XLOOKUP(D47,[1]CODE!$A$4:$A$100,[1]CODE!$E$4:$E$100),"")</f>
        <v/>
      </c>
      <c r="Y47" s="5" t="str">
        <f t="shared" si="3"/>
        <v/>
      </c>
      <c r="Z47" s="5" t="str">
        <f t="shared" si="4"/>
        <v/>
      </c>
      <c r="AA47" s="4">
        <f t="shared" si="5"/>
        <v>0</v>
      </c>
      <c r="AC47" s="2"/>
    </row>
    <row r="48" spans="1:38" ht="15.5">
      <c r="A48" s="13" t="str">
        <f>IF(OR(ISBLANK(C48),ISBLANK(D48),ISBLANK(F48),ISBLANK(G48)),"",COUNTIF($B$5:B48,"JAMBUTU"))</f>
        <v/>
      </c>
      <c r="B48" s="8"/>
      <c r="C48" s="8"/>
      <c r="D48" s="8"/>
      <c r="E48" s="13"/>
      <c r="F48" s="12"/>
      <c r="G48" s="11"/>
      <c r="H48" s="12"/>
      <c r="I48" s="11"/>
      <c r="J48" s="10">
        <f t="shared" si="9"/>
        <v>0</v>
      </c>
      <c r="K48" s="10">
        <f t="shared" si="1"/>
        <v>0</v>
      </c>
      <c r="L48" s="9" t="str">
        <f t="shared" si="2"/>
        <v/>
      </c>
      <c r="M48" s="8"/>
      <c r="N48" s="8"/>
      <c r="O48" s="8"/>
      <c r="P48" s="8"/>
      <c r="Q48" s="8"/>
      <c r="R48" s="8"/>
      <c r="S48" s="8"/>
      <c r="T48" s="8"/>
      <c r="U48" s="8"/>
      <c r="V48" s="7"/>
      <c r="W48" s="6" t="str">
        <f t="array" ref="W48">IF(NOT(ISBLANK(D48)),_xludf.XLOOKUP(D48,[1]CODE!$A$4:$A$100,[1]CODE!$D$4:$D$100),"")</f>
        <v/>
      </c>
      <c r="X48" s="5" t="str">
        <f t="array" ref="X48">IF(NOT(AND(ISBLANK(D48),ISBLANK(C48))),_xludf.XLOOKUP(D48,[1]CODE!$A$4:$A$100,[1]CODE!$E$4:$E$100),"")</f>
        <v/>
      </c>
      <c r="Y48" s="5" t="str">
        <f t="shared" si="3"/>
        <v/>
      </c>
      <c r="Z48" s="5" t="str">
        <f t="shared" si="4"/>
        <v/>
      </c>
      <c r="AA48" s="4">
        <f t="shared" si="5"/>
        <v>0</v>
      </c>
      <c r="AC48" s="2"/>
    </row>
    <row r="49" spans="1:29" ht="15.5">
      <c r="A49" s="13" t="str">
        <f>IF(OR(ISBLANK(C49),ISBLANK(D49),ISBLANK(F49),ISBLANK(G49)),"",COUNTIF($B$5:B49,"JAMBUTU"))</f>
        <v/>
      </c>
      <c r="B49" s="8"/>
      <c r="C49" s="8"/>
      <c r="D49" s="8"/>
      <c r="E49" s="13"/>
      <c r="F49" s="12"/>
      <c r="G49" s="11"/>
      <c r="H49" s="12"/>
      <c r="I49" s="11"/>
      <c r="J49" s="10">
        <f t="shared" si="9"/>
        <v>0</v>
      </c>
      <c r="K49" s="10">
        <f t="shared" si="1"/>
        <v>0</v>
      </c>
      <c r="L49" s="9" t="str">
        <f t="shared" si="2"/>
        <v/>
      </c>
      <c r="M49" s="8"/>
      <c r="N49" s="8"/>
      <c r="O49" s="8"/>
      <c r="P49" s="8"/>
      <c r="Q49" s="8"/>
      <c r="R49" s="8"/>
      <c r="S49" s="8"/>
      <c r="T49" s="8"/>
      <c r="U49" s="8"/>
      <c r="V49" s="7"/>
      <c r="W49" s="6" t="str">
        <f t="array" ref="W49">IF(NOT(ISBLANK(D49)),_xludf.XLOOKUP(D49,[1]CODE!$A$4:$A$100,[1]CODE!$D$4:$D$100),"")</f>
        <v/>
      </c>
      <c r="X49" s="5" t="str">
        <f t="array" ref="X49">IF(NOT(AND(ISBLANK(D49),ISBLANK(C49))),_xludf.XLOOKUP(D49,[1]CODE!$A$4:$A$100,[1]CODE!$E$4:$E$100),"")</f>
        <v/>
      </c>
      <c r="Y49" s="5" t="str">
        <f t="shared" si="3"/>
        <v/>
      </c>
      <c r="Z49" s="5" t="str">
        <f t="shared" si="4"/>
        <v/>
      </c>
      <c r="AA49" s="4">
        <f t="shared" si="5"/>
        <v>0</v>
      </c>
      <c r="AC49" s="2"/>
    </row>
    <row r="50" spans="1:29" ht="15.5">
      <c r="A50" s="13" t="str">
        <f>IF(OR(ISBLANK(C50),ISBLANK(D50),ISBLANK(F50),ISBLANK(G50)),"",COUNTIF($B$5:B50,"JAMBUTU"))</f>
        <v/>
      </c>
      <c r="B50" s="8"/>
      <c r="C50" s="8"/>
      <c r="D50" s="8"/>
      <c r="E50" s="13"/>
      <c r="F50" s="12"/>
      <c r="G50" s="11"/>
      <c r="H50" s="12"/>
      <c r="I50" s="11"/>
      <c r="J50" s="10">
        <f t="shared" si="9"/>
        <v>0</v>
      </c>
      <c r="K50" s="10">
        <f t="shared" si="1"/>
        <v>0</v>
      </c>
      <c r="L50" s="9" t="str">
        <f t="shared" si="2"/>
        <v/>
      </c>
      <c r="M50" s="8"/>
      <c r="N50" s="8"/>
      <c r="O50" s="8"/>
      <c r="P50" s="8"/>
      <c r="Q50" s="8"/>
      <c r="R50" s="8"/>
      <c r="S50" s="8"/>
      <c r="T50" s="8"/>
      <c r="U50" s="8"/>
      <c r="V50" s="7"/>
      <c r="W50" s="6" t="str">
        <f t="array" ref="W50">IF(NOT(ISBLANK(D50)),_xludf.XLOOKUP(D50,[1]CODE!$A$4:$A$100,[1]CODE!$D$4:$D$100),"")</f>
        <v/>
      </c>
      <c r="X50" s="5" t="str">
        <f t="array" ref="X50">IF(NOT(AND(ISBLANK(D50),ISBLANK(C50))),_xludf.XLOOKUP(D50,[1]CODE!$A$4:$A$100,[1]CODE!$E$4:$E$100),"")</f>
        <v/>
      </c>
      <c r="Y50" s="5" t="str">
        <f t="shared" si="3"/>
        <v/>
      </c>
      <c r="Z50" s="5" t="str">
        <f t="shared" si="4"/>
        <v/>
      </c>
      <c r="AA50" s="4">
        <f t="shared" si="5"/>
        <v>0</v>
      </c>
      <c r="AC50" s="2"/>
    </row>
    <row r="51" spans="1:29" ht="15.5">
      <c r="A51" s="13" t="str">
        <f>IF(OR(ISBLANK(C51),ISBLANK(D51),ISBLANK(F51),ISBLANK(G51)),"",COUNTIF($B$5:B51,"JAMBUTU"))</f>
        <v/>
      </c>
      <c r="B51" s="8"/>
      <c r="C51" s="8"/>
      <c r="D51" s="8"/>
      <c r="E51" s="13"/>
      <c r="F51" s="12"/>
      <c r="G51" s="11"/>
      <c r="H51" s="12"/>
      <c r="I51" s="11"/>
      <c r="J51" s="10">
        <f t="shared" si="9"/>
        <v>0</v>
      </c>
      <c r="K51" s="10">
        <f t="shared" si="1"/>
        <v>0</v>
      </c>
      <c r="L51" s="9" t="str">
        <f t="shared" si="2"/>
        <v/>
      </c>
      <c r="M51" s="8"/>
      <c r="N51" s="8"/>
      <c r="O51" s="8"/>
      <c r="P51" s="8"/>
      <c r="Q51" s="8"/>
      <c r="R51" s="8"/>
      <c r="S51" s="8"/>
      <c r="T51" s="8"/>
      <c r="U51" s="8"/>
      <c r="V51" s="7"/>
      <c r="W51" s="6" t="str">
        <f t="array" ref="W51">IF(NOT(ISBLANK(D51)),_xludf.XLOOKUP(D51,[1]CODE!$A$4:$A$100,[1]CODE!$D$4:$D$100),"")</f>
        <v/>
      </c>
      <c r="X51" s="5" t="str">
        <f t="array" ref="X51">IF(NOT(AND(ISBLANK(D51),ISBLANK(C51))),_xludf.XLOOKUP(D51,[1]CODE!$A$4:$A$100,[1]CODE!$E$4:$E$100),"")</f>
        <v/>
      </c>
      <c r="Y51" s="5" t="str">
        <f t="shared" si="3"/>
        <v/>
      </c>
      <c r="Z51" s="5" t="str">
        <f t="shared" si="4"/>
        <v/>
      </c>
      <c r="AA51" s="4">
        <f t="shared" si="5"/>
        <v>0</v>
      </c>
      <c r="AC51" s="2"/>
    </row>
    <row r="52" spans="1:29" ht="15.5">
      <c r="A52" s="13" t="str">
        <f>IF(OR(ISBLANK(C52),ISBLANK(D52),ISBLANK(F52),ISBLANK(G52)),"",COUNTIF($B$5:B52,"JAMBUTU"))</f>
        <v/>
      </c>
      <c r="B52" s="8"/>
      <c r="C52" s="8"/>
      <c r="D52" s="8"/>
      <c r="E52" s="13"/>
      <c r="F52" s="12"/>
      <c r="G52" s="11"/>
      <c r="H52" s="12"/>
      <c r="I52" s="11"/>
      <c r="J52" s="10">
        <f t="shared" si="9"/>
        <v>0</v>
      </c>
      <c r="K52" s="10">
        <f t="shared" si="1"/>
        <v>0</v>
      </c>
      <c r="L52" s="9" t="str">
        <f t="shared" si="2"/>
        <v/>
      </c>
      <c r="M52" s="8"/>
      <c r="N52" s="8"/>
      <c r="O52" s="8"/>
      <c r="P52" s="8"/>
      <c r="Q52" s="8"/>
      <c r="R52" s="8"/>
      <c r="S52" s="8"/>
      <c r="T52" s="8"/>
      <c r="U52" s="8"/>
      <c r="V52" s="7"/>
      <c r="W52" s="6" t="str">
        <f t="array" ref="W52">IF(NOT(ISBLANK(D52)),_xludf.XLOOKUP(D52,[1]CODE!$A$4:$A$100,[1]CODE!$D$4:$D$100),"")</f>
        <v/>
      </c>
      <c r="X52" s="5" t="str">
        <f t="array" ref="X52">IF(NOT(AND(ISBLANK(D52),ISBLANK(C52))),_xludf.XLOOKUP(D52,[1]CODE!$A$4:$A$100,[1]CODE!$E$4:$E$100),"")</f>
        <v/>
      </c>
      <c r="Y52" s="5" t="str">
        <f t="shared" si="3"/>
        <v/>
      </c>
      <c r="Z52" s="5" t="str">
        <f t="shared" si="4"/>
        <v/>
      </c>
      <c r="AA52" s="4">
        <f t="shared" si="5"/>
        <v>0</v>
      </c>
      <c r="AC52" s="2"/>
    </row>
    <row r="53" spans="1:29" ht="15.5">
      <c r="A53" s="13" t="str">
        <f>IF(OR(ISBLANK(C53),ISBLANK(D53),ISBLANK(F53),ISBLANK(G53)),"",COUNTIF($B$5:B53,"JAMBUTU"))</f>
        <v/>
      </c>
      <c r="B53" s="8"/>
      <c r="C53" s="8"/>
      <c r="D53" s="8"/>
      <c r="E53" s="13"/>
      <c r="F53" s="12"/>
      <c r="G53" s="11"/>
      <c r="H53" s="12"/>
      <c r="I53" s="11"/>
      <c r="J53" s="10">
        <f t="shared" si="9"/>
        <v>0</v>
      </c>
      <c r="K53" s="10">
        <f t="shared" si="1"/>
        <v>0</v>
      </c>
      <c r="L53" s="9" t="str">
        <f t="shared" si="2"/>
        <v/>
      </c>
      <c r="M53" s="8"/>
      <c r="N53" s="8"/>
      <c r="O53" s="8"/>
      <c r="P53" s="8"/>
      <c r="Q53" s="8"/>
      <c r="R53" s="8"/>
      <c r="S53" s="8"/>
      <c r="T53" s="8"/>
      <c r="U53" s="8"/>
      <c r="V53" s="7"/>
      <c r="W53" s="6" t="str">
        <f t="array" ref="W53">IF(NOT(ISBLANK(D53)),_xludf.XLOOKUP(D53,[1]CODE!$A$4:$A$100,[1]CODE!$D$4:$D$100),"")</f>
        <v/>
      </c>
      <c r="X53" s="5" t="str">
        <f t="array" ref="X53">IF(NOT(AND(ISBLANK(D53),ISBLANK(C53))),_xludf.XLOOKUP(D53,[1]CODE!$A$4:$A$100,[1]CODE!$E$4:$E$100),"")</f>
        <v/>
      </c>
      <c r="Y53" s="5" t="str">
        <f t="shared" si="3"/>
        <v/>
      </c>
      <c r="Z53" s="5" t="str">
        <f t="shared" si="4"/>
        <v/>
      </c>
      <c r="AA53" s="4">
        <f t="shared" si="5"/>
        <v>0</v>
      </c>
      <c r="AC53" s="2"/>
    </row>
    <row r="54" spans="1:29" ht="15.5">
      <c r="A54" s="13" t="str">
        <f>IF(OR(ISBLANK(C54),ISBLANK(D54),ISBLANK(F54),ISBLANK(G54)),"",COUNTIF($B$5:B54,"JAMBUTU"))</f>
        <v/>
      </c>
      <c r="B54" s="8"/>
      <c r="C54" s="8"/>
      <c r="D54" s="8"/>
      <c r="E54" s="13"/>
      <c r="F54" s="12"/>
      <c r="G54" s="11"/>
      <c r="H54" s="12"/>
      <c r="I54" s="11"/>
      <c r="J54" s="10">
        <f t="shared" si="9"/>
        <v>0</v>
      </c>
      <c r="K54" s="10">
        <f t="shared" si="1"/>
        <v>0</v>
      </c>
      <c r="L54" s="9" t="str">
        <f t="shared" si="2"/>
        <v/>
      </c>
      <c r="M54" s="8"/>
      <c r="N54" s="8"/>
      <c r="O54" s="8"/>
      <c r="P54" s="8"/>
      <c r="Q54" s="8"/>
      <c r="R54" s="8"/>
      <c r="S54" s="8"/>
      <c r="T54" s="8"/>
      <c r="U54" s="8"/>
      <c r="V54" s="7"/>
      <c r="W54" s="6" t="str">
        <f t="array" ref="W54">IF(NOT(ISBLANK(D54)),_xludf.XLOOKUP(D54,[1]CODE!$A$4:$A$100,[1]CODE!$D$4:$D$100),"")</f>
        <v/>
      </c>
      <c r="X54" s="5" t="str">
        <f t="array" ref="X54">IF(NOT(AND(ISBLANK(D54),ISBLANK(C54))),_xludf.XLOOKUP(D54,[1]CODE!$A$4:$A$100,[1]CODE!$E$4:$E$100),"")</f>
        <v/>
      </c>
      <c r="Y54" s="5" t="str">
        <f t="shared" si="3"/>
        <v/>
      </c>
      <c r="Z54" s="5" t="str">
        <f t="shared" si="4"/>
        <v/>
      </c>
      <c r="AA54" s="4">
        <f t="shared" si="5"/>
        <v>0</v>
      </c>
      <c r="AC54" s="2"/>
    </row>
    <row r="55" spans="1:29" ht="15.5">
      <c r="A55" s="13" t="str">
        <f>IF(OR(ISBLANK(C55),ISBLANK(D55),ISBLANK(F55),ISBLANK(G55)),"",COUNTIF($B$5:B55,"JAMBUTU"))</f>
        <v/>
      </c>
      <c r="B55" s="8"/>
      <c r="C55" s="8"/>
      <c r="D55" s="8"/>
      <c r="E55" s="13"/>
      <c r="F55" s="12"/>
      <c r="G55" s="11"/>
      <c r="H55" s="12"/>
      <c r="I55" s="11"/>
      <c r="J55" s="10">
        <f t="shared" si="9"/>
        <v>0</v>
      </c>
      <c r="K55" s="10">
        <f t="shared" si="1"/>
        <v>0</v>
      </c>
      <c r="L55" s="9" t="str">
        <f t="shared" si="2"/>
        <v/>
      </c>
      <c r="M55" s="8"/>
      <c r="N55" s="8"/>
      <c r="O55" s="8"/>
      <c r="P55" s="8"/>
      <c r="Q55" s="8"/>
      <c r="R55" s="8"/>
      <c r="S55" s="8"/>
      <c r="T55" s="8"/>
      <c r="U55" s="8"/>
      <c r="V55" s="7"/>
      <c r="W55" s="6" t="str">
        <f t="array" ref="W55">IF(NOT(ISBLANK(D55)),_xludf.XLOOKUP(D55,[1]CODE!$A$4:$A$100,[1]CODE!$D$4:$D$100),"")</f>
        <v/>
      </c>
      <c r="X55" s="5" t="str">
        <f t="array" ref="X55">IF(NOT(AND(ISBLANK(D55),ISBLANK(C55))),_xludf.XLOOKUP(D55,[1]CODE!$A$4:$A$100,[1]CODE!$E$4:$E$100),"")</f>
        <v/>
      </c>
      <c r="Y55" s="5" t="str">
        <f t="shared" si="3"/>
        <v/>
      </c>
      <c r="Z55" s="5" t="str">
        <f t="shared" si="4"/>
        <v/>
      </c>
      <c r="AA55" s="4">
        <f t="shared" si="5"/>
        <v>0</v>
      </c>
      <c r="AC55" s="2"/>
    </row>
    <row r="56" spans="1:29" ht="15.5">
      <c r="A56" s="13" t="str">
        <f>IF(OR(ISBLANK(C56),ISBLANK(D56),ISBLANK(F56),ISBLANK(G56)),"",COUNTIF($B$5:B56,"JAMBUTU"))</f>
        <v/>
      </c>
      <c r="B56" s="8"/>
      <c r="C56" s="8"/>
      <c r="D56" s="8"/>
      <c r="E56" s="13"/>
      <c r="F56" s="12"/>
      <c r="G56" s="11"/>
      <c r="H56" s="12"/>
      <c r="I56" s="11"/>
      <c r="J56" s="10">
        <f t="shared" si="9"/>
        <v>0</v>
      </c>
      <c r="K56" s="10">
        <f t="shared" si="1"/>
        <v>0</v>
      </c>
      <c r="L56" s="9" t="str">
        <f t="shared" si="2"/>
        <v/>
      </c>
      <c r="M56" s="8"/>
      <c r="N56" s="8"/>
      <c r="O56" s="8"/>
      <c r="P56" s="8"/>
      <c r="Q56" s="8"/>
      <c r="R56" s="8"/>
      <c r="S56" s="8"/>
      <c r="T56" s="8"/>
      <c r="U56" s="8"/>
      <c r="V56" s="7"/>
      <c r="W56" s="6" t="str">
        <f t="array" ref="W56">IF(NOT(ISBLANK(D56)),_xludf.XLOOKUP(D56,[1]CODE!$A$4:$A$100,[1]CODE!$D$4:$D$100),"")</f>
        <v/>
      </c>
      <c r="X56" s="5" t="str">
        <f t="array" ref="X56">IF(NOT(AND(ISBLANK(D56),ISBLANK(C56))),_xludf.XLOOKUP(D56,[1]CODE!$A$4:$A$100,[1]CODE!$E$4:$E$100),"")</f>
        <v/>
      </c>
      <c r="Y56" s="5" t="str">
        <f t="shared" si="3"/>
        <v/>
      </c>
      <c r="Z56" s="5" t="str">
        <f t="shared" si="4"/>
        <v/>
      </c>
      <c r="AA56" s="4">
        <f t="shared" si="5"/>
        <v>0</v>
      </c>
      <c r="AC56" s="2"/>
    </row>
    <row r="57" spans="1:29" ht="15.5">
      <c r="A57" s="13" t="str">
        <f>IF(OR(ISBLANK(C57),ISBLANK(D57),ISBLANK(F57),ISBLANK(G57)),"",COUNTIF($B$5:B57,"JAMBUTU"))</f>
        <v/>
      </c>
      <c r="B57" s="8"/>
      <c r="C57" s="8"/>
      <c r="D57" s="8"/>
      <c r="E57" s="13"/>
      <c r="F57" s="12"/>
      <c r="G57" s="11"/>
      <c r="H57" s="12"/>
      <c r="I57" s="11"/>
      <c r="J57" s="10">
        <f t="shared" si="9"/>
        <v>0</v>
      </c>
      <c r="K57" s="10">
        <f t="shared" si="1"/>
        <v>0</v>
      </c>
      <c r="L57" s="9" t="str">
        <f t="shared" si="2"/>
        <v/>
      </c>
      <c r="M57" s="8"/>
      <c r="N57" s="8"/>
      <c r="O57" s="8"/>
      <c r="P57" s="8"/>
      <c r="Q57" s="8"/>
      <c r="R57" s="8"/>
      <c r="S57" s="8"/>
      <c r="T57" s="8"/>
      <c r="U57" s="8"/>
      <c r="V57" s="7"/>
      <c r="W57" s="6" t="str">
        <f t="array" ref="W57">IF(NOT(ISBLANK(D57)),_xludf.XLOOKUP(D57,[1]CODE!$A$4:$A$100,[1]CODE!$D$4:$D$100),"")</f>
        <v/>
      </c>
      <c r="X57" s="5" t="str">
        <f t="array" ref="X57">IF(NOT(AND(ISBLANK(D57),ISBLANK(C57))),_xludf.XLOOKUP(D57,[1]CODE!$A$4:$A$100,[1]CODE!$E$4:$E$100),"")</f>
        <v/>
      </c>
      <c r="Y57" s="5" t="str">
        <f t="shared" si="3"/>
        <v/>
      </c>
      <c r="Z57" s="5" t="str">
        <f t="shared" si="4"/>
        <v/>
      </c>
      <c r="AA57" s="4">
        <f t="shared" si="5"/>
        <v>0</v>
      </c>
      <c r="AC57" s="2"/>
    </row>
    <row r="58" spans="1:29" ht="15.5">
      <c r="A58" s="13" t="str">
        <f>IF(OR(ISBLANK(C58),ISBLANK(D58),ISBLANK(F58),ISBLANK(G58)),"",COUNTIF($B$5:B58,"JAMBUTU"))</f>
        <v/>
      </c>
      <c r="B58" s="8"/>
      <c r="C58" s="8"/>
      <c r="D58" s="8"/>
      <c r="E58" s="13"/>
      <c r="F58" s="12"/>
      <c r="G58" s="11"/>
      <c r="H58" s="12"/>
      <c r="I58" s="11"/>
      <c r="J58" s="10">
        <f t="shared" si="9"/>
        <v>0</v>
      </c>
      <c r="K58" s="10">
        <f t="shared" si="1"/>
        <v>0</v>
      </c>
      <c r="L58" s="9" t="str">
        <f t="shared" si="2"/>
        <v/>
      </c>
      <c r="M58" s="8"/>
      <c r="N58" s="8"/>
      <c r="O58" s="8"/>
      <c r="P58" s="8"/>
      <c r="Q58" s="8"/>
      <c r="R58" s="8"/>
      <c r="S58" s="8"/>
      <c r="T58" s="8"/>
      <c r="U58" s="8"/>
      <c r="V58" s="7"/>
      <c r="W58" s="6" t="str">
        <f t="array" ref="W58">IF(NOT(ISBLANK(D58)),_xludf.XLOOKUP(D58,[1]CODE!$A$4:$A$100,[1]CODE!$D$4:$D$100),"")</f>
        <v/>
      </c>
      <c r="X58" s="5" t="str">
        <f t="array" ref="X58">IF(NOT(AND(ISBLANK(D58),ISBLANK(C58))),_xludf.XLOOKUP(D58,[1]CODE!$A$4:$A$100,[1]CODE!$E$4:$E$100),"")</f>
        <v/>
      </c>
      <c r="Y58" s="5" t="str">
        <f t="shared" si="3"/>
        <v/>
      </c>
      <c r="Z58" s="5" t="str">
        <f t="shared" si="4"/>
        <v/>
      </c>
      <c r="AA58" s="4">
        <f t="shared" si="5"/>
        <v>0</v>
      </c>
      <c r="AC58" s="2"/>
    </row>
    <row r="59" spans="1:29" ht="15.5">
      <c r="A59" s="13" t="str">
        <f>IF(OR(ISBLANK(C59),ISBLANK(D59),ISBLANK(F59),ISBLANK(G59)),"",COUNTIF($B$5:B59,"JAMBUTU"))</f>
        <v/>
      </c>
      <c r="B59" s="8"/>
      <c r="C59" s="8"/>
      <c r="D59" s="8"/>
      <c r="E59" s="13"/>
      <c r="F59" s="12"/>
      <c r="G59" s="11"/>
      <c r="H59" s="12"/>
      <c r="I59" s="11"/>
      <c r="J59" s="10">
        <f t="shared" si="9"/>
        <v>0</v>
      </c>
      <c r="K59" s="10">
        <f t="shared" si="1"/>
        <v>0</v>
      </c>
      <c r="L59" s="9" t="str">
        <f t="shared" si="2"/>
        <v/>
      </c>
      <c r="M59" s="8"/>
      <c r="N59" s="8"/>
      <c r="O59" s="8"/>
      <c r="P59" s="8"/>
      <c r="Q59" s="8"/>
      <c r="R59" s="8"/>
      <c r="S59" s="8"/>
      <c r="T59" s="8"/>
      <c r="U59" s="8"/>
      <c r="V59" s="7"/>
      <c r="W59" s="6" t="str">
        <f t="array" ref="W59">IF(NOT(ISBLANK(D59)),_xludf.XLOOKUP(D59,[1]CODE!$A$4:$A$100,[1]CODE!$D$4:$D$100),"")</f>
        <v/>
      </c>
      <c r="X59" s="5" t="str">
        <f t="array" ref="X59">IF(NOT(AND(ISBLANK(D59),ISBLANK(C59))),_xludf.XLOOKUP(D59,[1]CODE!$A$4:$A$100,[1]CODE!$E$4:$E$100),"")</f>
        <v/>
      </c>
      <c r="Y59" s="5" t="str">
        <f t="shared" si="3"/>
        <v/>
      </c>
      <c r="Z59" s="5" t="str">
        <f t="shared" si="4"/>
        <v/>
      </c>
      <c r="AA59" s="4">
        <f t="shared" si="5"/>
        <v>0</v>
      </c>
      <c r="AC59" s="2"/>
    </row>
    <row r="60" spans="1:29" ht="15.5">
      <c r="A60" s="13" t="str">
        <f>IF(OR(ISBLANK(C60),ISBLANK(D60),ISBLANK(F60),ISBLANK(G60)),"",COUNTIF($B$5:B60,"JAMBUTU"))</f>
        <v/>
      </c>
      <c r="B60" s="8"/>
      <c r="C60" s="8"/>
      <c r="D60" s="8"/>
      <c r="E60" s="13"/>
      <c r="F60" s="12"/>
      <c r="G60" s="11"/>
      <c r="H60" s="12"/>
      <c r="I60" s="11"/>
      <c r="J60" s="10">
        <f t="shared" si="9"/>
        <v>0</v>
      </c>
      <c r="K60" s="10">
        <f t="shared" si="1"/>
        <v>0</v>
      </c>
      <c r="L60" s="9" t="str">
        <f t="shared" si="2"/>
        <v/>
      </c>
      <c r="M60" s="8"/>
      <c r="N60" s="8"/>
      <c r="O60" s="8"/>
      <c r="P60" s="8"/>
      <c r="Q60" s="8"/>
      <c r="R60" s="8"/>
      <c r="S60" s="8"/>
      <c r="T60" s="8"/>
      <c r="U60" s="8"/>
      <c r="V60" s="7"/>
      <c r="W60" s="6" t="str">
        <f t="array" ref="W60">IF(NOT(ISBLANK(D60)),_xludf.XLOOKUP(D60,[1]CODE!$A$4:$A$100,[1]CODE!$D$4:$D$100),"")</f>
        <v/>
      </c>
      <c r="X60" s="5" t="str">
        <f t="array" ref="X60">IF(NOT(AND(ISBLANK(D60),ISBLANK(C60))),_xludf.XLOOKUP(D60,[1]CODE!$A$4:$A$100,[1]CODE!$E$4:$E$100),"")</f>
        <v/>
      </c>
      <c r="Y60" s="5" t="str">
        <f t="shared" si="3"/>
        <v/>
      </c>
      <c r="Z60" s="5" t="str">
        <f t="shared" si="4"/>
        <v/>
      </c>
      <c r="AA60" s="4">
        <f t="shared" si="5"/>
        <v>0</v>
      </c>
      <c r="AC60" s="2"/>
    </row>
    <row r="61" spans="1:29" ht="15.5">
      <c r="A61" s="13" t="str">
        <f>IF(OR(ISBLANK(C61),ISBLANK(D61),ISBLANK(F61),ISBLANK(G61)),"",COUNTIF($B$5:B61,"JAMBUTU"))</f>
        <v/>
      </c>
      <c r="B61" s="8"/>
      <c r="C61" s="8"/>
      <c r="D61" s="8"/>
      <c r="E61" s="13"/>
      <c r="F61" s="12"/>
      <c r="G61" s="11"/>
      <c r="H61" s="12"/>
      <c r="I61" s="11"/>
      <c r="J61" s="10">
        <f t="shared" si="9"/>
        <v>0</v>
      </c>
      <c r="K61" s="10">
        <f t="shared" si="1"/>
        <v>0</v>
      </c>
      <c r="L61" s="9" t="str">
        <f t="shared" si="2"/>
        <v/>
      </c>
      <c r="M61" s="8"/>
      <c r="N61" s="8"/>
      <c r="O61" s="8"/>
      <c r="P61" s="8"/>
      <c r="Q61" s="8"/>
      <c r="R61" s="8"/>
      <c r="S61" s="8"/>
      <c r="T61" s="8"/>
      <c r="U61" s="8"/>
      <c r="V61" s="7"/>
      <c r="W61" s="6" t="str">
        <f t="array" ref="W61">IF(NOT(ISBLANK(D61)),_xludf.XLOOKUP(D61,[1]CODE!$A$4:$A$100,[1]CODE!$D$4:$D$100),"")</f>
        <v/>
      </c>
      <c r="X61" s="5" t="str">
        <f t="array" ref="X61">IF(NOT(AND(ISBLANK(D61),ISBLANK(C61))),_xludf.XLOOKUP(D61,[1]CODE!$A$4:$A$100,[1]CODE!$E$4:$E$100),"")</f>
        <v/>
      </c>
      <c r="Y61" s="5" t="str">
        <f t="shared" si="3"/>
        <v/>
      </c>
      <c r="Z61" s="5" t="str">
        <f t="shared" si="4"/>
        <v/>
      </c>
      <c r="AA61" s="4">
        <f t="shared" si="5"/>
        <v>0</v>
      </c>
      <c r="AC61" s="2"/>
    </row>
    <row r="62" spans="1:29" ht="15.5">
      <c r="A62" s="13" t="str">
        <f>IF(OR(ISBLANK(C62),ISBLANK(D62),ISBLANK(F62),ISBLANK(G62)),"",COUNTIF($B$5:B62,"JAMBUTU"))</f>
        <v/>
      </c>
      <c r="B62" s="8"/>
      <c r="C62" s="8"/>
      <c r="D62" s="8"/>
      <c r="E62" s="13"/>
      <c r="F62" s="12"/>
      <c r="G62" s="11"/>
      <c r="H62" s="12"/>
      <c r="I62" s="11"/>
      <c r="J62" s="10">
        <f t="shared" si="9"/>
        <v>0</v>
      </c>
      <c r="K62" s="10">
        <f t="shared" si="1"/>
        <v>0</v>
      </c>
      <c r="L62" s="9" t="str">
        <f t="shared" si="2"/>
        <v/>
      </c>
      <c r="M62" s="8"/>
      <c r="N62" s="8"/>
      <c r="O62" s="8"/>
      <c r="P62" s="8"/>
      <c r="Q62" s="8"/>
      <c r="R62" s="8"/>
      <c r="S62" s="8"/>
      <c r="T62" s="8"/>
      <c r="U62" s="8"/>
      <c r="V62" s="7"/>
      <c r="W62" s="6" t="str">
        <f t="array" ref="W62">IF(NOT(ISBLANK(D62)),_xludf.XLOOKUP(D62,[1]CODE!$A$4:$A$100,[1]CODE!$D$4:$D$100),"")</f>
        <v/>
      </c>
      <c r="X62" s="5" t="str">
        <f t="array" ref="X62">IF(NOT(AND(ISBLANK(D62),ISBLANK(C62))),_xludf.XLOOKUP(D62,[1]CODE!$A$4:$A$100,[1]CODE!$E$4:$E$100),"")</f>
        <v/>
      </c>
      <c r="Y62" s="5" t="str">
        <f t="shared" si="3"/>
        <v/>
      </c>
      <c r="Z62" s="5" t="str">
        <f t="shared" si="4"/>
        <v/>
      </c>
      <c r="AA62" s="4">
        <f t="shared" si="5"/>
        <v>0</v>
      </c>
      <c r="AC62" s="2"/>
    </row>
    <row r="63" spans="1:29" ht="15.5">
      <c r="A63" s="13">
        <f>IF(OR(ISBLANK(C63),ISBLANK(D63),ISBLANK(F63),ISBLANK(G63)),"",COUNTIF($B$5:B63,"JAMBUTU"))</f>
        <v>9</v>
      </c>
      <c r="B63" s="8" t="str">
        <f>IF(C63&lt;&gt;"","Jambutu","")</f>
        <v>Jambutu</v>
      </c>
      <c r="C63" s="8" t="s">
        <v>4</v>
      </c>
      <c r="D63" s="8" t="s">
        <v>6</v>
      </c>
      <c r="E63" s="13">
        <v>3.7</v>
      </c>
      <c r="F63" s="12">
        <v>46032</v>
      </c>
      <c r="G63" s="11">
        <v>0.44722222222222224</v>
      </c>
      <c r="H63" s="12">
        <v>46032</v>
      </c>
      <c r="I63" s="11">
        <v>0.4513888888888889</v>
      </c>
      <c r="J63" s="10">
        <f t="shared" si="9"/>
        <v>46032.447222222225</v>
      </c>
      <c r="K63" s="10">
        <f t="shared" si="1"/>
        <v>46032.451388888891</v>
      </c>
      <c r="L63" s="9">
        <f t="shared" si="2"/>
        <v>4.166666665696539E-3</v>
      </c>
      <c r="M63" s="8" t="s">
        <v>9</v>
      </c>
      <c r="N63" s="8" t="s">
        <v>1</v>
      </c>
      <c r="O63" s="8" t="s">
        <v>0</v>
      </c>
      <c r="P63" s="8"/>
      <c r="Q63" s="8"/>
      <c r="R63" s="8"/>
      <c r="S63" s="8"/>
      <c r="T63" s="8"/>
      <c r="U63" s="8"/>
      <c r="V63" s="7"/>
      <c r="W63" s="6" t="e">
        <f t="array" aca="1" ref="W63" ca="1">IF(NOT(ISBLANK(D63)),_xludf.XLOOKUP(D63,[1]CODE!$A$4:$A$100,[1]CODE!$D$4:$D$100),"")</f>
        <v>#NAME?</v>
      </c>
      <c r="X63" s="5" t="e">
        <f t="array" aca="1" ref="X63" ca="1">IF(NOT(AND(ISBLANK(D63),ISBLANK(C63))),_xludf.XLOOKUP(D63,[1]CODE!$A$4:$A$100,[1]CODE!$E$4:$E$100),"")</f>
        <v>#NAME?</v>
      </c>
      <c r="Y63" s="5" t="str">
        <f t="shared" si="3"/>
        <v>33KV</v>
      </c>
      <c r="Z63" s="5" t="str">
        <f t="shared" si="4"/>
        <v>YES</v>
      </c>
      <c r="AA63" s="4">
        <f t="shared" si="5"/>
        <v>46032</v>
      </c>
      <c r="AC63" s="2"/>
    </row>
    <row r="64" spans="1:29" ht="15.5">
      <c r="A64" s="13" t="str">
        <f>IF(OR(ISBLANK(C64),ISBLANK(D64),ISBLANK(F64),ISBLANK(G64)),"",COUNTIF($B$5:B64,"JAMBUTU"))</f>
        <v/>
      </c>
      <c r="B64" s="8"/>
      <c r="C64" s="8"/>
      <c r="D64" s="8"/>
      <c r="E64" s="13"/>
      <c r="F64" s="12"/>
      <c r="G64" s="11"/>
      <c r="H64" s="12"/>
      <c r="I64" s="11"/>
      <c r="J64" s="10">
        <f t="shared" si="9"/>
        <v>0</v>
      </c>
      <c r="K64" s="10">
        <f t="shared" si="1"/>
        <v>0</v>
      </c>
      <c r="L64" s="9" t="str">
        <f t="shared" si="2"/>
        <v/>
      </c>
      <c r="M64" s="8"/>
      <c r="N64" s="8"/>
      <c r="O64" s="8"/>
      <c r="P64" s="8"/>
      <c r="Q64" s="8"/>
      <c r="R64" s="8"/>
      <c r="S64" s="8"/>
      <c r="T64" s="8"/>
      <c r="U64" s="8"/>
      <c r="V64" s="7"/>
      <c r="W64" s="6" t="str">
        <f t="array" ref="W64">IF(NOT(ISBLANK(D64)),_xludf.XLOOKUP(D64,[1]CODE!$A$4:$A$100,[1]CODE!$D$4:$D$100),"")</f>
        <v/>
      </c>
      <c r="X64" s="5" t="str">
        <f t="array" ref="X64">IF(NOT(AND(ISBLANK(D64),ISBLANK(C64))),_xludf.XLOOKUP(D64,[1]CODE!$A$4:$A$100,[1]CODE!$E$4:$E$100),"")</f>
        <v/>
      </c>
      <c r="Y64" s="5" t="str">
        <f t="shared" si="3"/>
        <v/>
      </c>
      <c r="Z64" s="5" t="str">
        <f t="shared" si="4"/>
        <v/>
      </c>
      <c r="AA64" s="4">
        <f t="shared" si="5"/>
        <v>0</v>
      </c>
      <c r="AC64" s="2"/>
    </row>
    <row r="65" spans="1:29" ht="15.5">
      <c r="A65" s="13" t="str">
        <f>IF(OR(ISBLANK(C65),ISBLANK(D65),ISBLANK(F65),ISBLANK(G65)),"",COUNTIF($B$5:B65,"JAMBUTU"))</f>
        <v/>
      </c>
      <c r="B65" s="8"/>
      <c r="C65" s="8"/>
      <c r="D65" s="8"/>
      <c r="E65" s="13"/>
      <c r="F65" s="12"/>
      <c r="G65" s="11"/>
      <c r="H65" s="12"/>
      <c r="I65" s="11"/>
      <c r="J65" s="10">
        <f t="shared" si="9"/>
        <v>0</v>
      </c>
      <c r="K65" s="10">
        <f t="shared" si="1"/>
        <v>0</v>
      </c>
      <c r="L65" s="9" t="str">
        <f t="shared" si="2"/>
        <v/>
      </c>
      <c r="M65" s="8"/>
      <c r="N65" s="8"/>
      <c r="O65" s="8"/>
      <c r="P65" s="8"/>
      <c r="Q65" s="8"/>
      <c r="R65" s="8"/>
      <c r="S65" s="8"/>
      <c r="T65" s="8"/>
      <c r="U65" s="8"/>
      <c r="V65" s="7"/>
      <c r="W65" s="6" t="str">
        <f t="array" ref="W65">IF(NOT(ISBLANK(D65)),_xludf.XLOOKUP(D65,[1]CODE!$A$4:$A$100,[1]CODE!$D$4:$D$100),"")</f>
        <v/>
      </c>
      <c r="X65" s="5" t="str">
        <f t="array" ref="X65">IF(NOT(AND(ISBLANK(D65),ISBLANK(C65))),_xludf.XLOOKUP(D65,[1]CODE!$A$4:$A$100,[1]CODE!$E$4:$E$100),"")</f>
        <v/>
      </c>
      <c r="Y65" s="5" t="str">
        <f t="shared" si="3"/>
        <v/>
      </c>
      <c r="Z65" s="5" t="str">
        <f t="shared" si="4"/>
        <v/>
      </c>
      <c r="AA65" s="4">
        <f t="shared" si="5"/>
        <v>0</v>
      </c>
      <c r="AC65" s="2"/>
    </row>
    <row r="66" spans="1:29" ht="15.5">
      <c r="A66" s="13">
        <f>IF(OR(ISBLANK(C66),ISBLANK(D66),ISBLANK(F66),ISBLANK(G66)),"",COUNTIF($B$5:B66,"JAMBUTU"))</f>
        <v>10</v>
      </c>
      <c r="B66" s="8" t="str">
        <f>IF(C66&lt;&gt;"","Jambutu","")</f>
        <v>Jambutu</v>
      </c>
      <c r="C66" s="8" t="s">
        <v>4</v>
      </c>
      <c r="D66" s="8" t="s">
        <v>6</v>
      </c>
      <c r="E66" s="13">
        <v>3.2</v>
      </c>
      <c r="F66" s="12">
        <v>46032</v>
      </c>
      <c r="G66" s="11">
        <v>0.69722222222222219</v>
      </c>
      <c r="H66" s="12">
        <v>46032</v>
      </c>
      <c r="I66" s="11">
        <v>0.7006944444444444</v>
      </c>
      <c r="J66" s="10">
        <f t="shared" si="9"/>
        <v>46032.697222222225</v>
      </c>
      <c r="K66" s="10">
        <f t="shared" si="1"/>
        <v>46032.700694444444</v>
      </c>
      <c r="L66" s="9">
        <f t="shared" si="2"/>
        <v>3.4722222189884633E-3</v>
      </c>
      <c r="M66" s="8" t="s">
        <v>18</v>
      </c>
      <c r="N66" s="8" t="s">
        <v>1</v>
      </c>
      <c r="O66" s="8" t="s">
        <v>0</v>
      </c>
      <c r="P66" s="8"/>
      <c r="Q66" s="8"/>
      <c r="R66" s="8"/>
      <c r="S66" s="8"/>
      <c r="T66" s="8"/>
      <c r="U66" s="8"/>
      <c r="V66" s="7"/>
      <c r="W66" s="6" t="e">
        <f t="array" aca="1" ref="W66" ca="1">IF(NOT(ISBLANK(D66)),_xludf.XLOOKUP(D66,[1]CODE!$A$4:$A$100,[1]CODE!$D$4:$D$100),"")</f>
        <v>#NAME?</v>
      </c>
      <c r="X66" s="5" t="e">
        <f t="array" aca="1" ref="X66" ca="1">IF(NOT(AND(ISBLANK(D66),ISBLANK(C66))),_xludf.XLOOKUP(D66,[1]CODE!$A$4:$A$100,[1]CODE!$E$4:$E$100),"")</f>
        <v>#NAME?</v>
      </c>
      <c r="Y66" s="5" t="str">
        <f t="shared" si="3"/>
        <v>33KV</v>
      </c>
      <c r="Z66" s="5" t="str">
        <f t="shared" si="4"/>
        <v>YES</v>
      </c>
      <c r="AA66" s="4">
        <f t="shared" si="5"/>
        <v>46032</v>
      </c>
      <c r="AC66" s="2"/>
    </row>
    <row r="67" spans="1:29" ht="15.5">
      <c r="A67" s="13" t="str">
        <f>IF(OR(ISBLANK(C67),ISBLANK(D67),ISBLANK(F67),ISBLANK(G67)),"",COUNTIF($B$5:B67,"JAMBUTU"))</f>
        <v/>
      </c>
      <c r="B67" s="8"/>
      <c r="C67" s="8"/>
      <c r="D67" s="8"/>
      <c r="E67" s="13"/>
      <c r="F67" s="12"/>
      <c r="G67" s="11"/>
      <c r="H67" s="12"/>
      <c r="I67" s="11"/>
      <c r="J67" s="10">
        <f t="shared" si="9"/>
        <v>0</v>
      </c>
      <c r="K67" s="10">
        <f t="shared" si="1"/>
        <v>0</v>
      </c>
      <c r="L67" s="9" t="str">
        <f t="shared" si="2"/>
        <v/>
      </c>
      <c r="M67" s="8"/>
      <c r="N67" s="8"/>
      <c r="O67" s="8"/>
      <c r="P67" s="8"/>
      <c r="Q67" s="8"/>
      <c r="R67" s="8"/>
      <c r="S67" s="8"/>
      <c r="T67" s="8"/>
      <c r="U67" s="8"/>
      <c r="V67" s="7"/>
      <c r="W67" s="6" t="str">
        <f t="array" ref="W67">IF(NOT(ISBLANK(D67)),_xludf.XLOOKUP(D67,[1]CODE!$A$4:$A$100,[1]CODE!$D$4:$D$100),"")</f>
        <v/>
      </c>
      <c r="X67" s="5" t="str">
        <f t="array" ref="X67">IF(NOT(AND(ISBLANK(D67),ISBLANK(C67))),_xludf.XLOOKUP(D67,[1]CODE!$A$4:$A$100,[1]CODE!$E$4:$E$100),"")</f>
        <v/>
      </c>
      <c r="Y67" s="5" t="str">
        <f t="shared" si="3"/>
        <v/>
      </c>
      <c r="Z67" s="5" t="str">
        <f t="shared" si="4"/>
        <v/>
      </c>
      <c r="AA67" s="4">
        <f t="shared" si="5"/>
        <v>0</v>
      </c>
      <c r="AC67" s="2"/>
    </row>
    <row r="68" spans="1:29" ht="15.5">
      <c r="A68" s="13" t="str">
        <f>IF(OR(ISBLANK(C68),ISBLANK(D68),ISBLANK(F68),ISBLANK(G68)),"",COUNTIF($B$5:B68,"JAMBUTU"))</f>
        <v/>
      </c>
      <c r="B68" s="8"/>
      <c r="C68" s="8"/>
      <c r="D68" s="8"/>
      <c r="E68" s="13"/>
      <c r="F68" s="12"/>
      <c r="G68" s="11"/>
      <c r="H68" s="12"/>
      <c r="I68" s="11"/>
      <c r="J68" s="10">
        <f t="shared" si="9"/>
        <v>0</v>
      </c>
      <c r="K68" s="10">
        <f t="shared" si="1"/>
        <v>0</v>
      </c>
      <c r="L68" s="9" t="str">
        <f t="shared" si="2"/>
        <v/>
      </c>
      <c r="M68" s="8"/>
      <c r="N68" s="8"/>
      <c r="O68" s="8"/>
      <c r="P68" s="8"/>
      <c r="Q68" s="8"/>
      <c r="R68" s="8"/>
      <c r="S68" s="8"/>
      <c r="T68" s="8"/>
      <c r="U68" s="8"/>
      <c r="V68" s="7"/>
      <c r="W68" s="6" t="str">
        <f t="array" ref="W68">IF(NOT(ISBLANK(D68)),_xludf.XLOOKUP(D68,[1]CODE!$A$4:$A$100,[1]CODE!$D$4:$D$100),"")</f>
        <v/>
      </c>
      <c r="X68" s="5" t="str">
        <f t="array" ref="X68">IF(NOT(AND(ISBLANK(D68),ISBLANK(C68))),_xludf.XLOOKUP(D68,[1]CODE!$A$4:$A$100,[1]CODE!$E$4:$E$100),"")</f>
        <v/>
      </c>
      <c r="Y68" s="5" t="str">
        <f t="shared" si="3"/>
        <v/>
      </c>
      <c r="Z68" s="5" t="str">
        <f t="shared" si="4"/>
        <v/>
      </c>
      <c r="AA68" s="4">
        <f t="shared" si="5"/>
        <v>0</v>
      </c>
      <c r="AC68" s="2"/>
    </row>
    <row r="69" spans="1:29" ht="15.5">
      <c r="A69" s="13" t="str">
        <f>IF(OR(ISBLANK(C69),ISBLANK(D69),ISBLANK(F69),ISBLANK(G69)),"",COUNTIF($B$5:B69,"JAMBUTU"))</f>
        <v/>
      </c>
      <c r="B69" s="8"/>
      <c r="C69" s="8"/>
      <c r="D69" s="8"/>
      <c r="E69" s="13"/>
      <c r="F69" s="12"/>
      <c r="G69" s="11"/>
      <c r="H69" s="12"/>
      <c r="I69" s="11"/>
      <c r="J69" s="10">
        <f t="shared" ref="J69:J100" si="10">DATE(YEAR(F69),MONTH(F69),DAY(F69))+TIME(HOUR(G69),MINUTE(G69), SECOND(G69))</f>
        <v>0</v>
      </c>
      <c r="K69" s="10">
        <f t="shared" ref="K69:K132" si="11">DATE(YEAR(H69),MONTH(H69),DAY(H69))+TIME(HOUR(I69),MINUTE(I69), SECOND(I69))</f>
        <v>0</v>
      </c>
      <c r="L69" s="9" t="str">
        <f t="shared" ref="L69:L132" si="12">IF(ISBLANK(I69),"",IF(J69&gt;K69,(K69+1)-J69,K69-J69))</f>
        <v/>
      </c>
      <c r="M69" s="8"/>
      <c r="N69" s="8"/>
      <c r="O69" s="8"/>
      <c r="P69" s="8"/>
      <c r="Q69" s="8"/>
      <c r="R69" s="8"/>
      <c r="S69" s="8"/>
      <c r="T69" s="8"/>
      <c r="U69" s="8"/>
      <c r="V69" s="7"/>
      <c r="W69" s="6" t="str">
        <f t="array" ref="W69">IF(NOT(ISBLANK(D69)),_xludf.XLOOKUP(D69,[1]CODE!$A$4:$A$100,[1]CODE!$D$4:$D$100),"")</f>
        <v/>
      </c>
      <c r="X69" s="5" t="str">
        <f t="array" ref="X69">IF(NOT(AND(ISBLANK(D69),ISBLANK(C69))),_xludf.XLOOKUP(D69,[1]CODE!$A$4:$A$100,[1]CODE!$E$4:$E$100),"")</f>
        <v/>
      </c>
      <c r="Y69" s="5" t="str">
        <f t="shared" ref="Y69:Y132" si="13">LEFT(C69,4)</f>
        <v/>
      </c>
      <c r="Z69" s="5" t="str">
        <f t="shared" ref="Z69:Z132" si="14">IF(NOT(ISBLANK(C69)), IF(K69&gt;J69,"YES","NO"),"")</f>
        <v/>
      </c>
      <c r="AA69" s="4">
        <f t="shared" ref="AA69:AA132" si="15">IF(AND(F69=H69,Z69="NO"),1+H69,H69)</f>
        <v>0</v>
      </c>
      <c r="AC69" s="2"/>
    </row>
    <row r="70" spans="1:29" ht="15.5">
      <c r="A70" s="13" t="str">
        <f>IF(OR(ISBLANK(C70),ISBLANK(D70),ISBLANK(F70),ISBLANK(G70)),"",COUNTIF($B$5:B70,"JAMBUTU"))</f>
        <v/>
      </c>
      <c r="B70" s="8"/>
      <c r="C70" s="8"/>
      <c r="D70" s="8"/>
      <c r="E70" s="13"/>
      <c r="F70" s="12"/>
      <c r="G70" s="11"/>
      <c r="H70" s="12"/>
      <c r="I70" s="11"/>
      <c r="J70" s="10">
        <f t="shared" si="10"/>
        <v>0</v>
      </c>
      <c r="K70" s="10">
        <f t="shared" si="11"/>
        <v>0</v>
      </c>
      <c r="L70" s="9" t="str">
        <f t="shared" si="12"/>
        <v/>
      </c>
      <c r="M70" s="8"/>
      <c r="N70" s="8"/>
      <c r="O70" s="8"/>
      <c r="P70" s="8"/>
      <c r="Q70" s="8"/>
      <c r="R70" s="8"/>
      <c r="S70" s="8"/>
      <c r="T70" s="8"/>
      <c r="U70" s="8"/>
      <c r="V70" s="7"/>
      <c r="W70" s="6" t="str">
        <f t="array" ref="W70">IF(NOT(ISBLANK(D70)),_xludf.XLOOKUP(D70,[1]CODE!$A$4:$A$100,[1]CODE!$D$4:$D$100),"")</f>
        <v/>
      </c>
      <c r="X70" s="5" t="str">
        <f t="array" ref="X70">IF(NOT(AND(ISBLANK(D70),ISBLANK(C70))),_xludf.XLOOKUP(D70,[1]CODE!$A$4:$A$100,[1]CODE!$E$4:$E$100),"")</f>
        <v/>
      </c>
      <c r="Y70" s="5" t="str">
        <f t="shared" si="13"/>
        <v/>
      </c>
      <c r="Z70" s="5" t="str">
        <f t="shared" si="14"/>
        <v/>
      </c>
      <c r="AA70" s="4">
        <f t="shared" si="15"/>
        <v>0</v>
      </c>
      <c r="AC70" s="2"/>
    </row>
    <row r="71" spans="1:29" ht="15.5">
      <c r="A71" s="13" t="str">
        <f>IF(OR(ISBLANK(C71),ISBLANK(D71),ISBLANK(F71),ISBLANK(G71)),"",COUNTIF($B$5:B71,"JAMBUTU"))</f>
        <v/>
      </c>
      <c r="B71" s="8"/>
      <c r="C71" s="8"/>
      <c r="D71" s="8"/>
      <c r="E71" s="13"/>
      <c r="F71" s="12"/>
      <c r="G71" s="11"/>
      <c r="H71" s="12"/>
      <c r="I71" s="11"/>
      <c r="J71" s="10">
        <f t="shared" si="10"/>
        <v>0</v>
      </c>
      <c r="K71" s="10">
        <f t="shared" si="11"/>
        <v>0</v>
      </c>
      <c r="L71" s="9" t="str">
        <f t="shared" si="12"/>
        <v/>
      </c>
      <c r="M71" s="8"/>
      <c r="N71" s="8"/>
      <c r="O71" s="8"/>
      <c r="P71" s="8"/>
      <c r="Q71" s="8"/>
      <c r="R71" s="8"/>
      <c r="S71" s="8"/>
      <c r="T71" s="8"/>
      <c r="U71" s="8"/>
      <c r="V71" s="7"/>
      <c r="W71" s="6" t="str">
        <f t="array" ref="W71">IF(NOT(ISBLANK(D71)),_xludf.XLOOKUP(D71,[1]CODE!$A$4:$A$100,[1]CODE!$D$4:$D$100),"")</f>
        <v/>
      </c>
      <c r="X71" s="5" t="str">
        <f t="array" ref="X71">IF(NOT(AND(ISBLANK(D71),ISBLANK(C71))),_xludf.XLOOKUP(D71,[1]CODE!$A$4:$A$100,[1]CODE!$E$4:$E$100),"")</f>
        <v/>
      </c>
      <c r="Y71" s="5" t="str">
        <f t="shared" si="13"/>
        <v/>
      </c>
      <c r="Z71" s="5" t="str">
        <f t="shared" si="14"/>
        <v/>
      </c>
      <c r="AA71" s="4">
        <f t="shared" si="15"/>
        <v>0</v>
      </c>
      <c r="AC71" s="2"/>
    </row>
    <row r="72" spans="1:29" ht="15.5">
      <c r="A72" s="13" t="str">
        <f>IF(OR(ISBLANK(C72),ISBLANK(D72),ISBLANK(F72),ISBLANK(G72)),"",COUNTIF($B$5:B72,"JAMBUTU"))</f>
        <v/>
      </c>
      <c r="B72" s="8"/>
      <c r="C72" s="8"/>
      <c r="D72" s="8"/>
      <c r="E72" s="13"/>
      <c r="F72" s="12"/>
      <c r="G72" s="11"/>
      <c r="H72" s="12"/>
      <c r="I72" s="11"/>
      <c r="J72" s="10">
        <f t="shared" si="10"/>
        <v>0</v>
      </c>
      <c r="K72" s="10">
        <f t="shared" si="11"/>
        <v>0</v>
      </c>
      <c r="L72" s="9" t="str">
        <f t="shared" si="12"/>
        <v/>
      </c>
      <c r="M72" s="8"/>
      <c r="N72" s="8"/>
      <c r="O72" s="8"/>
      <c r="P72" s="8"/>
      <c r="Q72" s="8"/>
      <c r="R72" s="8"/>
      <c r="S72" s="8"/>
      <c r="T72" s="8"/>
      <c r="U72" s="8"/>
      <c r="V72" s="7"/>
      <c r="W72" s="6" t="str">
        <f t="array" ref="W72">IF(NOT(ISBLANK(D72)),_xludf.XLOOKUP(D72,[1]CODE!$A$4:$A$100,[1]CODE!$D$4:$D$100),"")</f>
        <v/>
      </c>
      <c r="X72" s="5" t="str">
        <f t="array" ref="X72">IF(NOT(AND(ISBLANK(D72),ISBLANK(C72))),_xludf.XLOOKUP(D72,[1]CODE!$A$4:$A$100,[1]CODE!$E$4:$E$100),"")</f>
        <v/>
      </c>
      <c r="Y72" s="5" t="str">
        <f t="shared" si="13"/>
        <v/>
      </c>
      <c r="Z72" s="5" t="str">
        <f t="shared" si="14"/>
        <v/>
      </c>
      <c r="AA72" s="4">
        <f t="shared" si="15"/>
        <v>0</v>
      </c>
      <c r="AC72" s="2"/>
    </row>
    <row r="73" spans="1:29" ht="15.5">
      <c r="A73" s="13" t="str">
        <f>IF(OR(ISBLANK(C73),ISBLANK(D73),ISBLANK(F73),ISBLANK(G73)),"",COUNTIF($B$5:B73,"JAMBUTU"))</f>
        <v/>
      </c>
      <c r="B73" s="8"/>
      <c r="C73" s="8"/>
      <c r="D73" s="8"/>
      <c r="E73" s="13"/>
      <c r="F73" s="12"/>
      <c r="G73" s="11"/>
      <c r="H73" s="12"/>
      <c r="I73" s="11"/>
      <c r="J73" s="10">
        <f t="shared" si="10"/>
        <v>0</v>
      </c>
      <c r="K73" s="10">
        <f t="shared" si="11"/>
        <v>0</v>
      </c>
      <c r="L73" s="9" t="str">
        <f t="shared" si="12"/>
        <v/>
      </c>
      <c r="M73" s="8"/>
      <c r="N73" s="8"/>
      <c r="O73" s="8"/>
      <c r="P73" s="8"/>
      <c r="Q73" s="8"/>
      <c r="R73" s="8"/>
      <c r="S73" s="8"/>
      <c r="T73" s="8"/>
      <c r="U73" s="8"/>
      <c r="V73" s="7"/>
      <c r="W73" s="6" t="str">
        <f t="array" ref="W73">IF(NOT(ISBLANK(D73)),_xludf.XLOOKUP(D73,[1]CODE!$A$4:$A$100,[1]CODE!$D$4:$D$100),"")</f>
        <v/>
      </c>
      <c r="X73" s="5" t="str">
        <f t="array" ref="X73">IF(NOT(AND(ISBLANK(D73),ISBLANK(C73))),_xludf.XLOOKUP(D73,[1]CODE!$A$4:$A$100,[1]CODE!$E$4:$E$100),"")</f>
        <v/>
      </c>
      <c r="Y73" s="5" t="str">
        <f t="shared" si="13"/>
        <v/>
      </c>
      <c r="Z73" s="5" t="str">
        <f t="shared" si="14"/>
        <v/>
      </c>
      <c r="AA73" s="4">
        <f t="shared" si="15"/>
        <v>0</v>
      </c>
      <c r="AC73" s="2"/>
    </row>
    <row r="74" spans="1:29" ht="15.5">
      <c r="A74" s="13" t="str">
        <f>IF(OR(ISBLANK(C74),ISBLANK(D74),ISBLANK(F74),ISBLANK(G74)),"",COUNTIF($B$5:B74,"JAMBUTU"))</f>
        <v/>
      </c>
      <c r="B74" s="8"/>
      <c r="C74" s="8"/>
      <c r="D74" s="8"/>
      <c r="E74" s="13"/>
      <c r="F74" s="12"/>
      <c r="G74" s="11"/>
      <c r="H74" s="12"/>
      <c r="I74" s="11"/>
      <c r="J74" s="10">
        <f t="shared" si="10"/>
        <v>0</v>
      </c>
      <c r="K74" s="10">
        <f t="shared" si="11"/>
        <v>0</v>
      </c>
      <c r="L74" s="9" t="str">
        <f t="shared" si="12"/>
        <v/>
      </c>
      <c r="M74" s="8"/>
      <c r="N74" s="8"/>
      <c r="O74" s="8"/>
      <c r="P74" s="8"/>
      <c r="Q74" s="8"/>
      <c r="R74" s="8"/>
      <c r="S74" s="8"/>
      <c r="T74" s="8"/>
      <c r="U74" s="8"/>
      <c r="V74" s="7"/>
      <c r="W74" s="6" t="str">
        <f t="array" ref="W74">IF(NOT(ISBLANK(D74)),_xludf.XLOOKUP(D74,[1]CODE!$A$4:$A$100,[1]CODE!$D$4:$D$100),"")</f>
        <v/>
      </c>
      <c r="X74" s="5" t="str">
        <f t="array" ref="X74">IF(NOT(AND(ISBLANK(D74),ISBLANK(C74))),_xludf.XLOOKUP(D74,[1]CODE!$A$4:$A$100,[1]CODE!$E$4:$E$100),"")</f>
        <v/>
      </c>
      <c r="Y74" s="5" t="str">
        <f t="shared" si="13"/>
        <v/>
      </c>
      <c r="Z74" s="5" t="str">
        <f t="shared" si="14"/>
        <v/>
      </c>
      <c r="AA74" s="4">
        <f t="shared" si="15"/>
        <v>0</v>
      </c>
      <c r="AC74" s="2"/>
    </row>
    <row r="75" spans="1:29" ht="15.5">
      <c r="A75" s="13" t="str">
        <f>IF(OR(ISBLANK(C75),ISBLANK(D75),ISBLANK(F75),ISBLANK(G75)),"",COUNTIF($B$5:B75,"JAMBUTU"))</f>
        <v/>
      </c>
      <c r="B75" s="8"/>
      <c r="C75" s="8"/>
      <c r="D75" s="8"/>
      <c r="E75" s="13"/>
      <c r="F75" s="12"/>
      <c r="G75" s="11"/>
      <c r="H75" s="12"/>
      <c r="I75" s="11"/>
      <c r="J75" s="10">
        <f t="shared" si="10"/>
        <v>0</v>
      </c>
      <c r="K75" s="10">
        <f t="shared" si="11"/>
        <v>0</v>
      </c>
      <c r="L75" s="9" t="str">
        <f t="shared" si="12"/>
        <v/>
      </c>
      <c r="M75" s="8"/>
      <c r="N75" s="8"/>
      <c r="O75" s="8"/>
      <c r="P75" s="8"/>
      <c r="Q75" s="8"/>
      <c r="R75" s="8"/>
      <c r="S75" s="8"/>
      <c r="T75" s="8"/>
      <c r="U75" s="8"/>
      <c r="V75" s="7"/>
      <c r="W75" s="6" t="str">
        <f t="array" ref="W75">IF(NOT(ISBLANK(D75)),_xludf.XLOOKUP(D75,[1]CODE!$A$4:$A$100,[1]CODE!$D$4:$D$100),"")</f>
        <v/>
      </c>
      <c r="X75" s="5" t="str">
        <f t="array" ref="X75">IF(NOT(AND(ISBLANK(D75),ISBLANK(C75))),_xludf.XLOOKUP(D75,[1]CODE!$A$4:$A$100,[1]CODE!$E$4:$E$100),"")</f>
        <v/>
      </c>
      <c r="Y75" s="5" t="str">
        <f t="shared" si="13"/>
        <v/>
      </c>
      <c r="Z75" s="5" t="str">
        <f t="shared" si="14"/>
        <v/>
      </c>
      <c r="AA75" s="4">
        <f t="shared" si="15"/>
        <v>0</v>
      </c>
      <c r="AC75" s="2"/>
    </row>
    <row r="76" spans="1:29" ht="15.5">
      <c r="A76" s="13" t="str">
        <f>IF(OR(ISBLANK(C76),ISBLANK(D76),ISBLANK(F76),ISBLANK(G76)),"",COUNTIF($B$5:B76,"JAMBUTU"))</f>
        <v/>
      </c>
      <c r="B76" s="8"/>
      <c r="C76" s="8"/>
      <c r="D76" s="8"/>
      <c r="E76" s="13"/>
      <c r="F76" s="12"/>
      <c r="G76" s="11"/>
      <c r="H76" s="12"/>
      <c r="I76" s="11"/>
      <c r="J76" s="10">
        <f t="shared" si="10"/>
        <v>0</v>
      </c>
      <c r="K76" s="10">
        <f t="shared" si="11"/>
        <v>0</v>
      </c>
      <c r="L76" s="9" t="str">
        <f t="shared" si="12"/>
        <v/>
      </c>
      <c r="M76" s="8"/>
      <c r="N76" s="8"/>
      <c r="O76" s="8"/>
      <c r="P76" s="8"/>
      <c r="Q76" s="8"/>
      <c r="R76" s="8"/>
      <c r="S76" s="8"/>
      <c r="T76" s="8"/>
      <c r="U76" s="8"/>
      <c r="V76" s="7"/>
      <c r="W76" s="6" t="str">
        <f t="array" ref="W76">IF(NOT(ISBLANK(D76)),_xludf.XLOOKUP(D76,[1]CODE!$A$4:$A$100,[1]CODE!$D$4:$D$100),"")</f>
        <v/>
      </c>
      <c r="X76" s="5" t="str">
        <f t="array" ref="X76">IF(NOT(AND(ISBLANK(D76),ISBLANK(C76))),_xludf.XLOOKUP(D76,[1]CODE!$A$4:$A$100,[1]CODE!$E$4:$E$100),"")</f>
        <v/>
      </c>
      <c r="Y76" s="5" t="str">
        <f t="shared" si="13"/>
        <v/>
      </c>
      <c r="Z76" s="5" t="str">
        <f t="shared" si="14"/>
        <v/>
      </c>
      <c r="AA76" s="4">
        <f t="shared" si="15"/>
        <v>0</v>
      </c>
      <c r="AC76" s="2"/>
    </row>
    <row r="77" spans="1:29" ht="15.5">
      <c r="A77" s="13" t="str">
        <f>IF(OR(ISBLANK(C77),ISBLANK(D77),ISBLANK(F77),ISBLANK(G77)),"",COUNTIF($B$5:B77,"JAMBUTU"))</f>
        <v/>
      </c>
      <c r="B77" s="8"/>
      <c r="C77" s="8"/>
      <c r="D77" s="8"/>
      <c r="E77" s="13"/>
      <c r="F77" s="12"/>
      <c r="G77" s="11"/>
      <c r="H77" s="12"/>
      <c r="I77" s="11"/>
      <c r="J77" s="10">
        <f t="shared" si="10"/>
        <v>0</v>
      </c>
      <c r="K77" s="10">
        <f t="shared" si="11"/>
        <v>0</v>
      </c>
      <c r="L77" s="9" t="str">
        <f t="shared" si="12"/>
        <v/>
      </c>
      <c r="M77" s="8"/>
      <c r="N77" s="8"/>
      <c r="O77" s="8"/>
      <c r="P77" s="8"/>
      <c r="Q77" s="8"/>
      <c r="R77" s="8"/>
      <c r="S77" s="8"/>
      <c r="T77" s="8"/>
      <c r="U77" s="8"/>
      <c r="V77" s="7"/>
      <c r="W77" s="6" t="str">
        <f t="array" ref="W77">IF(NOT(ISBLANK(D77)),_xludf.XLOOKUP(D77,[1]CODE!$A$4:$A$100,[1]CODE!$D$4:$D$100),"")</f>
        <v/>
      </c>
      <c r="X77" s="5" t="str">
        <f t="array" ref="X77">IF(NOT(AND(ISBLANK(D77),ISBLANK(C77))),_xludf.XLOOKUP(D77,[1]CODE!$A$4:$A$100,[1]CODE!$E$4:$E$100),"")</f>
        <v/>
      </c>
      <c r="Y77" s="5" t="str">
        <f t="shared" si="13"/>
        <v/>
      </c>
      <c r="Z77" s="5" t="str">
        <f t="shared" si="14"/>
        <v/>
      </c>
      <c r="AA77" s="4">
        <f t="shared" si="15"/>
        <v>0</v>
      </c>
      <c r="AC77" s="2"/>
    </row>
    <row r="78" spans="1:29" ht="15.5">
      <c r="A78" s="13" t="str">
        <f>IF(OR(ISBLANK(C78),ISBLANK(D78),ISBLANK(F78),ISBLANK(G78)),"",COUNTIF($B$5:B78,"JAMBUTU"))</f>
        <v/>
      </c>
      <c r="B78" s="8"/>
      <c r="C78" s="8"/>
      <c r="D78" s="8"/>
      <c r="E78" s="13"/>
      <c r="F78" s="12"/>
      <c r="G78" s="11"/>
      <c r="H78" s="12"/>
      <c r="I78" s="11"/>
      <c r="J78" s="10">
        <f t="shared" si="10"/>
        <v>0</v>
      </c>
      <c r="K78" s="10">
        <f t="shared" si="11"/>
        <v>0</v>
      </c>
      <c r="L78" s="9" t="str">
        <f t="shared" si="12"/>
        <v/>
      </c>
      <c r="M78" s="8"/>
      <c r="N78" s="8"/>
      <c r="O78" s="8"/>
      <c r="P78" s="8"/>
      <c r="Q78" s="8"/>
      <c r="R78" s="8"/>
      <c r="S78" s="8"/>
      <c r="T78" s="8"/>
      <c r="U78" s="8"/>
      <c r="V78" s="7"/>
      <c r="W78" s="6" t="str">
        <f t="array" ref="W78">IF(NOT(ISBLANK(D78)),_xludf.XLOOKUP(D78,[1]CODE!$A$4:$A$100,[1]CODE!$D$4:$D$100),"")</f>
        <v/>
      </c>
      <c r="X78" s="5" t="str">
        <f t="array" ref="X78">IF(NOT(AND(ISBLANK(D78),ISBLANK(C78))),_xludf.XLOOKUP(D78,[1]CODE!$A$4:$A$100,[1]CODE!$E$4:$E$100),"")</f>
        <v/>
      </c>
      <c r="Y78" s="5" t="str">
        <f t="shared" si="13"/>
        <v/>
      </c>
      <c r="Z78" s="5" t="str">
        <f t="shared" si="14"/>
        <v/>
      </c>
      <c r="AA78" s="4">
        <f t="shared" si="15"/>
        <v>0</v>
      </c>
      <c r="AC78" s="2"/>
    </row>
    <row r="79" spans="1:29" ht="15.5">
      <c r="A79" s="13" t="str">
        <f>IF(OR(ISBLANK(C79),ISBLANK(D79),ISBLANK(F79),ISBLANK(G79)),"",COUNTIF($B$5:B79,"JAMBUTU"))</f>
        <v/>
      </c>
      <c r="B79" s="8"/>
      <c r="C79" s="21"/>
      <c r="D79" s="8"/>
      <c r="E79" s="13"/>
      <c r="F79" s="12"/>
      <c r="G79" s="11"/>
      <c r="H79" s="12"/>
      <c r="I79" s="11"/>
      <c r="J79" s="10">
        <f t="shared" si="10"/>
        <v>0</v>
      </c>
      <c r="K79" s="10">
        <f t="shared" si="11"/>
        <v>0</v>
      </c>
      <c r="L79" s="9" t="str">
        <f t="shared" si="12"/>
        <v/>
      </c>
      <c r="M79" s="8"/>
      <c r="N79" s="8"/>
      <c r="O79" s="8"/>
      <c r="P79" s="8"/>
      <c r="Q79" s="8"/>
      <c r="R79" s="8"/>
      <c r="S79" s="8"/>
      <c r="T79" s="8"/>
      <c r="U79" s="8"/>
      <c r="V79" s="7"/>
      <c r="W79" s="6" t="str">
        <f t="array" ref="W79">IF(NOT(ISBLANK(D79)),_xludf.XLOOKUP(D79,[1]CODE!$A$4:$A$100,[1]CODE!$D$4:$D$100),"")</f>
        <v/>
      </c>
      <c r="X79" s="5" t="str">
        <f t="array" ref="X79">IF(NOT(AND(ISBLANK(D79),ISBLANK(C79))),_xludf.XLOOKUP(D79,[1]CODE!$A$4:$A$100,[1]CODE!$E$4:$E$100),"")</f>
        <v/>
      </c>
      <c r="Y79" s="5" t="str">
        <f t="shared" si="13"/>
        <v/>
      </c>
      <c r="Z79" s="5" t="str">
        <f t="shared" si="14"/>
        <v/>
      </c>
      <c r="AA79" s="4">
        <f t="shared" si="15"/>
        <v>0</v>
      </c>
      <c r="AC79" s="2"/>
    </row>
    <row r="80" spans="1:29" ht="15.5">
      <c r="A80" s="13" t="str">
        <f>IF(OR(ISBLANK(C80),ISBLANK(D80),ISBLANK(F80),ISBLANK(G80)),"",COUNTIF($B$5:B80,"JAMBUTU"))</f>
        <v/>
      </c>
      <c r="B80" s="8"/>
      <c r="C80" s="8"/>
      <c r="D80" s="8"/>
      <c r="E80" s="13"/>
      <c r="F80" s="12"/>
      <c r="G80" s="11"/>
      <c r="H80" s="12"/>
      <c r="I80" s="11"/>
      <c r="J80" s="10">
        <f t="shared" si="10"/>
        <v>0</v>
      </c>
      <c r="K80" s="10">
        <f t="shared" si="11"/>
        <v>0</v>
      </c>
      <c r="L80" s="9" t="str">
        <f t="shared" si="12"/>
        <v/>
      </c>
      <c r="M80" s="8"/>
      <c r="N80" s="8"/>
      <c r="O80" s="8"/>
      <c r="P80" s="8"/>
      <c r="Q80" s="8"/>
      <c r="R80" s="8"/>
      <c r="S80" s="8"/>
      <c r="T80" s="8"/>
      <c r="U80" s="8"/>
      <c r="V80" s="7"/>
      <c r="W80" s="6" t="str">
        <f t="array" ref="W80">IF(NOT(ISBLANK(D80)),_xludf.XLOOKUP(D80,[1]CODE!$A$4:$A$100,[1]CODE!$D$4:$D$100),"")</f>
        <v/>
      </c>
      <c r="X80" s="5" t="str">
        <f t="array" ref="X80">IF(NOT(AND(ISBLANK(D80),ISBLANK(C80))),_xludf.XLOOKUP(D80,[1]CODE!$A$4:$A$100,[1]CODE!$E$4:$E$100),"")</f>
        <v/>
      </c>
      <c r="Y80" s="5" t="str">
        <f t="shared" si="13"/>
        <v/>
      </c>
      <c r="Z80" s="5" t="str">
        <f t="shared" si="14"/>
        <v/>
      </c>
      <c r="AA80" s="4">
        <f t="shared" si="15"/>
        <v>0</v>
      </c>
      <c r="AC80" s="2"/>
    </row>
    <row r="81" spans="1:29" ht="15.5">
      <c r="A81" s="13" t="str">
        <f>IF(OR(ISBLANK(C81),ISBLANK(D81),ISBLANK(F81),ISBLANK(G81)),"",COUNTIF($B$5:B81,"JAMBUTU"))</f>
        <v/>
      </c>
      <c r="B81" s="8"/>
      <c r="C81" s="8"/>
      <c r="D81" s="8"/>
      <c r="E81" s="13"/>
      <c r="F81" s="12"/>
      <c r="G81" s="11"/>
      <c r="H81" s="12"/>
      <c r="I81" s="11"/>
      <c r="J81" s="10">
        <f t="shared" si="10"/>
        <v>0</v>
      </c>
      <c r="K81" s="10">
        <f t="shared" si="11"/>
        <v>0</v>
      </c>
      <c r="L81" s="9" t="str">
        <f t="shared" si="12"/>
        <v/>
      </c>
      <c r="M81" s="8"/>
      <c r="N81" s="8"/>
      <c r="O81" s="8"/>
      <c r="P81" s="8"/>
      <c r="Q81" s="8"/>
      <c r="R81" s="8"/>
      <c r="S81" s="8"/>
      <c r="T81" s="8"/>
      <c r="U81" s="8"/>
      <c r="V81" s="7"/>
      <c r="W81" s="6" t="str">
        <f t="array" ref="W81">IF(NOT(ISBLANK(D81)),_xludf.XLOOKUP(D81,[1]CODE!$A$4:$A$100,[1]CODE!$D$4:$D$100),"")</f>
        <v/>
      </c>
      <c r="X81" s="5" t="str">
        <f t="array" ref="X81">IF(NOT(AND(ISBLANK(D81),ISBLANK(C81))),_xludf.XLOOKUP(D81,[1]CODE!$A$4:$A$100,[1]CODE!$E$4:$E$100),"")</f>
        <v/>
      </c>
      <c r="Y81" s="5" t="str">
        <f t="shared" si="13"/>
        <v/>
      </c>
      <c r="Z81" s="5" t="str">
        <f t="shared" si="14"/>
        <v/>
      </c>
      <c r="AA81" s="4">
        <f t="shared" si="15"/>
        <v>0</v>
      </c>
      <c r="AC81" s="2"/>
    </row>
    <row r="82" spans="1:29" ht="15.5">
      <c r="A82" s="13" t="str">
        <f>IF(OR(ISBLANK(C82),ISBLANK(D82),ISBLANK(F82),ISBLANK(G82)),"",COUNTIF($B$5:B82,"JAMBUTU"))</f>
        <v/>
      </c>
      <c r="B82" s="8"/>
      <c r="C82" s="8"/>
      <c r="D82" s="8"/>
      <c r="E82" s="13"/>
      <c r="F82" s="12"/>
      <c r="G82" s="11"/>
      <c r="H82" s="12"/>
      <c r="I82" s="11"/>
      <c r="J82" s="10">
        <f t="shared" si="10"/>
        <v>0</v>
      </c>
      <c r="K82" s="10">
        <f t="shared" si="11"/>
        <v>0</v>
      </c>
      <c r="L82" s="9" t="str">
        <f t="shared" si="12"/>
        <v/>
      </c>
      <c r="M82" s="8"/>
      <c r="N82" s="8"/>
      <c r="O82" s="8"/>
      <c r="P82" s="8"/>
      <c r="Q82" s="8"/>
      <c r="R82" s="8"/>
      <c r="S82" s="8"/>
      <c r="T82" s="8"/>
      <c r="U82" s="8"/>
      <c r="V82" s="7"/>
      <c r="W82" s="6" t="str">
        <f t="array" ref="W82">IF(NOT(ISBLANK(D82)),_xludf.XLOOKUP(D82,[1]CODE!$A$4:$A$100,[1]CODE!$D$4:$D$100),"")</f>
        <v/>
      </c>
      <c r="X82" s="5" t="str">
        <f t="array" ref="X82">IF(NOT(AND(ISBLANK(D82),ISBLANK(C82))),_xludf.XLOOKUP(D82,[1]CODE!$A$4:$A$100,[1]CODE!$E$4:$E$100),"")</f>
        <v/>
      </c>
      <c r="Y82" s="5" t="str">
        <f t="shared" si="13"/>
        <v/>
      </c>
      <c r="Z82" s="5" t="str">
        <f t="shared" si="14"/>
        <v/>
      </c>
      <c r="AA82" s="4">
        <f t="shared" si="15"/>
        <v>0</v>
      </c>
      <c r="AC82" s="2"/>
    </row>
    <row r="83" spans="1:29" ht="15.5">
      <c r="A83" s="13" t="str">
        <f>IF(OR(ISBLANK(C83),ISBLANK(D83),ISBLANK(F83),ISBLANK(G83)),"",COUNTIF($B$5:B83,"JAMBUTU"))</f>
        <v/>
      </c>
      <c r="B83" s="8"/>
      <c r="C83" s="8"/>
      <c r="D83" s="8"/>
      <c r="E83" s="13"/>
      <c r="F83" s="12"/>
      <c r="G83" s="11"/>
      <c r="H83" s="12"/>
      <c r="I83" s="11"/>
      <c r="J83" s="10">
        <f t="shared" si="10"/>
        <v>0</v>
      </c>
      <c r="K83" s="10">
        <f t="shared" si="11"/>
        <v>0</v>
      </c>
      <c r="L83" s="9" t="str">
        <f t="shared" si="12"/>
        <v/>
      </c>
      <c r="M83" s="8"/>
      <c r="N83" s="8"/>
      <c r="O83" s="8"/>
      <c r="P83" s="8"/>
      <c r="Q83" s="8"/>
      <c r="R83" s="8"/>
      <c r="S83" s="8"/>
      <c r="T83" s="8"/>
      <c r="U83" s="8"/>
      <c r="V83" s="7"/>
      <c r="W83" s="6" t="str">
        <f t="array" ref="W83">IF(NOT(ISBLANK(D83)),_xludf.XLOOKUP(D83,[1]CODE!$A$4:$A$100,[1]CODE!$D$4:$D$100),"")</f>
        <v/>
      </c>
      <c r="X83" s="5" t="str">
        <f t="array" ref="X83">IF(NOT(AND(ISBLANK(D83),ISBLANK(C83))),_xludf.XLOOKUP(D83,[1]CODE!$A$4:$A$100,[1]CODE!$E$4:$E$100),"")</f>
        <v/>
      </c>
      <c r="Y83" s="5" t="str">
        <f t="shared" si="13"/>
        <v/>
      </c>
      <c r="Z83" s="5" t="str">
        <f t="shared" si="14"/>
        <v/>
      </c>
      <c r="AA83" s="4">
        <f t="shared" si="15"/>
        <v>0</v>
      </c>
      <c r="AC83" s="2"/>
    </row>
    <row r="84" spans="1:29" ht="15.5">
      <c r="A84" s="13" t="str">
        <f>IF(OR(ISBLANK(C84),ISBLANK(D84),ISBLANK(F84),ISBLANK(G84)),"",COUNTIF($B$5:B84,"JAMBUTU"))</f>
        <v/>
      </c>
      <c r="B84" s="8"/>
      <c r="C84" s="8"/>
      <c r="D84" s="8"/>
      <c r="E84" s="13"/>
      <c r="F84" s="12"/>
      <c r="G84" s="11"/>
      <c r="H84" s="12"/>
      <c r="I84" s="11"/>
      <c r="J84" s="10">
        <f t="shared" si="10"/>
        <v>0</v>
      </c>
      <c r="K84" s="10">
        <f t="shared" si="11"/>
        <v>0</v>
      </c>
      <c r="L84" s="9" t="str">
        <f t="shared" si="12"/>
        <v/>
      </c>
      <c r="M84" s="8"/>
      <c r="N84" s="8"/>
      <c r="O84" s="8"/>
      <c r="P84" s="8"/>
      <c r="Q84" s="8"/>
      <c r="R84" s="8"/>
      <c r="S84" s="8"/>
      <c r="T84" s="8"/>
      <c r="U84" s="8"/>
      <c r="V84" s="7"/>
      <c r="W84" s="6" t="str">
        <f t="array" ref="W84">IF(NOT(ISBLANK(D84)),_xludf.XLOOKUP(D84,[1]CODE!$A$4:$A$100,[1]CODE!$D$4:$D$100),"")</f>
        <v/>
      </c>
      <c r="X84" s="5" t="str">
        <f t="array" ref="X84">IF(NOT(AND(ISBLANK(D84),ISBLANK(C84))),_xludf.XLOOKUP(D84,[1]CODE!$A$4:$A$100,[1]CODE!$E$4:$E$100),"")</f>
        <v/>
      </c>
      <c r="Y84" s="5" t="str">
        <f t="shared" si="13"/>
        <v/>
      </c>
      <c r="Z84" s="5" t="str">
        <f t="shared" si="14"/>
        <v/>
      </c>
      <c r="AA84" s="4">
        <f t="shared" si="15"/>
        <v>0</v>
      </c>
      <c r="AC84" s="2"/>
    </row>
    <row r="85" spans="1:29" ht="15.5">
      <c r="A85" s="13">
        <f>IF(OR(ISBLANK(C85),ISBLANK(D85),ISBLANK(F85),ISBLANK(G85)),"",COUNTIF($B$5:B85,"JAMBUTU"))</f>
        <v>11</v>
      </c>
      <c r="B85" s="8" t="str">
        <f>IF(C85&lt;&gt;"","Jambutu","")</f>
        <v>Jambutu</v>
      </c>
      <c r="C85" s="8" t="s">
        <v>4</v>
      </c>
      <c r="D85" s="8" t="s">
        <v>6</v>
      </c>
      <c r="E85" s="13">
        <v>4</v>
      </c>
      <c r="F85" s="12">
        <v>46035</v>
      </c>
      <c r="G85" s="11">
        <v>0.73124999999999996</v>
      </c>
      <c r="H85" s="12">
        <v>46035</v>
      </c>
      <c r="I85" s="11">
        <v>0.73819444444444449</v>
      </c>
      <c r="J85" s="10">
        <f t="shared" si="10"/>
        <v>46035.731249999997</v>
      </c>
      <c r="K85" s="10">
        <f t="shared" si="11"/>
        <v>46035.738194444442</v>
      </c>
      <c r="L85" s="9">
        <f t="shared" si="12"/>
        <v>6.9444444452528842E-3</v>
      </c>
      <c r="M85" s="8" t="s">
        <v>2</v>
      </c>
      <c r="N85" s="8" t="s">
        <v>1</v>
      </c>
      <c r="O85" s="8" t="s">
        <v>17</v>
      </c>
      <c r="P85" s="8"/>
      <c r="Q85" s="8"/>
      <c r="R85" s="8"/>
      <c r="S85" s="8"/>
      <c r="T85" s="8"/>
      <c r="U85" s="8"/>
      <c r="V85" s="7"/>
      <c r="W85" s="6" t="e">
        <f t="array" aca="1" ref="W85" ca="1">IF(NOT(ISBLANK(D85)),_xludf.XLOOKUP(D85,[1]CODE!$A$4:$A$100,[1]CODE!$D$4:$D$100),"")</f>
        <v>#NAME?</v>
      </c>
      <c r="X85" s="5" t="e">
        <f t="array" aca="1" ref="X85" ca="1">IF(NOT(AND(ISBLANK(D85),ISBLANK(C85))),_xludf.XLOOKUP(D85,[1]CODE!$A$4:$A$100,[1]CODE!$E$4:$E$100),"")</f>
        <v>#NAME?</v>
      </c>
      <c r="Y85" s="5" t="str">
        <f t="shared" si="13"/>
        <v>33KV</v>
      </c>
      <c r="Z85" s="5" t="str">
        <f t="shared" si="14"/>
        <v>YES</v>
      </c>
      <c r="AA85" s="4">
        <f t="shared" si="15"/>
        <v>46035</v>
      </c>
      <c r="AC85" s="2"/>
    </row>
    <row r="86" spans="1:29" ht="15.5">
      <c r="A86" s="13" t="str">
        <f>IF(OR(ISBLANK(C86),ISBLANK(D86),ISBLANK(F86),ISBLANK(G86)),"",COUNTIF($B$5:B86,"JAMBUTU"))</f>
        <v/>
      </c>
      <c r="B86" s="8"/>
      <c r="C86" s="8"/>
      <c r="D86" s="8"/>
      <c r="E86" s="13"/>
      <c r="F86" s="12"/>
      <c r="G86" s="11"/>
      <c r="H86" s="12"/>
      <c r="I86" s="11"/>
      <c r="J86" s="10">
        <f t="shared" si="10"/>
        <v>0</v>
      </c>
      <c r="K86" s="10">
        <f t="shared" si="11"/>
        <v>0</v>
      </c>
      <c r="L86" s="9" t="str">
        <f t="shared" si="12"/>
        <v/>
      </c>
      <c r="M86" s="8"/>
      <c r="N86" s="8"/>
      <c r="O86" s="8"/>
      <c r="P86" s="8"/>
      <c r="Q86" s="8"/>
      <c r="R86" s="8"/>
      <c r="S86" s="8"/>
      <c r="T86" s="8"/>
      <c r="U86" s="8"/>
      <c r="V86" s="7"/>
      <c r="W86" s="6" t="str">
        <f t="array" ref="W86">IF(NOT(ISBLANK(D86)),_xludf.XLOOKUP(D86,[1]CODE!$A$4:$A$100,[1]CODE!$D$4:$D$100),"")</f>
        <v/>
      </c>
      <c r="X86" s="5" t="str">
        <f t="array" ref="X86">IF(NOT(AND(ISBLANK(D86),ISBLANK(C86))),_xludf.XLOOKUP(D86,[1]CODE!$A$4:$A$100,[1]CODE!$E$4:$E$100),"")</f>
        <v/>
      </c>
      <c r="Y86" s="5" t="str">
        <f t="shared" si="13"/>
        <v/>
      </c>
      <c r="Z86" s="5" t="str">
        <f t="shared" si="14"/>
        <v/>
      </c>
      <c r="AA86" s="4">
        <f t="shared" si="15"/>
        <v>0</v>
      </c>
      <c r="AC86" s="2"/>
    </row>
    <row r="87" spans="1:29" ht="15.5">
      <c r="A87" s="13" t="str">
        <f>IF(OR(ISBLANK(C87),ISBLANK(D87),ISBLANK(F87),ISBLANK(G87)),"",COUNTIF($B$5:B87,"JAMBUTU"))</f>
        <v/>
      </c>
      <c r="B87" s="8"/>
      <c r="C87" s="8"/>
      <c r="D87" s="8"/>
      <c r="E87" s="13"/>
      <c r="F87" s="12"/>
      <c r="G87" s="11"/>
      <c r="H87" s="12"/>
      <c r="I87" s="11"/>
      <c r="J87" s="10">
        <f t="shared" si="10"/>
        <v>0</v>
      </c>
      <c r="K87" s="10">
        <f t="shared" si="11"/>
        <v>0</v>
      </c>
      <c r="L87" s="9" t="str">
        <f t="shared" si="12"/>
        <v/>
      </c>
      <c r="M87" s="8"/>
      <c r="N87" s="8"/>
      <c r="O87" s="8"/>
      <c r="P87" s="8"/>
      <c r="Q87" s="8"/>
      <c r="R87" s="8"/>
      <c r="S87" s="8"/>
      <c r="T87" s="8"/>
      <c r="U87" s="8"/>
      <c r="V87" s="7"/>
      <c r="W87" s="6" t="str">
        <f t="array" ref="W87">IF(NOT(ISBLANK(D87)),_xludf.XLOOKUP(D87,[1]CODE!$A$4:$A$100,[1]CODE!$D$4:$D$100),"")</f>
        <v/>
      </c>
      <c r="X87" s="5" t="str">
        <f t="array" ref="X87">IF(NOT(AND(ISBLANK(D87),ISBLANK(C87))),_xludf.XLOOKUP(D87,[1]CODE!$A$4:$A$100,[1]CODE!$E$4:$E$100),"")</f>
        <v/>
      </c>
      <c r="Y87" s="5" t="str">
        <f t="shared" si="13"/>
        <v/>
      </c>
      <c r="Z87" s="5" t="str">
        <f t="shared" si="14"/>
        <v/>
      </c>
      <c r="AA87" s="4">
        <f t="shared" si="15"/>
        <v>0</v>
      </c>
      <c r="AC87" s="2"/>
    </row>
    <row r="88" spans="1:29" ht="15.5">
      <c r="A88" s="13" t="str">
        <f>IF(OR(ISBLANK(C88),ISBLANK(D88),ISBLANK(F88),ISBLANK(G88)),"",COUNTIF($B$5:B88,"JAMBUTU"))</f>
        <v/>
      </c>
      <c r="B88" s="8"/>
      <c r="C88" s="8"/>
      <c r="D88" s="8"/>
      <c r="E88" s="13"/>
      <c r="F88" s="12"/>
      <c r="G88" s="11"/>
      <c r="H88" s="12"/>
      <c r="I88" s="15"/>
      <c r="J88" s="10">
        <f t="shared" si="10"/>
        <v>0</v>
      </c>
      <c r="K88" s="10">
        <f t="shared" si="11"/>
        <v>0</v>
      </c>
      <c r="L88" s="9" t="str">
        <f t="shared" si="12"/>
        <v/>
      </c>
      <c r="M88" s="8"/>
      <c r="N88" s="8"/>
      <c r="O88" s="8"/>
      <c r="P88" s="8"/>
      <c r="Q88" s="8"/>
      <c r="R88" s="8"/>
      <c r="S88" s="8"/>
      <c r="T88" s="8"/>
      <c r="U88" s="8"/>
      <c r="V88" s="7"/>
      <c r="W88" s="6" t="str">
        <f t="array" ref="W88">IF(NOT(ISBLANK(D88)),_xludf.XLOOKUP(D88,[1]CODE!$A$4:$A$100,[1]CODE!$D$4:$D$100),"")</f>
        <v/>
      </c>
      <c r="X88" s="5" t="str">
        <f t="array" ref="X88">IF(NOT(AND(ISBLANK(D88),ISBLANK(C88))),_xludf.XLOOKUP(D88,[1]CODE!$A$4:$A$100,[1]CODE!$E$4:$E$100),"")</f>
        <v/>
      </c>
      <c r="Y88" s="5" t="str">
        <f t="shared" si="13"/>
        <v/>
      </c>
      <c r="Z88" s="5" t="str">
        <f t="shared" si="14"/>
        <v/>
      </c>
      <c r="AA88" s="4">
        <f t="shared" si="15"/>
        <v>0</v>
      </c>
      <c r="AC88" s="2"/>
    </row>
    <row r="89" spans="1:29" ht="15.5">
      <c r="A89" s="13" t="str">
        <f>IF(OR(ISBLANK(C89),ISBLANK(D89),ISBLANK(F89),ISBLANK(G89)),"",COUNTIF($B$5:B89,"JAMBUTU"))</f>
        <v/>
      </c>
      <c r="B89" s="8"/>
      <c r="C89" s="8"/>
      <c r="D89" s="8"/>
      <c r="E89" s="13"/>
      <c r="F89" s="12"/>
      <c r="G89" s="11"/>
      <c r="H89" s="12"/>
      <c r="I89" s="15"/>
      <c r="J89" s="10">
        <f t="shared" si="10"/>
        <v>0</v>
      </c>
      <c r="K89" s="10">
        <f t="shared" si="11"/>
        <v>0</v>
      </c>
      <c r="L89" s="9" t="str">
        <f t="shared" si="12"/>
        <v/>
      </c>
      <c r="M89" s="8"/>
      <c r="N89" s="8"/>
      <c r="O89" s="8"/>
      <c r="P89" s="8"/>
      <c r="Q89" s="8"/>
      <c r="R89" s="8"/>
      <c r="S89" s="8"/>
      <c r="T89" s="8"/>
      <c r="U89" s="8"/>
      <c r="V89" s="7"/>
      <c r="W89" s="6" t="str">
        <f t="array" ref="W89">IF(NOT(ISBLANK(D89)),_xludf.XLOOKUP(D89,[1]CODE!$A$4:$A$100,[1]CODE!$D$4:$D$100),"")</f>
        <v/>
      </c>
      <c r="X89" s="5" t="str">
        <f t="array" ref="X89">IF(NOT(AND(ISBLANK(D89),ISBLANK(C89))),_xludf.XLOOKUP(D89,[1]CODE!$A$4:$A$100,[1]CODE!$E$4:$E$100),"")</f>
        <v/>
      </c>
      <c r="Y89" s="5" t="str">
        <f t="shared" si="13"/>
        <v/>
      </c>
      <c r="Z89" s="5" t="str">
        <f t="shared" si="14"/>
        <v/>
      </c>
      <c r="AA89" s="4">
        <f t="shared" si="15"/>
        <v>0</v>
      </c>
      <c r="AC89" s="2"/>
    </row>
    <row r="90" spans="1:29" ht="15.5">
      <c r="A90" s="13" t="str">
        <f>IF(OR(ISBLANK(C90),ISBLANK(D90),ISBLANK(F90),ISBLANK(G90)),"",COUNTIF($B$5:B90,"JAMBUTU"))</f>
        <v/>
      </c>
      <c r="B90" s="8"/>
      <c r="C90" s="8"/>
      <c r="D90" s="8"/>
      <c r="E90" s="13"/>
      <c r="F90" s="12"/>
      <c r="G90" s="11"/>
      <c r="H90" s="12"/>
      <c r="I90" s="15"/>
      <c r="J90" s="10">
        <f t="shared" si="10"/>
        <v>0</v>
      </c>
      <c r="K90" s="10">
        <f t="shared" si="11"/>
        <v>0</v>
      </c>
      <c r="L90" s="9" t="str">
        <f t="shared" si="12"/>
        <v/>
      </c>
      <c r="M90" s="8"/>
      <c r="N90" s="8"/>
      <c r="O90" s="8"/>
      <c r="P90" s="8"/>
      <c r="Q90" s="8"/>
      <c r="R90" s="8"/>
      <c r="S90" s="8"/>
      <c r="T90" s="8"/>
      <c r="U90" s="8"/>
      <c r="V90" s="7"/>
      <c r="W90" s="6" t="str">
        <f t="array" ref="W90">IF(NOT(ISBLANK(D90)),_xludf.XLOOKUP(D90,[1]CODE!$A$4:$A$100,[1]CODE!$D$4:$D$100),"")</f>
        <v/>
      </c>
      <c r="X90" s="5" t="str">
        <f t="array" ref="X90">IF(NOT(AND(ISBLANK(D90),ISBLANK(C90))),_xludf.XLOOKUP(D90,[1]CODE!$A$4:$A$100,[1]CODE!$E$4:$E$100),"")</f>
        <v/>
      </c>
      <c r="Y90" s="5" t="str">
        <f t="shared" si="13"/>
        <v/>
      </c>
      <c r="Z90" s="5" t="str">
        <f t="shared" si="14"/>
        <v/>
      </c>
      <c r="AA90" s="4">
        <f t="shared" si="15"/>
        <v>0</v>
      </c>
      <c r="AC90" s="2"/>
    </row>
    <row r="91" spans="1:29" ht="15.5">
      <c r="A91" s="13" t="str">
        <f>IF(OR(ISBLANK(C91),ISBLANK(D91),ISBLANK(F91),ISBLANK(G91)),"",COUNTIF($B$5:B91,"JAMBUTU"))</f>
        <v/>
      </c>
      <c r="B91" s="8"/>
      <c r="C91" s="8"/>
      <c r="D91" s="8"/>
      <c r="E91" s="13"/>
      <c r="F91" s="12"/>
      <c r="G91" s="11"/>
      <c r="H91" s="12"/>
      <c r="I91" s="15"/>
      <c r="J91" s="10">
        <f t="shared" si="10"/>
        <v>0</v>
      </c>
      <c r="K91" s="10">
        <f t="shared" si="11"/>
        <v>0</v>
      </c>
      <c r="L91" s="9" t="str">
        <f t="shared" si="12"/>
        <v/>
      </c>
      <c r="M91" s="8"/>
      <c r="N91" s="8"/>
      <c r="O91" s="8"/>
      <c r="P91" s="8"/>
      <c r="Q91" s="8"/>
      <c r="R91" s="8"/>
      <c r="S91" s="8"/>
      <c r="T91" s="8"/>
      <c r="U91" s="8"/>
      <c r="V91" s="7"/>
      <c r="W91" s="6" t="str">
        <f t="array" ref="W91">IF(NOT(ISBLANK(D91)),_xludf.XLOOKUP(D91,[1]CODE!$A$4:$A$100,[1]CODE!$D$4:$D$100),"")</f>
        <v/>
      </c>
      <c r="X91" s="5" t="str">
        <f t="array" ref="X91">IF(NOT(AND(ISBLANK(D91),ISBLANK(C91))),_xludf.XLOOKUP(D91,[1]CODE!$A$4:$A$100,[1]CODE!$E$4:$E$100),"")</f>
        <v/>
      </c>
      <c r="Y91" s="5" t="str">
        <f t="shared" si="13"/>
        <v/>
      </c>
      <c r="Z91" s="5" t="str">
        <f t="shared" si="14"/>
        <v/>
      </c>
      <c r="AA91" s="4">
        <f t="shared" si="15"/>
        <v>0</v>
      </c>
      <c r="AC91" s="2"/>
    </row>
    <row r="92" spans="1:29" ht="15.5">
      <c r="A92" s="13">
        <f>IF(OR(ISBLANK(C92),ISBLANK(D92),ISBLANK(F92),ISBLANK(G92)),"",COUNTIF($B$5:B92,"JAMBUTU"))</f>
        <v>12</v>
      </c>
      <c r="B92" s="8" t="str">
        <f>IF(C92&lt;&gt;"","Jambutu","")</f>
        <v>Jambutu</v>
      </c>
      <c r="C92" s="8" t="s">
        <v>4</v>
      </c>
      <c r="D92" s="8" t="s">
        <v>6</v>
      </c>
      <c r="E92" s="13">
        <v>4.0999999999999996</v>
      </c>
      <c r="F92" s="12">
        <v>46036</v>
      </c>
      <c r="G92" s="11">
        <v>0.63194444444444442</v>
      </c>
      <c r="H92" s="12">
        <v>46036</v>
      </c>
      <c r="I92" s="11">
        <v>0.63611111111111107</v>
      </c>
      <c r="J92" s="10">
        <f t="shared" si="10"/>
        <v>46036.631944444445</v>
      </c>
      <c r="K92" s="10">
        <f t="shared" si="11"/>
        <v>46036.636111111111</v>
      </c>
      <c r="L92" s="9">
        <f t="shared" si="12"/>
        <v>4.166666665696539E-3</v>
      </c>
      <c r="M92" s="8" t="s">
        <v>9</v>
      </c>
      <c r="N92" s="8" t="s">
        <v>1</v>
      </c>
      <c r="O92" s="8" t="s">
        <v>0</v>
      </c>
      <c r="P92" s="8"/>
      <c r="Q92" s="8"/>
      <c r="R92" s="8"/>
      <c r="S92" s="8"/>
      <c r="T92" s="8"/>
      <c r="U92" s="8"/>
      <c r="V92" s="7"/>
      <c r="W92" s="6" t="e">
        <f t="array" aca="1" ref="W92" ca="1">IF(NOT(ISBLANK(D92)),_xludf.XLOOKUP(D92,[1]CODE!$A$4:$A$100,[1]CODE!$D$4:$D$100),"")</f>
        <v>#NAME?</v>
      </c>
      <c r="X92" s="5" t="e">
        <f t="array" aca="1" ref="X92" ca="1">IF(NOT(AND(ISBLANK(D92),ISBLANK(C92))),_xludf.XLOOKUP(D92,[1]CODE!$A$4:$A$100,[1]CODE!$E$4:$E$100),"")</f>
        <v>#NAME?</v>
      </c>
      <c r="Y92" s="5" t="str">
        <f t="shared" si="13"/>
        <v>33KV</v>
      </c>
      <c r="Z92" s="5" t="str">
        <f t="shared" si="14"/>
        <v>YES</v>
      </c>
      <c r="AA92" s="4">
        <f t="shared" si="15"/>
        <v>46036</v>
      </c>
      <c r="AC92" s="2"/>
    </row>
    <row r="93" spans="1:29" ht="15.5">
      <c r="A93" s="13" t="str">
        <f>IF(OR(ISBLANK(C93),ISBLANK(D93),ISBLANK(F93),ISBLANK(G93)),"",COUNTIF($B$5:B93,"JAMBUTU"))</f>
        <v/>
      </c>
      <c r="B93" s="8"/>
      <c r="C93" s="8"/>
      <c r="D93" s="8"/>
      <c r="E93" s="13"/>
      <c r="F93" s="12"/>
      <c r="G93" s="11"/>
      <c r="H93" s="12"/>
      <c r="I93" s="11"/>
      <c r="J93" s="10">
        <f t="shared" si="10"/>
        <v>0</v>
      </c>
      <c r="K93" s="10">
        <f t="shared" si="11"/>
        <v>0</v>
      </c>
      <c r="L93" s="9" t="str">
        <f t="shared" si="12"/>
        <v/>
      </c>
      <c r="M93" s="8"/>
      <c r="N93" s="8"/>
      <c r="O93" s="8"/>
      <c r="P93" s="8"/>
      <c r="Q93" s="8"/>
      <c r="R93" s="8"/>
      <c r="S93" s="8"/>
      <c r="T93" s="8"/>
      <c r="U93" s="8"/>
      <c r="V93" s="7"/>
      <c r="W93" s="6" t="str">
        <f t="array" ref="W93">IF(NOT(ISBLANK(D93)),_xludf.XLOOKUP(D93,[1]CODE!$A$4:$A$100,[1]CODE!$D$4:$D$100),"")</f>
        <v/>
      </c>
      <c r="X93" s="5" t="str">
        <f t="array" ref="X93">IF(NOT(AND(ISBLANK(D93),ISBLANK(C93))),_xludf.XLOOKUP(D93,[1]CODE!$A$4:$A$100,[1]CODE!$E$4:$E$100),"")</f>
        <v/>
      </c>
      <c r="Y93" s="5" t="str">
        <f t="shared" si="13"/>
        <v/>
      </c>
      <c r="Z93" s="5" t="str">
        <f t="shared" si="14"/>
        <v/>
      </c>
      <c r="AA93" s="4">
        <f t="shared" si="15"/>
        <v>0</v>
      </c>
      <c r="AC93" s="2"/>
    </row>
    <row r="94" spans="1:29" ht="15.5">
      <c r="A94" s="13" t="str">
        <f>IF(OR(ISBLANK(C94),ISBLANK(D94),ISBLANK(F94),ISBLANK(G94)),"",COUNTIF($B$5:B94,"JAMBUTU"))</f>
        <v/>
      </c>
      <c r="B94" s="8"/>
      <c r="C94" s="8"/>
      <c r="D94" s="8"/>
      <c r="E94" s="13"/>
      <c r="F94" s="12"/>
      <c r="G94" s="11"/>
      <c r="H94" s="12"/>
      <c r="I94" s="11"/>
      <c r="J94" s="10">
        <f t="shared" si="10"/>
        <v>0</v>
      </c>
      <c r="K94" s="10">
        <f t="shared" si="11"/>
        <v>0</v>
      </c>
      <c r="L94" s="9" t="str">
        <f t="shared" si="12"/>
        <v/>
      </c>
      <c r="M94" s="8"/>
      <c r="N94" s="8"/>
      <c r="O94" s="8"/>
      <c r="P94" s="8"/>
      <c r="Q94" s="8"/>
      <c r="R94" s="8"/>
      <c r="S94" s="8"/>
      <c r="T94" s="8"/>
      <c r="U94" s="8"/>
      <c r="V94" s="7"/>
      <c r="W94" s="6" t="str">
        <f t="array" ref="W94">IF(NOT(ISBLANK(D94)),_xludf.XLOOKUP(D94,[1]CODE!$A$4:$A$100,[1]CODE!$D$4:$D$100),"")</f>
        <v/>
      </c>
      <c r="X94" s="5" t="str">
        <f t="array" ref="X94">IF(NOT(AND(ISBLANK(D94),ISBLANK(C94))),_xludf.XLOOKUP(D94,[1]CODE!$A$4:$A$100,[1]CODE!$E$4:$E$100),"")</f>
        <v/>
      </c>
      <c r="Y94" s="5" t="str">
        <f t="shared" si="13"/>
        <v/>
      </c>
      <c r="Z94" s="5" t="str">
        <f t="shared" si="14"/>
        <v/>
      </c>
      <c r="AA94" s="4">
        <f t="shared" si="15"/>
        <v>0</v>
      </c>
      <c r="AC94" s="2"/>
    </row>
    <row r="95" spans="1:29" ht="15.5">
      <c r="A95" s="13" t="str">
        <f>IF(OR(ISBLANK(C95),ISBLANK(D95),ISBLANK(F95),ISBLANK(G95)),"",COUNTIF($B$5:B95,"JAMBUTU"))</f>
        <v/>
      </c>
      <c r="B95" s="8"/>
      <c r="C95" s="8"/>
      <c r="D95" s="8"/>
      <c r="E95" s="13"/>
      <c r="F95" s="12"/>
      <c r="G95" s="11"/>
      <c r="H95" s="12"/>
      <c r="I95" s="11"/>
      <c r="J95" s="10">
        <f t="shared" si="10"/>
        <v>0</v>
      </c>
      <c r="K95" s="10">
        <f t="shared" si="11"/>
        <v>0</v>
      </c>
      <c r="L95" s="9" t="str">
        <f t="shared" si="12"/>
        <v/>
      </c>
      <c r="M95" s="8"/>
      <c r="N95" s="8"/>
      <c r="O95" s="8"/>
      <c r="P95" s="8"/>
      <c r="Q95" s="8"/>
      <c r="R95" s="8"/>
      <c r="S95" s="8"/>
      <c r="T95" s="8"/>
      <c r="U95" s="8"/>
      <c r="V95" s="7"/>
      <c r="W95" s="6" t="str">
        <f t="array" ref="W95">IF(NOT(ISBLANK(D95)),_xludf.XLOOKUP(D95,[1]CODE!$A$4:$A$100,[1]CODE!$D$4:$D$100),"")</f>
        <v/>
      </c>
      <c r="X95" s="5" t="str">
        <f t="array" ref="X95">IF(NOT(AND(ISBLANK(D95),ISBLANK(C95))),_xludf.XLOOKUP(D95,[1]CODE!$A$4:$A$100,[1]CODE!$E$4:$E$100),"")</f>
        <v/>
      </c>
      <c r="Y95" s="5" t="str">
        <f t="shared" si="13"/>
        <v/>
      </c>
      <c r="Z95" s="5" t="str">
        <f t="shared" si="14"/>
        <v/>
      </c>
      <c r="AA95" s="4">
        <f t="shared" si="15"/>
        <v>0</v>
      </c>
      <c r="AC95" s="2"/>
    </row>
    <row r="96" spans="1:29" ht="15.5">
      <c r="A96" s="13" t="str">
        <f>IF(OR(ISBLANK(C96),ISBLANK(D96),ISBLANK(F96),ISBLANK(G96)),"",COUNTIF($B$5:B96,"JAMBUTU"))</f>
        <v/>
      </c>
      <c r="B96" s="8"/>
      <c r="C96" s="8"/>
      <c r="D96" s="8"/>
      <c r="E96" s="13"/>
      <c r="F96" s="12"/>
      <c r="G96" s="11"/>
      <c r="H96" s="12"/>
      <c r="I96" s="11"/>
      <c r="J96" s="10">
        <f t="shared" si="10"/>
        <v>0</v>
      </c>
      <c r="K96" s="10">
        <f t="shared" si="11"/>
        <v>0</v>
      </c>
      <c r="L96" s="9" t="str">
        <f t="shared" si="12"/>
        <v/>
      </c>
      <c r="M96" s="8"/>
      <c r="N96" s="8"/>
      <c r="O96" s="8"/>
      <c r="P96" s="8"/>
      <c r="Q96" s="8"/>
      <c r="R96" s="8"/>
      <c r="S96" s="8"/>
      <c r="T96" s="8"/>
      <c r="U96" s="8"/>
      <c r="V96" s="7"/>
      <c r="W96" s="6" t="str">
        <f t="array" ref="W96">IF(NOT(ISBLANK(D96)),_xludf.XLOOKUP(D96,[1]CODE!$A$4:$A$100,[1]CODE!$D$4:$D$100),"")</f>
        <v/>
      </c>
      <c r="X96" s="5" t="str">
        <f t="array" ref="X96">IF(NOT(AND(ISBLANK(D96),ISBLANK(C96))),_xludf.XLOOKUP(D96,[1]CODE!$A$4:$A$100,[1]CODE!$E$4:$E$100),"")</f>
        <v/>
      </c>
      <c r="Y96" s="5" t="str">
        <f t="shared" si="13"/>
        <v/>
      </c>
      <c r="Z96" s="5" t="str">
        <f t="shared" si="14"/>
        <v/>
      </c>
      <c r="AA96" s="4">
        <f t="shared" si="15"/>
        <v>0</v>
      </c>
      <c r="AC96" s="2"/>
    </row>
    <row r="97" spans="1:29" ht="15.5">
      <c r="A97" s="13" t="str">
        <f>IF(OR(ISBLANK(C97),ISBLANK(D97),ISBLANK(F97),ISBLANK(G97)),"",COUNTIF($B$5:B97,"JAMBUTU"))</f>
        <v/>
      </c>
      <c r="B97" s="8"/>
      <c r="C97" s="8"/>
      <c r="D97" s="8"/>
      <c r="E97" s="13"/>
      <c r="F97" s="12"/>
      <c r="G97" s="11"/>
      <c r="H97" s="12"/>
      <c r="I97" s="11"/>
      <c r="J97" s="10">
        <f t="shared" si="10"/>
        <v>0</v>
      </c>
      <c r="K97" s="10">
        <f t="shared" si="11"/>
        <v>0</v>
      </c>
      <c r="L97" s="9" t="str">
        <f t="shared" si="12"/>
        <v/>
      </c>
      <c r="M97" s="8"/>
      <c r="N97" s="8"/>
      <c r="O97" s="8"/>
      <c r="P97" s="8"/>
      <c r="Q97" s="8"/>
      <c r="R97" s="8"/>
      <c r="S97" s="8"/>
      <c r="T97" s="8"/>
      <c r="U97" s="8"/>
      <c r="V97" s="7"/>
      <c r="W97" s="6" t="str">
        <f t="array" ref="W97">IF(NOT(ISBLANK(D97)),_xludf.XLOOKUP(D97,[1]CODE!$A$4:$A$100,[1]CODE!$D$4:$D$100),"")</f>
        <v/>
      </c>
      <c r="X97" s="5" t="str">
        <f t="array" ref="X97">IF(NOT(AND(ISBLANK(D97),ISBLANK(C97))),_xludf.XLOOKUP(D97,[1]CODE!$A$4:$A$100,[1]CODE!$E$4:$E$100),"")</f>
        <v/>
      </c>
      <c r="Y97" s="5" t="str">
        <f t="shared" si="13"/>
        <v/>
      </c>
      <c r="Z97" s="5" t="str">
        <f t="shared" si="14"/>
        <v/>
      </c>
      <c r="AA97" s="4">
        <f t="shared" si="15"/>
        <v>0</v>
      </c>
      <c r="AC97" s="2"/>
    </row>
    <row r="98" spans="1:29" ht="15.5">
      <c r="A98" s="13" t="str">
        <f>IF(OR(ISBLANK(C98),ISBLANK(D98),ISBLANK(F98),ISBLANK(G98)),"",COUNTIF($B$5:B98,"JAMBUTU"))</f>
        <v/>
      </c>
      <c r="B98" s="8"/>
      <c r="C98" s="8"/>
      <c r="D98" s="8"/>
      <c r="E98" s="13"/>
      <c r="F98" s="12"/>
      <c r="G98" s="11"/>
      <c r="H98" s="12"/>
      <c r="I98" s="11"/>
      <c r="J98" s="10">
        <f t="shared" si="10"/>
        <v>0</v>
      </c>
      <c r="K98" s="10">
        <f t="shared" si="11"/>
        <v>0</v>
      </c>
      <c r="L98" s="9" t="str">
        <f t="shared" si="12"/>
        <v/>
      </c>
      <c r="M98" s="8"/>
      <c r="N98" s="8"/>
      <c r="O98" s="8"/>
      <c r="P98" s="8"/>
      <c r="Q98" s="8"/>
      <c r="R98" s="8"/>
      <c r="S98" s="8"/>
      <c r="T98" s="8"/>
      <c r="U98" s="8"/>
      <c r="V98" s="7"/>
      <c r="W98" s="6" t="str">
        <f t="array" ref="W98">IF(NOT(ISBLANK(D98)),_xludf.XLOOKUP(D98,[1]CODE!$A$4:$A$100,[1]CODE!$D$4:$D$100),"")</f>
        <v/>
      </c>
      <c r="X98" s="5" t="str">
        <f t="array" ref="X98">IF(NOT(AND(ISBLANK(D98),ISBLANK(C98))),_xludf.XLOOKUP(D98,[1]CODE!$A$4:$A$100,[1]CODE!$E$4:$E$100),"")</f>
        <v/>
      </c>
      <c r="Y98" s="5" t="str">
        <f t="shared" si="13"/>
        <v/>
      </c>
      <c r="Z98" s="5" t="str">
        <f t="shared" si="14"/>
        <v/>
      </c>
      <c r="AA98" s="4">
        <f t="shared" si="15"/>
        <v>0</v>
      </c>
      <c r="AC98" s="2"/>
    </row>
    <row r="99" spans="1:29" ht="15.5">
      <c r="A99" s="13" t="str">
        <f>IF(OR(ISBLANK(C99),ISBLANK(D99),ISBLANK(F99),ISBLANK(G99)),"",COUNTIF($B$5:B99,"JAMBUTU"))</f>
        <v/>
      </c>
      <c r="B99" s="8"/>
      <c r="C99" s="8"/>
      <c r="D99" s="8"/>
      <c r="E99" s="13"/>
      <c r="F99" s="12"/>
      <c r="G99" s="11"/>
      <c r="H99" s="12"/>
      <c r="I99" s="11"/>
      <c r="J99" s="10">
        <f t="shared" si="10"/>
        <v>0</v>
      </c>
      <c r="K99" s="10">
        <f t="shared" si="11"/>
        <v>0</v>
      </c>
      <c r="L99" s="9" t="str">
        <f t="shared" si="12"/>
        <v/>
      </c>
      <c r="M99" s="8"/>
      <c r="N99" s="8"/>
      <c r="O99" s="8"/>
      <c r="P99" s="8"/>
      <c r="Q99" s="8"/>
      <c r="R99" s="8"/>
      <c r="S99" s="8"/>
      <c r="T99" s="8"/>
      <c r="U99" s="8"/>
      <c r="V99" s="7"/>
      <c r="W99" s="6" t="str">
        <f t="array" ref="W99">IF(NOT(ISBLANK(D99)),_xludf.XLOOKUP(D99,[1]CODE!$A$4:$A$100,[1]CODE!$D$4:$D$100),"")</f>
        <v/>
      </c>
      <c r="X99" s="5" t="str">
        <f t="array" ref="X99">IF(NOT(AND(ISBLANK(D99),ISBLANK(C99))),_xludf.XLOOKUP(D99,[1]CODE!$A$4:$A$100,[1]CODE!$E$4:$E$100),"")</f>
        <v/>
      </c>
      <c r="Y99" s="5" t="str">
        <f t="shared" si="13"/>
        <v/>
      </c>
      <c r="Z99" s="5" t="str">
        <f t="shared" si="14"/>
        <v/>
      </c>
      <c r="AA99" s="4">
        <f t="shared" si="15"/>
        <v>0</v>
      </c>
      <c r="AC99" s="2"/>
    </row>
    <row r="100" spans="1:29" ht="15.5">
      <c r="A100" s="13" t="str">
        <f>IF(OR(ISBLANK(C100),ISBLANK(D100),ISBLANK(F100),ISBLANK(G100)),"",COUNTIF($B$5:B100,"JAMBUTU"))</f>
        <v/>
      </c>
      <c r="B100" s="8"/>
      <c r="C100" s="8"/>
      <c r="D100" s="8"/>
      <c r="E100" s="13"/>
      <c r="F100" s="12"/>
      <c r="G100" s="11"/>
      <c r="H100" s="12"/>
      <c r="I100" s="11"/>
      <c r="J100" s="10">
        <f t="shared" si="10"/>
        <v>0</v>
      </c>
      <c r="K100" s="10">
        <f t="shared" si="11"/>
        <v>0</v>
      </c>
      <c r="L100" s="9" t="str">
        <f t="shared" si="12"/>
        <v/>
      </c>
      <c r="M100" s="8"/>
      <c r="N100" s="8"/>
      <c r="O100" s="8"/>
      <c r="P100" s="8"/>
      <c r="Q100" s="8"/>
      <c r="R100" s="8"/>
      <c r="S100" s="8"/>
      <c r="T100" s="8"/>
      <c r="U100" s="8"/>
      <c r="V100" s="7"/>
      <c r="W100" s="6" t="str">
        <f t="array" ref="W100">IF(NOT(ISBLANK(D100)),_xludf.XLOOKUP(D100,[1]CODE!$A$4:$A$100,[1]CODE!$D$4:$D$100),"")</f>
        <v/>
      </c>
      <c r="X100" s="5" t="str">
        <f t="array" ref="X100">IF(NOT(AND(ISBLANK(D100),ISBLANK(C100))),_xludf.XLOOKUP(D100,[1]CODE!$A$4:$A$100,[1]CODE!$E$4:$E$100),"")</f>
        <v/>
      </c>
      <c r="Y100" s="5" t="str">
        <f t="shared" si="13"/>
        <v/>
      </c>
      <c r="Z100" s="5" t="str">
        <f t="shared" si="14"/>
        <v/>
      </c>
      <c r="AA100" s="4">
        <f t="shared" si="15"/>
        <v>0</v>
      </c>
      <c r="AC100" s="2"/>
    </row>
    <row r="101" spans="1:29" ht="15.5">
      <c r="A101" s="13" t="str">
        <f>IF(OR(ISBLANK(C101),ISBLANK(D101),ISBLANK(F101),ISBLANK(G101)),"",COUNTIF($B$5:B101,"JAMBUTU"))</f>
        <v/>
      </c>
      <c r="B101" s="8"/>
      <c r="C101" s="8"/>
      <c r="D101" s="8"/>
      <c r="E101" s="13"/>
      <c r="F101" s="12"/>
      <c r="G101" s="11"/>
      <c r="H101" s="12"/>
      <c r="I101" s="11"/>
      <c r="J101" s="10">
        <f t="shared" ref="J101:J132" si="16">DATE(YEAR(F101),MONTH(F101),DAY(F101))+TIME(HOUR(G101),MINUTE(G101), SECOND(G101))</f>
        <v>0</v>
      </c>
      <c r="K101" s="10">
        <f t="shared" si="11"/>
        <v>0</v>
      </c>
      <c r="L101" s="9" t="str">
        <f t="shared" si="12"/>
        <v/>
      </c>
      <c r="M101" s="8"/>
      <c r="N101" s="8"/>
      <c r="O101" s="8"/>
      <c r="P101" s="8"/>
      <c r="Q101" s="8"/>
      <c r="R101" s="8"/>
      <c r="S101" s="8"/>
      <c r="T101" s="8"/>
      <c r="U101" s="8"/>
      <c r="V101" s="7"/>
      <c r="W101" s="6" t="str">
        <f t="array" ref="W101">IF(NOT(ISBLANK(D101)),_xludf.XLOOKUP(D101,[1]CODE!$A$4:$A$100,[1]CODE!$D$4:$D$100),"")</f>
        <v/>
      </c>
      <c r="X101" s="5" t="str">
        <f t="array" ref="X101">IF(NOT(AND(ISBLANK(D101),ISBLANK(C101))),_xludf.XLOOKUP(D101,[1]CODE!$A$4:$A$100,[1]CODE!$E$4:$E$100),"")</f>
        <v/>
      </c>
      <c r="Y101" s="5" t="str">
        <f t="shared" si="13"/>
        <v/>
      </c>
      <c r="Z101" s="5" t="str">
        <f t="shared" si="14"/>
        <v/>
      </c>
      <c r="AA101" s="4">
        <f t="shared" si="15"/>
        <v>0</v>
      </c>
      <c r="AC101" s="2"/>
    </row>
    <row r="102" spans="1:29" ht="15.5">
      <c r="A102" s="13" t="str">
        <f>IF(OR(ISBLANK(C102),ISBLANK(D102),ISBLANK(F102),ISBLANK(G102)),"",COUNTIF($B$5:B102,"JAMBUTU"))</f>
        <v/>
      </c>
      <c r="B102" s="8"/>
      <c r="C102" s="8"/>
      <c r="D102" s="8"/>
      <c r="E102" s="13"/>
      <c r="F102" s="12"/>
      <c r="G102" s="11"/>
      <c r="H102" s="12"/>
      <c r="I102" s="15"/>
      <c r="J102" s="10">
        <f t="shared" si="16"/>
        <v>0</v>
      </c>
      <c r="K102" s="10">
        <f t="shared" si="11"/>
        <v>0</v>
      </c>
      <c r="L102" s="9" t="str">
        <f t="shared" si="12"/>
        <v/>
      </c>
      <c r="M102" s="8"/>
      <c r="N102" s="8"/>
      <c r="O102" s="8"/>
      <c r="P102" s="8"/>
      <c r="Q102" s="8"/>
      <c r="R102" s="8"/>
      <c r="S102" s="8"/>
      <c r="T102" s="8"/>
      <c r="U102" s="8"/>
      <c r="V102" s="7"/>
      <c r="W102" s="6" t="str">
        <f t="array" ref="W102">IF(NOT(ISBLANK(D102)),_xludf.XLOOKUP(D102,[1]CODE!$A$4:$A$100,[1]CODE!$D$4:$D$100),"")</f>
        <v/>
      </c>
      <c r="X102" s="5" t="str">
        <f t="array" ref="X102">IF(NOT(AND(ISBLANK(D102),ISBLANK(C102))),_xludf.XLOOKUP(D102,[1]CODE!$A$4:$A$100,[1]CODE!$E$4:$E$100),"")</f>
        <v/>
      </c>
      <c r="Y102" s="5" t="str">
        <f t="shared" si="13"/>
        <v/>
      </c>
      <c r="Z102" s="5" t="str">
        <f t="shared" si="14"/>
        <v/>
      </c>
      <c r="AA102" s="4">
        <f t="shared" si="15"/>
        <v>0</v>
      </c>
      <c r="AC102" s="2"/>
    </row>
    <row r="103" spans="1:29" ht="15.5">
      <c r="A103" s="13" t="str">
        <f>IF(OR(ISBLANK(C103),ISBLANK(D103),ISBLANK(F103),ISBLANK(G103)),"",COUNTIF($B$5:B103,"JAMBUTU"))</f>
        <v/>
      </c>
      <c r="B103" s="8"/>
      <c r="C103" s="8"/>
      <c r="D103" s="8"/>
      <c r="E103" s="13"/>
      <c r="F103" s="12"/>
      <c r="G103" s="11"/>
      <c r="H103" s="12"/>
      <c r="I103" s="11"/>
      <c r="J103" s="10">
        <f t="shared" si="16"/>
        <v>0</v>
      </c>
      <c r="K103" s="10">
        <f t="shared" si="11"/>
        <v>0</v>
      </c>
      <c r="L103" s="9" t="str">
        <f t="shared" si="12"/>
        <v/>
      </c>
      <c r="M103" s="8"/>
      <c r="N103" s="8"/>
      <c r="O103" s="8"/>
      <c r="P103" s="8"/>
      <c r="Q103" s="8"/>
      <c r="R103" s="8"/>
      <c r="S103" s="8"/>
      <c r="T103" s="8"/>
      <c r="U103" s="8"/>
      <c r="V103" s="7"/>
      <c r="W103" s="6" t="str">
        <f t="array" ref="W103">IF(NOT(ISBLANK(D103)),_xludf.XLOOKUP(D103,[1]CODE!$A$4:$A$100,[1]CODE!$D$4:$D$100),"")</f>
        <v/>
      </c>
      <c r="X103" s="5" t="str">
        <f t="array" ref="X103">IF(NOT(AND(ISBLANK(D103),ISBLANK(C103))),_xludf.XLOOKUP(D103,[1]CODE!$A$4:$A$100,[1]CODE!$E$4:$E$100),"")</f>
        <v/>
      </c>
      <c r="Y103" s="5" t="str">
        <f t="shared" si="13"/>
        <v/>
      </c>
      <c r="Z103" s="5" t="str">
        <f t="shared" si="14"/>
        <v/>
      </c>
      <c r="AA103" s="4">
        <f t="shared" si="15"/>
        <v>0</v>
      </c>
      <c r="AC103" s="2"/>
    </row>
    <row r="104" spans="1:29" ht="15.5">
      <c r="A104" s="13" t="str">
        <f>IF(OR(ISBLANK(C104),ISBLANK(D104),ISBLANK(F104),ISBLANK(G104)),"",COUNTIF($B$5:B104,"JAMBUTU"))</f>
        <v/>
      </c>
      <c r="B104" s="8"/>
      <c r="C104" s="8"/>
      <c r="D104" s="8"/>
      <c r="E104" s="13"/>
      <c r="F104" s="12"/>
      <c r="G104" s="11"/>
      <c r="H104" s="12"/>
      <c r="I104" s="11"/>
      <c r="J104" s="10">
        <f t="shared" si="16"/>
        <v>0</v>
      </c>
      <c r="K104" s="10">
        <f t="shared" si="11"/>
        <v>0</v>
      </c>
      <c r="L104" s="9" t="str">
        <f t="shared" si="12"/>
        <v/>
      </c>
      <c r="M104" s="8"/>
      <c r="N104" s="8"/>
      <c r="O104" s="8"/>
      <c r="P104" s="8"/>
      <c r="Q104" s="8"/>
      <c r="R104" s="8"/>
      <c r="S104" s="8"/>
      <c r="T104" s="8"/>
      <c r="U104" s="8"/>
      <c r="V104" s="7"/>
      <c r="W104" s="6" t="str">
        <f t="array" ref="W104">IF(NOT(ISBLANK(D104)),_xludf.XLOOKUP(D104,[1]CODE!$A$4:$A$100,[1]CODE!$D$4:$D$100),"")</f>
        <v/>
      </c>
      <c r="X104" s="5" t="str">
        <f t="array" ref="X104">IF(NOT(AND(ISBLANK(D104),ISBLANK(C104))),_xludf.XLOOKUP(D104,[1]CODE!$A$4:$A$100,[1]CODE!$E$4:$E$100),"")</f>
        <v/>
      </c>
      <c r="Y104" s="5" t="str">
        <f t="shared" si="13"/>
        <v/>
      </c>
      <c r="Z104" s="5" t="str">
        <f t="shared" si="14"/>
        <v/>
      </c>
      <c r="AA104" s="4">
        <f t="shared" si="15"/>
        <v>0</v>
      </c>
      <c r="AC104" s="2"/>
    </row>
    <row r="105" spans="1:29" ht="15.5">
      <c r="A105" s="13" t="str">
        <f>IF(OR(ISBLANK(C105),ISBLANK(D105),ISBLANK(F105),ISBLANK(G105)),"",COUNTIF($B$5:B105,"JAMBUTU"))</f>
        <v/>
      </c>
      <c r="B105" s="8"/>
      <c r="C105" s="8"/>
      <c r="D105" s="8"/>
      <c r="E105" s="13"/>
      <c r="F105" s="12"/>
      <c r="G105" s="11"/>
      <c r="H105" s="12"/>
      <c r="I105" s="11"/>
      <c r="J105" s="10">
        <f t="shared" si="16"/>
        <v>0</v>
      </c>
      <c r="K105" s="10">
        <f t="shared" si="11"/>
        <v>0</v>
      </c>
      <c r="L105" s="9" t="str">
        <f t="shared" si="12"/>
        <v/>
      </c>
      <c r="M105" s="8"/>
      <c r="N105" s="8"/>
      <c r="O105" s="8"/>
      <c r="P105" s="8"/>
      <c r="Q105" s="8"/>
      <c r="R105" s="8"/>
      <c r="S105" s="8"/>
      <c r="T105" s="8"/>
      <c r="U105" s="8"/>
      <c r="V105" s="7"/>
      <c r="W105" s="6" t="str">
        <f t="array" ref="W105">IF(NOT(ISBLANK(D105)),_xludf.XLOOKUP(D105,[1]CODE!$A$4:$A$100,[1]CODE!$D$4:$D$100),"")</f>
        <v/>
      </c>
      <c r="X105" s="5" t="str">
        <f t="array" ref="X105">IF(NOT(AND(ISBLANK(D105),ISBLANK(C105))),_xludf.XLOOKUP(D105,[1]CODE!$A$4:$A$100,[1]CODE!$E$4:$E$100),"")</f>
        <v/>
      </c>
      <c r="Y105" s="5" t="str">
        <f t="shared" si="13"/>
        <v/>
      </c>
      <c r="Z105" s="5" t="str">
        <f t="shared" si="14"/>
        <v/>
      </c>
      <c r="AA105" s="4">
        <f t="shared" si="15"/>
        <v>0</v>
      </c>
      <c r="AC105" s="2"/>
    </row>
    <row r="106" spans="1:29" ht="15.5">
      <c r="A106" s="13" t="str">
        <f>IF(OR(ISBLANK(C106),ISBLANK(D106),ISBLANK(F106),ISBLANK(G106)),"",COUNTIF($B$5:B106,"JAMBUTU"))</f>
        <v/>
      </c>
      <c r="B106" s="8"/>
      <c r="C106" s="8"/>
      <c r="D106" s="8"/>
      <c r="E106" s="13"/>
      <c r="F106" s="12"/>
      <c r="G106" s="11"/>
      <c r="H106" s="12"/>
      <c r="I106" s="11"/>
      <c r="J106" s="10">
        <f t="shared" si="16"/>
        <v>0</v>
      </c>
      <c r="K106" s="10">
        <f t="shared" si="11"/>
        <v>0</v>
      </c>
      <c r="L106" s="9" t="str">
        <f t="shared" si="12"/>
        <v/>
      </c>
      <c r="M106" s="8"/>
      <c r="N106" s="8"/>
      <c r="O106" s="8"/>
      <c r="P106" s="8"/>
      <c r="Q106" s="8"/>
      <c r="R106" s="8"/>
      <c r="S106" s="8"/>
      <c r="T106" s="8"/>
      <c r="U106" s="8"/>
      <c r="V106" s="7"/>
      <c r="W106" s="6" t="str">
        <f t="array" ref="W106">IF(NOT(ISBLANK(D106)),_xludf.XLOOKUP(D106,[1]CODE!$A$4:$A$100,[1]CODE!$D$4:$D$100),"")</f>
        <v/>
      </c>
      <c r="X106" s="5" t="str">
        <f t="array" ref="X106">IF(NOT(AND(ISBLANK(D106),ISBLANK(C106))),_xludf.XLOOKUP(D106,[1]CODE!$A$4:$A$100,[1]CODE!$E$4:$E$100),"")</f>
        <v/>
      </c>
      <c r="Y106" s="5" t="str">
        <f t="shared" si="13"/>
        <v/>
      </c>
      <c r="Z106" s="5" t="str">
        <f t="shared" si="14"/>
        <v/>
      </c>
      <c r="AA106" s="4">
        <f t="shared" si="15"/>
        <v>0</v>
      </c>
      <c r="AC106" s="2"/>
    </row>
    <row r="107" spans="1:29" ht="15.5">
      <c r="A107" s="13" t="str">
        <f>IF(OR(ISBLANK(C107),ISBLANK(D107),ISBLANK(F107),ISBLANK(G107)),"",COUNTIF($B$5:B107,"JAMBUTU"))</f>
        <v/>
      </c>
      <c r="B107" s="8"/>
      <c r="C107" s="8"/>
      <c r="D107" s="8"/>
      <c r="E107" s="13"/>
      <c r="F107" s="12"/>
      <c r="G107" s="11"/>
      <c r="H107" s="12"/>
      <c r="I107" s="15"/>
      <c r="J107" s="10">
        <f t="shared" si="16"/>
        <v>0</v>
      </c>
      <c r="K107" s="10">
        <f t="shared" si="11"/>
        <v>0</v>
      </c>
      <c r="L107" s="9" t="str">
        <f t="shared" si="12"/>
        <v/>
      </c>
      <c r="M107" s="8"/>
      <c r="N107" s="8"/>
      <c r="O107" s="8"/>
      <c r="P107" s="8"/>
      <c r="Q107" s="8"/>
      <c r="R107" s="8"/>
      <c r="S107" s="8"/>
      <c r="T107" s="8"/>
      <c r="U107" s="8"/>
      <c r="V107" s="7"/>
      <c r="W107" s="6" t="str">
        <f t="array" ref="W107">IF(NOT(ISBLANK(D107)),_xludf.XLOOKUP(D107,[1]CODE!$A$4:$A$100,[1]CODE!$D$4:$D$100),"")</f>
        <v/>
      </c>
      <c r="X107" s="5" t="str">
        <f t="array" ref="X107">IF(NOT(AND(ISBLANK(D107),ISBLANK(C107))),_xludf.XLOOKUP(D107,[1]CODE!$A$4:$A$100,[1]CODE!$E$4:$E$100),"")</f>
        <v/>
      </c>
      <c r="Y107" s="5" t="str">
        <f t="shared" si="13"/>
        <v/>
      </c>
      <c r="Z107" s="5" t="str">
        <f t="shared" si="14"/>
        <v/>
      </c>
      <c r="AA107" s="4">
        <f t="shared" si="15"/>
        <v>0</v>
      </c>
      <c r="AC107" s="2"/>
    </row>
    <row r="108" spans="1:29" ht="15.5">
      <c r="A108" s="13" t="str">
        <f>IF(OR(ISBLANK(C108),ISBLANK(D108),ISBLANK(F108),ISBLANK(G108)),"",COUNTIF($B$5:B108,"JAMBUTU"))</f>
        <v/>
      </c>
      <c r="B108" s="8"/>
      <c r="C108" s="8"/>
      <c r="D108" s="8"/>
      <c r="E108" s="13"/>
      <c r="F108" s="12"/>
      <c r="G108" s="11"/>
      <c r="H108" s="12"/>
      <c r="I108" s="15"/>
      <c r="J108" s="10">
        <f t="shared" si="16"/>
        <v>0</v>
      </c>
      <c r="K108" s="10">
        <f t="shared" si="11"/>
        <v>0</v>
      </c>
      <c r="L108" s="9" t="str">
        <f t="shared" si="12"/>
        <v/>
      </c>
      <c r="M108" s="8"/>
      <c r="N108" s="8"/>
      <c r="O108" s="8"/>
      <c r="P108" s="8"/>
      <c r="Q108" s="8"/>
      <c r="R108" s="8"/>
      <c r="S108" s="8"/>
      <c r="T108" s="8"/>
      <c r="U108" s="8"/>
      <c r="V108" s="7"/>
      <c r="W108" s="6" t="str">
        <f t="array" ref="W108">IF(NOT(ISBLANK(D108)),_xludf.XLOOKUP(D108,[1]CODE!$A$4:$A$100,[1]CODE!$D$4:$D$100),"")</f>
        <v/>
      </c>
      <c r="X108" s="5" t="str">
        <f t="array" ref="X108">IF(NOT(AND(ISBLANK(D108),ISBLANK(C108))),_xludf.XLOOKUP(D108,[1]CODE!$A$4:$A$100,[1]CODE!$E$4:$E$100),"")</f>
        <v/>
      </c>
      <c r="Y108" s="5" t="str">
        <f t="shared" si="13"/>
        <v/>
      </c>
      <c r="Z108" s="5" t="str">
        <f t="shared" si="14"/>
        <v/>
      </c>
      <c r="AA108" s="4">
        <f t="shared" si="15"/>
        <v>0</v>
      </c>
      <c r="AC108" s="2"/>
    </row>
    <row r="109" spans="1:29" ht="15.5">
      <c r="A109" s="13" t="str">
        <f>IF(OR(ISBLANK(C109),ISBLANK(D109),ISBLANK(F109),ISBLANK(G109)),"",COUNTIF($B$5:B109,"JAMBUTU"))</f>
        <v/>
      </c>
      <c r="B109" s="8"/>
      <c r="C109" s="8"/>
      <c r="D109" s="8"/>
      <c r="E109" s="13"/>
      <c r="F109" s="12"/>
      <c r="G109" s="11"/>
      <c r="H109" s="12"/>
      <c r="I109" s="15"/>
      <c r="J109" s="10">
        <f t="shared" si="16"/>
        <v>0</v>
      </c>
      <c r="K109" s="10">
        <f t="shared" si="11"/>
        <v>0</v>
      </c>
      <c r="L109" s="9" t="str">
        <f t="shared" si="12"/>
        <v/>
      </c>
      <c r="M109" s="8"/>
      <c r="N109" s="8"/>
      <c r="O109" s="8"/>
      <c r="P109" s="8"/>
      <c r="Q109" s="8"/>
      <c r="R109" s="8"/>
      <c r="S109" s="8"/>
      <c r="T109" s="8"/>
      <c r="U109" s="8"/>
      <c r="V109" s="7"/>
      <c r="W109" s="6" t="str">
        <f t="array" ref="W109">IF(NOT(ISBLANK(D109)),_xludf.XLOOKUP(D109,[1]CODE!$A$4:$A$100,[1]CODE!$D$4:$D$100),"")</f>
        <v/>
      </c>
      <c r="X109" s="5" t="str">
        <f t="array" ref="X109">IF(NOT(AND(ISBLANK(D109),ISBLANK(C109))),_xludf.XLOOKUP(D109,[1]CODE!$A$4:$A$100,[1]CODE!$E$4:$E$100),"")</f>
        <v/>
      </c>
      <c r="Y109" s="5" t="str">
        <f t="shared" si="13"/>
        <v/>
      </c>
      <c r="Z109" s="5" t="str">
        <f t="shared" si="14"/>
        <v/>
      </c>
      <c r="AA109" s="4">
        <f t="shared" si="15"/>
        <v>0</v>
      </c>
      <c r="AC109" s="2"/>
    </row>
    <row r="110" spans="1:29" ht="15.5">
      <c r="A110" s="13" t="str">
        <f>IF(OR(ISBLANK(C110),ISBLANK(D110),ISBLANK(F110),ISBLANK(G110)),"",COUNTIF($B$5:B110,"JAMBUTU"))</f>
        <v/>
      </c>
      <c r="B110" s="8"/>
      <c r="C110" s="8"/>
      <c r="D110" s="8"/>
      <c r="E110" s="13"/>
      <c r="F110" s="12"/>
      <c r="G110" s="11"/>
      <c r="H110" s="12"/>
      <c r="I110" s="11"/>
      <c r="J110" s="10">
        <f t="shared" si="16"/>
        <v>0</v>
      </c>
      <c r="K110" s="10">
        <f t="shared" si="11"/>
        <v>0</v>
      </c>
      <c r="L110" s="9" t="str">
        <f t="shared" si="12"/>
        <v/>
      </c>
      <c r="M110" s="8"/>
      <c r="N110" s="8"/>
      <c r="O110" s="8"/>
      <c r="P110" s="8"/>
      <c r="Q110" s="8"/>
      <c r="R110" s="8"/>
      <c r="S110" s="8"/>
      <c r="T110" s="8"/>
      <c r="U110" s="8"/>
      <c r="V110" s="7"/>
      <c r="W110" s="6" t="str">
        <f t="array" ref="W110">IF(NOT(ISBLANK(D110)),_xludf.XLOOKUP(D110,[1]CODE!$A$4:$A$100,[1]CODE!$D$4:$D$100),"")</f>
        <v/>
      </c>
      <c r="X110" s="5" t="str">
        <f t="array" ref="X110">IF(NOT(AND(ISBLANK(D110),ISBLANK(C110))),_xludf.XLOOKUP(D110,[1]CODE!$A$4:$A$100,[1]CODE!$E$4:$E$100),"")</f>
        <v/>
      </c>
      <c r="Y110" s="5" t="str">
        <f t="shared" si="13"/>
        <v/>
      </c>
      <c r="Z110" s="5" t="str">
        <f t="shared" si="14"/>
        <v/>
      </c>
      <c r="AA110" s="4">
        <f t="shared" si="15"/>
        <v>0</v>
      </c>
      <c r="AC110" s="2"/>
    </row>
    <row r="111" spans="1:29" ht="15.5">
      <c r="A111" s="13" t="str">
        <f>IF(OR(ISBLANK(C111),ISBLANK(D111),ISBLANK(F111),ISBLANK(G111)),"",COUNTIF($B$5:B111,"JAMBUTU"))</f>
        <v/>
      </c>
      <c r="B111" s="8"/>
      <c r="C111" s="8"/>
      <c r="D111" s="8"/>
      <c r="E111" s="13"/>
      <c r="F111" s="12"/>
      <c r="G111" s="11"/>
      <c r="H111" s="12"/>
      <c r="I111" s="15"/>
      <c r="J111" s="10">
        <f t="shared" si="16"/>
        <v>0</v>
      </c>
      <c r="K111" s="10">
        <f t="shared" si="11"/>
        <v>0</v>
      </c>
      <c r="L111" s="9" t="str">
        <f t="shared" si="12"/>
        <v/>
      </c>
      <c r="M111" s="8"/>
      <c r="N111" s="8"/>
      <c r="O111" s="8"/>
      <c r="P111" s="8"/>
      <c r="Q111" s="8"/>
      <c r="R111" s="8"/>
      <c r="S111" s="8"/>
      <c r="T111" s="8"/>
      <c r="U111" s="8"/>
      <c r="V111" s="7"/>
      <c r="W111" s="6" t="str">
        <f t="array" ref="W111">IF(NOT(ISBLANK(D111)),_xludf.XLOOKUP(D111,[1]CODE!$A$4:$A$100,[1]CODE!$D$4:$D$100),"")</f>
        <v/>
      </c>
      <c r="X111" s="5" t="str">
        <f t="array" ref="X111">IF(NOT(AND(ISBLANK(D111),ISBLANK(C111))),_xludf.XLOOKUP(D111,[1]CODE!$A$4:$A$100,[1]CODE!$E$4:$E$100),"")</f>
        <v/>
      </c>
      <c r="Y111" s="5" t="str">
        <f t="shared" si="13"/>
        <v/>
      </c>
      <c r="Z111" s="5" t="str">
        <f t="shared" si="14"/>
        <v/>
      </c>
      <c r="AA111" s="4">
        <f t="shared" si="15"/>
        <v>0</v>
      </c>
      <c r="AC111" s="2"/>
    </row>
    <row r="112" spans="1:29" ht="15.5">
      <c r="A112" s="13" t="str">
        <f>IF(OR(ISBLANK(C112),ISBLANK(D112),ISBLANK(F112),ISBLANK(G112)),"",COUNTIF($B$5:B112,"JAMBUTU"))</f>
        <v/>
      </c>
      <c r="B112" s="8"/>
      <c r="C112" s="8"/>
      <c r="D112" s="8"/>
      <c r="E112" s="13"/>
      <c r="F112" s="12"/>
      <c r="G112" s="11"/>
      <c r="H112" s="12"/>
      <c r="I112" s="11"/>
      <c r="J112" s="10">
        <f t="shared" si="16"/>
        <v>0</v>
      </c>
      <c r="K112" s="10">
        <f t="shared" si="11"/>
        <v>0</v>
      </c>
      <c r="L112" s="9" t="str">
        <f t="shared" si="12"/>
        <v/>
      </c>
      <c r="M112" s="8"/>
      <c r="N112" s="8"/>
      <c r="O112" s="8"/>
      <c r="P112" s="8"/>
      <c r="Q112" s="8"/>
      <c r="R112" s="8"/>
      <c r="S112" s="8"/>
      <c r="T112" s="8"/>
      <c r="U112" s="8"/>
      <c r="V112" s="7"/>
      <c r="W112" s="6" t="str">
        <f t="array" ref="W112">IF(NOT(ISBLANK(D112)),_xludf.XLOOKUP(D112,[1]CODE!$A$4:$A$100,[1]CODE!$D$4:$D$100),"")</f>
        <v/>
      </c>
      <c r="X112" s="5" t="str">
        <f t="array" ref="X112">IF(NOT(AND(ISBLANK(D112),ISBLANK(C112))),_xludf.XLOOKUP(D112,[1]CODE!$A$4:$A$100,[1]CODE!$E$4:$E$100),"")</f>
        <v/>
      </c>
      <c r="Y112" s="5" t="str">
        <f t="shared" si="13"/>
        <v/>
      </c>
      <c r="Z112" s="5" t="str">
        <f t="shared" si="14"/>
        <v/>
      </c>
      <c r="AA112" s="4">
        <f t="shared" si="15"/>
        <v>0</v>
      </c>
      <c r="AC112" s="2"/>
    </row>
    <row r="113" spans="1:29" ht="15.5">
      <c r="A113" s="13">
        <f>IF(OR(ISBLANK(C113),ISBLANK(D113),ISBLANK(F113),ISBLANK(G113)),"",COUNTIF($B$5:B113,"JAMBUTU"))</f>
        <v>13</v>
      </c>
      <c r="B113" s="8" t="str">
        <f>IF(C113&lt;&gt;"","Jambutu","")</f>
        <v>Jambutu</v>
      </c>
      <c r="C113" s="8" t="s">
        <v>4</v>
      </c>
      <c r="D113" s="8" t="s">
        <v>6</v>
      </c>
      <c r="E113" s="13">
        <v>3.5</v>
      </c>
      <c r="F113" s="12">
        <v>46039</v>
      </c>
      <c r="G113" s="11">
        <v>0.44791666666666669</v>
      </c>
      <c r="H113" s="12">
        <v>46039</v>
      </c>
      <c r="I113" s="15">
        <v>0.4513888888888889</v>
      </c>
      <c r="J113" s="10">
        <f t="shared" si="16"/>
        <v>46039.447916666664</v>
      </c>
      <c r="K113" s="10">
        <f t="shared" si="11"/>
        <v>46039.451388888891</v>
      </c>
      <c r="L113" s="9">
        <f t="shared" si="12"/>
        <v>3.4722222262644209E-3</v>
      </c>
      <c r="M113" s="8" t="s">
        <v>9</v>
      </c>
      <c r="N113" s="8" t="s">
        <v>1</v>
      </c>
      <c r="O113" s="8" t="s">
        <v>0</v>
      </c>
      <c r="P113" s="8"/>
      <c r="Q113" s="8"/>
      <c r="R113" s="8"/>
      <c r="S113" s="8"/>
      <c r="T113" s="8"/>
      <c r="U113" s="8"/>
      <c r="V113" s="7"/>
      <c r="W113" s="6" t="e">
        <f t="array" aca="1" ref="W113" ca="1">IF(NOT(ISBLANK(D113)),_xludf.XLOOKUP(D113,[1]CODE!$A$4:$A$100,[1]CODE!$D$4:$D$100),"")</f>
        <v>#NAME?</v>
      </c>
      <c r="X113" s="5" t="e">
        <f t="array" aca="1" ref="X113" ca="1">IF(NOT(AND(ISBLANK(D113),ISBLANK(C113))),_xludf.XLOOKUP(D113,[1]CODE!$A$4:$A$100,[1]CODE!$E$4:$E$100),"")</f>
        <v>#NAME?</v>
      </c>
      <c r="Y113" s="5" t="str">
        <f t="shared" si="13"/>
        <v>33KV</v>
      </c>
      <c r="Z113" s="5" t="str">
        <f t="shared" si="14"/>
        <v>YES</v>
      </c>
      <c r="AA113" s="4">
        <f t="shared" si="15"/>
        <v>46039</v>
      </c>
      <c r="AC113" s="2"/>
    </row>
    <row r="114" spans="1:29" ht="15.5">
      <c r="A114" s="13">
        <f>IF(OR(ISBLANK(C114),ISBLANK(D114),ISBLANK(F114),ISBLANK(G114)),"",COUNTIF($B$5:B114,"JAMBUTU"))</f>
        <v>14</v>
      </c>
      <c r="B114" s="8" t="str">
        <f>IF(C114&lt;&gt;"","Jambutu","")</f>
        <v>Jambutu</v>
      </c>
      <c r="C114" s="8" t="s">
        <v>4</v>
      </c>
      <c r="D114" s="8" t="s">
        <v>6</v>
      </c>
      <c r="E114" s="13">
        <v>3.4</v>
      </c>
      <c r="F114" s="12">
        <v>46039</v>
      </c>
      <c r="G114" s="11">
        <v>0.56319444444444444</v>
      </c>
      <c r="H114" s="12">
        <v>46039</v>
      </c>
      <c r="I114" s="15">
        <v>0.56666666666666665</v>
      </c>
      <c r="J114" s="10">
        <f t="shared" si="16"/>
        <v>46039.563194444447</v>
      </c>
      <c r="K114" s="10">
        <f t="shared" si="11"/>
        <v>46039.566666666666</v>
      </c>
      <c r="L114" s="9">
        <f t="shared" si="12"/>
        <v>3.4722222189884633E-3</v>
      </c>
      <c r="M114" s="8" t="s">
        <v>9</v>
      </c>
      <c r="N114" s="8" t="s">
        <v>1</v>
      </c>
      <c r="O114" s="8" t="s">
        <v>0</v>
      </c>
      <c r="P114" s="8"/>
      <c r="Q114" s="8"/>
      <c r="R114" s="8"/>
      <c r="S114" s="8"/>
      <c r="T114" s="8"/>
      <c r="U114" s="8"/>
      <c r="V114" s="7"/>
      <c r="W114" s="6" t="e">
        <f t="array" aca="1" ref="W114" ca="1">IF(NOT(ISBLANK(D114)),_xludf.XLOOKUP(D114,[1]CODE!$A$4:$A$100,[1]CODE!$D$4:$D$100),"")</f>
        <v>#NAME?</v>
      </c>
      <c r="X114" s="5" t="e">
        <f t="array" aca="1" ref="X114" ca="1">IF(NOT(AND(ISBLANK(D114),ISBLANK(C114))),_xludf.XLOOKUP(D114,[1]CODE!$A$4:$A$100,[1]CODE!$E$4:$E$100),"")</f>
        <v>#NAME?</v>
      </c>
      <c r="Y114" s="5" t="str">
        <f t="shared" si="13"/>
        <v>33KV</v>
      </c>
      <c r="Z114" s="5" t="str">
        <f t="shared" si="14"/>
        <v>YES</v>
      </c>
      <c r="AA114" s="4">
        <f t="shared" si="15"/>
        <v>46039</v>
      </c>
      <c r="AC114" s="2"/>
    </row>
    <row r="115" spans="1:29" ht="15.5">
      <c r="A115" s="13" t="str">
        <f>IF(OR(ISBLANK(C115),ISBLANK(D115),ISBLANK(F115),ISBLANK(G115)),"",COUNTIF($B$5:B115,"JAMBUTU"))</f>
        <v/>
      </c>
      <c r="B115" s="8"/>
      <c r="C115" s="8"/>
      <c r="D115" s="8"/>
      <c r="E115" s="13"/>
      <c r="F115" s="12"/>
      <c r="G115" s="11"/>
      <c r="H115" s="12"/>
      <c r="I115" s="11"/>
      <c r="J115" s="10">
        <f t="shared" si="16"/>
        <v>0</v>
      </c>
      <c r="K115" s="10">
        <f t="shared" si="11"/>
        <v>0</v>
      </c>
      <c r="L115" s="9" t="str">
        <f t="shared" si="12"/>
        <v/>
      </c>
      <c r="M115" s="8"/>
      <c r="N115" s="8"/>
      <c r="O115" s="8"/>
      <c r="P115" s="8"/>
      <c r="Q115" s="8"/>
      <c r="R115" s="8"/>
      <c r="S115" s="8"/>
      <c r="T115" s="8"/>
      <c r="U115" s="8"/>
      <c r="V115" s="7"/>
      <c r="W115" s="6" t="str">
        <f t="array" ref="W115">IF(NOT(ISBLANK(D115)),_xludf.XLOOKUP(D115,[1]CODE!$A$4:$A$100,[1]CODE!$D$4:$D$100),"")</f>
        <v/>
      </c>
      <c r="X115" s="5" t="str">
        <f t="array" ref="X115">IF(NOT(AND(ISBLANK(D115),ISBLANK(C115))),_xludf.XLOOKUP(D115,[1]CODE!$A$4:$A$100,[1]CODE!$E$4:$E$100),"")</f>
        <v/>
      </c>
      <c r="Y115" s="5" t="str">
        <f t="shared" si="13"/>
        <v/>
      </c>
      <c r="Z115" s="5" t="str">
        <f t="shared" si="14"/>
        <v/>
      </c>
      <c r="AA115" s="4">
        <f t="shared" si="15"/>
        <v>0</v>
      </c>
      <c r="AC115" s="2"/>
    </row>
    <row r="116" spans="1:29" ht="15.5">
      <c r="A116" s="13" t="str">
        <f>IF(OR(ISBLANK(C116),ISBLANK(D116),ISBLANK(F116),ISBLANK(G116)),"",COUNTIF($B$5:B116,"JAMBUTU"))</f>
        <v/>
      </c>
      <c r="B116" s="8"/>
      <c r="C116" s="8"/>
      <c r="D116" s="8"/>
      <c r="E116" s="13"/>
      <c r="F116" s="12"/>
      <c r="G116" s="11"/>
      <c r="H116" s="12"/>
      <c r="I116" s="11"/>
      <c r="J116" s="10">
        <f t="shared" si="16"/>
        <v>0</v>
      </c>
      <c r="K116" s="10">
        <f t="shared" si="11"/>
        <v>0</v>
      </c>
      <c r="L116" s="9" t="str">
        <f t="shared" si="12"/>
        <v/>
      </c>
      <c r="M116" s="8"/>
      <c r="N116" s="8"/>
      <c r="O116" s="8"/>
      <c r="P116" s="8"/>
      <c r="Q116" s="8"/>
      <c r="R116" s="8"/>
      <c r="S116" s="8"/>
      <c r="T116" s="8"/>
      <c r="U116" s="8"/>
      <c r="V116" s="7"/>
      <c r="W116" s="6" t="str">
        <f t="array" ref="W116">IF(NOT(ISBLANK(D116)),_xludf.XLOOKUP(D116,[1]CODE!$A$4:$A$100,[1]CODE!$D$4:$D$100),"")</f>
        <v/>
      </c>
      <c r="X116" s="5" t="str">
        <f t="array" ref="X116">IF(NOT(AND(ISBLANK(D116),ISBLANK(C116))),_xludf.XLOOKUP(D116,[1]CODE!$A$4:$A$100,[1]CODE!$E$4:$E$100),"")</f>
        <v/>
      </c>
      <c r="Y116" s="5" t="str">
        <f t="shared" si="13"/>
        <v/>
      </c>
      <c r="Z116" s="5" t="str">
        <f t="shared" si="14"/>
        <v/>
      </c>
      <c r="AA116" s="4">
        <f t="shared" si="15"/>
        <v>0</v>
      </c>
      <c r="AC116" s="2"/>
    </row>
    <row r="117" spans="1:29" ht="15.5">
      <c r="A117" s="13" t="str">
        <f>IF(OR(ISBLANK(C117),ISBLANK(D117),ISBLANK(F117),ISBLANK(G117)),"",COUNTIF($B$5:B117,"JAMBUTU"))</f>
        <v/>
      </c>
      <c r="B117" s="8"/>
      <c r="C117" s="8"/>
      <c r="D117" s="8"/>
      <c r="E117" s="13"/>
      <c r="F117" s="12"/>
      <c r="G117" s="11"/>
      <c r="H117" s="12"/>
      <c r="I117" s="11"/>
      <c r="J117" s="10">
        <f t="shared" si="16"/>
        <v>0</v>
      </c>
      <c r="K117" s="10">
        <f t="shared" si="11"/>
        <v>0</v>
      </c>
      <c r="L117" s="9" t="str">
        <f t="shared" si="12"/>
        <v/>
      </c>
      <c r="M117" s="8"/>
      <c r="N117" s="8"/>
      <c r="O117" s="8"/>
      <c r="P117" s="8"/>
      <c r="Q117" s="8"/>
      <c r="R117" s="8"/>
      <c r="S117" s="8"/>
      <c r="T117" s="8"/>
      <c r="U117" s="8"/>
      <c r="V117" s="7"/>
      <c r="W117" s="6" t="str">
        <f t="array" ref="W117">IF(NOT(ISBLANK(D117)),_xludf.XLOOKUP(D117,[1]CODE!$A$4:$A$100,[1]CODE!$D$4:$D$100),"")</f>
        <v/>
      </c>
      <c r="X117" s="5" t="str">
        <f t="array" ref="X117">IF(NOT(AND(ISBLANK(D117),ISBLANK(C117))),_xludf.XLOOKUP(D117,[1]CODE!$A$4:$A$100,[1]CODE!$E$4:$E$100),"")</f>
        <v/>
      </c>
      <c r="Y117" s="5" t="str">
        <f t="shared" si="13"/>
        <v/>
      </c>
      <c r="Z117" s="5" t="str">
        <f t="shared" si="14"/>
        <v/>
      </c>
      <c r="AA117" s="4">
        <f t="shared" si="15"/>
        <v>0</v>
      </c>
      <c r="AC117" s="2"/>
    </row>
    <row r="118" spans="1:29" ht="15.5">
      <c r="A118" s="13">
        <f>IF(OR(ISBLANK(C118),ISBLANK(D118),ISBLANK(F118),ISBLANK(G118)),"",COUNTIF($B$5:B118,"JAMBUTU"))</f>
        <v>15</v>
      </c>
      <c r="B118" s="8" t="str">
        <f>IF(C118&lt;&gt;"","Jambutu","")</f>
        <v>Jambutu</v>
      </c>
      <c r="C118" s="8" t="s">
        <v>4</v>
      </c>
      <c r="D118" s="8" t="s">
        <v>6</v>
      </c>
      <c r="E118" s="13">
        <v>3.4</v>
      </c>
      <c r="F118" s="12">
        <v>46039</v>
      </c>
      <c r="G118" s="11">
        <v>0.71875</v>
      </c>
      <c r="H118" s="12">
        <v>46040</v>
      </c>
      <c r="I118" s="11">
        <v>0</v>
      </c>
      <c r="J118" s="10">
        <f t="shared" si="16"/>
        <v>46039.71875</v>
      </c>
      <c r="K118" s="10">
        <f t="shared" si="11"/>
        <v>46040</v>
      </c>
      <c r="L118" s="9">
        <f t="shared" si="12"/>
        <v>0.28125</v>
      </c>
      <c r="M118" s="8" t="s">
        <v>9</v>
      </c>
      <c r="N118" s="8" t="s">
        <v>1</v>
      </c>
      <c r="O118" s="8" t="s">
        <v>0</v>
      </c>
      <c r="P118" s="8"/>
      <c r="Q118" s="8"/>
      <c r="R118" s="8"/>
      <c r="S118" s="8"/>
      <c r="T118" s="8"/>
      <c r="U118" s="8"/>
      <c r="V118" s="7"/>
      <c r="W118" s="6" t="e">
        <f t="array" aca="1" ref="W118" ca="1">IF(NOT(ISBLANK(D118)),_xludf.XLOOKUP(D118,[1]CODE!$A$4:$A$100,[1]CODE!$D$4:$D$100),"")</f>
        <v>#NAME?</v>
      </c>
      <c r="X118" s="5" t="e">
        <f t="array" aca="1" ref="X118" ca="1">IF(NOT(AND(ISBLANK(D118),ISBLANK(C118))),_xludf.XLOOKUP(D118,[1]CODE!$A$4:$A$100,[1]CODE!$E$4:$E$100),"")</f>
        <v>#NAME?</v>
      </c>
      <c r="Y118" s="5" t="str">
        <f t="shared" si="13"/>
        <v>33KV</v>
      </c>
      <c r="Z118" s="5" t="str">
        <f t="shared" si="14"/>
        <v>YES</v>
      </c>
      <c r="AA118" s="4">
        <f t="shared" si="15"/>
        <v>46040</v>
      </c>
      <c r="AC118" s="2"/>
    </row>
    <row r="119" spans="1:29" ht="15.5">
      <c r="A119" s="13" t="str">
        <f>IF(OR(ISBLANK(C119),ISBLANK(D119),ISBLANK(F119),ISBLANK(G119)),"",COUNTIF($B$5:B119,"JAMBUTU"))</f>
        <v/>
      </c>
      <c r="B119" s="8"/>
      <c r="C119" s="8"/>
      <c r="D119" s="8"/>
      <c r="E119" s="13"/>
      <c r="F119" s="12"/>
      <c r="G119" s="11"/>
      <c r="H119" s="12"/>
      <c r="I119" s="11"/>
      <c r="J119" s="10">
        <f t="shared" si="16"/>
        <v>0</v>
      </c>
      <c r="K119" s="10">
        <f t="shared" si="11"/>
        <v>0</v>
      </c>
      <c r="L119" s="9" t="str">
        <f t="shared" si="12"/>
        <v/>
      </c>
      <c r="M119" s="8"/>
      <c r="N119" s="8"/>
      <c r="O119" s="8"/>
      <c r="P119" s="8"/>
      <c r="Q119" s="8"/>
      <c r="R119" s="8"/>
      <c r="S119" s="8"/>
      <c r="T119" s="8"/>
      <c r="U119" s="8"/>
      <c r="V119" s="7"/>
      <c r="W119" s="6" t="str">
        <f t="array" ref="W119">IF(NOT(ISBLANK(D119)),_xludf.XLOOKUP(D119,[1]CODE!$A$4:$A$100,[1]CODE!$D$4:$D$100),"")</f>
        <v/>
      </c>
      <c r="X119" s="5" t="str">
        <f t="array" ref="X119">IF(NOT(AND(ISBLANK(D119),ISBLANK(C119))),_xludf.XLOOKUP(D119,[1]CODE!$A$4:$A$100,[1]CODE!$E$4:$E$100),"")</f>
        <v/>
      </c>
      <c r="Y119" s="5" t="str">
        <f t="shared" si="13"/>
        <v/>
      </c>
      <c r="Z119" s="5" t="str">
        <f t="shared" si="14"/>
        <v/>
      </c>
      <c r="AA119" s="4">
        <f t="shared" si="15"/>
        <v>0</v>
      </c>
      <c r="AC119" s="2"/>
    </row>
    <row r="120" spans="1:29" ht="15.5">
      <c r="A120" s="13" t="str">
        <f>IF(OR(ISBLANK(C120),ISBLANK(D120),ISBLANK(F120),ISBLANK(G120)),"",COUNTIF($B$5:B120,"JAMBUTU"))</f>
        <v/>
      </c>
      <c r="B120" s="8"/>
      <c r="C120" s="8"/>
      <c r="D120" s="8"/>
      <c r="E120" s="13"/>
      <c r="F120" s="12"/>
      <c r="G120" s="11"/>
      <c r="H120" s="12"/>
      <c r="I120" s="11"/>
      <c r="J120" s="10">
        <f t="shared" si="16"/>
        <v>0</v>
      </c>
      <c r="K120" s="10">
        <f t="shared" si="11"/>
        <v>0</v>
      </c>
      <c r="L120" s="9" t="str">
        <f t="shared" si="12"/>
        <v/>
      </c>
      <c r="M120" s="8"/>
      <c r="N120" s="8"/>
      <c r="O120" s="8"/>
      <c r="P120" s="8"/>
      <c r="Q120" s="8"/>
      <c r="R120" s="8"/>
      <c r="S120" s="8"/>
      <c r="T120" s="8"/>
      <c r="U120" s="8"/>
      <c r="V120" s="7"/>
      <c r="W120" s="6" t="str">
        <f t="array" ref="W120">IF(NOT(ISBLANK(D120)),_xludf.XLOOKUP(D120,[1]CODE!$A$4:$A$100,[1]CODE!$D$4:$D$100),"")</f>
        <v/>
      </c>
      <c r="X120" s="5" t="str">
        <f t="array" ref="X120">IF(NOT(AND(ISBLANK(D120),ISBLANK(C120))),_xludf.XLOOKUP(D120,[1]CODE!$A$4:$A$100,[1]CODE!$E$4:$E$100),"")</f>
        <v/>
      </c>
      <c r="Y120" s="5" t="str">
        <f t="shared" si="13"/>
        <v/>
      </c>
      <c r="Z120" s="5" t="str">
        <f t="shared" si="14"/>
        <v/>
      </c>
      <c r="AA120" s="4">
        <f t="shared" si="15"/>
        <v>0</v>
      </c>
      <c r="AC120" s="2"/>
    </row>
    <row r="121" spans="1:29" ht="15.5">
      <c r="A121" s="13" t="str">
        <f>IF(OR(ISBLANK(C121),ISBLANK(D121),ISBLANK(F121),ISBLANK(G121)),"",COUNTIF($B$5:B121,"JAMBUTU"))</f>
        <v/>
      </c>
      <c r="B121" s="8"/>
      <c r="C121" s="8"/>
      <c r="D121" s="8"/>
      <c r="E121" s="13"/>
      <c r="F121" s="12"/>
      <c r="G121" s="11"/>
      <c r="H121" s="12"/>
      <c r="I121" s="11"/>
      <c r="J121" s="10">
        <f t="shared" si="16"/>
        <v>0</v>
      </c>
      <c r="K121" s="10">
        <f t="shared" si="11"/>
        <v>0</v>
      </c>
      <c r="L121" s="9" t="str">
        <f t="shared" si="12"/>
        <v/>
      </c>
      <c r="M121" s="8"/>
      <c r="N121" s="8"/>
      <c r="O121" s="8"/>
      <c r="P121" s="8"/>
      <c r="Q121" s="8"/>
      <c r="R121" s="8"/>
      <c r="S121" s="8"/>
      <c r="T121" s="8"/>
      <c r="U121" s="8"/>
      <c r="V121" s="7"/>
      <c r="W121" s="6" t="str">
        <f t="array" ref="W121">IF(NOT(ISBLANK(D121)),_xludf.XLOOKUP(D121,[1]CODE!$A$4:$A$100,[1]CODE!$D$4:$D$100),"")</f>
        <v/>
      </c>
      <c r="X121" s="5" t="str">
        <f t="array" ref="X121">IF(NOT(AND(ISBLANK(D121),ISBLANK(C121))),_xludf.XLOOKUP(D121,[1]CODE!$A$4:$A$100,[1]CODE!$E$4:$E$100),"")</f>
        <v/>
      </c>
      <c r="Y121" s="5" t="str">
        <f t="shared" si="13"/>
        <v/>
      </c>
      <c r="Z121" s="5" t="str">
        <f t="shared" si="14"/>
        <v/>
      </c>
      <c r="AA121" s="4">
        <f t="shared" si="15"/>
        <v>0</v>
      </c>
      <c r="AC121" s="2"/>
    </row>
    <row r="122" spans="1:29" ht="15.5">
      <c r="A122" s="13">
        <f>IF(OR(ISBLANK(C122),ISBLANK(D122),ISBLANK(F122),ISBLANK(G122)),"",COUNTIF($B$5:B122,"JAMBUTU"))</f>
        <v>16</v>
      </c>
      <c r="B122" s="8" t="str">
        <f>IF(C122&lt;&gt;"","Jambutu","")</f>
        <v>Jambutu</v>
      </c>
      <c r="C122" s="8" t="s">
        <v>4</v>
      </c>
      <c r="D122" s="8" t="s">
        <v>6</v>
      </c>
      <c r="E122" s="13">
        <v>3.7</v>
      </c>
      <c r="F122" s="12">
        <v>46040</v>
      </c>
      <c r="G122" s="11">
        <v>0.44166666666666665</v>
      </c>
      <c r="H122" s="12">
        <v>46040</v>
      </c>
      <c r="I122" s="11">
        <v>0.44861111111111113</v>
      </c>
      <c r="J122" s="10">
        <f t="shared" si="16"/>
        <v>46040.441666666666</v>
      </c>
      <c r="K122" s="10">
        <f t="shared" si="11"/>
        <v>46040.448611111111</v>
      </c>
      <c r="L122" s="9">
        <f t="shared" si="12"/>
        <v>6.9444444452528842E-3</v>
      </c>
      <c r="M122" s="8" t="s">
        <v>16</v>
      </c>
      <c r="N122" s="8" t="s">
        <v>1</v>
      </c>
      <c r="O122" s="8" t="s">
        <v>0</v>
      </c>
      <c r="P122" s="8"/>
      <c r="Q122" s="8"/>
      <c r="R122" s="8"/>
      <c r="S122" s="8"/>
      <c r="T122" s="8"/>
      <c r="U122" s="8"/>
      <c r="V122" s="7"/>
      <c r="W122" s="6" t="e">
        <f t="array" aca="1" ref="W122" ca="1">IF(NOT(ISBLANK(D122)),_xludf.XLOOKUP(D122,[1]CODE!$A$4:$A$100,[1]CODE!$D$4:$D$100),"")</f>
        <v>#NAME?</v>
      </c>
      <c r="X122" s="5" t="e">
        <f t="array" aca="1" ref="X122" ca="1">IF(NOT(AND(ISBLANK(D122),ISBLANK(C122))),_xludf.XLOOKUP(D122,[1]CODE!$A$4:$A$100,[1]CODE!$E$4:$E$100),"")</f>
        <v>#NAME?</v>
      </c>
      <c r="Y122" s="5" t="str">
        <f t="shared" si="13"/>
        <v>33KV</v>
      </c>
      <c r="Z122" s="5" t="str">
        <f t="shared" si="14"/>
        <v>YES</v>
      </c>
      <c r="AA122" s="4">
        <f t="shared" si="15"/>
        <v>46040</v>
      </c>
      <c r="AC122" s="2"/>
    </row>
    <row r="123" spans="1:29" ht="15.5">
      <c r="A123" s="13" t="str">
        <f>IF(OR(ISBLANK(C123),ISBLANK(D123),ISBLANK(F123),ISBLANK(G123)),"",COUNTIF($B$5:B123,"JAMBUTU"))</f>
        <v/>
      </c>
      <c r="B123" s="8"/>
      <c r="C123" s="8"/>
      <c r="D123" s="8"/>
      <c r="E123" s="13"/>
      <c r="F123" s="12"/>
      <c r="G123" s="11"/>
      <c r="H123" s="12"/>
      <c r="I123" s="11"/>
      <c r="J123" s="10">
        <f t="shared" si="16"/>
        <v>0</v>
      </c>
      <c r="K123" s="10">
        <f t="shared" si="11"/>
        <v>0</v>
      </c>
      <c r="L123" s="9" t="str">
        <f t="shared" si="12"/>
        <v/>
      </c>
      <c r="M123" s="8"/>
      <c r="N123" s="8"/>
      <c r="O123" s="8"/>
      <c r="P123" s="8"/>
      <c r="Q123" s="8"/>
      <c r="R123" s="8"/>
      <c r="S123" s="8"/>
      <c r="T123" s="8"/>
      <c r="U123" s="8"/>
      <c r="V123" s="7"/>
      <c r="W123" s="6" t="str">
        <f t="array" ref="W123">IF(NOT(ISBLANK(D123)),_xludf.XLOOKUP(D123,[1]CODE!$A$4:$A$100,[1]CODE!$D$4:$D$100),"")</f>
        <v/>
      </c>
      <c r="X123" s="5" t="str">
        <f t="array" ref="X123">IF(NOT(AND(ISBLANK(D123),ISBLANK(C123))),_xludf.XLOOKUP(D123,[1]CODE!$A$4:$A$100,[1]CODE!$E$4:$E$100),"")</f>
        <v/>
      </c>
      <c r="Y123" s="5" t="str">
        <f t="shared" si="13"/>
        <v/>
      </c>
      <c r="Z123" s="5" t="str">
        <f t="shared" si="14"/>
        <v/>
      </c>
      <c r="AA123" s="4">
        <f t="shared" si="15"/>
        <v>0</v>
      </c>
      <c r="AC123" s="2"/>
    </row>
    <row r="124" spans="1:29" ht="15.5">
      <c r="A124" s="13" t="str">
        <f>IF(OR(ISBLANK(C124),ISBLANK(D124),ISBLANK(F124),ISBLANK(G124)),"",COUNTIF($B$5:B124,"JAMBUTU"))</f>
        <v/>
      </c>
      <c r="B124" s="8"/>
      <c r="C124" s="8"/>
      <c r="D124" s="8"/>
      <c r="E124" s="13"/>
      <c r="F124" s="12"/>
      <c r="G124" s="11"/>
      <c r="H124" s="12"/>
      <c r="I124" s="11"/>
      <c r="J124" s="10">
        <f t="shared" si="16"/>
        <v>0</v>
      </c>
      <c r="K124" s="10">
        <f t="shared" si="11"/>
        <v>0</v>
      </c>
      <c r="L124" s="9" t="str">
        <f t="shared" si="12"/>
        <v/>
      </c>
      <c r="M124" s="8"/>
      <c r="N124" s="8"/>
      <c r="O124" s="8"/>
      <c r="P124" s="8"/>
      <c r="Q124" s="8"/>
      <c r="R124" s="8"/>
      <c r="S124" s="8"/>
      <c r="T124" s="8"/>
      <c r="U124" s="8"/>
      <c r="V124" s="7"/>
      <c r="W124" s="6" t="str">
        <f t="array" ref="W124">IF(NOT(ISBLANK(D124)),_xludf.XLOOKUP(D124,[1]CODE!$A$4:$A$100,[1]CODE!$D$4:$D$100),"")</f>
        <v/>
      </c>
      <c r="X124" s="5" t="str">
        <f t="array" ref="X124">IF(NOT(AND(ISBLANK(D124),ISBLANK(C124))),_xludf.XLOOKUP(D124,[1]CODE!$A$4:$A$100,[1]CODE!$E$4:$E$100),"")</f>
        <v/>
      </c>
      <c r="Y124" s="5" t="str">
        <f t="shared" si="13"/>
        <v/>
      </c>
      <c r="Z124" s="5" t="str">
        <f t="shared" si="14"/>
        <v/>
      </c>
      <c r="AA124" s="4">
        <f t="shared" si="15"/>
        <v>0</v>
      </c>
      <c r="AC124" s="2"/>
    </row>
    <row r="125" spans="1:29" ht="15.5">
      <c r="A125" s="13" t="str">
        <f>IF(OR(ISBLANK(C125),ISBLANK(D125),ISBLANK(F125),ISBLANK(G125)),"",COUNTIF($B$5:B125,"JAMBUTU"))</f>
        <v/>
      </c>
      <c r="B125" s="8"/>
      <c r="C125" s="8"/>
      <c r="D125" s="8"/>
      <c r="E125" s="13"/>
      <c r="F125" s="12"/>
      <c r="G125" s="11"/>
      <c r="H125" s="12"/>
      <c r="I125" s="11"/>
      <c r="J125" s="10">
        <f t="shared" si="16"/>
        <v>0</v>
      </c>
      <c r="K125" s="10">
        <f t="shared" si="11"/>
        <v>0</v>
      </c>
      <c r="L125" s="9" t="str">
        <f t="shared" si="12"/>
        <v/>
      </c>
      <c r="M125" s="8"/>
      <c r="N125" s="8"/>
      <c r="O125" s="8"/>
      <c r="P125" s="8"/>
      <c r="Q125" s="8"/>
      <c r="R125" s="8"/>
      <c r="S125" s="8"/>
      <c r="T125" s="8"/>
      <c r="U125" s="8"/>
      <c r="V125" s="7"/>
      <c r="W125" s="6" t="str">
        <f t="array" ref="W125">IF(NOT(ISBLANK(D125)),_xludf.XLOOKUP(D125,[1]CODE!$A$4:$A$100,[1]CODE!$D$4:$D$100),"")</f>
        <v/>
      </c>
      <c r="X125" s="5" t="str">
        <f t="array" ref="X125">IF(NOT(AND(ISBLANK(D125),ISBLANK(C125))),_xludf.XLOOKUP(D125,[1]CODE!$A$4:$A$100,[1]CODE!$E$4:$E$100),"")</f>
        <v/>
      </c>
      <c r="Y125" s="5" t="str">
        <f t="shared" si="13"/>
        <v/>
      </c>
      <c r="Z125" s="5" t="str">
        <f t="shared" si="14"/>
        <v/>
      </c>
      <c r="AA125" s="4">
        <f t="shared" si="15"/>
        <v>0</v>
      </c>
      <c r="AC125" s="2"/>
    </row>
    <row r="126" spans="1:29" ht="15.5">
      <c r="A126" s="13" t="str">
        <f>IF(OR(ISBLANK(C126),ISBLANK(D126),ISBLANK(F126),ISBLANK(G126)),"",COUNTIF($B$5:B126,"JAMBUTU"))</f>
        <v/>
      </c>
      <c r="B126" s="8"/>
      <c r="C126" s="8"/>
      <c r="D126" s="8"/>
      <c r="E126" s="13"/>
      <c r="F126" s="12"/>
      <c r="G126" s="11"/>
      <c r="H126" s="12"/>
      <c r="I126" s="11"/>
      <c r="J126" s="10">
        <f t="shared" si="16"/>
        <v>0</v>
      </c>
      <c r="K126" s="10">
        <f t="shared" si="11"/>
        <v>0</v>
      </c>
      <c r="L126" s="9" t="str">
        <f t="shared" si="12"/>
        <v/>
      </c>
      <c r="M126" s="8"/>
      <c r="N126" s="8"/>
      <c r="O126" s="8"/>
      <c r="P126" s="8"/>
      <c r="Q126" s="8"/>
      <c r="R126" s="8"/>
      <c r="S126" s="8"/>
      <c r="T126" s="8"/>
      <c r="U126" s="8"/>
      <c r="V126" s="7"/>
      <c r="W126" s="6" t="str">
        <f t="array" ref="W126">IF(NOT(ISBLANK(D126)),_xludf.XLOOKUP(D126,[1]CODE!$A$4:$A$100,[1]CODE!$D$4:$D$100),"")</f>
        <v/>
      </c>
      <c r="X126" s="5" t="str">
        <f t="array" ref="X126">IF(NOT(AND(ISBLANK(D126),ISBLANK(C126))),_xludf.XLOOKUP(D126,[1]CODE!$A$4:$A$100,[1]CODE!$E$4:$E$100),"")</f>
        <v/>
      </c>
      <c r="Y126" s="5" t="str">
        <f t="shared" si="13"/>
        <v/>
      </c>
      <c r="Z126" s="5" t="str">
        <f t="shared" si="14"/>
        <v/>
      </c>
      <c r="AA126" s="4">
        <f t="shared" si="15"/>
        <v>0</v>
      </c>
      <c r="AC126" s="2"/>
    </row>
    <row r="127" spans="1:29" ht="15.5">
      <c r="A127" s="13" t="str">
        <f>IF(OR(ISBLANK(C127),ISBLANK(D127),ISBLANK(F127),ISBLANK(G127)),"",COUNTIF($B$5:B127,"JAMBUTU"))</f>
        <v/>
      </c>
      <c r="B127" s="8"/>
      <c r="C127" s="8"/>
      <c r="D127" s="8"/>
      <c r="E127" s="13"/>
      <c r="F127" s="12"/>
      <c r="G127" s="11"/>
      <c r="H127" s="12"/>
      <c r="I127" s="11"/>
      <c r="J127" s="10">
        <f t="shared" si="16"/>
        <v>0</v>
      </c>
      <c r="K127" s="10">
        <f t="shared" si="11"/>
        <v>0</v>
      </c>
      <c r="L127" s="9" t="str">
        <f t="shared" si="12"/>
        <v/>
      </c>
      <c r="M127" s="8"/>
      <c r="N127" s="8"/>
      <c r="O127" s="8"/>
      <c r="P127" s="8"/>
      <c r="Q127" s="8"/>
      <c r="R127" s="8"/>
      <c r="S127" s="8"/>
      <c r="T127" s="8"/>
      <c r="U127" s="8"/>
      <c r="V127" s="7"/>
      <c r="W127" s="6" t="str">
        <f t="array" ref="W127">IF(NOT(ISBLANK(D127)),_xludf.XLOOKUP(D127,[1]CODE!$A$4:$A$100,[1]CODE!$D$4:$D$100),"")</f>
        <v/>
      </c>
      <c r="X127" s="5" t="str">
        <f t="array" ref="X127">IF(NOT(AND(ISBLANK(D127),ISBLANK(C127))),_xludf.XLOOKUP(D127,[1]CODE!$A$4:$A$100,[1]CODE!$E$4:$E$100),"")</f>
        <v/>
      </c>
      <c r="Y127" s="5" t="str">
        <f t="shared" si="13"/>
        <v/>
      </c>
      <c r="Z127" s="5" t="str">
        <f t="shared" si="14"/>
        <v/>
      </c>
      <c r="AA127" s="4">
        <f t="shared" si="15"/>
        <v>0</v>
      </c>
      <c r="AC127" s="2"/>
    </row>
    <row r="128" spans="1:29" ht="15.5">
      <c r="A128" s="13" t="str">
        <f>IF(OR(ISBLANK(C128),ISBLANK(D128),ISBLANK(F128),ISBLANK(G128)),"",COUNTIF($B$5:B128,"JAMBUTU"))</f>
        <v/>
      </c>
      <c r="B128" s="8"/>
      <c r="C128" s="8"/>
      <c r="D128" s="8"/>
      <c r="E128" s="13"/>
      <c r="F128" s="12"/>
      <c r="G128" s="11"/>
      <c r="H128" s="12"/>
      <c r="I128" s="11"/>
      <c r="J128" s="10">
        <f t="shared" si="16"/>
        <v>0</v>
      </c>
      <c r="K128" s="10">
        <f t="shared" si="11"/>
        <v>0</v>
      </c>
      <c r="L128" s="9" t="str">
        <f t="shared" si="12"/>
        <v/>
      </c>
      <c r="M128" s="8"/>
      <c r="N128" s="8"/>
      <c r="O128" s="8"/>
      <c r="P128" s="8"/>
      <c r="Q128" s="8"/>
      <c r="R128" s="8"/>
      <c r="S128" s="8"/>
      <c r="T128" s="8"/>
      <c r="U128" s="8"/>
      <c r="V128" s="7"/>
      <c r="W128" s="6" t="str">
        <f t="array" ref="W128">IF(NOT(ISBLANK(D128)),_xludf.XLOOKUP(D128,[1]CODE!$A$4:$A$100,[1]CODE!$D$4:$D$100),"")</f>
        <v/>
      </c>
      <c r="X128" s="5" t="str">
        <f t="array" ref="X128">IF(NOT(AND(ISBLANK(D128),ISBLANK(C128))),_xludf.XLOOKUP(D128,[1]CODE!$A$4:$A$100,[1]CODE!$E$4:$E$100),"")</f>
        <v/>
      </c>
      <c r="Y128" s="5" t="str">
        <f t="shared" si="13"/>
        <v/>
      </c>
      <c r="Z128" s="5" t="str">
        <f t="shared" si="14"/>
        <v/>
      </c>
      <c r="AA128" s="4">
        <f t="shared" si="15"/>
        <v>0</v>
      </c>
      <c r="AC128" s="2"/>
    </row>
    <row r="129" spans="1:29" ht="15.5">
      <c r="A129" s="13" t="str">
        <f>IF(OR(ISBLANK(C129),ISBLANK(D129),ISBLANK(F129),ISBLANK(G129)),"",COUNTIF($B$5:B129,"JAMBUTU"))</f>
        <v/>
      </c>
      <c r="B129" s="8"/>
      <c r="C129" s="8"/>
      <c r="D129" s="8"/>
      <c r="E129" s="13"/>
      <c r="F129" s="12"/>
      <c r="G129" s="11"/>
      <c r="H129" s="12"/>
      <c r="I129" s="11"/>
      <c r="J129" s="10">
        <f t="shared" si="16"/>
        <v>0</v>
      </c>
      <c r="K129" s="10">
        <f t="shared" si="11"/>
        <v>0</v>
      </c>
      <c r="L129" s="9" t="str">
        <f t="shared" si="12"/>
        <v/>
      </c>
      <c r="M129" s="8"/>
      <c r="N129" s="8"/>
      <c r="O129" s="8"/>
      <c r="P129" s="8"/>
      <c r="Q129" s="8"/>
      <c r="R129" s="8"/>
      <c r="S129" s="8"/>
      <c r="T129" s="8"/>
      <c r="U129" s="8"/>
      <c r="V129" s="7"/>
      <c r="W129" s="6" t="str">
        <f t="array" ref="W129">IF(NOT(ISBLANK(D129)),_xludf.XLOOKUP(D129,[1]CODE!$A$4:$A$100,[1]CODE!$D$4:$D$100),"")</f>
        <v/>
      </c>
      <c r="X129" s="5" t="str">
        <f t="array" ref="X129">IF(NOT(AND(ISBLANK(D129),ISBLANK(C129))),_xludf.XLOOKUP(D129,[1]CODE!$A$4:$A$100,[1]CODE!$E$4:$E$100),"")</f>
        <v/>
      </c>
      <c r="Y129" s="5" t="str">
        <f t="shared" si="13"/>
        <v/>
      </c>
      <c r="Z129" s="5" t="str">
        <f t="shared" si="14"/>
        <v/>
      </c>
      <c r="AA129" s="4">
        <f t="shared" si="15"/>
        <v>0</v>
      </c>
      <c r="AC129" s="2"/>
    </row>
    <row r="130" spans="1:29" ht="15.5">
      <c r="A130" s="13" t="str">
        <f>IF(OR(ISBLANK(C130),ISBLANK(D130),ISBLANK(F130),ISBLANK(G130)),"",COUNTIF($B$5:B130,"JAMBUTU"))</f>
        <v/>
      </c>
      <c r="B130" s="8"/>
      <c r="C130" s="8"/>
      <c r="D130" s="8"/>
      <c r="E130" s="13"/>
      <c r="F130" s="12"/>
      <c r="G130" s="11"/>
      <c r="H130" s="12"/>
      <c r="I130" s="11"/>
      <c r="J130" s="10">
        <f t="shared" si="16"/>
        <v>0</v>
      </c>
      <c r="K130" s="10">
        <f t="shared" si="11"/>
        <v>0</v>
      </c>
      <c r="L130" s="9" t="str">
        <f t="shared" si="12"/>
        <v/>
      </c>
      <c r="M130" s="8"/>
      <c r="N130" s="8"/>
      <c r="O130" s="8"/>
      <c r="P130" s="8"/>
      <c r="Q130" s="8"/>
      <c r="R130" s="8"/>
      <c r="S130" s="8"/>
      <c r="T130" s="8"/>
      <c r="U130" s="8"/>
      <c r="V130" s="7"/>
      <c r="W130" s="6" t="str">
        <f t="array" ref="W130">IF(NOT(ISBLANK(D130)),_xludf.XLOOKUP(D130,[1]CODE!$A$4:$A$100,[1]CODE!$D$4:$D$100),"")</f>
        <v/>
      </c>
      <c r="X130" s="5" t="str">
        <f t="array" ref="X130">IF(NOT(AND(ISBLANK(D130),ISBLANK(C130))),_xludf.XLOOKUP(D130,[1]CODE!$A$4:$A$100,[1]CODE!$E$4:$E$100),"")</f>
        <v/>
      </c>
      <c r="Y130" s="5" t="str">
        <f t="shared" si="13"/>
        <v/>
      </c>
      <c r="Z130" s="5" t="str">
        <f t="shared" si="14"/>
        <v/>
      </c>
      <c r="AA130" s="4">
        <f t="shared" si="15"/>
        <v>0</v>
      </c>
      <c r="AC130" s="2"/>
    </row>
    <row r="131" spans="1:29" ht="15.5">
      <c r="A131" s="13" t="str">
        <f>IF(OR(ISBLANK(C131),ISBLANK(D131),ISBLANK(F131),ISBLANK(G131)),"",COUNTIF($B$5:B131,"JAMBUTU"))</f>
        <v/>
      </c>
      <c r="B131" s="8"/>
      <c r="C131" s="8"/>
      <c r="D131" s="8"/>
      <c r="E131" s="13"/>
      <c r="F131" s="12"/>
      <c r="G131" s="11"/>
      <c r="H131" s="12"/>
      <c r="I131" s="11"/>
      <c r="J131" s="10">
        <f t="shared" si="16"/>
        <v>0</v>
      </c>
      <c r="K131" s="10">
        <f t="shared" si="11"/>
        <v>0</v>
      </c>
      <c r="L131" s="9" t="str">
        <f t="shared" si="12"/>
        <v/>
      </c>
      <c r="M131" s="8"/>
      <c r="N131" s="8"/>
      <c r="O131" s="8"/>
      <c r="P131" s="8"/>
      <c r="Q131" s="8"/>
      <c r="R131" s="8"/>
      <c r="S131" s="8"/>
      <c r="T131" s="8"/>
      <c r="U131" s="8"/>
      <c r="V131" s="7"/>
      <c r="W131" s="6" t="str">
        <f t="array" ref="W131">IF(NOT(ISBLANK(D131)),_xludf.XLOOKUP(D131,[1]CODE!$A$4:$A$100,[1]CODE!$D$4:$D$100),"")</f>
        <v/>
      </c>
      <c r="X131" s="5" t="str">
        <f t="array" ref="X131">IF(NOT(AND(ISBLANK(D131),ISBLANK(C131))),_xludf.XLOOKUP(D131,[1]CODE!$A$4:$A$100,[1]CODE!$E$4:$E$100),"")</f>
        <v/>
      </c>
      <c r="Y131" s="5" t="str">
        <f t="shared" si="13"/>
        <v/>
      </c>
      <c r="Z131" s="5" t="str">
        <f t="shared" si="14"/>
        <v/>
      </c>
      <c r="AA131" s="4">
        <f t="shared" si="15"/>
        <v>0</v>
      </c>
      <c r="AC131" s="2"/>
    </row>
    <row r="132" spans="1:29" ht="15.5">
      <c r="A132" s="13" t="str">
        <f>IF(OR(ISBLANK(C132),ISBLANK(D132),ISBLANK(F132),ISBLANK(G132)),"",COUNTIF($B$5:B132,"JAMBUTU"))</f>
        <v/>
      </c>
      <c r="B132" s="8"/>
      <c r="C132" s="8"/>
      <c r="D132" s="8"/>
      <c r="E132" s="13"/>
      <c r="F132" s="12"/>
      <c r="G132" s="11"/>
      <c r="H132" s="12"/>
      <c r="I132" s="11"/>
      <c r="J132" s="10">
        <f t="shared" si="16"/>
        <v>0</v>
      </c>
      <c r="K132" s="10">
        <f t="shared" si="11"/>
        <v>0</v>
      </c>
      <c r="L132" s="9" t="str">
        <f t="shared" si="12"/>
        <v/>
      </c>
      <c r="M132" s="8"/>
      <c r="N132" s="8"/>
      <c r="O132" s="8"/>
      <c r="P132" s="8"/>
      <c r="Q132" s="8"/>
      <c r="R132" s="8"/>
      <c r="S132" s="8"/>
      <c r="T132" s="8"/>
      <c r="U132" s="8"/>
      <c r="V132" s="7"/>
      <c r="W132" s="6" t="str">
        <f t="array" ref="W132">IF(NOT(ISBLANK(D132)),_xludf.XLOOKUP(D132,[1]CODE!$A$4:$A$100,[1]CODE!$D$4:$D$100),"")</f>
        <v/>
      </c>
      <c r="X132" s="5" t="str">
        <f t="array" ref="X132">IF(NOT(AND(ISBLANK(D132),ISBLANK(C132))),_xludf.XLOOKUP(D132,[1]CODE!$A$4:$A$100,[1]CODE!$E$4:$E$100),"")</f>
        <v/>
      </c>
      <c r="Y132" s="5" t="str">
        <f t="shared" si="13"/>
        <v/>
      </c>
      <c r="Z132" s="5" t="str">
        <f t="shared" si="14"/>
        <v/>
      </c>
      <c r="AA132" s="4">
        <f t="shared" si="15"/>
        <v>0</v>
      </c>
      <c r="AC132" s="2"/>
    </row>
    <row r="133" spans="1:29" ht="15.5">
      <c r="A133" s="13">
        <f>IF(OR(ISBLANK(C133),ISBLANK(D133),ISBLANK(F133),ISBLANK(G133)),"",COUNTIF($B$5:B133,"JAMBUTU"))</f>
        <v>17</v>
      </c>
      <c r="B133" s="8" t="str">
        <f>IF(C133&lt;&gt;"","Jambutu","")</f>
        <v>Jambutu</v>
      </c>
      <c r="C133" s="8" t="s">
        <v>4</v>
      </c>
      <c r="D133" s="8" t="s">
        <v>10</v>
      </c>
      <c r="E133" s="13">
        <v>4.2</v>
      </c>
      <c r="F133" s="12">
        <v>46041</v>
      </c>
      <c r="G133" s="11">
        <v>0.60763888888888884</v>
      </c>
      <c r="H133" s="12">
        <v>46041</v>
      </c>
      <c r="I133" s="11">
        <v>0.61111111111111116</v>
      </c>
      <c r="J133" s="10">
        <f t="shared" ref="J133:J154" si="17">DATE(YEAR(F133),MONTH(F133),DAY(F133))+TIME(HOUR(G133),MINUTE(G133), SECOND(G133))</f>
        <v>46041.607638888891</v>
      </c>
      <c r="K133" s="10">
        <f t="shared" ref="K133:K196" si="18">DATE(YEAR(H133),MONTH(H133),DAY(H133))+TIME(HOUR(I133),MINUTE(I133), SECOND(I133))</f>
        <v>46041.611111111109</v>
      </c>
      <c r="L133" s="9">
        <f t="shared" ref="L133:L196" si="19">IF(ISBLANK(I133),"",IF(J133&gt;K133,(K133+1)-J133,K133-J133))</f>
        <v>3.4722222189884633E-3</v>
      </c>
      <c r="M133" s="8" t="s">
        <v>16</v>
      </c>
      <c r="N133" s="8" t="s">
        <v>1</v>
      </c>
      <c r="O133" s="8" t="s">
        <v>0</v>
      </c>
      <c r="P133" s="8"/>
      <c r="Q133" s="8"/>
      <c r="R133" s="8"/>
      <c r="S133" s="8"/>
      <c r="T133" s="8"/>
      <c r="U133" s="8"/>
      <c r="V133" s="7"/>
      <c r="W133" s="6" t="e">
        <f t="array" aca="1" ref="W133" ca="1">IF(NOT(ISBLANK(D133)),_xludf.XLOOKUP(D133,[1]CODE!$A$4:$A$100,[1]CODE!$D$4:$D$100),"")</f>
        <v>#NAME?</v>
      </c>
      <c r="X133" s="5" t="e">
        <f t="array" aca="1" ref="X133" ca="1">IF(NOT(AND(ISBLANK(D133),ISBLANK(C133))),_xludf.XLOOKUP(D133,[1]CODE!$A$4:$A$100,[1]CODE!$E$4:$E$100),"")</f>
        <v>#NAME?</v>
      </c>
      <c r="Y133" s="5" t="str">
        <f t="shared" ref="Y133:Y196" si="20">LEFT(C133,4)</f>
        <v>33KV</v>
      </c>
      <c r="Z133" s="5" t="str">
        <f t="shared" ref="Z133:Z196" si="21">IF(NOT(ISBLANK(C133)), IF(K133&gt;J133,"YES","NO"),"")</f>
        <v>YES</v>
      </c>
      <c r="AA133" s="4">
        <f t="shared" ref="AA133:AA196" si="22">IF(AND(F133=H133,Z133="NO"),1+H133,H133)</f>
        <v>46041</v>
      </c>
      <c r="AC133" s="2"/>
    </row>
    <row r="134" spans="1:29" ht="15.5">
      <c r="A134" s="13">
        <f>IF(OR(ISBLANK(C134),ISBLANK(D134),ISBLANK(F134),ISBLANK(G134)),"",COUNTIF($B$5:B134,"JAMBUTU"))</f>
        <v>18</v>
      </c>
      <c r="B134" s="8" t="str">
        <f>IF(C134&lt;&gt;"","Jambutu","")</f>
        <v>Jambutu</v>
      </c>
      <c r="C134" s="8" t="s">
        <v>4</v>
      </c>
      <c r="D134" s="8" t="s">
        <v>10</v>
      </c>
      <c r="E134" s="13">
        <v>4.2</v>
      </c>
      <c r="F134" s="12">
        <v>46041</v>
      </c>
      <c r="G134" s="11">
        <v>0.61805555555555558</v>
      </c>
      <c r="H134" s="12">
        <v>46041</v>
      </c>
      <c r="I134" s="11">
        <v>0.65277777777777779</v>
      </c>
      <c r="J134" s="10">
        <f t="shared" si="17"/>
        <v>46041.618055555555</v>
      </c>
      <c r="K134" s="10">
        <f t="shared" si="18"/>
        <v>46041.652777777781</v>
      </c>
      <c r="L134" s="9">
        <f t="shared" si="19"/>
        <v>3.4722222226264421E-2</v>
      </c>
      <c r="M134" s="8" t="s">
        <v>16</v>
      </c>
      <c r="N134" s="8" t="s">
        <v>1</v>
      </c>
      <c r="O134" s="8" t="s">
        <v>0</v>
      </c>
      <c r="P134" s="8"/>
      <c r="Q134" s="8"/>
      <c r="R134" s="8"/>
      <c r="S134" s="8"/>
      <c r="T134" s="8"/>
      <c r="U134" s="8"/>
      <c r="V134" s="7"/>
      <c r="W134" s="6" t="e">
        <f t="array" aca="1" ref="W134" ca="1">IF(NOT(ISBLANK(D134)),_xludf.XLOOKUP(D134,[1]CODE!$A$4:$A$100,[1]CODE!$D$4:$D$100),"")</f>
        <v>#NAME?</v>
      </c>
      <c r="X134" s="5" t="e">
        <f t="array" aca="1" ref="X134" ca="1">IF(NOT(AND(ISBLANK(D134),ISBLANK(C134))),_xludf.XLOOKUP(D134,[1]CODE!$A$4:$A$100,[1]CODE!$E$4:$E$100),"")</f>
        <v>#NAME?</v>
      </c>
      <c r="Y134" s="5" t="str">
        <f t="shared" si="20"/>
        <v>33KV</v>
      </c>
      <c r="Z134" s="5" t="str">
        <f t="shared" si="21"/>
        <v>YES</v>
      </c>
      <c r="AA134" s="4">
        <f t="shared" si="22"/>
        <v>46041</v>
      </c>
      <c r="AC134" s="2"/>
    </row>
    <row r="135" spans="1:29" ht="15.5">
      <c r="A135" s="13" t="str">
        <f>IF(OR(ISBLANK(C135),ISBLANK(D135),ISBLANK(F135),ISBLANK(G135)),"",COUNTIF($B$5:B135,"JAMBUTU"))</f>
        <v/>
      </c>
      <c r="B135" s="8"/>
      <c r="C135" s="8"/>
      <c r="D135" s="8"/>
      <c r="E135" s="13"/>
      <c r="F135" s="12"/>
      <c r="G135" s="11"/>
      <c r="H135" s="12"/>
      <c r="I135" s="11"/>
      <c r="J135" s="10">
        <f t="shared" si="17"/>
        <v>0</v>
      </c>
      <c r="K135" s="10">
        <f t="shared" si="18"/>
        <v>0</v>
      </c>
      <c r="L135" s="9" t="str">
        <f t="shared" si="19"/>
        <v/>
      </c>
      <c r="M135" s="8"/>
      <c r="N135" s="8"/>
      <c r="O135" s="8"/>
      <c r="P135" s="8"/>
      <c r="Q135" s="8"/>
      <c r="R135" s="8"/>
      <c r="S135" s="8"/>
      <c r="T135" s="8"/>
      <c r="U135" s="8"/>
      <c r="V135" s="7"/>
      <c r="W135" s="6" t="str">
        <f t="array" ref="W135">IF(NOT(ISBLANK(D135)),_xludf.XLOOKUP(D135,[1]CODE!$A$4:$A$100,[1]CODE!$D$4:$D$100),"")</f>
        <v/>
      </c>
      <c r="X135" s="5" t="str">
        <f t="array" ref="X135">IF(NOT(AND(ISBLANK(D135),ISBLANK(C135))),_xludf.XLOOKUP(D135,[1]CODE!$A$4:$A$100,[1]CODE!$E$4:$E$100),"")</f>
        <v/>
      </c>
      <c r="Y135" s="5" t="str">
        <f t="shared" si="20"/>
        <v/>
      </c>
      <c r="Z135" s="5" t="str">
        <f t="shared" si="21"/>
        <v/>
      </c>
      <c r="AA135" s="4">
        <f t="shared" si="22"/>
        <v>0</v>
      </c>
      <c r="AC135" s="2"/>
    </row>
    <row r="136" spans="1:29" ht="15.5">
      <c r="A136" s="13" t="str">
        <f>IF(OR(ISBLANK(C136),ISBLANK(D136),ISBLANK(F136),ISBLANK(G136)),"",COUNTIF($B$5:B136,"JAMBUTU"))</f>
        <v/>
      </c>
      <c r="B136" s="8"/>
      <c r="C136" s="8"/>
      <c r="D136" s="8"/>
      <c r="E136" s="13"/>
      <c r="F136" s="12"/>
      <c r="G136" s="11"/>
      <c r="H136" s="12"/>
      <c r="I136" s="11"/>
      <c r="J136" s="10">
        <f t="shared" si="17"/>
        <v>0</v>
      </c>
      <c r="K136" s="10">
        <f t="shared" si="18"/>
        <v>0</v>
      </c>
      <c r="L136" s="9" t="str">
        <f t="shared" si="19"/>
        <v/>
      </c>
      <c r="M136" s="8"/>
      <c r="N136" s="8"/>
      <c r="O136" s="8"/>
      <c r="P136" s="8"/>
      <c r="Q136" s="8"/>
      <c r="R136" s="8"/>
      <c r="S136" s="8"/>
      <c r="T136" s="8"/>
      <c r="U136" s="8"/>
      <c r="V136" s="7"/>
      <c r="W136" s="6" t="str">
        <f t="array" ref="W136">IF(NOT(ISBLANK(D136)),_xludf.XLOOKUP(D136,[1]CODE!$A$4:$A$100,[1]CODE!$D$4:$D$100),"")</f>
        <v/>
      </c>
      <c r="X136" s="5" t="str">
        <f t="array" ref="X136">IF(NOT(AND(ISBLANK(D136),ISBLANK(C136))),_xludf.XLOOKUP(D136,[1]CODE!$A$4:$A$100,[1]CODE!$E$4:$E$100),"")</f>
        <v/>
      </c>
      <c r="Y136" s="5" t="str">
        <f t="shared" si="20"/>
        <v/>
      </c>
      <c r="Z136" s="5" t="str">
        <f t="shared" si="21"/>
        <v/>
      </c>
      <c r="AA136" s="4">
        <f t="shared" si="22"/>
        <v>0</v>
      </c>
      <c r="AC136" s="2"/>
    </row>
    <row r="137" spans="1:29" ht="15.5">
      <c r="A137" s="13" t="str">
        <f>IF(OR(ISBLANK(C137),ISBLANK(D137),ISBLANK(F137),ISBLANK(G137)),"",COUNTIF($B$5:B137,"JAMBUTU"))</f>
        <v/>
      </c>
      <c r="B137" s="8"/>
      <c r="C137" s="8"/>
      <c r="D137" s="8"/>
      <c r="E137" s="13"/>
      <c r="F137" s="12"/>
      <c r="G137" s="11"/>
      <c r="H137" s="12"/>
      <c r="I137" s="11"/>
      <c r="J137" s="10">
        <f t="shared" si="17"/>
        <v>0</v>
      </c>
      <c r="K137" s="10">
        <f t="shared" si="18"/>
        <v>0</v>
      </c>
      <c r="L137" s="9" t="str">
        <f t="shared" si="19"/>
        <v/>
      </c>
      <c r="M137" s="8"/>
      <c r="N137" s="8"/>
      <c r="O137" s="8"/>
      <c r="P137" s="8"/>
      <c r="Q137" s="8"/>
      <c r="R137" s="8"/>
      <c r="S137" s="8"/>
      <c r="T137" s="8"/>
      <c r="U137" s="8"/>
      <c r="V137" s="7"/>
      <c r="W137" s="6" t="str">
        <f t="array" ref="W137">IF(NOT(ISBLANK(D137)),_xludf.XLOOKUP(D137,[1]CODE!$A$4:$A$100,[1]CODE!$D$4:$D$100),"")</f>
        <v/>
      </c>
      <c r="X137" s="5" t="str">
        <f t="array" ref="X137">IF(NOT(AND(ISBLANK(D137),ISBLANK(C137))),_xludf.XLOOKUP(D137,[1]CODE!$A$4:$A$100,[1]CODE!$E$4:$E$100),"")</f>
        <v/>
      </c>
      <c r="Y137" s="5" t="str">
        <f t="shared" si="20"/>
        <v/>
      </c>
      <c r="Z137" s="5" t="str">
        <f t="shared" si="21"/>
        <v/>
      </c>
      <c r="AA137" s="4">
        <f t="shared" si="22"/>
        <v>0</v>
      </c>
      <c r="AC137" s="2"/>
    </row>
    <row r="138" spans="1:29" ht="15.5">
      <c r="A138" s="13" t="str">
        <f>IF(OR(ISBLANK(C138),ISBLANK(D138),ISBLANK(F138),ISBLANK(G138)),"",COUNTIF($B$5:B138,"JAMBUTU"))</f>
        <v/>
      </c>
      <c r="B138" s="8"/>
      <c r="C138" s="8"/>
      <c r="D138" s="8"/>
      <c r="E138" s="13"/>
      <c r="F138" s="12"/>
      <c r="G138" s="11"/>
      <c r="H138" s="12"/>
      <c r="I138" s="15"/>
      <c r="J138" s="10">
        <f t="shared" si="17"/>
        <v>0</v>
      </c>
      <c r="K138" s="10">
        <f t="shared" si="18"/>
        <v>0</v>
      </c>
      <c r="L138" s="9" t="str">
        <f t="shared" si="19"/>
        <v/>
      </c>
      <c r="M138" s="8"/>
      <c r="N138" s="8"/>
      <c r="O138" s="8"/>
      <c r="P138" s="8"/>
      <c r="Q138" s="8"/>
      <c r="R138" s="8"/>
      <c r="S138" s="8"/>
      <c r="T138" s="8"/>
      <c r="U138" s="8"/>
      <c r="V138" s="7"/>
      <c r="W138" s="6" t="str">
        <f t="array" ref="W138">IF(NOT(ISBLANK(D138)),_xludf.XLOOKUP(D138,[1]CODE!$A$4:$A$100,[1]CODE!$D$4:$D$100),"")</f>
        <v/>
      </c>
      <c r="X138" s="5" t="str">
        <f t="array" ref="X138">IF(NOT(AND(ISBLANK(D138),ISBLANK(C138))),_xludf.XLOOKUP(D138,[1]CODE!$A$4:$A$100,[1]CODE!$E$4:$E$100),"")</f>
        <v/>
      </c>
      <c r="Y138" s="5" t="str">
        <f t="shared" si="20"/>
        <v/>
      </c>
      <c r="Z138" s="5" t="str">
        <f t="shared" si="21"/>
        <v/>
      </c>
      <c r="AA138" s="4">
        <f t="shared" si="22"/>
        <v>0</v>
      </c>
      <c r="AC138" s="2"/>
    </row>
    <row r="139" spans="1:29" ht="15.5">
      <c r="A139" s="13" t="str">
        <f>IF(OR(ISBLANK(C139),ISBLANK(D139),ISBLANK(F139),ISBLANK(G139)),"",COUNTIF($B$5:B139,"JAMBUTU"))</f>
        <v/>
      </c>
      <c r="B139" s="8"/>
      <c r="C139" s="8"/>
      <c r="D139" s="8"/>
      <c r="E139" s="13"/>
      <c r="F139" s="12"/>
      <c r="G139" s="11"/>
      <c r="H139" s="12"/>
      <c r="I139" s="11"/>
      <c r="J139" s="10">
        <f t="shared" si="17"/>
        <v>0</v>
      </c>
      <c r="K139" s="10">
        <f t="shared" si="18"/>
        <v>0</v>
      </c>
      <c r="L139" s="9" t="str">
        <f t="shared" si="19"/>
        <v/>
      </c>
      <c r="M139" s="8"/>
      <c r="N139" s="8"/>
      <c r="O139" s="8"/>
      <c r="P139" s="8"/>
      <c r="Q139" s="8"/>
      <c r="R139" s="8"/>
      <c r="S139" s="8"/>
      <c r="T139" s="8"/>
      <c r="U139" s="8"/>
      <c r="V139" s="7"/>
      <c r="W139" s="6" t="str">
        <f t="array" ref="W139">IF(NOT(ISBLANK(D139)),_xludf.XLOOKUP(D139,[1]CODE!$A$4:$A$100,[1]CODE!$D$4:$D$100),"")</f>
        <v/>
      </c>
      <c r="X139" s="5" t="str">
        <f t="array" ref="X139">IF(NOT(AND(ISBLANK(D139),ISBLANK(C139))),_xludf.XLOOKUP(D139,[1]CODE!$A$4:$A$100,[1]CODE!$E$4:$E$100),"")</f>
        <v/>
      </c>
      <c r="Y139" s="5" t="str">
        <f t="shared" si="20"/>
        <v/>
      </c>
      <c r="Z139" s="5" t="str">
        <f t="shared" si="21"/>
        <v/>
      </c>
      <c r="AA139" s="4">
        <f t="shared" si="22"/>
        <v>0</v>
      </c>
      <c r="AC139" s="2"/>
    </row>
    <row r="140" spans="1:29" ht="15.5">
      <c r="A140" s="13">
        <f>IF(OR(ISBLANK(C140),ISBLANK(D140),ISBLANK(F140),ISBLANK(G140)),"",COUNTIF($B$5:B140,"JAMBUTU"))</f>
        <v>19</v>
      </c>
      <c r="B140" s="8" t="str">
        <f>IF(C140&lt;&gt;"","Jambutu","")</f>
        <v>Jambutu</v>
      </c>
      <c r="C140" s="8" t="s">
        <v>4</v>
      </c>
      <c r="D140" s="8" t="s">
        <v>6</v>
      </c>
      <c r="E140" s="13">
        <v>3.4</v>
      </c>
      <c r="F140" s="12">
        <v>46042</v>
      </c>
      <c r="G140" s="11">
        <v>0.43263888888888891</v>
      </c>
      <c r="H140" s="12">
        <v>46042</v>
      </c>
      <c r="I140" s="11">
        <v>0.43472222222222223</v>
      </c>
      <c r="J140" s="10">
        <f t="shared" si="17"/>
        <v>46042.432638888888</v>
      </c>
      <c r="K140" s="10">
        <f t="shared" si="18"/>
        <v>46042.43472222222</v>
      </c>
      <c r="L140" s="9">
        <f t="shared" si="19"/>
        <v>2.0833333328482695E-3</v>
      </c>
      <c r="M140" s="8" t="s">
        <v>16</v>
      </c>
      <c r="N140" s="8" t="s">
        <v>1</v>
      </c>
      <c r="O140" s="8" t="s">
        <v>0</v>
      </c>
      <c r="P140" s="8"/>
      <c r="Q140" s="8"/>
      <c r="R140" s="8"/>
      <c r="S140" s="8"/>
      <c r="T140" s="8"/>
      <c r="U140" s="8"/>
      <c r="V140" s="7"/>
      <c r="W140" s="6" t="e">
        <f t="array" aca="1" ref="W140" ca="1">IF(NOT(ISBLANK(D140)),_xludf.XLOOKUP(D140,[1]CODE!$A$4:$A$100,[1]CODE!$D$4:$D$100),"")</f>
        <v>#NAME?</v>
      </c>
      <c r="X140" s="5" t="e">
        <f t="array" aca="1" ref="X140" ca="1">IF(NOT(AND(ISBLANK(D140),ISBLANK(C140))),_xludf.XLOOKUP(D140,[1]CODE!$A$4:$A$100,[1]CODE!$E$4:$E$100),"")</f>
        <v>#NAME?</v>
      </c>
      <c r="Y140" s="5" t="str">
        <f t="shared" si="20"/>
        <v>33KV</v>
      </c>
      <c r="Z140" s="5" t="str">
        <f t="shared" si="21"/>
        <v>YES</v>
      </c>
      <c r="AA140" s="4">
        <f t="shared" si="22"/>
        <v>46042</v>
      </c>
      <c r="AC140" s="2"/>
    </row>
    <row r="141" spans="1:29" ht="15.5">
      <c r="A141" s="13" t="str">
        <f>IF(OR(ISBLANK(C141),ISBLANK(D141),ISBLANK(F141),ISBLANK(G141)),"",COUNTIF($B$5:B141,"JAMBUTU"))</f>
        <v/>
      </c>
      <c r="B141" s="8"/>
      <c r="C141" s="8"/>
      <c r="D141" s="8"/>
      <c r="E141" s="13"/>
      <c r="F141" s="12"/>
      <c r="G141" s="11"/>
      <c r="H141" s="12"/>
      <c r="I141" s="11"/>
      <c r="J141" s="10">
        <f t="shared" si="17"/>
        <v>0</v>
      </c>
      <c r="K141" s="10">
        <f t="shared" si="18"/>
        <v>0</v>
      </c>
      <c r="L141" s="9" t="str">
        <f t="shared" si="19"/>
        <v/>
      </c>
      <c r="M141" s="8"/>
      <c r="N141" s="8"/>
      <c r="O141" s="8"/>
      <c r="P141" s="8"/>
      <c r="Q141" s="8"/>
      <c r="R141" s="8"/>
      <c r="S141" s="8"/>
      <c r="T141" s="8"/>
      <c r="U141" s="8"/>
      <c r="V141" s="7"/>
      <c r="W141" s="6" t="str">
        <f t="array" ref="W141">IF(NOT(ISBLANK(D141)),_xludf.XLOOKUP(D141,[1]CODE!$A$4:$A$100,[1]CODE!$D$4:$D$100),"")</f>
        <v/>
      </c>
      <c r="X141" s="5" t="str">
        <f t="array" ref="X141">IF(NOT(AND(ISBLANK(D141),ISBLANK(C141))),_xludf.XLOOKUP(D141,[1]CODE!$A$4:$A$100,[1]CODE!$E$4:$E$100),"")</f>
        <v/>
      </c>
      <c r="Y141" s="5" t="str">
        <f t="shared" si="20"/>
        <v/>
      </c>
      <c r="Z141" s="5" t="str">
        <f t="shared" si="21"/>
        <v/>
      </c>
      <c r="AA141" s="4">
        <f t="shared" si="22"/>
        <v>0</v>
      </c>
      <c r="AC141" s="2"/>
    </row>
    <row r="142" spans="1:29" ht="15.5">
      <c r="A142" s="13" t="str">
        <f>IF(OR(ISBLANK(C142),ISBLANK(D142),ISBLANK(F142),ISBLANK(G142)),"",COUNTIF($B$5:B142,"JAMBUTU"))</f>
        <v/>
      </c>
      <c r="B142" s="8"/>
      <c r="C142" s="8"/>
      <c r="D142" s="8"/>
      <c r="E142" s="13"/>
      <c r="F142" s="12"/>
      <c r="G142" s="11"/>
      <c r="H142" s="12"/>
      <c r="I142" s="11"/>
      <c r="J142" s="10">
        <f t="shared" si="17"/>
        <v>0</v>
      </c>
      <c r="K142" s="10">
        <f t="shared" si="18"/>
        <v>0</v>
      </c>
      <c r="L142" s="9" t="str">
        <f t="shared" si="19"/>
        <v/>
      </c>
      <c r="M142" s="8"/>
      <c r="N142" s="8"/>
      <c r="O142" s="8"/>
      <c r="P142" s="8"/>
      <c r="Q142" s="8"/>
      <c r="R142" s="8"/>
      <c r="S142" s="8"/>
      <c r="T142" s="8"/>
      <c r="U142" s="8"/>
      <c r="V142" s="7"/>
      <c r="W142" s="6" t="str">
        <f t="array" ref="W142">IF(NOT(ISBLANK(D142)),_xludf.XLOOKUP(D142,[1]CODE!$A$4:$A$100,[1]CODE!$D$4:$D$100),"")</f>
        <v/>
      </c>
      <c r="X142" s="5" t="str">
        <f t="array" ref="X142">IF(NOT(AND(ISBLANK(D142),ISBLANK(C142))),_xludf.XLOOKUP(D142,[1]CODE!$A$4:$A$100,[1]CODE!$E$4:$E$100),"")</f>
        <v/>
      </c>
      <c r="Y142" s="5" t="str">
        <f t="shared" si="20"/>
        <v/>
      </c>
      <c r="Z142" s="5" t="str">
        <f t="shared" si="21"/>
        <v/>
      </c>
      <c r="AA142" s="4">
        <f t="shared" si="22"/>
        <v>0</v>
      </c>
      <c r="AC142" s="2"/>
    </row>
    <row r="143" spans="1:29" ht="15.5">
      <c r="A143" s="13" t="str">
        <f>IF(OR(ISBLANK(C143),ISBLANK(D143),ISBLANK(F143),ISBLANK(G143)),"",COUNTIF($B$5:B143,"JAMBUTU"))</f>
        <v/>
      </c>
      <c r="B143" s="8"/>
      <c r="C143" s="8"/>
      <c r="D143" s="8"/>
      <c r="E143" s="13"/>
      <c r="F143" s="12"/>
      <c r="G143" s="11"/>
      <c r="H143" s="12"/>
      <c r="I143" s="11"/>
      <c r="J143" s="10">
        <f t="shared" si="17"/>
        <v>0</v>
      </c>
      <c r="K143" s="10">
        <f t="shared" si="18"/>
        <v>0</v>
      </c>
      <c r="L143" s="9" t="str">
        <f t="shared" si="19"/>
        <v/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6" t="str">
        <f t="array" ref="W143">IF(NOT(ISBLANK(D143)),_xludf.XLOOKUP(D143,[1]CODE!$A$4:$A$100,[1]CODE!$D$4:$D$100),"")</f>
        <v/>
      </c>
      <c r="X143" s="5" t="str">
        <f t="array" ref="X143">IF(NOT(AND(ISBLANK(D143),ISBLANK(C143))),_xludf.XLOOKUP(D143,[1]CODE!$A$4:$A$100,[1]CODE!$E$4:$E$100),"")</f>
        <v/>
      </c>
      <c r="Y143" s="5" t="str">
        <f t="shared" si="20"/>
        <v/>
      </c>
      <c r="Z143" s="5" t="str">
        <f t="shared" si="21"/>
        <v/>
      </c>
      <c r="AA143" s="4">
        <f t="shared" si="22"/>
        <v>0</v>
      </c>
      <c r="AC143" s="2"/>
    </row>
    <row r="144" spans="1:29" ht="15.5">
      <c r="A144" s="13" t="str">
        <f>IF(OR(ISBLANK(C144),ISBLANK(D144),ISBLANK(F144),ISBLANK(G144)),"",COUNTIF($B$5:B144,"JAMBUTU"))</f>
        <v/>
      </c>
      <c r="B144" s="8"/>
      <c r="C144" s="8"/>
      <c r="D144" s="8"/>
      <c r="E144" s="13"/>
      <c r="F144" s="12"/>
      <c r="G144" s="11"/>
      <c r="H144" s="12"/>
      <c r="I144" s="11"/>
      <c r="J144" s="10">
        <f t="shared" si="17"/>
        <v>0</v>
      </c>
      <c r="K144" s="10">
        <f t="shared" si="18"/>
        <v>0</v>
      </c>
      <c r="L144" s="9" t="str">
        <f t="shared" si="19"/>
        <v/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6" t="str">
        <f t="array" ref="W144">IF(NOT(ISBLANK(D144)),_xludf.XLOOKUP(D144,[1]CODE!$A$4:$A$100,[1]CODE!$D$4:$D$100),"")</f>
        <v/>
      </c>
      <c r="X144" s="5" t="str">
        <f t="array" ref="X144">IF(NOT(AND(ISBLANK(D144),ISBLANK(C144))),_xludf.XLOOKUP(D144,[1]CODE!$A$4:$A$100,[1]CODE!$E$4:$E$100),"")</f>
        <v/>
      </c>
      <c r="Y144" s="5" t="str">
        <f t="shared" si="20"/>
        <v/>
      </c>
      <c r="Z144" s="5" t="str">
        <f t="shared" si="21"/>
        <v/>
      </c>
      <c r="AA144" s="4">
        <f t="shared" si="22"/>
        <v>0</v>
      </c>
      <c r="AC144" s="2"/>
    </row>
    <row r="145" spans="1:29" ht="15.5">
      <c r="A145" s="13" t="str">
        <f>IF(OR(ISBLANK(C145),ISBLANK(D145),ISBLANK(F145),ISBLANK(G145)),"",COUNTIF($B$5:B145,"JAMBUTU"))</f>
        <v/>
      </c>
      <c r="B145" s="8"/>
      <c r="C145" s="8"/>
      <c r="D145" s="8"/>
      <c r="E145" s="13"/>
      <c r="F145" s="12"/>
      <c r="G145" s="11"/>
      <c r="H145" s="12"/>
      <c r="I145" s="11"/>
      <c r="J145" s="10">
        <f t="shared" si="17"/>
        <v>0</v>
      </c>
      <c r="K145" s="10">
        <f t="shared" si="18"/>
        <v>0</v>
      </c>
      <c r="L145" s="9" t="str">
        <f t="shared" si="19"/>
        <v/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6" t="str">
        <f t="array" ref="W145">IF(NOT(ISBLANK(D145)),_xludf.XLOOKUP(D145,[1]CODE!$A$4:$A$100,[1]CODE!$D$4:$D$100),"")</f>
        <v/>
      </c>
      <c r="X145" s="5" t="str">
        <f t="array" ref="X145">IF(NOT(AND(ISBLANK(D145),ISBLANK(C145))),_xludf.XLOOKUP(D145,[1]CODE!$A$4:$A$100,[1]CODE!$E$4:$E$100),"")</f>
        <v/>
      </c>
      <c r="Y145" s="5" t="str">
        <f t="shared" si="20"/>
        <v/>
      </c>
      <c r="Z145" s="5" t="str">
        <f t="shared" si="21"/>
        <v/>
      </c>
      <c r="AA145" s="4">
        <f t="shared" si="22"/>
        <v>0</v>
      </c>
      <c r="AC145" s="2"/>
    </row>
    <row r="146" spans="1:29" ht="15.5">
      <c r="A146" s="13" t="str">
        <f>IF(OR(ISBLANK(C146),ISBLANK(D146),ISBLANK(F146),ISBLANK(G146)),"",COUNTIF($B$5:B146,"JAMBUTU"))</f>
        <v/>
      </c>
      <c r="B146" s="8"/>
      <c r="C146" s="8"/>
      <c r="D146" s="8"/>
      <c r="E146" s="13"/>
      <c r="F146" s="12"/>
      <c r="G146" s="11"/>
      <c r="H146" s="12"/>
      <c r="I146" s="11"/>
      <c r="J146" s="10">
        <f t="shared" si="17"/>
        <v>0</v>
      </c>
      <c r="K146" s="10">
        <f t="shared" si="18"/>
        <v>0</v>
      </c>
      <c r="L146" s="9" t="str">
        <f t="shared" si="19"/>
        <v/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6" t="str">
        <f t="array" ref="W146">IF(NOT(ISBLANK(D146)),_xludf.XLOOKUP(D146,[1]CODE!$A$4:$A$100,[1]CODE!$D$4:$D$100),"")</f>
        <v/>
      </c>
      <c r="X146" s="5" t="str">
        <f t="array" ref="X146">IF(NOT(AND(ISBLANK(D146),ISBLANK(C146))),_xludf.XLOOKUP(D146,[1]CODE!$A$4:$A$100,[1]CODE!$E$4:$E$100),"")</f>
        <v/>
      </c>
      <c r="Y146" s="5" t="str">
        <f t="shared" si="20"/>
        <v/>
      </c>
      <c r="Z146" s="5" t="str">
        <f t="shared" si="21"/>
        <v/>
      </c>
      <c r="AA146" s="4">
        <f t="shared" si="22"/>
        <v>0</v>
      </c>
      <c r="AC146" s="2"/>
    </row>
    <row r="147" spans="1:29" ht="15.5">
      <c r="A147" s="13" t="str">
        <f>IF(OR(ISBLANK(C147),ISBLANK(D147),ISBLANK(F147),ISBLANK(G147)),"",COUNTIF($B$5:B147,"JAMBUTU"))</f>
        <v/>
      </c>
      <c r="B147" s="8"/>
      <c r="C147" s="8"/>
      <c r="D147" s="8"/>
      <c r="E147" s="13"/>
      <c r="F147" s="12"/>
      <c r="G147" s="11"/>
      <c r="H147" s="12"/>
      <c r="I147" s="11"/>
      <c r="J147" s="10">
        <f t="shared" si="17"/>
        <v>0</v>
      </c>
      <c r="K147" s="10">
        <f t="shared" si="18"/>
        <v>0</v>
      </c>
      <c r="L147" s="9" t="str">
        <f t="shared" si="19"/>
        <v/>
      </c>
      <c r="M147" s="8"/>
      <c r="N147" s="8"/>
      <c r="O147" s="8"/>
      <c r="P147" s="8"/>
      <c r="Q147" s="8"/>
      <c r="R147" s="8"/>
      <c r="S147" s="8"/>
      <c r="T147" s="8"/>
      <c r="U147" s="8"/>
      <c r="V147" s="7"/>
      <c r="W147" s="6" t="str">
        <f t="array" ref="W147">IF(NOT(ISBLANK(D147)),_xludf.XLOOKUP(D147,[1]CODE!$A$4:$A$100,[1]CODE!$D$4:$D$100),"")</f>
        <v/>
      </c>
      <c r="X147" s="5" t="str">
        <f t="array" ref="X147">IF(NOT(AND(ISBLANK(D147),ISBLANK(C147))),_xludf.XLOOKUP(D147,[1]CODE!$A$4:$A$100,[1]CODE!$E$4:$E$100),"")</f>
        <v/>
      </c>
      <c r="Y147" s="5" t="str">
        <f t="shared" si="20"/>
        <v/>
      </c>
      <c r="Z147" s="5" t="str">
        <f t="shared" si="21"/>
        <v/>
      </c>
      <c r="AA147" s="4">
        <f t="shared" si="22"/>
        <v>0</v>
      </c>
      <c r="AC147" s="2"/>
    </row>
    <row r="148" spans="1:29" ht="15.5">
      <c r="A148" s="13" t="str">
        <f>IF(OR(ISBLANK(C148),ISBLANK(D148),ISBLANK(F148),ISBLANK(G148)),"",COUNTIF($B$5:B148,"JAMBUTU"))</f>
        <v/>
      </c>
      <c r="B148" s="8"/>
      <c r="C148" s="8"/>
      <c r="D148" s="8"/>
      <c r="E148" s="13"/>
      <c r="F148" s="12"/>
      <c r="G148" s="11"/>
      <c r="H148" s="12"/>
      <c r="I148" s="11"/>
      <c r="J148" s="10">
        <f t="shared" si="17"/>
        <v>0</v>
      </c>
      <c r="K148" s="10">
        <f t="shared" si="18"/>
        <v>0</v>
      </c>
      <c r="L148" s="9" t="str">
        <f t="shared" si="19"/>
        <v/>
      </c>
      <c r="M148" s="8"/>
      <c r="N148" s="8"/>
      <c r="O148" s="8"/>
      <c r="P148" s="8"/>
      <c r="Q148" s="8"/>
      <c r="R148" s="8"/>
      <c r="S148" s="8"/>
      <c r="T148" s="8"/>
      <c r="U148" s="8"/>
      <c r="V148" s="7"/>
      <c r="W148" s="6" t="str">
        <f t="array" ref="W148">IF(NOT(ISBLANK(D148)),_xludf.XLOOKUP(D148,[1]CODE!$A$4:$A$100,[1]CODE!$D$4:$D$100),"")</f>
        <v/>
      </c>
      <c r="X148" s="5" t="str">
        <f t="array" ref="X148">IF(NOT(AND(ISBLANK(D148),ISBLANK(C148))),_xludf.XLOOKUP(D148,[1]CODE!$A$4:$A$100,[1]CODE!$E$4:$E$100),"")</f>
        <v/>
      </c>
      <c r="Y148" s="5" t="str">
        <f t="shared" si="20"/>
        <v/>
      </c>
      <c r="Z148" s="5" t="str">
        <f t="shared" si="21"/>
        <v/>
      </c>
      <c r="AA148" s="4">
        <f t="shared" si="22"/>
        <v>0</v>
      </c>
      <c r="AC148" s="2"/>
    </row>
    <row r="149" spans="1:29" ht="15.5">
      <c r="A149" s="13" t="str">
        <f>IF(OR(ISBLANK(C149),ISBLANK(D149),ISBLANK(F149),ISBLANK(G149)),"",COUNTIF($B$5:B149,"JAMBUTU"))</f>
        <v/>
      </c>
      <c r="B149" s="8"/>
      <c r="C149" s="8"/>
      <c r="D149" s="8"/>
      <c r="E149" s="13"/>
      <c r="F149" s="12"/>
      <c r="G149" s="11"/>
      <c r="H149" s="12"/>
      <c r="I149" s="11"/>
      <c r="J149" s="10">
        <f t="shared" si="17"/>
        <v>0</v>
      </c>
      <c r="K149" s="10">
        <f t="shared" si="18"/>
        <v>0</v>
      </c>
      <c r="L149" s="9" t="str">
        <f t="shared" si="19"/>
        <v/>
      </c>
      <c r="M149" s="8"/>
      <c r="N149" s="8"/>
      <c r="O149" s="8"/>
      <c r="P149" s="8"/>
      <c r="Q149" s="8"/>
      <c r="R149" s="8"/>
      <c r="S149" s="8"/>
      <c r="T149" s="8"/>
      <c r="U149" s="8"/>
      <c r="V149" s="7"/>
      <c r="W149" s="6" t="str">
        <f t="array" ref="W149">IF(NOT(ISBLANK(D149)),_xludf.XLOOKUP(D149,[1]CODE!$A$4:$A$100,[1]CODE!$D$4:$D$100),"")</f>
        <v/>
      </c>
      <c r="X149" s="5" t="str">
        <f t="array" ref="X149">IF(NOT(AND(ISBLANK(D149),ISBLANK(C149))),_xludf.XLOOKUP(D149,[1]CODE!$A$4:$A$100,[1]CODE!$E$4:$E$100),"")</f>
        <v/>
      </c>
      <c r="Y149" s="5" t="str">
        <f t="shared" si="20"/>
        <v/>
      </c>
      <c r="Z149" s="5" t="str">
        <f t="shared" si="21"/>
        <v/>
      </c>
      <c r="AA149" s="4">
        <f t="shared" si="22"/>
        <v>0</v>
      </c>
      <c r="AC149" s="2"/>
    </row>
    <row r="150" spans="1:29" ht="15.5">
      <c r="A150" s="13" t="str">
        <f>IF(OR(ISBLANK(C150),ISBLANK(D150),ISBLANK(F150),ISBLANK(G150)),"",COUNTIF($B$5:B150,"JAMBUTU"))</f>
        <v/>
      </c>
      <c r="B150" s="8"/>
      <c r="C150" s="8"/>
      <c r="D150" s="8"/>
      <c r="E150" s="13"/>
      <c r="F150" s="12"/>
      <c r="G150" s="11"/>
      <c r="H150" s="12"/>
      <c r="I150" s="11"/>
      <c r="J150" s="10">
        <f t="shared" si="17"/>
        <v>0</v>
      </c>
      <c r="K150" s="10">
        <f t="shared" si="18"/>
        <v>0</v>
      </c>
      <c r="L150" s="9" t="str">
        <f t="shared" si="19"/>
        <v/>
      </c>
      <c r="M150" s="8"/>
      <c r="N150" s="8"/>
      <c r="O150" s="8"/>
      <c r="P150" s="8"/>
      <c r="Q150" s="8"/>
      <c r="R150" s="8"/>
      <c r="S150" s="8"/>
      <c r="T150" s="8"/>
      <c r="U150" s="8"/>
      <c r="V150" s="7"/>
      <c r="W150" s="6" t="str">
        <f t="array" ref="W150">IF(NOT(ISBLANK(D150)),_xludf.XLOOKUP(D150,[1]CODE!$A$4:$A$100,[1]CODE!$D$4:$D$100),"")</f>
        <v/>
      </c>
      <c r="X150" s="5" t="str">
        <f t="array" ref="X150">IF(NOT(AND(ISBLANK(D150),ISBLANK(C150))),_xludf.XLOOKUP(D150,[1]CODE!$A$4:$A$100,[1]CODE!$E$4:$E$100),"")</f>
        <v/>
      </c>
      <c r="Y150" s="5" t="str">
        <f t="shared" si="20"/>
        <v/>
      </c>
      <c r="Z150" s="5" t="str">
        <f t="shared" si="21"/>
        <v/>
      </c>
      <c r="AA150" s="4">
        <f t="shared" si="22"/>
        <v>0</v>
      </c>
      <c r="AC150" s="2"/>
    </row>
    <row r="151" spans="1:29" ht="15.5">
      <c r="A151" s="13" t="str">
        <f>IF(OR(ISBLANK(C151),ISBLANK(D151),ISBLANK(F151),ISBLANK(G151)),"",COUNTIF($B$5:B151,"JAMBUTU"))</f>
        <v/>
      </c>
      <c r="B151" s="8"/>
      <c r="C151" s="8"/>
      <c r="D151" s="8"/>
      <c r="E151" s="13"/>
      <c r="F151" s="12"/>
      <c r="G151" s="11"/>
      <c r="H151" s="12"/>
      <c r="I151" s="11"/>
      <c r="J151" s="10">
        <f t="shared" si="17"/>
        <v>0</v>
      </c>
      <c r="K151" s="10">
        <f t="shared" si="18"/>
        <v>0</v>
      </c>
      <c r="L151" s="9" t="str">
        <f t="shared" si="19"/>
        <v/>
      </c>
      <c r="M151" s="8"/>
      <c r="N151" s="8"/>
      <c r="O151" s="8"/>
      <c r="P151" s="8"/>
      <c r="Q151" s="8"/>
      <c r="R151" s="8"/>
      <c r="S151" s="8"/>
      <c r="T151" s="8"/>
      <c r="U151" s="8"/>
      <c r="V151" s="7"/>
      <c r="W151" s="6" t="str">
        <f t="array" ref="W151">IF(NOT(ISBLANK(D151)),_xludf.XLOOKUP(D151,[1]CODE!$A$4:$A$100,[1]CODE!$D$4:$D$100),"")</f>
        <v/>
      </c>
      <c r="X151" s="5" t="str">
        <f t="array" ref="X151">IF(NOT(AND(ISBLANK(D151),ISBLANK(C151))),_xludf.XLOOKUP(D151,[1]CODE!$A$4:$A$100,[1]CODE!$E$4:$E$100),"")</f>
        <v/>
      </c>
      <c r="Y151" s="5" t="str">
        <f t="shared" si="20"/>
        <v/>
      </c>
      <c r="Z151" s="5" t="str">
        <f t="shared" si="21"/>
        <v/>
      </c>
      <c r="AA151" s="4">
        <f t="shared" si="22"/>
        <v>0</v>
      </c>
      <c r="AC151" s="2"/>
    </row>
    <row r="152" spans="1:29" ht="15.5">
      <c r="A152" s="13" t="str">
        <f>IF(OR(ISBLANK(C152),ISBLANK(D152),ISBLANK(F152),ISBLANK(G152)),"",COUNTIF($B$5:B152,"JAMBUTU"))</f>
        <v/>
      </c>
      <c r="B152" s="8"/>
      <c r="C152" s="8"/>
      <c r="D152" s="8"/>
      <c r="E152" s="13"/>
      <c r="F152" s="12"/>
      <c r="G152" s="11"/>
      <c r="H152" s="12"/>
      <c r="I152" s="11"/>
      <c r="J152" s="10">
        <f t="shared" si="17"/>
        <v>0</v>
      </c>
      <c r="K152" s="10">
        <f t="shared" si="18"/>
        <v>0</v>
      </c>
      <c r="L152" s="9" t="str">
        <f t="shared" si="19"/>
        <v/>
      </c>
      <c r="M152" s="8"/>
      <c r="N152" s="8"/>
      <c r="O152" s="8"/>
      <c r="P152" s="8"/>
      <c r="Q152" s="8"/>
      <c r="R152" s="8"/>
      <c r="S152" s="8"/>
      <c r="T152" s="8"/>
      <c r="U152" s="8"/>
      <c r="V152" s="7"/>
      <c r="W152" s="6" t="str">
        <f t="array" ref="W152">IF(NOT(ISBLANK(D152)),_xludf.XLOOKUP(D152,[1]CODE!$A$4:$A$100,[1]CODE!$D$4:$D$100),"")</f>
        <v/>
      </c>
      <c r="X152" s="5" t="str">
        <f t="array" ref="X152">IF(NOT(AND(ISBLANK(D152),ISBLANK(C152))),_xludf.XLOOKUP(D152,[1]CODE!$A$4:$A$100,[1]CODE!$E$4:$E$100),"")</f>
        <v/>
      </c>
      <c r="Y152" s="5" t="str">
        <f t="shared" si="20"/>
        <v/>
      </c>
      <c r="Z152" s="5" t="str">
        <f t="shared" si="21"/>
        <v/>
      </c>
      <c r="AA152" s="4">
        <f t="shared" si="22"/>
        <v>0</v>
      </c>
      <c r="AC152" s="2"/>
    </row>
    <row r="153" spans="1:29" ht="15.5">
      <c r="A153" s="13" t="str">
        <f>IF(OR(ISBLANK(C153),ISBLANK(D153),ISBLANK(F153),ISBLANK(G153)),"",COUNTIF($B$5:B153,"JAMBUTU"))</f>
        <v/>
      </c>
      <c r="B153" s="8"/>
      <c r="C153" s="8"/>
      <c r="D153" s="8"/>
      <c r="E153" s="13"/>
      <c r="F153" s="12"/>
      <c r="G153" s="11"/>
      <c r="H153" s="12"/>
      <c r="I153" s="11"/>
      <c r="J153" s="10">
        <f t="shared" si="17"/>
        <v>0</v>
      </c>
      <c r="K153" s="10">
        <f t="shared" si="18"/>
        <v>0</v>
      </c>
      <c r="L153" s="9" t="str">
        <f t="shared" si="19"/>
        <v/>
      </c>
      <c r="M153" s="8"/>
      <c r="N153" s="8"/>
      <c r="O153" s="8"/>
      <c r="P153" s="8"/>
      <c r="Q153" s="8"/>
      <c r="R153" s="8"/>
      <c r="S153" s="8"/>
      <c r="T153" s="8"/>
      <c r="U153" s="8"/>
      <c r="V153" s="7"/>
      <c r="W153" s="6" t="str">
        <f t="array" ref="W153">IF(NOT(ISBLANK(D153)),_xludf.XLOOKUP(D153,[1]CODE!$A$4:$A$100,[1]CODE!$D$4:$D$100),"")</f>
        <v/>
      </c>
      <c r="X153" s="5" t="str">
        <f t="array" ref="X153">IF(NOT(AND(ISBLANK(D153),ISBLANK(C153))),_xludf.XLOOKUP(D153,[1]CODE!$A$4:$A$100,[1]CODE!$E$4:$E$100),"")</f>
        <v/>
      </c>
      <c r="Y153" s="5" t="str">
        <f t="shared" si="20"/>
        <v/>
      </c>
      <c r="Z153" s="5" t="str">
        <f t="shared" si="21"/>
        <v/>
      </c>
      <c r="AA153" s="4">
        <f t="shared" si="22"/>
        <v>0</v>
      </c>
      <c r="AC153" s="2"/>
    </row>
    <row r="154" spans="1:29" ht="15.5">
      <c r="A154" s="13" t="str">
        <f>IF(OR(ISBLANK(C154),ISBLANK(D154),ISBLANK(F154),ISBLANK(G154)),"",COUNTIF($B$5:B154,"JAMBUTU"))</f>
        <v/>
      </c>
      <c r="B154" s="8"/>
      <c r="C154" s="8"/>
      <c r="D154" s="8"/>
      <c r="E154" s="13"/>
      <c r="F154" s="12"/>
      <c r="G154" s="11"/>
      <c r="H154" s="12"/>
      <c r="I154" s="11"/>
      <c r="J154" s="10">
        <f t="shared" si="17"/>
        <v>0</v>
      </c>
      <c r="K154" s="10">
        <f t="shared" si="18"/>
        <v>0</v>
      </c>
      <c r="L154" s="9" t="str">
        <f t="shared" si="19"/>
        <v/>
      </c>
      <c r="M154" s="8"/>
      <c r="N154" s="8"/>
      <c r="O154" s="8"/>
      <c r="P154" s="8"/>
      <c r="Q154" s="8"/>
      <c r="R154" s="8"/>
      <c r="S154" s="8"/>
      <c r="T154" s="8"/>
      <c r="U154" s="8"/>
      <c r="V154" s="7"/>
      <c r="W154" s="6" t="str">
        <f t="array" ref="W154">IF(NOT(ISBLANK(D154)),_xludf.XLOOKUP(D154,[1]CODE!$A$4:$A$100,[1]CODE!$D$4:$D$100),"")</f>
        <v/>
      </c>
      <c r="X154" s="5" t="str">
        <f t="array" ref="X154">IF(NOT(AND(ISBLANK(D154),ISBLANK(C154))),_xludf.XLOOKUP(D154,[1]CODE!$A$4:$A$100,[1]CODE!$E$4:$E$100),"")</f>
        <v/>
      </c>
      <c r="Y154" s="5" t="str">
        <f t="shared" si="20"/>
        <v/>
      </c>
      <c r="Z154" s="5" t="str">
        <f t="shared" si="21"/>
        <v/>
      </c>
      <c r="AA154" s="4">
        <f t="shared" si="22"/>
        <v>0</v>
      </c>
      <c r="AC154" s="2"/>
    </row>
    <row r="155" spans="1:29" ht="15.5">
      <c r="A155" s="13" t="str">
        <f>IF(OR(ISBLANK(C155),ISBLANK(D155),ISBLANK(F155),ISBLANK(G155)),"",COUNTIF($B$5:B155,"JAMBUTU"))</f>
        <v/>
      </c>
      <c r="B155" s="8"/>
      <c r="C155" s="8"/>
      <c r="D155" s="8"/>
      <c r="E155" s="13"/>
      <c r="F155" s="12"/>
      <c r="G155" s="11"/>
      <c r="H155" s="12"/>
      <c r="I155" s="11"/>
      <c r="J155" s="10">
        <f>DATE(YEAR(F156),MONTH(F156),DAY(F156))+TIME(HOUR(G155),MINUTE(G155), SECOND(G155))</f>
        <v>0</v>
      </c>
      <c r="K155" s="10">
        <f t="shared" si="18"/>
        <v>0</v>
      </c>
      <c r="L155" s="9" t="str">
        <f t="shared" si="19"/>
        <v/>
      </c>
      <c r="M155" s="8"/>
      <c r="N155" s="8"/>
      <c r="O155" s="8"/>
      <c r="P155" s="8"/>
      <c r="Q155" s="8"/>
      <c r="R155" s="8"/>
      <c r="S155" s="8"/>
      <c r="T155" s="8"/>
      <c r="U155" s="8"/>
      <c r="V155" s="7"/>
      <c r="W155" s="6" t="str">
        <f t="array" ref="W155">IF(NOT(ISBLANK(D155)),_xludf.XLOOKUP(D155,[1]CODE!$A$4:$A$100,[1]CODE!$D$4:$D$100),"")</f>
        <v/>
      </c>
      <c r="X155" s="5" t="str">
        <f t="array" ref="X155">IF(NOT(AND(ISBLANK(D155),ISBLANK(C155))),_xludf.XLOOKUP(D155,[1]CODE!$A$4:$A$100,[1]CODE!$E$4:$E$100),"")</f>
        <v/>
      </c>
      <c r="Y155" s="5" t="str">
        <f t="shared" si="20"/>
        <v/>
      </c>
      <c r="Z155" s="5" t="str">
        <f t="shared" si="21"/>
        <v/>
      </c>
      <c r="AA155" s="4">
        <f t="shared" si="22"/>
        <v>0</v>
      </c>
      <c r="AC155" s="2"/>
    </row>
    <row r="156" spans="1:29" ht="15.5">
      <c r="A156" s="13" t="str">
        <f>IF(OR(ISBLANK(C156),ISBLANK(D156),ISBLANK(F156),ISBLANK(G156)),"",COUNTIF($B$5:B156,"JAMBUTU"))</f>
        <v/>
      </c>
      <c r="B156" s="8"/>
      <c r="C156" s="8"/>
      <c r="D156" s="8"/>
      <c r="E156" s="13"/>
      <c r="F156" s="12"/>
      <c r="G156" s="11"/>
      <c r="H156" s="12"/>
      <c r="I156" s="11"/>
      <c r="J156" s="10">
        <f>DATE(YEAR(F157),MONTH(F157),DAY(F157))+TIME(HOUR(G156),MINUTE(G156), SECOND(G156))</f>
        <v>0</v>
      </c>
      <c r="K156" s="10">
        <f t="shared" si="18"/>
        <v>0</v>
      </c>
      <c r="L156" s="9" t="str">
        <f t="shared" si="19"/>
        <v/>
      </c>
      <c r="M156" s="8"/>
      <c r="N156" s="8"/>
      <c r="O156" s="8"/>
      <c r="P156" s="8"/>
      <c r="Q156" s="8"/>
      <c r="R156" s="8"/>
      <c r="S156" s="8"/>
      <c r="T156" s="8"/>
      <c r="U156" s="8"/>
      <c r="V156" s="7"/>
      <c r="W156" s="6" t="str">
        <f t="array" ref="W156">IF(NOT(ISBLANK(D156)),_xludf.XLOOKUP(D156,[1]CODE!$A$4:$A$100,[1]CODE!$D$4:$D$100),"")</f>
        <v/>
      </c>
      <c r="X156" s="5" t="str">
        <f t="array" ref="X156">IF(NOT(AND(ISBLANK(D156),ISBLANK(C156))),_xludf.XLOOKUP(D156,[1]CODE!$A$4:$A$100,[1]CODE!$E$4:$E$100),"")</f>
        <v/>
      </c>
      <c r="Y156" s="5" t="str">
        <f t="shared" si="20"/>
        <v/>
      </c>
      <c r="Z156" s="5" t="str">
        <f t="shared" si="21"/>
        <v/>
      </c>
      <c r="AA156" s="4">
        <f t="shared" si="22"/>
        <v>0</v>
      </c>
      <c r="AC156" s="2"/>
    </row>
    <row r="157" spans="1:29" ht="15.5">
      <c r="A157" s="13" t="str">
        <f>IF(OR(ISBLANK(C157),ISBLANK(D157),ISBLANK(F157),ISBLANK(G157)),"",COUNTIF($B$5:B157,"JAMBUTU"))</f>
        <v/>
      </c>
      <c r="B157" s="8"/>
      <c r="C157" s="8"/>
      <c r="D157" s="8"/>
      <c r="E157" s="13"/>
      <c r="F157" s="12"/>
      <c r="G157" s="11"/>
      <c r="H157" s="12"/>
      <c r="I157" s="11"/>
      <c r="J157" s="10">
        <f t="shared" ref="J157:J220" si="23">DATE(YEAR(F157),MONTH(F157),DAY(F157))+TIME(HOUR(G157),MINUTE(G157), SECOND(G157))</f>
        <v>0</v>
      </c>
      <c r="K157" s="10">
        <f t="shared" si="18"/>
        <v>0</v>
      </c>
      <c r="L157" s="9" t="str">
        <f t="shared" si="19"/>
        <v/>
      </c>
      <c r="M157" s="8"/>
      <c r="N157" s="8"/>
      <c r="O157" s="8"/>
      <c r="P157" s="8"/>
      <c r="Q157" s="8"/>
      <c r="R157" s="8"/>
      <c r="S157" s="8"/>
      <c r="T157" s="8"/>
      <c r="U157" s="8"/>
      <c r="V157" s="7"/>
      <c r="W157" s="6" t="str">
        <f t="array" ref="W157">IF(NOT(ISBLANK(D157)),_xludf.XLOOKUP(D157,[1]CODE!$A$4:$A$100,[1]CODE!$D$4:$D$100),"")</f>
        <v/>
      </c>
      <c r="X157" s="5" t="str">
        <f t="array" ref="X157">IF(NOT(AND(ISBLANK(D157),ISBLANK(C157))),_xludf.XLOOKUP(D157,[1]CODE!$A$4:$A$100,[1]CODE!$E$4:$E$100),"")</f>
        <v/>
      </c>
      <c r="Y157" s="5" t="str">
        <f t="shared" si="20"/>
        <v/>
      </c>
      <c r="Z157" s="5" t="str">
        <f t="shared" si="21"/>
        <v/>
      </c>
      <c r="AA157" s="4">
        <f t="shared" si="22"/>
        <v>0</v>
      </c>
      <c r="AC157" s="2"/>
    </row>
    <row r="158" spans="1:29" ht="15.5">
      <c r="A158" s="13" t="str">
        <f>IF(OR(ISBLANK(C158),ISBLANK(D158),ISBLANK(F158),ISBLANK(G158)),"",COUNTIF($B$5:B158,"JAMBUTU"))</f>
        <v/>
      </c>
      <c r="B158" s="8"/>
      <c r="C158" s="8"/>
      <c r="D158" s="8"/>
      <c r="E158" s="13"/>
      <c r="F158" s="12"/>
      <c r="G158" s="11"/>
      <c r="H158" s="12"/>
      <c r="I158" s="11"/>
      <c r="J158" s="10">
        <f t="shared" si="23"/>
        <v>0</v>
      </c>
      <c r="K158" s="10">
        <f t="shared" si="18"/>
        <v>0</v>
      </c>
      <c r="L158" s="9" t="str">
        <f t="shared" si="19"/>
        <v/>
      </c>
      <c r="M158" s="8"/>
      <c r="N158" s="8"/>
      <c r="O158" s="8"/>
      <c r="P158" s="8"/>
      <c r="Q158" s="8"/>
      <c r="R158" s="8"/>
      <c r="S158" s="8"/>
      <c r="T158" s="8"/>
      <c r="U158" s="8"/>
      <c r="V158" s="7"/>
      <c r="W158" s="6" t="str">
        <f t="array" ref="W158">IF(NOT(ISBLANK(D158)),_xludf.XLOOKUP(D158,[1]CODE!$A$4:$A$100,[1]CODE!$D$4:$D$100),"")</f>
        <v/>
      </c>
      <c r="X158" s="5" t="str">
        <f t="array" ref="X158">IF(NOT(AND(ISBLANK(D158),ISBLANK(C158))),_xludf.XLOOKUP(D158,[1]CODE!$A$4:$A$100,[1]CODE!$E$4:$E$100),"")</f>
        <v/>
      </c>
      <c r="Y158" s="5" t="str">
        <f t="shared" si="20"/>
        <v/>
      </c>
      <c r="Z158" s="5" t="str">
        <f t="shared" si="21"/>
        <v/>
      </c>
      <c r="AA158" s="4">
        <f t="shared" si="22"/>
        <v>0</v>
      </c>
      <c r="AC158" s="2"/>
    </row>
    <row r="159" spans="1:29" ht="15.5">
      <c r="A159" s="13" t="str">
        <f>IF(OR(ISBLANK(C159),ISBLANK(D159),ISBLANK(F159),ISBLANK(G159)),"",COUNTIF($B$5:B159,"JAMBUTU"))</f>
        <v/>
      </c>
      <c r="B159" s="8"/>
      <c r="C159" s="8"/>
      <c r="D159" s="8"/>
      <c r="E159" s="13"/>
      <c r="F159" s="12"/>
      <c r="G159" s="11"/>
      <c r="H159" s="12"/>
      <c r="I159" s="11"/>
      <c r="J159" s="10">
        <f t="shared" si="23"/>
        <v>0</v>
      </c>
      <c r="K159" s="10">
        <f t="shared" si="18"/>
        <v>0</v>
      </c>
      <c r="L159" s="9" t="str">
        <f t="shared" si="19"/>
        <v/>
      </c>
      <c r="M159" s="8"/>
      <c r="N159" s="8"/>
      <c r="O159" s="8"/>
      <c r="P159" s="8"/>
      <c r="Q159" s="8"/>
      <c r="R159" s="8"/>
      <c r="S159" s="8"/>
      <c r="T159" s="8"/>
      <c r="U159" s="8"/>
      <c r="V159" s="7"/>
      <c r="W159" s="6" t="str">
        <f t="array" ref="W159">IF(NOT(ISBLANK(D159)),_xludf.XLOOKUP(D159,[1]CODE!$A$4:$A$100,[1]CODE!$D$4:$D$100),"")</f>
        <v/>
      </c>
      <c r="X159" s="5" t="str">
        <f t="array" ref="X159">IF(NOT(AND(ISBLANK(D159),ISBLANK(C159))),_xludf.XLOOKUP(D159,[1]CODE!$A$4:$A$100,[1]CODE!$E$4:$E$100),"")</f>
        <v/>
      </c>
      <c r="Y159" s="5" t="str">
        <f t="shared" si="20"/>
        <v/>
      </c>
      <c r="Z159" s="5" t="str">
        <f t="shared" si="21"/>
        <v/>
      </c>
      <c r="AA159" s="4">
        <f t="shared" si="22"/>
        <v>0</v>
      </c>
      <c r="AC159" s="2"/>
    </row>
    <row r="160" spans="1:29" ht="15.5">
      <c r="A160" s="13" t="str">
        <f>IF(OR(ISBLANK(C160),ISBLANK(D160),ISBLANK(F160),ISBLANK(G160)),"",COUNTIF($B$5:B160,"JAMBUTU"))</f>
        <v/>
      </c>
      <c r="B160" s="8"/>
      <c r="C160" s="8"/>
      <c r="D160" s="8"/>
      <c r="E160" s="13"/>
      <c r="F160" s="12"/>
      <c r="G160" s="11"/>
      <c r="H160" s="12"/>
      <c r="I160" s="11"/>
      <c r="J160" s="10">
        <f t="shared" si="23"/>
        <v>0</v>
      </c>
      <c r="K160" s="10">
        <f t="shared" si="18"/>
        <v>0</v>
      </c>
      <c r="L160" s="9" t="str">
        <f t="shared" si="19"/>
        <v/>
      </c>
      <c r="M160" s="8"/>
      <c r="N160" s="8"/>
      <c r="O160" s="8"/>
      <c r="P160" s="8"/>
      <c r="Q160" s="8"/>
      <c r="R160" s="8"/>
      <c r="S160" s="16"/>
      <c r="T160" s="8"/>
      <c r="U160" s="8"/>
      <c r="V160" s="7"/>
      <c r="W160" s="6" t="str">
        <f t="array" ref="W160">IF(NOT(ISBLANK(D160)),_xludf.XLOOKUP(D160,[1]CODE!$A$4:$A$100,[1]CODE!$D$4:$D$100),"")</f>
        <v/>
      </c>
      <c r="X160" s="5" t="str">
        <f t="array" ref="X160">IF(NOT(AND(ISBLANK(D160),ISBLANK(C160))),_xludf.XLOOKUP(D160,[1]CODE!$A$4:$A$100,[1]CODE!$E$4:$E$100),"")</f>
        <v/>
      </c>
      <c r="Y160" s="5" t="str">
        <f t="shared" si="20"/>
        <v/>
      </c>
      <c r="Z160" s="5" t="str">
        <f t="shared" si="21"/>
        <v/>
      </c>
      <c r="AA160" s="4">
        <f t="shared" si="22"/>
        <v>0</v>
      </c>
      <c r="AC160" s="2"/>
    </row>
    <row r="161" spans="1:29" ht="15.5">
      <c r="A161" s="13" t="str">
        <f>IF(OR(ISBLANK(C161),ISBLANK(D161),ISBLANK(F161),ISBLANK(G161)),"",COUNTIF($B$5:B161,"JAMBUTU"))</f>
        <v/>
      </c>
      <c r="B161" s="8"/>
      <c r="C161" s="8"/>
      <c r="D161" s="8"/>
      <c r="E161" s="13"/>
      <c r="F161" s="12"/>
      <c r="G161" s="11"/>
      <c r="H161" s="12"/>
      <c r="I161" s="15"/>
      <c r="J161" s="10">
        <f t="shared" si="23"/>
        <v>0</v>
      </c>
      <c r="K161" s="10">
        <f t="shared" si="18"/>
        <v>0</v>
      </c>
      <c r="L161" s="9" t="str">
        <f t="shared" si="19"/>
        <v/>
      </c>
      <c r="M161" s="8"/>
      <c r="N161" s="8"/>
      <c r="O161" s="8"/>
      <c r="P161" s="8"/>
      <c r="Q161" s="8"/>
      <c r="R161" s="8"/>
      <c r="S161" s="8"/>
      <c r="T161" s="8"/>
      <c r="U161" s="8"/>
      <c r="V161" s="7"/>
      <c r="W161" s="6" t="str">
        <f t="array" ref="W161">IF(NOT(ISBLANK(D161)),_xludf.XLOOKUP(D161,[1]CODE!$A$4:$A$100,[1]CODE!$D$4:$D$100),"")</f>
        <v/>
      </c>
      <c r="X161" s="5" t="str">
        <f t="array" ref="X161">IF(NOT(AND(ISBLANK(D161),ISBLANK(C161))),_xludf.XLOOKUP(D161,[1]CODE!$A$4:$A$100,[1]CODE!$E$4:$E$100),"")</f>
        <v/>
      </c>
      <c r="Y161" s="5" t="str">
        <f t="shared" si="20"/>
        <v/>
      </c>
      <c r="Z161" s="5" t="str">
        <f t="shared" si="21"/>
        <v/>
      </c>
      <c r="AA161" s="4">
        <f t="shared" si="22"/>
        <v>0</v>
      </c>
      <c r="AC161" s="2"/>
    </row>
    <row r="162" spans="1:29" ht="15.5">
      <c r="A162" s="13" t="str">
        <f>IF(OR(ISBLANK(C162),ISBLANK(D162),ISBLANK(F162),ISBLANK(G162)),"",COUNTIF($B$5:B162,"JAMBUTU"))</f>
        <v/>
      </c>
      <c r="B162" s="8"/>
      <c r="C162" s="8"/>
      <c r="D162" s="8"/>
      <c r="E162" s="13"/>
      <c r="F162" s="12"/>
      <c r="G162" s="11"/>
      <c r="H162" s="12"/>
      <c r="I162" s="11"/>
      <c r="J162" s="10">
        <f t="shared" si="23"/>
        <v>0</v>
      </c>
      <c r="K162" s="10">
        <f t="shared" si="18"/>
        <v>0</v>
      </c>
      <c r="L162" s="9" t="str">
        <f t="shared" si="19"/>
        <v/>
      </c>
      <c r="M162" s="8"/>
      <c r="N162" s="8"/>
      <c r="O162" s="8"/>
      <c r="P162" s="8"/>
      <c r="Q162" s="8"/>
      <c r="R162" s="8"/>
      <c r="S162" s="8"/>
      <c r="T162" s="8"/>
      <c r="U162" s="8"/>
      <c r="V162" s="7"/>
      <c r="W162" s="6" t="str">
        <f t="array" ref="W162">IF(NOT(ISBLANK(D162)),_xludf.XLOOKUP(D162,[1]CODE!$A$4:$A$100,[1]CODE!$D$4:$D$100),"")</f>
        <v/>
      </c>
      <c r="X162" s="5" t="str">
        <f t="array" ref="X162">IF(NOT(AND(ISBLANK(D162),ISBLANK(C162))),_xludf.XLOOKUP(D162,[1]CODE!$A$4:$A$100,[1]CODE!$E$4:$E$100),"")</f>
        <v/>
      </c>
      <c r="Y162" s="5" t="str">
        <f t="shared" si="20"/>
        <v/>
      </c>
      <c r="Z162" s="5" t="str">
        <f t="shared" si="21"/>
        <v/>
      </c>
      <c r="AA162" s="4">
        <f t="shared" si="22"/>
        <v>0</v>
      </c>
      <c r="AC162" s="2"/>
    </row>
    <row r="163" spans="1:29" ht="15.5">
      <c r="A163" s="13" t="str">
        <f>IF(OR(ISBLANK(C163),ISBLANK(D163),ISBLANK(F163),ISBLANK(G163)),"",COUNTIF($B$5:B163,"JAMBUTU"))</f>
        <v/>
      </c>
      <c r="B163" s="8"/>
      <c r="C163" s="8"/>
      <c r="D163" s="8"/>
      <c r="E163" s="13"/>
      <c r="F163" s="12"/>
      <c r="G163" s="11"/>
      <c r="H163" s="12"/>
      <c r="I163" s="11"/>
      <c r="J163" s="10">
        <f t="shared" si="23"/>
        <v>0</v>
      </c>
      <c r="K163" s="10">
        <f t="shared" si="18"/>
        <v>0</v>
      </c>
      <c r="L163" s="9" t="str">
        <f t="shared" si="19"/>
        <v/>
      </c>
      <c r="M163" s="8"/>
      <c r="N163" s="8"/>
      <c r="O163" s="8"/>
      <c r="P163" s="8"/>
      <c r="Q163" s="8"/>
      <c r="R163" s="8"/>
      <c r="S163" s="8"/>
      <c r="T163" s="8"/>
      <c r="U163" s="8"/>
      <c r="V163" s="7"/>
      <c r="W163" s="6" t="str">
        <f t="array" ref="W163">IF(NOT(ISBLANK(D163)),_xludf.XLOOKUP(D163,[1]CODE!$A$4:$A$100,[1]CODE!$D$4:$D$100),"")</f>
        <v/>
      </c>
      <c r="X163" s="5" t="str">
        <f t="array" ref="X163">IF(NOT(AND(ISBLANK(D163),ISBLANK(C163))),_xludf.XLOOKUP(D163,[1]CODE!$A$4:$A$100,[1]CODE!$E$4:$E$100),"")</f>
        <v/>
      </c>
      <c r="Y163" s="5" t="str">
        <f t="shared" si="20"/>
        <v/>
      </c>
      <c r="Z163" s="5" t="str">
        <f t="shared" si="21"/>
        <v/>
      </c>
      <c r="AA163" s="4">
        <f t="shared" si="22"/>
        <v>0</v>
      </c>
      <c r="AC163" s="2"/>
    </row>
    <row r="164" spans="1:29" ht="15.5">
      <c r="A164" s="13" t="str">
        <f>IF(OR(ISBLANK(C164),ISBLANK(D164),ISBLANK(F164),ISBLANK(G164)),"",COUNTIF($B$5:B164,"JAMBUTU"))</f>
        <v/>
      </c>
      <c r="B164" s="8"/>
      <c r="C164" s="8"/>
      <c r="D164" s="8"/>
      <c r="E164" s="13"/>
      <c r="F164" s="12"/>
      <c r="G164" s="11"/>
      <c r="H164" s="12"/>
      <c r="I164" s="15"/>
      <c r="J164" s="10">
        <f t="shared" si="23"/>
        <v>0</v>
      </c>
      <c r="K164" s="10">
        <f t="shared" si="18"/>
        <v>0</v>
      </c>
      <c r="L164" s="9" t="str">
        <f t="shared" si="19"/>
        <v/>
      </c>
      <c r="M164" s="8"/>
      <c r="N164" s="8"/>
      <c r="O164" s="8"/>
      <c r="P164" s="8"/>
      <c r="Q164" s="8"/>
      <c r="R164" s="8"/>
      <c r="S164" s="8"/>
      <c r="T164" s="8"/>
      <c r="U164" s="8"/>
      <c r="V164" s="7"/>
      <c r="W164" s="6" t="str">
        <f t="array" ref="W164">IF(NOT(ISBLANK(D164)),_xludf.XLOOKUP(D164,[1]CODE!$A$4:$A$100,[1]CODE!$D$4:$D$100),"")</f>
        <v/>
      </c>
      <c r="X164" s="5" t="str">
        <f t="array" ref="X164">IF(NOT(AND(ISBLANK(D164),ISBLANK(C164))),_xludf.XLOOKUP(D164,[1]CODE!$A$4:$A$100,[1]CODE!$E$4:$E$100),"")</f>
        <v/>
      </c>
      <c r="Y164" s="5" t="str">
        <f t="shared" si="20"/>
        <v/>
      </c>
      <c r="Z164" s="5" t="str">
        <f t="shared" si="21"/>
        <v/>
      </c>
      <c r="AA164" s="4">
        <f t="shared" si="22"/>
        <v>0</v>
      </c>
      <c r="AC164" s="2"/>
    </row>
    <row r="165" spans="1:29" ht="15.5">
      <c r="A165" s="13" t="str">
        <f>IF(OR(ISBLANK(C165),ISBLANK(D165),ISBLANK(F165),ISBLANK(G165)),"",COUNTIF($B$5:B165,"JAMBUTU"))</f>
        <v/>
      </c>
      <c r="B165" s="8"/>
      <c r="C165" s="8"/>
      <c r="D165" s="8"/>
      <c r="E165" s="13"/>
      <c r="F165" s="12"/>
      <c r="G165" s="11"/>
      <c r="H165" s="12"/>
      <c r="I165" s="15"/>
      <c r="J165" s="10">
        <f t="shared" si="23"/>
        <v>0</v>
      </c>
      <c r="K165" s="10">
        <f t="shared" si="18"/>
        <v>0</v>
      </c>
      <c r="L165" s="9" t="str">
        <f t="shared" si="19"/>
        <v/>
      </c>
      <c r="M165" s="8"/>
      <c r="N165" s="8"/>
      <c r="O165" s="8"/>
      <c r="P165" s="8"/>
      <c r="Q165" s="8"/>
      <c r="R165" s="8"/>
      <c r="S165" s="8"/>
      <c r="T165" s="8"/>
      <c r="U165" s="8"/>
      <c r="V165" s="7"/>
      <c r="W165" s="6" t="str">
        <f t="array" ref="W165">IF(NOT(ISBLANK(D165)),_xludf.XLOOKUP(D165,[1]CODE!$A$4:$A$100,[1]CODE!$D$4:$D$100),"")</f>
        <v/>
      </c>
      <c r="X165" s="5" t="str">
        <f t="array" ref="X165">IF(NOT(AND(ISBLANK(D165),ISBLANK(C165))),_xludf.XLOOKUP(D165,[1]CODE!$A$4:$A$100,[1]CODE!$E$4:$E$100),"")</f>
        <v/>
      </c>
      <c r="Y165" s="5" t="str">
        <f t="shared" si="20"/>
        <v/>
      </c>
      <c r="Z165" s="5" t="str">
        <f t="shared" si="21"/>
        <v/>
      </c>
      <c r="AA165" s="4">
        <f t="shared" si="22"/>
        <v>0</v>
      </c>
      <c r="AC165" s="2"/>
    </row>
    <row r="166" spans="1:29" ht="15.5">
      <c r="A166" s="13" t="str">
        <f>IF(OR(ISBLANK(C166),ISBLANK(D166),ISBLANK(F166),ISBLANK(G166)),"",COUNTIF($B$5:B166,"JAMBUTU"))</f>
        <v/>
      </c>
      <c r="B166" s="8"/>
      <c r="C166" s="8"/>
      <c r="D166" s="8"/>
      <c r="E166" s="13"/>
      <c r="F166" s="12"/>
      <c r="G166" s="11"/>
      <c r="H166" s="12"/>
      <c r="I166" s="11"/>
      <c r="J166" s="10">
        <f t="shared" si="23"/>
        <v>0</v>
      </c>
      <c r="K166" s="10">
        <f t="shared" si="18"/>
        <v>0</v>
      </c>
      <c r="L166" s="9" t="str">
        <f t="shared" si="19"/>
        <v/>
      </c>
      <c r="M166" s="8"/>
      <c r="N166" s="8"/>
      <c r="O166" s="8"/>
      <c r="P166" s="8"/>
      <c r="Q166" s="8"/>
      <c r="R166" s="8"/>
      <c r="S166" s="8"/>
      <c r="T166" s="8"/>
      <c r="U166" s="8"/>
      <c r="V166" s="7"/>
      <c r="W166" s="6" t="str">
        <f t="array" ref="W166">IF(NOT(ISBLANK(D166)),_xludf.XLOOKUP(D166,[1]CODE!$A$4:$A$100,[1]CODE!$D$4:$D$100),"")</f>
        <v/>
      </c>
      <c r="X166" s="5" t="str">
        <f t="array" ref="X166">IF(NOT(AND(ISBLANK(D166),ISBLANK(C166))),_xludf.XLOOKUP(D166,[1]CODE!$A$4:$A$100,[1]CODE!$E$4:$E$100),"")</f>
        <v/>
      </c>
      <c r="Y166" s="5" t="str">
        <f t="shared" si="20"/>
        <v/>
      </c>
      <c r="Z166" s="5" t="str">
        <f t="shared" si="21"/>
        <v/>
      </c>
      <c r="AA166" s="4">
        <f t="shared" si="22"/>
        <v>0</v>
      </c>
      <c r="AC166" s="2"/>
    </row>
    <row r="167" spans="1:29" ht="15.5">
      <c r="A167" s="13" t="str">
        <f>IF(OR(ISBLANK(C167),ISBLANK(D167),ISBLANK(F167),ISBLANK(G167)),"",COUNTIF($B$5:B167,"JAMBUTU"))</f>
        <v/>
      </c>
      <c r="B167" s="8"/>
      <c r="C167" s="8"/>
      <c r="D167" s="8"/>
      <c r="E167" s="13"/>
      <c r="F167" s="12"/>
      <c r="G167" s="11"/>
      <c r="H167" s="12"/>
      <c r="I167" s="11"/>
      <c r="J167" s="10">
        <f t="shared" si="23"/>
        <v>0</v>
      </c>
      <c r="K167" s="10">
        <f t="shared" si="18"/>
        <v>0</v>
      </c>
      <c r="L167" s="9" t="str">
        <f t="shared" si="19"/>
        <v/>
      </c>
      <c r="M167" s="8"/>
      <c r="N167" s="8"/>
      <c r="O167" s="8"/>
      <c r="P167" s="8"/>
      <c r="Q167" s="8"/>
      <c r="R167" s="8"/>
      <c r="S167" s="8"/>
      <c r="T167" s="8"/>
      <c r="U167" s="8"/>
      <c r="V167" s="7"/>
      <c r="W167" s="6" t="str">
        <f t="array" ref="W167">IF(NOT(ISBLANK(D167)),_xludf.XLOOKUP(D167,[1]CODE!$A$4:$A$100,[1]CODE!$D$4:$D$100),"")</f>
        <v/>
      </c>
      <c r="X167" s="5" t="str">
        <f t="array" ref="X167">IF(NOT(AND(ISBLANK(D167),ISBLANK(C167))),_xludf.XLOOKUP(D167,[1]CODE!$A$4:$A$100,[1]CODE!$E$4:$E$100),"")</f>
        <v/>
      </c>
      <c r="Y167" s="5" t="str">
        <f t="shared" si="20"/>
        <v/>
      </c>
      <c r="Z167" s="5" t="str">
        <f t="shared" si="21"/>
        <v/>
      </c>
      <c r="AA167" s="4">
        <f t="shared" si="22"/>
        <v>0</v>
      </c>
      <c r="AC167" s="2"/>
    </row>
    <row r="168" spans="1:29" ht="15.5">
      <c r="A168" s="13" t="str">
        <f>IF(OR(ISBLANK(C168),ISBLANK(D168),ISBLANK(F168),ISBLANK(G168)),"",COUNTIF($B$5:B168,"JAMBUTU"))</f>
        <v/>
      </c>
      <c r="B168" s="8"/>
      <c r="C168" s="8"/>
      <c r="D168" s="8"/>
      <c r="E168" s="13"/>
      <c r="F168" s="12"/>
      <c r="G168" s="11"/>
      <c r="H168" s="12"/>
      <c r="I168" s="15"/>
      <c r="J168" s="10">
        <f t="shared" si="23"/>
        <v>0</v>
      </c>
      <c r="K168" s="10">
        <f t="shared" si="18"/>
        <v>0</v>
      </c>
      <c r="L168" s="9" t="str">
        <f t="shared" si="19"/>
        <v/>
      </c>
      <c r="M168" s="8"/>
      <c r="N168" s="8"/>
      <c r="O168" s="8"/>
      <c r="P168" s="8"/>
      <c r="Q168" s="8"/>
      <c r="R168" s="8"/>
      <c r="S168" s="8"/>
      <c r="T168" s="8"/>
      <c r="U168" s="8"/>
      <c r="V168" s="7"/>
      <c r="W168" s="6" t="str">
        <f t="array" ref="W168">IF(NOT(ISBLANK(D168)),_xludf.XLOOKUP(D168,[1]CODE!$A$4:$A$100,[1]CODE!$D$4:$D$100),"")</f>
        <v/>
      </c>
      <c r="X168" s="5" t="str">
        <f t="array" ref="X168">IF(NOT(AND(ISBLANK(D168),ISBLANK(C168))),_xludf.XLOOKUP(D168,[1]CODE!$A$4:$A$100,[1]CODE!$E$4:$E$100),"")</f>
        <v/>
      </c>
      <c r="Y168" s="5" t="str">
        <f t="shared" si="20"/>
        <v/>
      </c>
      <c r="Z168" s="5" t="str">
        <f t="shared" si="21"/>
        <v/>
      </c>
      <c r="AA168" s="4">
        <f t="shared" si="22"/>
        <v>0</v>
      </c>
      <c r="AC168" s="2"/>
    </row>
    <row r="169" spans="1:29" ht="15.5">
      <c r="A169" s="13" t="str">
        <f>IF(OR(ISBLANK(C169),ISBLANK(D169),ISBLANK(F169),ISBLANK(G169)),"",COUNTIF($B$5:B169,"JAMBUTU"))</f>
        <v/>
      </c>
      <c r="B169" s="8"/>
      <c r="C169" s="8"/>
      <c r="D169" s="8"/>
      <c r="E169" s="13"/>
      <c r="F169" s="12"/>
      <c r="G169" s="11"/>
      <c r="H169" s="12"/>
      <c r="I169" s="11"/>
      <c r="J169" s="10">
        <f t="shared" si="23"/>
        <v>0</v>
      </c>
      <c r="K169" s="10">
        <f t="shared" si="18"/>
        <v>0</v>
      </c>
      <c r="L169" s="9" t="str">
        <f t="shared" si="19"/>
        <v/>
      </c>
      <c r="M169" s="8"/>
      <c r="N169" s="8"/>
      <c r="O169" s="8"/>
      <c r="P169" s="8"/>
      <c r="Q169" s="8"/>
      <c r="R169" s="8"/>
      <c r="S169" s="8"/>
      <c r="T169" s="8"/>
      <c r="U169" s="8"/>
      <c r="V169" s="7"/>
      <c r="W169" s="6" t="str">
        <f t="array" ref="W169">IF(NOT(ISBLANK(D169)),_xludf.XLOOKUP(D169,[1]CODE!$A$4:$A$100,[1]CODE!$D$4:$D$100),"")</f>
        <v/>
      </c>
      <c r="X169" s="5" t="str">
        <f t="array" ref="X169">IF(NOT(AND(ISBLANK(D169),ISBLANK(C169))),_xludf.XLOOKUP(D169,[1]CODE!$A$4:$A$100,[1]CODE!$E$4:$E$100),"")</f>
        <v/>
      </c>
      <c r="Y169" s="5" t="str">
        <f t="shared" si="20"/>
        <v/>
      </c>
      <c r="Z169" s="5" t="str">
        <f t="shared" si="21"/>
        <v/>
      </c>
      <c r="AA169" s="4">
        <f t="shared" si="22"/>
        <v>0</v>
      </c>
      <c r="AC169" s="2"/>
    </row>
    <row r="170" spans="1:29" ht="15.5">
      <c r="A170" s="13" t="str">
        <f>IF(OR(ISBLANK(C170),ISBLANK(D170),ISBLANK(F170),ISBLANK(G170)),"",COUNTIF($B$5:B170,"JAMBUTU"))</f>
        <v/>
      </c>
      <c r="B170" s="8"/>
      <c r="C170" s="8"/>
      <c r="D170" s="8"/>
      <c r="E170" s="13"/>
      <c r="F170" s="12"/>
      <c r="G170" s="11"/>
      <c r="H170" s="12"/>
      <c r="I170" s="11"/>
      <c r="J170" s="10">
        <f t="shared" si="23"/>
        <v>0</v>
      </c>
      <c r="K170" s="10">
        <f t="shared" si="18"/>
        <v>0</v>
      </c>
      <c r="L170" s="9" t="str">
        <f t="shared" si="19"/>
        <v/>
      </c>
      <c r="M170" s="8"/>
      <c r="N170" s="8"/>
      <c r="O170" s="8"/>
      <c r="P170" s="8"/>
      <c r="Q170" s="8"/>
      <c r="R170" s="8"/>
      <c r="S170" s="8"/>
      <c r="T170" s="8"/>
      <c r="U170" s="8"/>
      <c r="V170" s="7"/>
      <c r="W170" s="6" t="str">
        <f t="array" ref="W170">IF(NOT(ISBLANK(D170)),_xludf.XLOOKUP(D170,[1]CODE!$A$4:$A$100,[1]CODE!$D$4:$D$100),"")</f>
        <v/>
      </c>
      <c r="X170" s="5" t="str">
        <f t="array" ref="X170">IF(NOT(AND(ISBLANK(D170),ISBLANK(C170))),_xludf.XLOOKUP(D170,[1]CODE!$A$4:$A$100,[1]CODE!$E$4:$E$100),"")</f>
        <v/>
      </c>
      <c r="Y170" s="5" t="str">
        <f t="shared" si="20"/>
        <v/>
      </c>
      <c r="Z170" s="5" t="str">
        <f t="shared" si="21"/>
        <v/>
      </c>
      <c r="AA170" s="4">
        <f t="shared" si="22"/>
        <v>0</v>
      </c>
      <c r="AC170" s="2"/>
    </row>
    <row r="171" spans="1:29" ht="15.5">
      <c r="A171" s="13" t="str">
        <f>IF(OR(ISBLANK(C171),ISBLANK(D171),ISBLANK(F171),ISBLANK(G171)),"",COUNTIF($B$5:B171,"JAMBUTU"))</f>
        <v/>
      </c>
      <c r="B171" s="8"/>
      <c r="C171" s="8"/>
      <c r="D171" s="8"/>
      <c r="E171" s="13"/>
      <c r="F171" s="12"/>
      <c r="G171" s="11"/>
      <c r="H171" s="12"/>
      <c r="I171" s="15"/>
      <c r="J171" s="10">
        <f t="shared" si="23"/>
        <v>0</v>
      </c>
      <c r="K171" s="10">
        <f t="shared" si="18"/>
        <v>0</v>
      </c>
      <c r="L171" s="9" t="str">
        <f t="shared" si="19"/>
        <v/>
      </c>
      <c r="M171" s="8"/>
      <c r="N171" s="8"/>
      <c r="O171" s="8"/>
      <c r="P171" s="8"/>
      <c r="Q171" s="8"/>
      <c r="R171" s="8"/>
      <c r="S171" s="8"/>
      <c r="T171" s="8"/>
      <c r="U171" s="8"/>
      <c r="V171" s="7"/>
      <c r="W171" s="6" t="str">
        <f t="array" ref="W171">IF(NOT(ISBLANK(D171)),_xludf.XLOOKUP(D171,[1]CODE!$A$4:$A$100,[1]CODE!$D$4:$D$100),"")</f>
        <v/>
      </c>
      <c r="X171" s="5" t="str">
        <f t="array" ref="X171">IF(NOT(AND(ISBLANK(D171),ISBLANK(C171))),_xludf.XLOOKUP(D171,[1]CODE!$A$4:$A$100,[1]CODE!$E$4:$E$100),"")</f>
        <v/>
      </c>
      <c r="Y171" s="5" t="str">
        <f t="shared" si="20"/>
        <v/>
      </c>
      <c r="Z171" s="5" t="str">
        <f t="shared" si="21"/>
        <v/>
      </c>
      <c r="AA171" s="4">
        <f t="shared" si="22"/>
        <v>0</v>
      </c>
      <c r="AC171" s="2"/>
    </row>
    <row r="172" spans="1:29" ht="15.5">
      <c r="A172" s="13" t="str">
        <f>IF(OR(ISBLANK(C172),ISBLANK(D172),ISBLANK(F172),ISBLANK(G172)),"",COUNTIF($B$5:B172,"JAMBUTU"))</f>
        <v/>
      </c>
      <c r="B172" s="8"/>
      <c r="C172" s="8"/>
      <c r="D172" s="8"/>
      <c r="E172" s="13"/>
      <c r="F172" s="12"/>
      <c r="G172" s="11"/>
      <c r="H172" s="12"/>
      <c r="I172" s="15"/>
      <c r="J172" s="10">
        <f t="shared" si="23"/>
        <v>0</v>
      </c>
      <c r="K172" s="10">
        <f t="shared" si="18"/>
        <v>0</v>
      </c>
      <c r="L172" s="9" t="str">
        <f t="shared" si="19"/>
        <v/>
      </c>
      <c r="M172" s="8"/>
      <c r="N172" s="8"/>
      <c r="O172" s="8"/>
      <c r="P172" s="8"/>
      <c r="Q172" s="8"/>
      <c r="R172" s="8"/>
      <c r="S172" s="8"/>
      <c r="T172" s="8"/>
      <c r="U172" s="8"/>
      <c r="V172" s="7"/>
      <c r="W172" s="6" t="str">
        <f t="array" ref="W172">IF(NOT(ISBLANK(D172)),_xludf.XLOOKUP(D172,[1]CODE!$A$4:$A$100,[1]CODE!$D$4:$D$100),"")</f>
        <v/>
      </c>
      <c r="X172" s="5" t="str">
        <f t="array" ref="X172">IF(NOT(AND(ISBLANK(D172),ISBLANK(C172))),_xludf.XLOOKUP(D172,[1]CODE!$A$4:$A$100,[1]CODE!$E$4:$E$100),"")</f>
        <v/>
      </c>
      <c r="Y172" s="5" t="str">
        <f t="shared" si="20"/>
        <v/>
      </c>
      <c r="Z172" s="5" t="str">
        <f t="shared" si="21"/>
        <v/>
      </c>
      <c r="AA172" s="4">
        <f t="shared" si="22"/>
        <v>0</v>
      </c>
      <c r="AC172" s="2"/>
    </row>
    <row r="173" spans="1:29" ht="15.5">
      <c r="A173" s="13" t="str">
        <f>IF(OR(ISBLANK(C173),ISBLANK(D173),ISBLANK(F173),ISBLANK(G173)),"",COUNTIF($B$5:B173,"JAMBUTU"))</f>
        <v/>
      </c>
      <c r="B173" s="8"/>
      <c r="C173" s="8"/>
      <c r="D173" s="8"/>
      <c r="E173" s="13"/>
      <c r="F173" s="12"/>
      <c r="G173" s="15"/>
      <c r="H173" s="12"/>
      <c r="I173" s="15"/>
      <c r="J173" s="10">
        <f t="shared" si="23"/>
        <v>0</v>
      </c>
      <c r="K173" s="10">
        <f t="shared" si="18"/>
        <v>0</v>
      </c>
      <c r="L173" s="9" t="str">
        <f t="shared" si="19"/>
        <v/>
      </c>
      <c r="M173" s="8"/>
      <c r="N173" s="8"/>
      <c r="O173" s="8"/>
      <c r="P173" s="8"/>
      <c r="Q173" s="8"/>
      <c r="R173" s="8"/>
      <c r="S173" s="8"/>
      <c r="T173" s="8"/>
      <c r="U173" s="8"/>
      <c r="V173" s="7"/>
      <c r="W173" s="6" t="str">
        <f t="array" ref="W173">IF(NOT(ISBLANK(D173)),_xludf.XLOOKUP(D173,[1]CODE!$A$4:$A$100,[1]CODE!$D$4:$D$100),"")</f>
        <v/>
      </c>
      <c r="X173" s="5" t="str">
        <f t="array" ref="X173">IF(NOT(AND(ISBLANK(D173),ISBLANK(C173))),_xludf.XLOOKUP(D173,[1]CODE!$A$4:$A$100,[1]CODE!$E$4:$E$100),"")</f>
        <v/>
      </c>
      <c r="Y173" s="5" t="str">
        <f t="shared" si="20"/>
        <v/>
      </c>
      <c r="Z173" s="5" t="str">
        <f t="shared" si="21"/>
        <v/>
      </c>
      <c r="AA173" s="4">
        <f t="shared" si="22"/>
        <v>0</v>
      </c>
      <c r="AC173" s="2"/>
    </row>
    <row r="174" spans="1:29" ht="15.5">
      <c r="A174" s="13" t="str">
        <f>IF(OR(ISBLANK(C174),ISBLANK(D174),ISBLANK(F174),ISBLANK(G174)),"",COUNTIF($B$5:B174,"JAMBUTU"))</f>
        <v/>
      </c>
      <c r="B174" s="8"/>
      <c r="C174" s="8"/>
      <c r="D174" s="8"/>
      <c r="E174" s="13"/>
      <c r="F174" s="12"/>
      <c r="G174" s="11"/>
      <c r="H174" s="12"/>
      <c r="I174" s="15"/>
      <c r="J174" s="10">
        <f t="shared" si="23"/>
        <v>0</v>
      </c>
      <c r="K174" s="10">
        <f t="shared" si="18"/>
        <v>0</v>
      </c>
      <c r="L174" s="9" t="str">
        <f t="shared" si="19"/>
        <v/>
      </c>
      <c r="M174" s="8"/>
      <c r="N174" s="8"/>
      <c r="O174" s="8"/>
      <c r="P174" s="8"/>
      <c r="Q174" s="8"/>
      <c r="R174" s="8"/>
      <c r="S174" s="8"/>
      <c r="T174" s="8"/>
      <c r="U174" s="8"/>
      <c r="V174" s="7"/>
      <c r="W174" s="6" t="str">
        <f t="array" ref="W174">IF(NOT(ISBLANK(D174)),_xludf.XLOOKUP(D174,[1]CODE!$A$4:$A$100,[1]CODE!$D$4:$D$100),"")</f>
        <v/>
      </c>
      <c r="X174" s="5" t="str">
        <f t="array" ref="X174">IF(NOT(AND(ISBLANK(D174),ISBLANK(C174))),_xludf.XLOOKUP(D174,[1]CODE!$A$4:$A$100,[1]CODE!$E$4:$E$100),"")</f>
        <v/>
      </c>
      <c r="Y174" s="5" t="str">
        <f t="shared" si="20"/>
        <v/>
      </c>
      <c r="Z174" s="5" t="str">
        <f t="shared" si="21"/>
        <v/>
      </c>
      <c r="AA174" s="4">
        <f t="shared" si="22"/>
        <v>0</v>
      </c>
      <c r="AC174" s="2"/>
    </row>
    <row r="175" spans="1:29" ht="15.5">
      <c r="A175" s="13" t="str">
        <f>IF(OR(ISBLANK(C175),ISBLANK(D175),ISBLANK(F175),ISBLANK(G175)),"",COUNTIF($B$5:B175,"JAMBUTU"))</f>
        <v/>
      </c>
      <c r="B175" s="8"/>
      <c r="C175" s="8"/>
      <c r="D175" s="8"/>
      <c r="E175" s="13"/>
      <c r="F175" s="12"/>
      <c r="G175" s="11"/>
      <c r="H175" s="12"/>
      <c r="I175" s="11"/>
      <c r="J175" s="10">
        <f t="shared" si="23"/>
        <v>0</v>
      </c>
      <c r="K175" s="10">
        <f t="shared" si="18"/>
        <v>0</v>
      </c>
      <c r="L175" s="9" t="str">
        <f t="shared" si="19"/>
        <v/>
      </c>
      <c r="M175" s="8"/>
      <c r="N175" s="8"/>
      <c r="O175" s="8"/>
      <c r="P175" s="8"/>
      <c r="Q175" s="8"/>
      <c r="R175" s="8"/>
      <c r="S175" s="8"/>
      <c r="T175" s="8"/>
      <c r="U175" s="8"/>
      <c r="V175" s="7"/>
      <c r="W175" s="6" t="str">
        <f t="array" ref="W175">IF(NOT(ISBLANK(D175)),_xludf.XLOOKUP(D175,[1]CODE!$A$4:$A$100,[1]CODE!$D$4:$D$100),"")</f>
        <v/>
      </c>
      <c r="X175" s="5" t="str">
        <f t="array" ref="X175">IF(NOT(AND(ISBLANK(D175),ISBLANK(C175))),_xludf.XLOOKUP(D175,[1]CODE!$A$4:$A$100,[1]CODE!$E$4:$E$100),"")</f>
        <v/>
      </c>
      <c r="Y175" s="5" t="str">
        <f t="shared" si="20"/>
        <v/>
      </c>
      <c r="Z175" s="5" t="str">
        <f t="shared" si="21"/>
        <v/>
      </c>
      <c r="AA175" s="4">
        <f t="shared" si="22"/>
        <v>0</v>
      </c>
      <c r="AC175" s="2"/>
    </row>
    <row r="176" spans="1:29" ht="15.5">
      <c r="A176" s="13" t="str">
        <f>IF(OR(ISBLANK(C176),ISBLANK(D176),ISBLANK(F176),ISBLANK(G176)),"",COUNTIF($B$5:B176,"JAMBUTU"))</f>
        <v/>
      </c>
      <c r="B176" s="8"/>
      <c r="C176" s="8"/>
      <c r="D176" s="8"/>
      <c r="E176" s="13"/>
      <c r="F176" s="12"/>
      <c r="G176" s="11"/>
      <c r="H176" s="12"/>
      <c r="I176" s="11"/>
      <c r="J176" s="10">
        <f t="shared" si="23"/>
        <v>0</v>
      </c>
      <c r="K176" s="10">
        <f t="shared" si="18"/>
        <v>0</v>
      </c>
      <c r="L176" s="9" t="str">
        <f t="shared" si="19"/>
        <v/>
      </c>
      <c r="M176" s="8"/>
      <c r="N176" s="8"/>
      <c r="O176" s="8"/>
      <c r="P176" s="8"/>
      <c r="Q176" s="8"/>
      <c r="R176" s="8"/>
      <c r="S176" s="8"/>
      <c r="T176" s="8"/>
      <c r="U176" s="8"/>
      <c r="V176" s="7"/>
      <c r="W176" s="6" t="str">
        <f t="array" ref="W176">IF(NOT(ISBLANK(D176)),_xludf.XLOOKUP(D176,[1]CODE!$A$4:$A$100,[1]CODE!$D$4:$D$100),"")</f>
        <v/>
      </c>
      <c r="X176" s="5" t="str">
        <f t="array" ref="X176">IF(NOT(AND(ISBLANK(D176),ISBLANK(C176))),_xludf.XLOOKUP(D176,[1]CODE!$A$4:$A$100,[1]CODE!$E$4:$E$100),"")</f>
        <v/>
      </c>
      <c r="Y176" s="5" t="str">
        <f t="shared" si="20"/>
        <v/>
      </c>
      <c r="Z176" s="5" t="str">
        <f t="shared" si="21"/>
        <v/>
      </c>
      <c r="AA176" s="4">
        <f t="shared" si="22"/>
        <v>0</v>
      </c>
      <c r="AC176" s="2"/>
    </row>
    <row r="177" spans="1:29" ht="15.5">
      <c r="A177" s="13" t="str">
        <f>IF(OR(ISBLANK(C177),ISBLANK(D177),ISBLANK(F177),ISBLANK(G177)),"",COUNTIF($B$5:B177,"JAMBUTU"))</f>
        <v/>
      </c>
      <c r="B177" s="8"/>
      <c r="C177" s="8"/>
      <c r="D177" s="8"/>
      <c r="E177" s="13"/>
      <c r="F177" s="12"/>
      <c r="G177" s="11"/>
      <c r="H177" s="12"/>
      <c r="I177" s="11"/>
      <c r="J177" s="10">
        <f t="shared" si="23"/>
        <v>0</v>
      </c>
      <c r="K177" s="10">
        <f t="shared" si="18"/>
        <v>0</v>
      </c>
      <c r="L177" s="9" t="str">
        <f t="shared" si="19"/>
        <v/>
      </c>
      <c r="M177" s="8"/>
      <c r="N177" s="8"/>
      <c r="O177" s="8"/>
      <c r="P177" s="8"/>
      <c r="Q177" s="8"/>
      <c r="R177" s="8"/>
      <c r="S177" s="8"/>
      <c r="T177" s="8"/>
      <c r="U177" s="8"/>
      <c r="V177" s="7"/>
      <c r="W177" s="6" t="str">
        <f t="array" ref="W177">IF(NOT(ISBLANK(D177)),_xludf.XLOOKUP(D177,[1]CODE!$A$4:$A$100,[1]CODE!$D$4:$D$100),"")</f>
        <v/>
      </c>
      <c r="X177" s="5" t="str">
        <f t="array" ref="X177">IF(NOT(AND(ISBLANK(D177),ISBLANK(C177))),_xludf.XLOOKUP(D177,[1]CODE!$A$4:$A$100,[1]CODE!$E$4:$E$100),"")</f>
        <v/>
      </c>
      <c r="Y177" s="5" t="str">
        <f t="shared" si="20"/>
        <v/>
      </c>
      <c r="Z177" s="5" t="str">
        <f t="shared" si="21"/>
        <v/>
      </c>
      <c r="AA177" s="4">
        <f t="shared" si="22"/>
        <v>0</v>
      </c>
      <c r="AC177" s="2"/>
    </row>
    <row r="178" spans="1:29" ht="15.5">
      <c r="A178" s="13" t="str">
        <f>IF(OR(ISBLANK(C178),ISBLANK(D178),ISBLANK(F178),ISBLANK(G178)),"",COUNTIF($B$5:B178,"JAMBUTU"))</f>
        <v/>
      </c>
      <c r="B178" s="8"/>
      <c r="C178" s="8"/>
      <c r="D178" s="8"/>
      <c r="E178" s="13"/>
      <c r="F178" s="12"/>
      <c r="G178" s="11"/>
      <c r="H178" s="12"/>
      <c r="I178" s="11"/>
      <c r="J178" s="10">
        <f t="shared" si="23"/>
        <v>0</v>
      </c>
      <c r="K178" s="10">
        <f t="shared" si="18"/>
        <v>0</v>
      </c>
      <c r="L178" s="9" t="str">
        <f t="shared" si="19"/>
        <v/>
      </c>
      <c r="M178" s="8"/>
      <c r="N178" s="8"/>
      <c r="O178" s="8"/>
      <c r="P178" s="8"/>
      <c r="Q178" s="8"/>
      <c r="R178" s="8"/>
      <c r="S178" s="8"/>
      <c r="T178" s="8"/>
      <c r="U178" s="8"/>
      <c r="V178" s="7"/>
      <c r="W178" s="6" t="str">
        <f t="array" ref="W178">IF(NOT(ISBLANK(D178)),_xludf.XLOOKUP(D178,[1]CODE!$A$4:$A$100,[1]CODE!$D$4:$D$100),"")</f>
        <v/>
      </c>
      <c r="X178" s="5" t="str">
        <f t="array" ref="X178">IF(NOT(AND(ISBLANK(D178),ISBLANK(C178))),_xludf.XLOOKUP(D178,[1]CODE!$A$4:$A$100,[1]CODE!$E$4:$E$100),"")</f>
        <v/>
      </c>
      <c r="Y178" s="5" t="str">
        <f t="shared" si="20"/>
        <v/>
      </c>
      <c r="Z178" s="5" t="str">
        <f t="shared" si="21"/>
        <v/>
      </c>
      <c r="AA178" s="4">
        <f t="shared" si="22"/>
        <v>0</v>
      </c>
      <c r="AC178" s="2"/>
    </row>
    <row r="179" spans="1:29" ht="15.5">
      <c r="A179" s="13">
        <f>IF(OR(ISBLANK(C179),ISBLANK(D179),ISBLANK(F179),ISBLANK(G179)),"",COUNTIF($B$5:B179,"JAMBUTU"))</f>
        <v>20</v>
      </c>
      <c r="B179" s="8" t="str">
        <f>IF(C179&lt;&gt;"","Jambutu","")</f>
        <v>Jambutu</v>
      </c>
      <c r="C179" s="8" t="s">
        <v>4</v>
      </c>
      <c r="D179" s="8" t="s">
        <v>6</v>
      </c>
      <c r="E179" s="13">
        <v>3.6</v>
      </c>
      <c r="F179" s="12">
        <v>46046</v>
      </c>
      <c r="G179" s="11">
        <v>0.4513888888888889</v>
      </c>
      <c r="H179" s="12">
        <v>46046</v>
      </c>
      <c r="I179" s="11">
        <v>0.52777777777777779</v>
      </c>
      <c r="J179" s="10">
        <f t="shared" si="23"/>
        <v>46046.451388888891</v>
      </c>
      <c r="K179" s="10">
        <f t="shared" si="18"/>
        <v>46046.527777777781</v>
      </c>
      <c r="L179" s="9">
        <f t="shared" si="19"/>
        <v>7.6388888890505768E-2</v>
      </c>
      <c r="M179" s="8" t="s">
        <v>15</v>
      </c>
      <c r="N179" s="8" t="s">
        <v>1</v>
      </c>
      <c r="O179" s="8" t="s">
        <v>0</v>
      </c>
      <c r="P179" s="8"/>
      <c r="Q179" s="8"/>
      <c r="R179" s="8"/>
      <c r="S179" s="8"/>
      <c r="T179" s="8"/>
      <c r="U179" s="8"/>
      <c r="V179" s="7"/>
      <c r="W179" s="6" t="e">
        <f t="array" aca="1" ref="W179" ca="1">IF(NOT(ISBLANK(D179)),_xludf.XLOOKUP(D179,[1]CODE!$A$4:$A$100,[1]CODE!$D$4:$D$100),"")</f>
        <v>#NAME?</v>
      </c>
      <c r="X179" s="5" t="e">
        <f t="array" aca="1" ref="X179" ca="1">IF(NOT(AND(ISBLANK(D179),ISBLANK(C179))),_xludf.XLOOKUP(D179,[1]CODE!$A$4:$A$100,[1]CODE!$E$4:$E$100),"")</f>
        <v>#NAME?</v>
      </c>
      <c r="Y179" s="5" t="str">
        <f t="shared" si="20"/>
        <v>33KV</v>
      </c>
      <c r="Z179" s="5" t="str">
        <f t="shared" si="21"/>
        <v>YES</v>
      </c>
      <c r="AA179" s="4">
        <f t="shared" si="22"/>
        <v>46046</v>
      </c>
      <c r="AC179" s="2"/>
    </row>
    <row r="180" spans="1:29" ht="15.5">
      <c r="A180" s="13" t="str">
        <f>IF(OR(ISBLANK(C180),ISBLANK(D180),ISBLANK(F180),ISBLANK(G180)),"",COUNTIF($B$5:B180,"JAMBUTU"))</f>
        <v/>
      </c>
      <c r="B180" s="8"/>
      <c r="C180" s="8"/>
      <c r="D180" s="8"/>
      <c r="E180" s="13"/>
      <c r="F180" s="12"/>
      <c r="G180" s="11"/>
      <c r="H180" s="12"/>
      <c r="I180" s="15"/>
      <c r="J180" s="10">
        <f t="shared" si="23"/>
        <v>0</v>
      </c>
      <c r="K180" s="10">
        <f t="shared" si="18"/>
        <v>0</v>
      </c>
      <c r="L180" s="9" t="str">
        <f t="shared" si="19"/>
        <v/>
      </c>
      <c r="M180" s="8"/>
      <c r="N180" s="8"/>
      <c r="O180" s="8"/>
      <c r="P180" s="8"/>
      <c r="Q180" s="8"/>
      <c r="R180" s="8"/>
      <c r="S180" s="8"/>
      <c r="T180" s="8"/>
      <c r="U180" s="8"/>
      <c r="V180" s="7"/>
      <c r="W180" s="6" t="str">
        <f t="array" ref="W180">IF(NOT(ISBLANK(D180)),_xludf.XLOOKUP(D180,[1]CODE!$A$4:$A$100,[1]CODE!$D$4:$D$100),"")</f>
        <v/>
      </c>
      <c r="X180" s="5" t="str">
        <f t="array" ref="X180">IF(NOT(AND(ISBLANK(D180),ISBLANK(C180))),_xludf.XLOOKUP(D180,[1]CODE!$A$4:$A$100,[1]CODE!$E$4:$E$100),"")</f>
        <v/>
      </c>
      <c r="Y180" s="5" t="str">
        <f t="shared" si="20"/>
        <v/>
      </c>
      <c r="Z180" s="5" t="str">
        <f t="shared" si="21"/>
        <v/>
      </c>
      <c r="AA180" s="4">
        <f t="shared" si="22"/>
        <v>0</v>
      </c>
      <c r="AC180" s="2"/>
    </row>
    <row r="181" spans="1:29" ht="15.5">
      <c r="A181" s="13">
        <f>IF(OR(ISBLANK(C181),ISBLANK(D181),ISBLANK(F181),ISBLANK(G181)),"",COUNTIF($B$5:B181,"JAMBUTU"))</f>
        <v>21</v>
      </c>
      <c r="B181" s="8" t="str">
        <f>IF(C181&lt;&gt;"","Jambutu","")</f>
        <v>Jambutu</v>
      </c>
      <c r="C181" s="8" t="s">
        <v>3</v>
      </c>
      <c r="D181" s="8" t="s">
        <v>12</v>
      </c>
      <c r="E181" s="20">
        <v>3.7</v>
      </c>
      <c r="F181" s="12">
        <v>46046</v>
      </c>
      <c r="G181" s="11">
        <v>0.73611111111111116</v>
      </c>
      <c r="H181" s="12">
        <v>46047</v>
      </c>
      <c r="I181" s="15">
        <v>0</v>
      </c>
      <c r="J181" s="10">
        <f t="shared" si="23"/>
        <v>46046.736111111109</v>
      </c>
      <c r="K181" s="10">
        <f t="shared" si="18"/>
        <v>46047</v>
      </c>
      <c r="L181" s="9">
        <f t="shared" si="19"/>
        <v>0.26388888889050577</v>
      </c>
      <c r="M181" s="8" t="s">
        <v>14</v>
      </c>
      <c r="N181" s="8" t="s">
        <v>1</v>
      </c>
      <c r="O181" s="8" t="s">
        <v>0</v>
      </c>
      <c r="P181" s="8"/>
      <c r="Q181" s="8"/>
      <c r="R181" s="8"/>
      <c r="S181" s="8"/>
      <c r="T181" s="8"/>
      <c r="U181" s="8"/>
      <c r="V181" s="7"/>
      <c r="W181" s="6" t="e">
        <f t="array" aca="1" ref="W181" ca="1">IF(NOT(ISBLANK(D181)),_xludf.XLOOKUP(D181,[1]CODE!$A$4:$A$100,[1]CODE!$D$4:$D$100),"")</f>
        <v>#NAME?</v>
      </c>
      <c r="X181" s="5" t="e">
        <f t="array" aca="1" ref="X181" ca="1">IF(NOT(AND(ISBLANK(D181),ISBLANK(C181))),_xludf.XLOOKUP(D181,[1]CODE!$A$4:$A$100,[1]CODE!$E$4:$E$100),"")</f>
        <v>#NAME?</v>
      </c>
      <c r="Y181" s="5" t="str">
        <f t="shared" si="20"/>
        <v>11kV</v>
      </c>
      <c r="Z181" s="5" t="str">
        <f t="shared" si="21"/>
        <v>YES</v>
      </c>
      <c r="AA181" s="4">
        <f t="shared" si="22"/>
        <v>46047</v>
      </c>
      <c r="AC181" s="2"/>
    </row>
    <row r="182" spans="1:29" ht="15.5">
      <c r="A182" s="13" t="str">
        <f>IF(OR(ISBLANK(C182),ISBLANK(D182),ISBLANK(F182),ISBLANK(G182)),"",COUNTIF($B$5:B182,"JAMBUTU"))</f>
        <v/>
      </c>
      <c r="B182" s="8"/>
      <c r="C182" s="8"/>
      <c r="D182" s="8"/>
      <c r="E182" s="20"/>
      <c r="F182" s="12"/>
      <c r="G182" s="11"/>
      <c r="H182" s="12"/>
      <c r="I182" s="11"/>
      <c r="J182" s="10">
        <f t="shared" si="23"/>
        <v>0</v>
      </c>
      <c r="K182" s="10">
        <f t="shared" si="18"/>
        <v>0</v>
      </c>
      <c r="L182" s="9" t="str">
        <f t="shared" si="19"/>
        <v/>
      </c>
      <c r="M182" s="8"/>
      <c r="N182" s="8"/>
      <c r="O182" s="8"/>
      <c r="P182" s="8"/>
      <c r="Q182" s="8"/>
      <c r="R182" s="8"/>
      <c r="S182" s="8"/>
      <c r="T182" s="8"/>
      <c r="U182" s="8"/>
      <c r="V182" s="7"/>
      <c r="W182" s="6" t="str">
        <f t="array" ref="W182">IF(NOT(ISBLANK(D182)),_xludf.XLOOKUP(D182,[1]CODE!$A$4:$A$100,[1]CODE!$D$4:$D$100),"")</f>
        <v/>
      </c>
      <c r="X182" s="5" t="str">
        <f t="array" ref="X182">IF(NOT(AND(ISBLANK(D182),ISBLANK(C182))),_xludf.XLOOKUP(D182,[1]CODE!$A$4:$A$100,[1]CODE!$E$4:$E$100),"")</f>
        <v/>
      </c>
      <c r="Y182" s="5" t="str">
        <f t="shared" si="20"/>
        <v/>
      </c>
      <c r="Z182" s="5" t="str">
        <f t="shared" si="21"/>
        <v/>
      </c>
      <c r="AA182" s="4">
        <f t="shared" si="22"/>
        <v>0</v>
      </c>
      <c r="AC182" s="2"/>
    </row>
    <row r="183" spans="1:29" ht="15.5">
      <c r="A183" s="13" t="str">
        <f>IF(OR(ISBLANK(C183),ISBLANK(D183),ISBLANK(F183),ISBLANK(G183)),"",COUNTIF($B$5:B183,"JAMBUTU"))</f>
        <v/>
      </c>
      <c r="B183" s="8"/>
      <c r="C183" s="8"/>
      <c r="D183" s="8"/>
      <c r="E183" s="20"/>
      <c r="F183" s="12"/>
      <c r="G183" s="11"/>
      <c r="H183" s="12"/>
      <c r="I183" s="15"/>
      <c r="J183" s="10">
        <f t="shared" si="23"/>
        <v>0</v>
      </c>
      <c r="K183" s="10">
        <f t="shared" si="18"/>
        <v>0</v>
      </c>
      <c r="L183" s="9" t="str">
        <f t="shared" si="19"/>
        <v/>
      </c>
      <c r="M183" s="8"/>
      <c r="N183" s="8"/>
      <c r="O183" s="8"/>
      <c r="P183" s="8"/>
      <c r="Q183" s="8"/>
      <c r="R183" s="8"/>
      <c r="S183" s="8"/>
      <c r="T183" s="8"/>
      <c r="U183" s="8"/>
      <c r="V183" s="7"/>
      <c r="W183" s="6" t="str">
        <f t="array" ref="W183">IF(NOT(ISBLANK(D183)),_xludf.XLOOKUP(D183,[1]CODE!$A$4:$A$100,[1]CODE!$D$4:$D$100),"")</f>
        <v/>
      </c>
      <c r="X183" s="5" t="str">
        <f t="array" ref="X183">IF(NOT(AND(ISBLANK(D183),ISBLANK(C183))),_xludf.XLOOKUP(D183,[1]CODE!$A$4:$A$100,[1]CODE!$E$4:$E$100),"")</f>
        <v/>
      </c>
      <c r="Y183" s="5" t="str">
        <f t="shared" si="20"/>
        <v/>
      </c>
      <c r="Z183" s="5" t="str">
        <f t="shared" si="21"/>
        <v/>
      </c>
      <c r="AA183" s="4">
        <f t="shared" si="22"/>
        <v>0</v>
      </c>
      <c r="AC183" s="2"/>
    </row>
    <row r="184" spans="1:29" ht="15.5">
      <c r="A184" s="13" t="str">
        <f>IF(OR(ISBLANK(C184),ISBLANK(D184),ISBLANK(F184),ISBLANK(G184)),"",COUNTIF($B$5:B184,"JAMBUTU"))</f>
        <v/>
      </c>
      <c r="B184" s="8"/>
      <c r="C184" s="8"/>
      <c r="D184" s="8"/>
      <c r="E184" s="13"/>
      <c r="F184" s="12"/>
      <c r="G184" s="11"/>
      <c r="H184" s="12"/>
      <c r="I184" s="15"/>
      <c r="J184" s="10">
        <f t="shared" si="23"/>
        <v>0</v>
      </c>
      <c r="K184" s="10">
        <f t="shared" si="18"/>
        <v>0</v>
      </c>
      <c r="L184" s="9" t="str">
        <f t="shared" si="19"/>
        <v/>
      </c>
      <c r="M184" s="8"/>
      <c r="N184" s="8"/>
      <c r="O184" s="8"/>
      <c r="P184" s="8"/>
      <c r="Q184" s="8"/>
      <c r="R184" s="8"/>
      <c r="S184" s="8"/>
      <c r="T184" s="8"/>
      <c r="U184" s="8"/>
      <c r="V184" s="7"/>
      <c r="W184" s="6" t="str">
        <f t="array" ref="W184">IF(NOT(ISBLANK(D184)),_xludf.XLOOKUP(D184,[1]CODE!$A$4:$A$100,[1]CODE!$D$4:$D$100),"")</f>
        <v/>
      </c>
      <c r="X184" s="5" t="str">
        <f t="array" ref="X184">IF(NOT(AND(ISBLANK(D184),ISBLANK(C184))),_xludf.XLOOKUP(D184,[1]CODE!$A$4:$A$100,[1]CODE!$E$4:$E$100),"")</f>
        <v/>
      </c>
      <c r="Y184" s="5" t="str">
        <f t="shared" si="20"/>
        <v/>
      </c>
      <c r="Z184" s="5" t="str">
        <f t="shared" si="21"/>
        <v/>
      </c>
      <c r="AA184" s="4">
        <f t="shared" si="22"/>
        <v>0</v>
      </c>
      <c r="AC184" s="2"/>
    </row>
    <row r="185" spans="1:29" ht="15.5">
      <c r="A185" s="13">
        <f>IF(OR(ISBLANK(C185),ISBLANK(D185),ISBLANK(F185),ISBLANK(G185)),"",COUNTIF($B$5:B185,"JAMBUTU"))</f>
        <v>22</v>
      </c>
      <c r="B185" s="8" t="str">
        <f>IF(C185&lt;&gt;"","Jambutu","")</f>
        <v>Jambutu</v>
      </c>
      <c r="C185" s="8" t="s">
        <v>3</v>
      </c>
      <c r="D185" s="8" t="s">
        <v>12</v>
      </c>
      <c r="E185" s="20">
        <v>3.7</v>
      </c>
      <c r="F185" s="12">
        <v>46047</v>
      </c>
      <c r="G185" s="11">
        <v>0</v>
      </c>
      <c r="H185" s="12">
        <v>46048</v>
      </c>
      <c r="I185" s="11">
        <v>0</v>
      </c>
      <c r="J185" s="10">
        <f t="shared" si="23"/>
        <v>46047</v>
      </c>
      <c r="K185" s="10">
        <f t="shared" si="18"/>
        <v>46048</v>
      </c>
      <c r="L185" s="9">
        <f t="shared" si="19"/>
        <v>1</v>
      </c>
      <c r="M185" s="8" t="s">
        <v>13</v>
      </c>
      <c r="N185" s="8" t="s">
        <v>1</v>
      </c>
      <c r="O185" s="8" t="s">
        <v>0</v>
      </c>
      <c r="P185" s="8"/>
      <c r="Q185" s="8"/>
      <c r="R185" s="8"/>
      <c r="S185" s="8"/>
      <c r="T185" s="8"/>
      <c r="U185" s="8"/>
      <c r="V185" s="7"/>
      <c r="W185" s="6" t="e">
        <f t="array" aca="1" ref="W185" ca="1">IF(NOT(ISBLANK(D185)),_xludf.XLOOKUP(D185,[1]CODE!$A$4:$A$100,[1]CODE!$D$4:$D$100),"")</f>
        <v>#NAME?</v>
      </c>
      <c r="X185" s="5" t="e">
        <f t="array" aca="1" ref="X185" ca="1">IF(NOT(AND(ISBLANK(D185),ISBLANK(C185))),_xludf.XLOOKUP(D185,[1]CODE!$A$4:$A$100,[1]CODE!$E$4:$E$100),"")</f>
        <v>#NAME?</v>
      </c>
      <c r="Y185" s="5" t="str">
        <f t="shared" si="20"/>
        <v>11kV</v>
      </c>
      <c r="Z185" s="5" t="str">
        <f t="shared" si="21"/>
        <v>YES</v>
      </c>
      <c r="AA185" s="4">
        <f t="shared" si="22"/>
        <v>46048</v>
      </c>
      <c r="AC185" s="2"/>
    </row>
    <row r="186" spans="1:29" ht="15.5">
      <c r="A186" s="13" t="str">
        <f>IF(OR(ISBLANK(C186),ISBLANK(D186),ISBLANK(F186),ISBLANK(G186)),"",COUNTIF($B$5:B186,"JAMBUTU"))</f>
        <v/>
      </c>
      <c r="B186" s="8"/>
      <c r="C186" s="8"/>
      <c r="D186" s="8"/>
      <c r="E186" s="13"/>
      <c r="F186" s="12"/>
      <c r="G186" s="11"/>
      <c r="H186" s="12"/>
      <c r="I186" s="11"/>
      <c r="J186" s="10">
        <f t="shared" si="23"/>
        <v>0</v>
      </c>
      <c r="K186" s="10">
        <f t="shared" si="18"/>
        <v>0</v>
      </c>
      <c r="L186" s="9" t="str">
        <f t="shared" si="19"/>
        <v/>
      </c>
      <c r="M186" s="8"/>
      <c r="N186" s="8"/>
      <c r="O186" s="8"/>
      <c r="P186" s="8"/>
      <c r="Q186" s="8"/>
      <c r="R186" s="8"/>
      <c r="S186" s="8"/>
      <c r="T186" s="8"/>
      <c r="U186" s="8"/>
      <c r="V186" s="7"/>
      <c r="W186" s="6" t="str">
        <f t="array" ref="W186">IF(NOT(ISBLANK(D186)),_xludf.XLOOKUP(D186,[1]CODE!$A$4:$A$100,[1]CODE!$D$4:$D$100),"")</f>
        <v/>
      </c>
      <c r="X186" s="5" t="str">
        <f t="array" ref="X186">IF(NOT(AND(ISBLANK(D186),ISBLANK(C186))),_xludf.XLOOKUP(D186,[1]CODE!$A$4:$A$100,[1]CODE!$E$4:$E$100),"")</f>
        <v/>
      </c>
      <c r="Y186" s="5" t="str">
        <f t="shared" si="20"/>
        <v/>
      </c>
      <c r="Z186" s="5" t="str">
        <f t="shared" si="21"/>
        <v/>
      </c>
      <c r="AA186" s="4">
        <f t="shared" si="22"/>
        <v>0</v>
      </c>
      <c r="AC186" s="2"/>
    </row>
    <row r="187" spans="1:29" ht="15.5">
      <c r="A187" s="13" t="str">
        <f>IF(OR(ISBLANK(C187),ISBLANK(D187),ISBLANK(F187),ISBLANK(G187)),"",COUNTIF($B$5:B187,"JAMBUTU"))</f>
        <v/>
      </c>
      <c r="B187" s="8"/>
      <c r="C187" s="8"/>
      <c r="D187" s="8"/>
      <c r="E187" s="13"/>
      <c r="F187" s="12"/>
      <c r="G187" s="11"/>
      <c r="H187" s="12"/>
      <c r="I187" s="11"/>
      <c r="J187" s="10">
        <f t="shared" si="23"/>
        <v>0</v>
      </c>
      <c r="K187" s="10">
        <f t="shared" si="18"/>
        <v>0</v>
      </c>
      <c r="L187" s="9" t="str">
        <f t="shared" si="19"/>
        <v/>
      </c>
      <c r="M187" s="8"/>
      <c r="N187" s="8"/>
      <c r="O187" s="8"/>
      <c r="P187" s="8"/>
      <c r="Q187" s="8"/>
      <c r="R187" s="8"/>
      <c r="S187" s="8"/>
      <c r="T187" s="8"/>
      <c r="U187" s="8"/>
      <c r="V187" s="7"/>
      <c r="W187" s="6" t="str">
        <f t="array" ref="W187">IF(NOT(ISBLANK(D187)),_xludf.XLOOKUP(D187,[1]CODE!$A$4:$A$100,[1]CODE!$D$4:$D$100),"")</f>
        <v/>
      </c>
      <c r="X187" s="5" t="str">
        <f t="array" ref="X187">IF(NOT(AND(ISBLANK(D187),ISBLANK(C187))),_xludf.XLOOKUP(D187,[1]CODE!$A$4:$A$100,[1]CODE!$E$4:$E$100),"")</f>
        <v/>
      </c>
      <c r="Y187" s="5" t="str">
        <f t="shared" si="20"/>
        <v/>
      </c>
      <c r="Z187" s="5" t="str">
        <f t="shared" si="21"/>
        <v/>
      </c>
      <c r="AA187" s="4">
        <f t="shared" si="22"/>
        <v>0</v>
      </c>
      <c r="AC187" s="2"/>
    </row>
    <row r="188" spans="1:29" ht="15.5">
      <c r="A188" s="13" t="str">
        <f>IF(OR(ISBLANK(C188),ISBLANK(D188),ISBLANK(F188),ISBLANK(G188)),"",COUNTIF($B$5:B188,"JAMBUTU"))</f>
        <v/>
      </c>
      <c r="B188" s="8"/>
      <c r="C188" s="8"/>
      <c r="D188" s="8"/>
      <c r="E188" s="13"/>
      <c r="F188" s="12"/>
      <c r="G188" s="11"/>
      <c r="H188" s="12"/>
      <c r="I188" s="11"/>
      <c r="J188" s="10">
        <f t="shared" si="23"/>
        <v>0</v>
      </c>
      <c r="K188" s="10">
        <f t="shared" si="18"/>
        <v>0</v>
      </c>
      <c r="L188" s="9" t="str">
        <f t="shared" si="19"/>
        <v/>
      </c>
      <c r="M188" s="8"/>
      <c r="N188" s="8"/>
      <c r="O188" s="8"/>
      <c r="P188" s="8"/>
      <c r="Q188" s="8"/>
      <c r="R188" s="8"/>
      <c r="S188" s="8"/>
      <c r="T188" s="8"/>
      <c r="U188" s="8"/>
      <c r="V188" s="7"/>
      <c r="W188" s="6" t="str">
        <f t="array" ref="W188">IF(NOT(ISBLANK(D188)),_xludf.XLOOKUP(D188,[1]CODE!$A$4:$A$100,[1]CODE!$D$4:$D$100),"")</f>
        <v/>
      </c>
      <c r="X188" s="5" t="str">
        <f t="array" ref="X188">IF(NOT(AND(ISBLANK(D188),ISBLANK(C188))),_xludf.XLOOKUP(D188,[1]CODE!$A$4:$A$100,[1]CODE!$E$4:$E$100),"")</f>
        <v/>
      </c>
      <c r="Y188" s="5" t="str">
        <f t="shared" si="20"/>
        <v/>
      </c>
      <c r="Z188" s="5" t="str">
        <f t="shared" si="21"/>
        <v/>
      </c>
      <c r="AA188" s="4">
        <f t="shared" si="22"/>
        <v>0</v>
      </c>
      <c r="AC188" s="2"/>
    </row>
    <row r="189" spans="1:29" ht="15.5">
      <c r="A189" s="13">
        <f>IF(OR(ISBLANK(C189),ISBLANK(D189),ISBLANK(F189),ISBLANK(G189)),"",COUNTIF($B$5:B189,"JAMBUTU"))</f>
        <v>23</v>
      </c>
      <c r="B189" s="8" t="str">
        <f>IF(C189&lt;&gt;"","Jambutu","")</f>
        <v>Jambutu</v>
      </c>
      <c r="C189" s="8" t="s">
        <v>3</v>
      </c>
      <c r="D189" s="8" t="s">
        <v>12</v>
      </c>
      <c r="E189" s="13">
        <v>3.7</v>
      </c>
      <c r="F189" s="12">
        <v>46048</v>
      </c>
      <c r="G189" s="11">
        <v>0</v>
      </c>
      <c r="H189" s="12">
        <v>46048</v>
      </c>
      <c r="I189" s="11">
        <v>0.5444444444444444</v>
      </c>
      <c r="J189" s="10">
        <f t="shared" si="23"/>
        <v>46048</v>
      </c>
      <c r="K189" s="10">
        <f t="shared" si="18"/>
        <v>46048.544444444444</v>
      </c>
      <c r="L189" s="9">
        <f t="shared" si="19"/>
        <v>0.54444444444379769</v>
      </c>
      <c r="M189" s="8" t="s">
        <v>13</v>
      </c>
      <c r="N189" s="8" t="s">
        <v>1</v>
      </c>
      <c r="O189" s="8" t="s">
        <v>0</v>
      </c>
      <c r="P189" s="8"/>
      <c r="Q189" s="8"/>
      <c r="R189" s="8"/>
      <c r="S189" s="8"/>
      <c r="T189" s="8"/>
      <c r="U189" s="8"/>
      <c r="V189" s="7"/>
      <c r="W189" s="6" t="e">
        <f t="array" aca="1" ref="W189" ca="1">IF(NOT(ISBLANK(D189)),_xludf.XLOOKUP(D189,[1]CODE!$A$4:$A$100,[1]CODE!$D$4:$D$100),"")</f>
        <v>#NAME?</v>
      </c>
      <c r="X189" s="5" t="e">
        <f t="array" aca="1" ref="X189" ca="1">IF(NOT(AND(ISBLANK(D189),ISBLANK(C189))),_xludf.XLOOKUP(D189,[1]CODE!$A$4:$A$100,[1]CODE!$E$4:$E$100),"")</f>
        <v>#NAME?</v>
      </c>
      <c r="Y189" s="5" t="str">
        <f t="shared" si="20"/>
        <v>11kV</v>
      </c>
      <c r="Z189" s="5" t="str">
        <f t="shared" si="21"/>
        <v>YES</v>
      </c>
      <c r="AA189" s="4">
        <f t="shared" si="22"/>
        <v>46048</v>
      </c>
      <c r="AC189" s="2"/>
    </row>
    <row r="190" spans="1:29" ht="15.5">
      <c r="A190" s="13" t="str">
        <f>IF(OR(ISBLANK(C190),ISBLANK(D190),ISBLANK(F190),ISBLANK(G190)),"",COUNTIF($B$5:B190,"JAMBUTU"))</f>
        <v/>
      </c>
      <c r="B190" s="8"/>
      <c r="C190" s="8"/>
      <c r="D190" s="8"/>
      <c r="E190" s="13"/>
      <c r="F190" s="12"/>
      <c r="G190" s="11"/>
      <c r="H190" s="12"/>
      <c r="I190" s="11"/>
      <c r="J190" s="10">
        <f t="shared" si="23"/>
        <v>0</v>
      </c>
      <c r="K190" s="10">
        <f t="shared" si="18"/>
        <v>0</v>
      </c>
      <c r="L190" s="9" t="str">
        <f t="shared" si="19"/>
        <v/>
      </c>
      <c r="M190" s="8"/>
      <c r="N190" s="8"/>
      <c r="O190" s="8"/>
      <c r="P190" s="8"/>
      <c r="Q190" s="8"/>
      <c r="R190" s="8"/>
      <c r="S190" s="8"/>
      <c r="T190" s="8"/>
      <c r="U190" s="8"/>
      <c r="V190" s="7"/>
      <c r="W190" s="6" t="str">
        <f t="array" ref="W190">IF(NOT(ISBLANK(D190)),_xludf.XLOOKUP(D190,[1]CODE!$A$4:$A$100,[1]CODE!$D$4:$D$100),"")</f>
        <v/>
      </c>
      <c r="X190" s="5" t="str">
        <f t="array" ref="X190">IF(NOT(AND(ISBLANK(D190),ISBLANK(C190))),_xludf.XLOOKUP(D190,[1]CODE!$A$4:$A$100,[1]CODE!$E$4:$E$100),"")</f>
        <v/>
      </c>
      <c r="Y190" s="5" t="str">
        <f t="shared" si="20"/>
        <v/>
      </c>
      <c r="Z190" s="5" t="str">
        <f t="shared" si="21"/>
        <v/>
      </c>
      <c r="AA190" s="4">
        <f t="shared" si="22"/>
        <v>0</v>
      </c>
      <c r="AC190" s="2"/>
    </row>
    <row r="191" spans="1:29" ht="15.5">
      <c r="A191" s="13">
        <f>IF(OR(ISBLANK(C191),ISBLANK(D191),ISBLANK(F191),ISBLANK(G191)),"",COUNTIF($B$5:B191,"JAMBUTU"))</f>
        <v>24</v>
      </c>
      <c r="B191" s="8" t="str">
        <f>IF(C191&lt;&gt;"","Jambutu","")</f>
        <v>Jambutu</v>
      </c>
      <c r="C191" s="8" t="s">
        <v>4</v>
      </c>
      <c r="D191" s="8" t="s">
        <v>6</v>
      </c>
      <c r="E191" s="13">
        <v>4.2</v>
      </c>
      <c r="F191" s="12">
        <v>46048</v>
      </c>
      <c r="G191" s="11">
        <v>0.69027777777777777</v>
      </c>
      <c r="H191" s="12">
        <v>46048</v>
      </c>
      <c r="I191" s="11">
        <v>0.69166666666666665</v>
      </c>
      <c r="J191" s="10">
        <f t="shared" si="23"/>
        <v>46048.69027777778</v>
      </c>
      <c r="K191" s="10">
        <f t="shared" si="18"/>
        <v>46048.691666666666</v>
      </c>
      <c r="L191" s="9">
        <f t="shared" si="19"/>
        <v>1.3888888861401938E-3</v>
      </c>
      <c r="M191" s="8" t="s">
        <v>9</v>
      </c>
      <c r="N191" s="8" t="s">
        <v>1</v>
      </c>
      <c r="O191" s="8" t="s">
        <v>0</v>
      </c>
      <c r="P191" s="8"/>
      <c r="Q191" s="8"/>
      <c r="R191" s="8"/>
      <c r="S191" s="8"/>
      <c r="T191" s="8"/>
      <c r="U191" s="8"/>
      <c r="V191" s="7"/>
      <c r="W191" s="6" t="e">
        <f t="array" aca="1" ref="W191" ca="1">IF(NOT(ISBLANK(D191)),_xludf.XLOOKUP(D191,[1]CODE!$A$4:$A$100,[1]CODE!$D$4:$D$100),"")</f>
        <v>#NAME?</v>
      </c>
      <c r="X191" s="5" t="e">
        <f t="array" aca="1" ref="X191" ca="1">IF(NOT(AND(ISBLANK(D191),ISBLANK(C191))),_xludf.XLOOKUP(D191,[1]CODE!$A$4:$A$100,[1]CODE!$E$4:$E$100),"")</f>
        <v>#NAME?</v>
      </c>
      <c r="Y191" s="5" t="str">
        <f t="shared" si="20"/>
        <v>33KV</v>
      </c>
      <c r="Z191" s="5" t="str">
        <f t="shared" si="21"/>
        <v>YES</v>
      </c>
      <c r="AA191" s="4">
        <f t="shared" si="22"/>
        <v>46048</v>
      </c>
      <c r="AC191" s="2"/>
    </row>
    <row r="192" spans="1:29" ht="15.5">
      <c r="A192" s="13" t="str">
        <f>IF(OR(ISBLANK(C192),ISBLANK(D192),ISBLANK(F192),ISBLANK(G192)),"",COUNTIF($B$5:B192,"JAMBUTU"))</f>
        <v/>
      </c>
      <c r="B192" s="8"/>
      <c r="C192" s="8"/>
      <c r="D192" s="8"/>
      <c r="E192" s="13"/>
      <c r="F192" s="12"/>
      <c r="G192" s="11"/>
      <c r="H192" s="12"/>
      <c r="I192" s="11"/>
      <c r="J192" s="10">
        <f t="shared" si="23"/>
        <v>0</v>
      </c>
      <c r="K192" s="10">
        <f t="shared" si="18"/>
        <v>0</v>
      </c>
      <c r="L192" s="9" t="str">
        <f t="shared" si="19"/>
        <v/>
      </c>
      <c r="M192" s="8"/>
      <c r="N192" s="8"/>
      <c r="O192" s="8"/>
      <c r="P192" s="8"/>
      <c r="Q192" s="8"/>
      <c r="R192" s="8"/>
      <c r="S192" s="8"/>
      <c r="T192" s="8"/>
      <c r="U192" s="8"/>
      <c r="V192" s="7"/>
      <c r="W192" s="6" t="str">
        <f t="array" ref="W192">IF(NOT(ISBLANK(D192)),_xludf.XLOOKUP(D192,[1]CODE!$A$4:$A$100,[1]CODE!$D$4:$D$100),"")</f>
        <v/>
      </c>
      <c r="X192" s="5" t="str">
        <f t="array" ref="X192">IF(NOT(AND(ISBLANK(D192),ISBLANK(C192))),_xludf.XLOOKUP(D192,[1]CODE!$A$4:$A$100,[1]CODE!$E$4:$E$100),"")</f>
        <v/>
      </c>
      <c r="Y192" s="5" t="str">
        <f t="shared" si="20"/>
        <v/>
      </c>
      <c r="Z192" s="5" t="str">
        <f t="shared" si="21"/>
        <v/>
      </c>
      <c r="AA192" s="4">
        <f t="shared" si="22"/>
        <v>0</v>
      </c>
      <c r="AC192" s="2"/>
    </row>
    <row r="193" spans="1:29" ht="15.5">
      <c r="A193" s="13" t="str">
        <f>IF(OR(ISBLANK(C193),ISBLANK(D193),ISBLANK(F193),ISBLANK(G193)),"",COUNTIF($B$5:B193,"JAMBUTU"))</f>
        <v/>
      </c>
      <c r="B193" s="8"/>
      <c r="C193" s="8"/>
      <c r="D193" s="8"/>
      <c r="E193" s="13"/>
      <c r="F193" s="12"/>
      <c r="G193" s="11"/>
      <c r="H193" s="12"/>
      <c r="I193" s="11"/>
      <c r="J193" s="10">
        <f t="shared" si="23"/>
        <v>0</v>
      </c>
      <c r="K193" s="10">
        <f t="shared" si="18"/>
        <v>0</v>
      </c>
      <c r="L193" s="9" t="str">
        <f t="shared" si="19"/>
        <v/>
      </c>
      <c r="M193" s="8"/>
      <c r="N193" s="8"/>
      <c r="O193" s="8"/>
      <c r="P193" s="8"/>
      <c r="Q193" s="8"/>
      <c r="R193" s="8"/>
      <c r="S193" s="8"/>
      <c r="T193" s="8"/>
      <c r="U193" s="8"/>
      <c r="V193" s="7"/>
      <c r="W193" s="6" t="str">
        <f t="array" ref="W193">IF(NOT(ISBLANK(D193)),_xludf.XLOOKUP(D193,[1]CODE!$A$4:$A$100,[1]CODE!$D$4:$D$100),"")</f>
        <v/>
      </c>
      <c r="X193" s="5" t="str">
        <f t="array" ref="X193">IF(NOT(AND(ISBLANK(D193),ISBLANK(C193))),_xludf.XLOOKUP(D193,[1]CODE!$A$4:$A$100,[1]CODE!$E$4:$E$100),"")</f>
        <v/>
      </c>
      <c r="Y193" s="5" t="str">
        <f t="shared" si="20"/>
        <v/>
      </c>
      <c r="Z193" s="5" t="str">
        <f t="shared" si="21"/>
        <v/>
      </c>
      <c r="AA193" s="4">
        <f t="shared" si="22"/>
        <v>0</v>
      </c>
      <c r="AC193" s="2"/>
    </row>
    <row r="194" spans="1:29" ht="15.5">
      <c r="A194" s="13" t="str">
        <f>IF(OR(ISBLANK(C194),ISBLANK(D194),ISBLANK(F194),ISBLANK(G194)),"",COUNTIF($B$5:B194,"JAMBUTU"))</f>
        <v/>
      </c>
      <c r="B194" s="8"/>
      <c r="C194" s="8"/>
      <c r="D194" s="8"/>
      <c r="E194" s="13"/>
      <c r="F194" s="12"/>
      <c r="G194" s="11"/>
      <c r="H194" s="12"/>
      <c r="I194" s="11"/>
      <c r="J194" s="10">
        <f t="shared" si="23"/>
        <v>0</v>
      </c>
      <c r="K194" s="10">
        <f t="shared" si="18"/>
        <v>0</v>
      </c>
      <c r="L194" s="9" t="str">
        <f t="shared" si="19"/>
        <v/>
      </c>
      <c r="M194" s="8"/>
      <c r="N194" s="8"/>
      <c r="O194" s="8"/>
      <c r="P194" s="8"/>
      <c r="Q194" s="8"/>
      <c r="R194" s="8"/>
      <c r="S194" s="8"/>
      <c r="T194" s="8"/>
      <c r="U194" s="8"/>
      <c r="V194" s="7"/>
      <c r="W194" s="6" t="str">
        <f t="array" ref="W194">IF(NOT(ISBLANK(D194)),_xludf.XLOOKUP(D194,[1]CODE!$A$4:$A$100,[1]CODE!$D$4:$D$100),"")</f>
        <v/>
      </c>
      <c r="X194" s="5" t="str">
        <f t="array" ref="X194">IF(NOT(AND(ISBLANK(D194),ISBLANK(C194))),_xludf.XLOOKUP(D194,[1]CODE!$A$4:$A$100,[1]CODE!$E$4:$E$100),"")</f>
        <v/>
      </c>
      <c r="Y194" s="5" t="str">
        <f t="shared" si="20"/>
        <v/>
      </c>
      <c r="Z194" s="5" t="str">
        <f t="shared" si="21"/>
        <v/>
      </c>
      <c r="AA194" s="4">
        <f t="shared" si="22"/>
        <v>0</v>
      </c>
      <c r="AC194" s="2"/>
    </row>
    <row r="195" spans="1:29" ht="15.5">
      <c r="A195" s="13" t="str">
        <f>IF(OR(ISBLANK(C195),ISBLANK(D195),ISBLANK(F195),ISBLANK(G195)),"",COUNTIF($B$5:B195,"JAMBUTU"))</f>
        <v/>
      </c>
      <c r="B195" s="8"/>
      <c r="C195" s="8"/>
      <c r="D195" s="8"/>
      <c r="E195" s="13"/>
      <c r="F195" s="12"/>
      <c r="G195" s="11"/>
      <c r="H195" s="12"/>
      <c r="I195" s="11"/>
      <c r="J195" s="10">
        <f t="shared" si="23"/>
        <v>0</v>
      </c>
      <c r="K195" s="10">
        <f t="shared" si="18"/>
        <v>0</v>
      </c>
      <c r="L195" s="9" t="str">
        <f t="shared" si="19"/>
        <v/>
      </c>
      <c r="M195" s="8"/>
      <c r="N195" s="8"/>
      <c r="O195" s="8"/>
      <c r="P195" s="8"/>
      <c r="Q195" s="8"/>
      <c r="R195" s="8"/>
      <c r="S195" s="8"/>
      <c r="T195" s="8"/>
      <c r="U195" s="8"/>
      <c r="V195" s="7"/>
      <c r="W195" s="6" t="str">
        <f t="array" ref="W195">IF(NOT(ISBLANK(D195)),_xludf.XLOOKUP(D195,[1]CODE!$A$4:$A$100,[1]CODE!$D$4:$D$100),"")</f>
        <v/>
      </c>
      <c r="X195" s="5" t="str">
        <f t="array" ref="X195">IF(NOT(AND(ISBLANK(D195),ISBLANK(C195))),_xludf.XLOOKUP(D195,[1]CODE!$A$4:$A$100,[1]CODE!$E$4:$E$100),"")</f>
        <v/>
      </c>
      <c r="Y195" s="5" t="str">
        <f t="shared" si="20"/>
        <v/>
      </c>
      <c r="Z195" s="5" t="str">
        <f t="shared" si="21"/>
        <v/>
      </c>
      <c r="AA195" s="4">
        <f t="shared" si="22"/>
        <v>0</v>
      </c>
      <c r="AC195" s="2"/>
    </row>
    <row r="196" spans="1:29" ht="15.5">
      <c r="A196" s="13" t="str">
        <f>IF(OR(ISBLANK(C196),ISBLANK(D196),ISBLANK(F196),ISBLANK(G196)),"",COUNTIF($B$5:B196,"JAMBUTU"))</f>
        <v/>
      </c>
      <c r="B196" s="8"/>
      <c r="C196" s="8"/>
      <c r="D196" s="8"/>
      <c r="E196" s="13"/>
      <c r="F196" s="12"/>
      <c r="G196" s="11"/>
      <c r="H196" s="12"/>
      <c r="I196" s="11"/>
      <c r="J196" s="10">
        <f t="shared" si="23"/>
        <v>0</v>
      </c>
      <c r="K196" s="10">
        <f t="shared" si="18"/>
        <v>0</v>
      </c>
      <c r="L196" s="9" t="str">
        <f t="shared" si="19"/>
        <v/>
      </c>
      <c r="M196" s="8"/>
      <c r="N196" s="8"/>
      <c r="O196" s="8"/>
      <c r="P196" s="8"/>
      <c r="Q196" s="8"/>
      <c r="R196" s="8"/>
      <c r="S196" s="8"/>
      <c r="T196" s="8"/>
      <c r="U196" s="8"/>
      <c r="V196" s="7"/>
      <c r="W196" s="6" t="str">
        <f t="array" ref="W196">IF(NOT(ISBLANK(D196)),_xludf.XLOOKUP(D196,[1]CODE!$A$4:$A$100,[1]CODE!$D$4:$D$100),"")</f>
        <v/>
      </c>
      <c r="X196" s="5" t="str">
        <f t="array" ref="X196">IF(NOT(AND(ISBLANK(D196),ISBLANK(C196))),_xludf.XLOOKUP(D196,[1]CODE!$A$4:$A$100,[1]CODE!$E$4:$E$100),"")</f>
        <v/>
      </c>
      <c r="Y196" s="5" t="str">
        <f t="shared" si="20"/>
        <v/>
      </c>
      <c r="Z196" s="5" t="str">
        <f t="shared" si="21"/>
        <v/>
      </c>
      <c r="AA196" s="4">
        <f t="shared" si="22"/>
        <v>0</v>
      </c>
      <c r="AC196" s="2"/>
    </row>
    <row r="197" spans="1:29" ht="15.5">
      <c r="A197" s="13">
        <f>IF(OR(ISBLANK(C197),ISBLANK(D197),ISBLANK(F197),ISBLANK(G197)),"",COUNTIF($B$5:B197,"JAMBUTU"))</f>
        <v>25</v>
      </c>
      <c r="B197" s="8" t="str">
        <f>IF(C197&lt;&gt;"","Jambutu","")</f>
        <v>Jambutu</v>
      </c>
      <c r="C197" s="8" t="s">
        <v>8</v>
      </c>
      <c r="D197" s="8" t="s">
        <v>12</v>
      </c>
      <c r="E197" s="13">
        <v>0.18</v>
      </c>
      <c r="F197" s="12">
        <v>46048</v>
      </c>
      <c r="G197" s="11">
        <v>0.48749999999999999</v>
      </c>
      <c r="H197" s="12">
        <v>46048</v>
      </c>
      <c r="I197" s="11">
        <v>0.5444444444444444</v>
      </c>
      <c r="J197" s="10">
        <f t="shared" si="23"/>
        <v>46048.487500000003</v>
      </c>
      <c r="K197" s="10">
        <f t="shared" ref="K197:K260" si="24">DATE(YEAR(H197),MONTH(H197),DAY(H197))+TIME(HOUR(I197),MINUTE(I197), SECOND(I197))</f>
        <v>46048.544444444444</v>
      </c>
      <c r="L197" s="9">
        <f t="shared" ref="L197:L260" si="25">IF(ISBLANK(I197),"",IF(J197&gt;K197,(K197+1)-J197,K197-J197))</f>
        <v>5.694444444088731E-2</v>
      </c>
      <c r="M197" s="8" t="s">
        <v>11</v>
      </c>
      <c r="N197" s="8" t="s">
        <v>1</v>
      </c>
      <c r="O197" s="8" t="s">
        <v>0</v>
      </c>
      <c r="P197" s="8"/>
      <c r="Q197" s="8"/>
      <c r="R197" s="8"/>
      <c r="S197" s="8"/>
      <c r="T197" s="8"/>
      <c r="U197" s="8"/>
      <c r="V197" s="7"/>
      <c r="W197" s="6" t="e">
        <f t="array" aca="1" ref="W197" ca="1">IF(NOT(ISBLANK(D197)),_xludf.XLOOKUP(D197,[1]CODE!$A$4:$A$100,[1]CODE!$D$4:$D$100),"")</f>
        <v>#NAME?</v>
      </c>
      <c r="X197" s="5" t="e">
        <f t="array" aca="1" ref="X197" ca="1">IF(NOT(AND(ISBLANK(D197),ISBLANK(C197))),_xludf.XLOOKUP(D197,[1]CODE!$A$4:$A$100,[1]CODE!$E$4:$E$100),"")</f>
        <v>#NAME?</v>
      </c>
      <c r="Y197" s="5" t="str">
        <f t="shared" ref="Y197:Y260" si="26">LEFT(C197,4)</f>
        <v>11kV</v>
      </c>
      <c r="Z197" s="5" t="str">
        <f t="shared" ref="Z197:Z260" si="27">IF(NOT(ISBLANK(C197)), IF(K197&gt;J197,"YES","NO"),"")</f>
        <v>YES</v>
      </c>
      <c r="AA197" s="4">
        <f t="shared" ref="AA197:AA260" si="28">IF(AND(F197=H197,Z197="NO"),1+H197,H197)</f>
        <v>46048</v>
      </c>
      <c r="AC197" s="2"/>
    </row>
    <row r="198" spans="1:29" ht="15.5">
      <c r="A198" s="13" t="str">
        <f>IF(OR(ISBLANK(C198),ISBLANK(D198),ISBLANK(F198),ISBLANK(G198)),"",COUNTIF($B$5:B198,"JAMBUTU"))</f>
        <v/>
      </c>
      <c r="B198" s="8"/>
      <c r="C198" s="8"/>
      <c r="D198" s="8"/>
      <c r="E198" s="13"/>
      <c r="F198" s="12"/>
      <c r="G198" s="11"/>
      <c r="H198" s="12"/>
      <c r="I198" s="11"/>
      <c r="J198" s="10">
        <f t="shared" si="23"/>
        <v>0</v>
      </c>
      <c r="K198" s="10">
        <f t="shared" si="24"/>
        <v>0</v>
      </c>
      <c r="L198" s="9" t="str">
        <f t="shared" si="25"/>
        <v/>
      </c>
      <c r="M198" s="8"/>
      <c r="N198" s="8"/>
      <c r="O198" s="8"/>
      <c r="P198" s="8"/>
      <c r="Q198" s="8"/>
      <c r="R198" s="8"/>
      <c r="S198" s="8"/>
      <c r="T198" s="8"/>
      <c r="U198" s="8"/>
      <c r="V198" s="7"/>
      <c r="W198" s="6" t="str">
        <f t="array" ref="W198">IF(NOT(ISBLANK(D198)),_xludf.XLOOKUP(D198,[1]CODE!$A$4:$A$100,[1]CODE!$D$4:$D$100),"")</f>
        <v/>
      </c>
      <c r="X198" s="5" t="str">
        <f t="array" ref="X198">IF(NOT(AND(ISBLANK(D198),ISBLANK(C198))),_xludf.XLOOKUP(D198,[1]CODE!$A$4:$A$100,[1]CODE!$E$4:$E$100),"")</f>
        <v/>
      </c>
      <c r="Y198" s="5" t="str">
        <f t="shared" si="26"/>
        <v/>
      </c>
      <c r="Z198" s="5" t="str">
        <f t="shared" si="27"/>
        <v/>
      </c>
      <c r="AA198" s="4">
        <f t="shared" si="28"/>
        <v>0</v>
      </c>
      <c r="AC198" s="2"/>
    </row>
    <row r="199" spans="1:29" ht="15.5">
      <c r="A199" s="13" t="str">
        <f>IF(OR(ISBLANK(C199),ISBLANK(D199),ISBLANK(F199),ISBLANK(G199)),"",COUNTIF($B$5:B199,"JAMBUTU"))</f>
        <v/>
      </c>
      <c r="B199" s="8"/>
      <c r="C199" s="8"/>
      <c r="D199" s="8"/>
      <c r="E199" s="13"/>
      <c r="F199" s="12"/>
      <c r="G199" s="11"/>
      <c r="H199" s="12"/>
      <c r="I199" s="11"/>
      <c r="J199" s="10">
        <f t="shared" si="23"/>
        <v>0</v>
      </c>
      <c r="K199" s="10">
        <f t="shared" si="24"/>
        <v>0</v>
      </c>
      <c r="L199" s="9" t="str">
        <f t="shared" si="25"/>
        <v/>
      </c>
      <c r="M199" s="8"/>
      <c r="N199" s="8"/>
      <c r="O199" s="8"/>
      <c r="P199" s="8"/>
      <c r="Q199" s="8"/>
      <c r="R199" s="8"/>
      <c r="S199" s="8"/>
      <c r="T199" s="8"/>
      <c r="U199" s="8"/>
      <c r="V199" s="7"/>
      <c r="W199" s="6" t="str">
        <f t="array" ref="W199">IF(NOT(ISBLANK(D199)),_xludf.XLOOKUP(D199,[1]CODE!$A$4:$A$100,[1]CODE!$D$4:$D$100),"")</f>
        <v/>
      </c>
      <c r="X199" s="5" t="str">
        <f t="array" ref="X199">IF(NOT(AND(ISBLANK(D199),ISBLANK(C199))),_xludf.XLOOKUP(D199,[1]CODE!$A$4:$A$100,[1]CODE!$E$4:$E$100),"")</f>
        <v/>
      </c>
      <c r="Y199" s="5" t="str">
        <f t="shared" si="26"/>
        <v/>
      </c>
      <c r="Z199" s="5" t="str">
        <f t="shared" si="27"/>
        <v/>
      </c>
      <c r="AA199" s="4">
        <f t="shared" si="28"/>
        <v>0</v>
      </c>
      <c r="AC199" s="2"/>
    </row>
    <row r="200" spans="1:29" ht="15.5">
      <c r="A200" s="13" t="str">
        <f>IF(OR(ISBLANK(C200),ISBLANK(D200),ISBLANK(F200),ISBLANK(G200)),"",COUNTIF($B$5:B200,"JAMBUTU"))</f>
        <v/>
      </c>
      <c r="B200" s="8"/>
      <c r="C200" s="8"/>
      <c r="D200" s="8"/>
      <c r="E200" s="13"/>
      <c r="F200" s="12"/>
      <c r="G200" s="11"/>
      <c r="H200" s="12"/>
      <c r="I200" s="11"/>
      <c r="J200" s="10">
        <f t="shared" si="23"/>
        <v>0</v>
      </c>
      <c r="K200" s="10">
        <f t="shared" si="24"/>
        <v>0</v>
      </c>
      <c r="L200" s="9" t="str">
        <f t="shared" si="25"/>
        <v/>
      </c>
      <c r="M200" s="8"/>
      <c r="N200" s="8"/>
      <c r="O200" s="8"/>
      <c r="P200" s="8"/>
      <c r="Q200" s="8"/>
      <c r="R200" s="8"/>
      <c r="S200" s="8"/>
      <c r="T200" s="8"/>
      <c r="U200" s="8"/>
      <c r="V200" s="7"/>
      <c r="W200" s="6" t="str">
        <f t="array" ref="W200">IF(NOT(ISBLANK(D200)),_xludf.XLOOKUP(D200,[1]CODE!$A$4:$A$100,[1]CODE!$D$4:$D$100),"")</f>
        <v/>
      </c>
      <c r="X200" s="5" t="str">
        <f t="array" ref="X200">IF(NOT(AND(ISBLANK(D200),ISBLANK(C200))),_xludf.XLOOKUP(D200,[1]CODE!$A$4:$A$100,[1]CODE!$E$4:$E$100),"")</f>
        <v/>
      </c>
      <c r="Y200" s="5" t="str">
        <f t="shared" si="26"/>
        <v/>
      </c>
      <c r="Z200" s="5" t="str">
        <f t="shared" si="27"/>
        <v/>
      </c>
      <c r="AA200" s="4">
        <f t="shared" si="28"/>
        <v>0</v>
      </c>
      <c r="AC200" s="2"/>
    </row>
    <row r="201" spans="1:29" ht="15.5">
      <c r="A201" s="13" t="str">
        <f>IF(OR(ISBLANK(C201),ISBLANK(D201),ISBLANK(F201),ISBLANK(G201)),"",COUNTIF($B$5:B201,"JAMBUTU"))</f>
        <v/>
      </c>
      <c r="B201" s="8"/>
      <c r="C201" s="8"/>
      <c r="D201" s="8"/>
      <c r="E201" s="13"/>
      <c r="F201" s="12"/>
      <c r="G201" s="11"/>
      <c r="H201" s="12"/>
      <c r="I201" s="11"/>
      <c r="J201" s="10">
        <f t="shared" si="23"/>
        <v>0</v>
      </c>
      <c r="K201" s="10">
        <f t="shared" si="24"/>
        <v>0</v>
      </c>
      <c r="L201" s="9" t="str">
        <f t="shared" si="25"/>
        <v/>
      </c>
      <c r="M201" s="8"/>
      <c r="N201" s="8"/>
      <c r="O201" s="8"/>
      <c r="P201" s="8"/>
      <c r="Q201" s="8"/>
      <c r="R201" s="8"/>
      <c r="S201" s="8"/>
      <c r="T201" s="8"/>
      <c r="U201" s="8"/>
      <c r="V201" s="7"/>
      <c r="W201" s="6" t="str">
        <f t="array" ref="W201">IF(NOT(ISBLANK(D201)),_xludf.XLOOKUP(D201,[1]CODE!$A$4:$A$100,[1]CODE!$D$4:$D$100),"")</f>
        <v/>
      </c>
      <c r="X201" s="5" t="str">
        <f t="array" ref="X201">IF(NOT(AND(ISBLANK(D201),ISBLANK(C201))),_xludf.XLOOKUP(D201,[1]CODE!$A$4:$A$100,[1]CODE!$E$4:$E$100),"")</f>
        <v/>
      </c>
      <c r="Y201" s="5" t="str">
        <f t="shared" si="26"/>
        <v/>
      </c>
      <c r="Z201" s="5" t="str">
        <f t="shared" si="27"/>
        <v/>
      </c>
      <c r="AA201" s="4">
        <f t="shared" si="28"/>
        <v>0</v>
      </c>
      <c r="AC201" s="2"/>
    </row>
    <row r="202" spans="1:29" ht="15.5">
      <c r="A202" s="13" t="str">
        <f>IF(OR(ISBLANK(C202),ISBLANK(D202),ISBLANK(F202),ISBLANK(G202)),"",COUNTIF($B$5:B202,"JAMBUTU"))</f>
        <v/>
      </c>
      <c r="B202" s="8"/>
      <c r="C202" s="8"/>
      <c r="D202" s="8"/>
      <c r="E202" s="13"/>
      <c r="F202" s="12"/>
      <c r="G202" s="11"/>
      <c r="H202" s="12"/>
      <c r="I202" s="11"/>
      <c r="J202" s="10">
        <f t="shared" si="23"/>
        <v>0</v>
      </c>
      <c r="K202" s="10">
        <f t="shared" si="24"/>
        <v>0</v>
      </c>
      <c r="L202" s="9" t="str">
        <f t="shared" si="25"/>
        <v/>
      </c>
      <c r="M202" s="8"/>
      <c r="N202" s="8"/>
      <c r="O202" s="8"/>
      <c r="P202" s="8"/>
      <c r="Q202" s="8"/>
      <c r="R202" s="8"/>
      <c r="S202" s="8"/>
      <c r="T202" s="8"/>
      <c r="U202" s="8"/>
      <c r="V202" s="7"/>
      <c r="W202" s="6" t="str">
        <f t="array" ref="W202">IF(NOT(ISBLANK(D202)),_xludf.XLOOKUP(D202,[1]CODE!$A$4:$A$100,[1]CODE!$D$4:$D$100),"")</f>
        <v/>
      </c>
      <c r="X202" s="5" t="str">
        <f t="array" ref="X202">IF(NOT(AND(ISBLANK(D202),ISBLANK(C202))),_xludf.XLOOKUP(D202,[1]CODE!$A$4:$A$100,[1]CODE!$E$4:$E$100),"")</f>
        <v/>
      </c>
      <c r="Y202" s="5" t="str">
        <f t="shared" si="26"/>
        <v/>
      </c>
      <c r="Z202" s="5" t="str">
        <f t="shared" si="27"/>
        <v/>
      </c>
      <c r="AA202" s="4">
        <f t="shared" si="28"/>
        <v>0</v>
      </c>
      <c r="AC202" s="2"/>
    </row>
    <row r="203" spans="1:29" ht="15.5">
      <c r="A203" s="13">
        <f>IF(OR(ISBLANK(C203),ISBLANK(D203),ISBLANK(F203),ISBLANK(G203)),"",COUNTIF($B$5:B203,"JAMBUTU"))</f>
        <v>26</v>
      </c>
      <c r="B203" s="8" t="str">
        <f>IF(C203&lt;&gt;"","Jambutu","")</f>
        <v>Jambutu</v>
      </c>
      <c r="C203" s="8" t="s">
        <v>4</v>
      </c>
      <c r="D203" s="8" t="s">
        <v>10</v>
      </c>
      <c r="E203" s="13">
        <v>4.4000000000000004</v>
      </c>
      <c r="F203" s="12">
        <v>46050</v>
      </c>
      <c r="G203" s="11">
        <v>0.64930555555555558</v>
      </c>
      <c r="H203" s="12">
        <v>46050</v>
      </c>
      <c r="I203" s="11">
        <v>0.65277777777777779</v>
      </c>
      <c r="J203" s="10">
        <f t="shared" si="23"/>
        <v>46050.649305555555</v>
      </c>
      <c r="K203" s="10">
        <f t="shared" si="24"/>
        <v>46050.652777777781</v>
      </c>
      <c r="L203" s="9">
        <f t="shared" si="25"/>
        <v>3.4722222262644209E-3</v>
      </c>
      <c r="M203" s="8" t="s">
        <v>9</v>
      </c>
      <c r="N203" s="8" t="s">
        <v>1</v>
      </c>
      <c r="O203" s="8" t="s">
        <v>0</v>
      </c>
      <c r="P203" s="8"/>
      <c r="Q203" s="8"/>
      <c r="R203" s="8"/>
      <c r="S203" s="8"/>
      <c r="T203" s="8"/>
      <c r="U203" s="8"/>
      <c r="V203" s="7"/>
      <c r="W203" s="6" t="e">
        <f t="array" aca="1" ref="W203" ca="1">IF(NOT(ISBLANK(D203)),_xludf.XLOOKUP(D203,[1]CODE!$A$4:$A$100,[1]CODE!$D$4:$D$100),"")</f>
        <v>#NAME?</v>
      </c>
      <c r="X203" s="5" t="e">
        <f t="array" aca="1" ref="X203" ca="1">IF(NOT(AND(ISBLANK(D203),ISBLANK(C203))),_xludf.XLOOKUP(D203,[1]CODE!$A$4:$A$100,[1]CODE!$E$4:$E$100),"")</f>
        <v>#NAME?</v>
      </c>
      <c r="Y203" s="5" t="str">
        <f t="shared" si="26"/>
        <v>33KV</v>
      </c>
      <c r="Z203" s="5" t="str">
        <f t="shared" si="27"/>
        <v>YES</v>
      </c>
      <c r="AA203" s="4">
        <f t="shared" si="28"/>
        <v>46050</v>
      </c>
      <c r="AC203" s="2"/>
    </row>
    <row r="204" spans="1:29" ht="15.5">
      <c r="A204" s="13">
        <f>IF(OR(ISBLANK(C204),ISBLANK(D204),ISBLANK(F204),ISBLANK(G204)),"",COUNTIF($B$5:B204,"JAMBUTU"))</f>
        <v>27</v>
      </c>
      <c r="B204" s="8" t="str">
        <f>IF(C204&lt;&gt;"","Jambutu","")</f>
        <v>Jambutu</v>
      </c>
      <c r="C204" s="8" t="s">
        <v>4</v>
      </c>
      <c r="D204" s="8" t="s">
        <v>10</v>
      </c>
      <c r="E204" s="13">
        <v>4.4000000000000004</v>
      </c>
      <c r="F204" s="12">
        <v>46050</v>
      </c>
      <c r="G204" s="11">
        <v>0.67083333333333328</v>
      </c>
      <c r="H204" s="12">
        <v>46050</v>
      </c>
      <c r="I204" s="11">
        <v>0.67361111111111116</v>
      </c>
      <c r="J204" s="10">
        <f t="shared" si="23"/>
        <v>46050.67083333333</v>
      </c>
      <c r="K204" s="10">
        <f t="shared" si="24"/>
        <v>46050.673611111109</v>
      </c>
      <c r="L204" s="9">
        <f t="shared" si="25"/>
        <v>2.7777777795563452E-3</v>
      </c>
      <c r="M204" s="8" t="s">
        <v>9</v>
      </c>
      <c r="N204" s="8" t="s">
        <v>1</v>
      </c>
      <c r="O204" s="8" t="s">
        <v>0</v>
      </c>
      <c r="P204" s="8"/>
      <c r="Q204" s="8"/>
      <c r="R204" s="8"/>
      <c r="S204" s="8"/>
      <c r="T204" s="8"/>
      <c r="U204" s="8"/>
      <c r="V204" s="7"/>
      <c r="W204" s="6" t="e">
        <f t="array" aca="1" ref="W204" ca="1">IF(NOT(ISBLANK(D204)),_xludf.XLOOKUP(D204,[1]CODE!$A$4:$A$100,[1]CODE!$D$4:$D$100),"")</f>
        <v>#NAME?</v>
      </c>
      <c r="X204" s="5" t="e">
        <f t="array" aca="1" ref="X204" ca="1">IF(NOT(AND(ISBLANK(D204),ISBLANK(C204))),_xludf.XLOOKUP(D204,[1]CODE!$A$4:$A$100,[1]CODE!$E$4:$E$100),"")</f>
        <v>#NAME?</v>
      </c>
      <c r="Y204" s="5" t="str">
        <f t="shared" si="26"/>
        <v>33KV</v>
      </c>
      <c r="Z204" s="5" t="str">
        <f t="shared" si="27"/>
        <v>YES</v>
      </c>
      <c r="AA204" s="4">
        <f t="shared" si="28"/>
        <v>46050</v>
      </c>
      <c r="AC204" s="2"/>
    </row>
    <row r="205" spans="1:29" ht="15.5">
      <c r="A205" s="13" t="str">
        <f>IF(OR(ISBLANK(C205),ISBLANK(D205),ISBLANK(F205),ISBLANK(G205)),"",COUNTIF($B$5:B205,"JAMBUTU"))</f>
        <v/>
      </c>
      <c r="B205" s="8"/>
      <c r="C205" s="8"/>
      <c r="D205" s="8"/>
      <c r="E205" s="13"/>
      <c r="F205" s="12"/>
      <c r="G205" s="11"/>
      <c r="H205" s="12"/>
      <c r="I205" s="11"/>
      <c r="J205" s="10">
        <f t="shared" si="23"/>
        <v>0</v>
      </c>
      <c r="K205" s="10">
        <f t="shared" si="24"/>
        <v>0</v>
      </c>
      <c r="L205" s="9" t="str">
        <f t="shared" si="25"/>
        <v/>
      </c>
      <c r="M205" s="8"/>
      <c r="N205" s="8"/>
      <c r="O205" s="8"/>
      <c r="P205" s="8"/>
      <c r="Q205" s="8"/>
      <c r="R205" s="8"/>
      <c r="S205" s="8"/>
      <c r="T205" s="8"/>
      <c r="U205" s="8"/>
      <c r="V205" s="7"/>
      <c r="W205" s="6" t="str">
        <f t="array" ref="W205">IF(NOT(ISBLANK(D205)),_xludf.XLOOKUP(D205,[1]CODE!$A$4:$A$100,[1]CODE!$D$4:$D$100),"")</f>
        <v/>
      </c>
      <c r="X205" s="5" t="str">
        <f t="array" ref="X205">IF(NOT(AND(ISBLANK(D205),ISBLANK(C205))),_xludf.XLOOKUP(D205,[1]CODE!$A$4:$A$100,[1]CODE!$E$4:$E$100),"")</f>
        <v/>
      </c>
      <c r="Y205" s="5" t="str">
        <f t="shared" si="26"/>
        <v/>
      </c>
      <c r="Z205" s="5" t="str">
        <f t="shared" si="27"/>
        <v/>
      </c>
      <c r="AA205" s="4">
        <f t="shared" si="28"/>
        <v>0</v>
      </c>
      <c r="AC205" s="2"/>
    </row>
    <row r="206" spans="1:29" ht="15.5">
      <c r="A206" s="13" t="str">
        <f>IF(OR(ISBLANK(C206),ISBLANK(D206),ISBLANK(F206),ISBLANK(G206)),"",COUNTIF($B$5:B206,"JAMBUTU"))</f>
        <v/>
      </c>
      <c r="B206" s="8"/>
      <c r="C206" s="8"/>
      <c r="D206" s="8"/>
      <c r="E206" s="13"/>
      <c r="F206" s="12"/>
      <c r="G206" s="11"/>
      <c r="H206" s="12"/>
      <c r="I206" s="11"/>
      <c r="J206" s="10">
        <f t="shared" si="23"/>
        <v>0</v>
      </c>
      <c r="K206" s="10">
        <f t="shared" si="24"/>
        <v>0</v>
      </c>
      <c r="L206" s="9" t="str">
        <f t="shared" si="25"/>
        <v/>
      </c>
      <c r="M206" s="8"/>
      <c r="N206" s="8"/>
      <c r="O206" s="8"/>
      <c r="P206" s="8"/>
      <c r="Q206" s="8"/>
      <c r="R206" s="8"/>
      <c r="S206" s="8"/>
      <c r="T206" s="8"/>
      <c r="U206" s="8"/>
      <c r="V206" s="7"/>
      <c r="W206" s="6" t="str">
        <f t="array" ref="W206">IF(NOT(ISBLANK(D206)),_xludf.XLOOKUP(D206,[1]CODE!$A$4:$A$100,[1]CODE!$D$4:$D$100),"")</f>
        <v/>
      </c>
      <c r="X206" s="5" t="str">
        <f t="array" ref="X206">IF(NOT(AND(ISBLANK(D206),ISBLANK(C206))),_xludf.XLOOKUP(D206,[1]CODE!$A$4:$A$100,[1]CODE!$E$4:$E$100),"")</f>
        <v/>
      </c>
      <c r="Y206" s="5" t="str">
        <f t="shared" si="26"/>
        <v/>
      </c>
      <c r="Z206" s="5" t="str">
        <f t="shared" si="27"/>
        <v/>
      </c>
      <c r="AA206" s="4">
        <f t="shared" si="28"/>
        <v>0</v>
      </c>
      <c r="AC206" s="2"/>
    </row>
    <row r="207" spans="1:29" ht="15.5">
      <c r="A207" s="13" t="str">
        <f>IF(OR(ISBLANK(C207),ISBLANK(D207),ISBLANK(F207),ISBLANK(G207)),"",COUNTIF($B$5:B207,"JAMBUTU"))</f>
        <v/>
      </c>
      <c r="B207" s="8"/>
      <c r="C207" s="8"/>
      <c r="D207" s="8"/>
      <c r="E207" s="13"/>
      <c r="F207" s="12"/>
      <c r="G207" s="11"/>
      <c r="H207" s="12"/>
      <c r="I207" s="11"/>
      <c r="J207" s="10">
        <f t="shared" si="23"/>
        <v>0</v>
      </c>
      <c r="K207" s="10">
        <f t="shared" si="24"/>
        <v>0</v>
      </c>
      <c r="L207" s="9" t="str">
        <f t="shared" si="25"/>
        <v/>
      </c>
      <c r="M207" s="8"/>
      <c r="N207" s="8"/>
      <c r="O207" s="8"/>
      <c r="P207" s="8"/>
      <c r="Q207" s="8"/>
      <c r="R207" s="8"/>
      <c r="S207" s="8"/>
      <c r="T207" s="8"/>
      <c r="U207" s="8"/>
      <c r="V207" s="7"/>
      <c r="W207" s="6" t="str">
        <f t="array" ref="W207">IF(NOT(ISBLANK(D207)),_xludf.XLOOKUP(D207,[1]CODE!$A$4:$A$100,[1]CODE!$D$4:$D$100),"")</f>
        <v/>
      </c>
      <c r="X207" s="5" t="str">
        <f t="array" ref="X207">IF(NOT(AND(ISBLANK(D207),ISBLANK(C207))),_xludf.XLOOKUP(D207,[1]CODE!$A$4:$A$100,[1]CODE!$E$4:$E$100),"")</f>
        <v/>
      </c>
      <c r="Y207" s="5" t="str">
        <f t="shared" si="26"/>
        <v/>
      </c>
      <c r="Z207" s="5" t="str">
        <f t="shared" si="27"/>
        <v/>
      </c>
      <c r="AA207" s="4">
        <f t="shared" si="28"/>
        <v>0</v>
      </c>
      <c r="AC207" s="2"/>
    </row>
    <row r="208" spans="1:29" ht="15.5">
      <c r="A208" s="13" t="str">
        <f>IF(OR(ISBLANK(C208),ISBLANK(D208),ISBLANK(F208),ISBLANK(G208)),"",COUNTIF($B$5:B208,"JAMBUTU"))</f>
        <v/>
      </c>
      <c r="B208" s="8"/>
      <c r="C208" s="8"/>
      <c r="D208" s="8"/>
      <c r="E208" s="13"/>
      <c r="F208" s="12"/>
      <c r="G208" s="11"/>
      <c r="H208" s="12"/>
      <c r="I208" s="11"/>
      <c r="J208" s="10">
        <f t="shared" si="23"/>
        <v>0</v>
      </c>
      <c r="K208" s="10">
        <f t="shared" si="24"/>
        <v>0</v>
      </c>
      <c r="L208" s="9" t="str">
        <f t="shared" si="25"/>
        <v/>
      </c>
      <c r="M208" s="8"/>
      <c r="N208" s="8"/>
      <c r="O208" s="8"/>
      <c r="P208" s="8"/>
      <c r="Q208" s="8"/>
      <c r="R208" s="8"/>
      <c r="S208" s="8"/>
      <c r="T208" s="8"/>
      <c r="U208" s="8"/>
      <c r="V208" s="7"/>
      <c r="W208" s="6" t="str">
        <f t="array" ref="W208">IF(NOT(ISBLANK(D208)),_xludf.XLOOKUP(D208,[1]CODE!$A$4:$A$100,[1]CODE!$D$4:$D$100),"")</f>
        <v/>
      </c>
      <c r="X208" s="5" t="str">
        <f t="array" ref="X208">IF(NOT(AND(ISBLANK(D208),ISBLANK(C208))),_xludf.XLOOKUP(D208,[1]CODE!$A$4:$A$100,[1]CODE!$E$4:$E$100),"")</f>
        <v/>
      </c>
      <c r="Y208" s="5" t="str">
        <f t="shared" si="26"/>
        <v/>
      </c>
      <c r="Z208" s="5" t="str">
        <f t="shared" si="27"/>
        <v/>
      </c>
      <c r="AA208" s="4">
        <f t="shared" si="28"/>
        <v>0</v>
      </c>
      <c r="AC208" s="2"/>
    </row>
    <row r="209" spans="1:29" ht="15.5">
      <c r="A209" s="13" t="str">
        <f>IF(OR(ISBLANK(C209),ISBLANK(D209),ISBLANK(F209),ISBLANK(G209)),"",COUNTIF($B$5:B209,"JAMBUTU"))</f>
        <v/>
      </c>
      <c r="B209" s="8"/>
      <c r="C209" s="8"/>
      <c r="D209" s="8"/>
      <c r="E209" s="13"/>
      <c r="F209" s="12"/>
      <c r="G209" s="11"/>
      <c r="H209" s="12"/>
      <c r="I209" s="11"/>
      <c r="J209" s="10">
        <f t="shared" si="23"/>
        <v>0</v>
      </c>
      <c r="K209" s="10">
        <f t="shared" si="24"/>
        <v>0</v>
      </c>
      <c r="L209" s="9" t="str">
        <f t="shared" si="25"/>
        <v/>
      </c>
      <c r="M209" s="8"/>
      <c r="N209" s="8"/>
      <c r="O209" s="8"/>
      <c r="P209" s="8"/>
      <c r="Q209" s="8"/>
      <c r="R209" s="8"/>
      <c r="S209" s="8"/>
      <c r="T209" s="8"/>
      <c r="U209" s="8"/>
      <c r="V209" s="7"/>
      <c r="W209" s="6" t="str">
        <f t="array" ref="W209">IF(NOT(ISBLANK(D209)),_xludf.XLOOKUP(D209,[1]CODE!$A$4:$A$100,[1]CODE!$D$4:$D$100),"")</f>
        <v/>
      </c>
      <c r="X209" s="5" t="str">
        <f t="array" ref="X209">IF(NOT(AND(ISBLANK(D209),ISBLANK(C209))),_xludf.XLOOKUP(D209,[1]CODE!$A$4:$A$100,[1]CODE!$E$4:$E$100),"")</f>
        <v/>
      </c>
      <c r="Y209" s="5" t="str">
        <f t="shared" si="26"/>
        <v/>
      </c>
      <c r="Z209" s="5" t="str">
        <f t="shared" si="27"/>
        <v/>
      </c>
      <c r="AA209" s="4">
        <f t="shared" si="28"/>
        <v>0</v>
      </c>
      <c r="AC209" s="2"/>
    </row>
    <row r="210" spans="1:29" ht="15.5">
      <c r="A210" s="13" t="str">
        <f>IF(OR(ISBLANK(C210),ISBLANK(D210),ISBLANK(F210),ISBLANK(G210)),"",COUNTIF($B$5:B210,"JAMBUTU"))</f>
        <v/>
      </c>
      <c r="B210" s="8"/>
      <c r="C210" s="8"/>
      <c r="D210" s="8"/>
      <c r="E210" s="13"/>
      <c r="F210" s="12"/>
      <c r="G210" s="11"/>
      <c r="H210" s="12"/>
      <c r="I210" s="11"/>
      <c r="J210" s="10">
        <f t="shared" si="23"/>
        <v>0</v>
      </c>
      <c r="K210" s="10">
        <f t="shared" si="24"/>
        <v>0</v>
      </c>
      <c r="L210" s="9" t="str">
        <f t="shared" si="25"/>
        <v/>
      </c>
      <c r="M210" s="8"/>
      <c r="N210" s="8"/>
      <c r="O210" s="8"/>
      <c r="P210" s="8"/>
      <c r="Q210" s="8"/>
      <c r="R210" s="8"/>
      <c r="S210" s="8"/>
      <c r="T210" s="8"/>
      <c r="U210" s="8"/>
      <c r="V210" s="7"/>
      <c r="W210" s="6" t="str">
        <f t="array" ref="W210">IF(NOT(ISBLANK(D210)),_xludf.XLOOKUP(D210,[1]CODE!$A$4:$A$100,[1]CODE!$D$4:$D$100),"")</f>
        <v/>
      </c>
      <c r="X210" s="5" t="str">
        <f t="array" ref="X210">IF(NOT(AND(ISBLANK(D210),ISBLANK(C210))),_xludf.XLOOKUP(D210,[1]CODE!$A$4:$A$100,[1]CODE!$E$4:$E$100),"")</f>
        <v/>
      </c>
      <c r="Y210" s="5" t="str">
        <f t="shared" si="26"/>
        <v/>
      </c>
      <c r="Z210" s="5" t="str">
        <f t="shared" si="27"/>
        <v/>
      </c>
      <c r="AA210" s="4">
        <f t="shared" si="28"/>
        <v>0</v>
      </c>
      <c r="AC210" s="2"/>
    </row>
    <row r="211" spans="1:29" ht="15.5">
      <c r="A211" s="13" t="str">
        <f>IF(OR(ISBLANK(C211),ISBLANK(D211),ISBLANK(F211),ISBLANK(G211)),"",COUNTIF($B$5:B211,"JAMBUTU"))</f>
        <v/>
      </c>
      <c r="B211" s="8"/>
      <c r="C211" s="8"/>
      <c r="D211" s="8"/>
      <c r="E211" s="13"/>
      <c r="F211" s="12"/>
      <c r="G211" s="11"/>
      <c r="H211" s="12"/>
      <c r="I211" s="11"/>
      <c r="J211" s="10">
        <f t="shared" si="23"/>
        <v>0</v>
      </c>
      <c r="K211" s="10">
        <f t="shared" si="24"/>
        <v>0</v>
      </c>
      <c r="L211" s="9" t="str">
        <f t="shared" si="25"/>
        <v/>
      </c>
      <c r="M211" s="8"/>
      <c r="N211" s="8"/>
      <c r="O211" s="8"/>
      <c r="P211" s="8"/>
      <c r="Q211" s="8"/>
      <c r="R211" s="8"/>
      <c r="S211" s="8"/>
      <c r="T211" s="8"/>
      <c r="U211" s="8"/>
      <c r="V211" s="7"/>
      <c r="W211" s="6" t="str">
        <f t="array" ref="W211">IF(NOT(ISBLANK(D211)),_xludf.XLOOKUP(D211,[1]CODE!$A$4:$A$100,[1]CODE!$D$4:$D$100),"")</f>
        <v/>
      </c>
      <c r="X211" s="5" t="str">
        <f t="array" ref="X211">IF(NOT(AND(ISBLANK(D211),ISBLANK(C211))),_xludf.XLOOKUP(D211,[1]CODE!$A$4:$A$100,[1]CODE!$E$4:$E$100),"")</f>
        <v/>
      </c>
      <c r="Y211" s="5" t="str">
        <f t="shared" si="26"/>
        <v/>
      </c>
      <c r="Z211" s="5" t="str">
        <f t="shared" si="27"/>
        <v/>
      </c>
      <c r="AA211" s="4">
        <f t="shared" si="28"/>
        <v>0</v>
      </c>
      <c r="AC211" s="2"/>
    </row>
    <row r="212" spans="1:29" ht="15.5">
      <c r="A212" s="13" t="str">
        <f>IF(OR(ISBLANK(C212),ISBLANK(D212),ISBLANK(F212),ISBLANK(G212)),"",COUNTIF($B$5:B212,"JAMBUTU"))</f>
        <v/>
      </c>
      <c r="B212" s="8"/>
      <c r="C212" s="8"/>
      <c r="D212" s="8"/>
      <c r="E212" s="13"/>
      <c r="F212" s="12"/>
      <c r="G212" s="11"/>
      <c r="H212" s="12"/>
      <c r="I212" s="11"/>
      <c r="J212" s="10">
        <f t="shared" si="23"/>
        <v>0</v>
      </c>
      <c r="K212" s="10">
        <f t="shared" si="24"/>
        <v>0</v>
      </c>
      <c r="L212" s="9" t="str">
        <f t="shared" si="25"/>
        <v/>
      </c>
      <c r="M212" s="8"/>
      <c r="N212" s="8"/>
      <c r="O212" s="8"/>
      <c r="P212" s="8"/>
      <c r="Q212" s="8"/>
      <c r="R212" s="8"/>
      <c r="S212" s="8"/>
      <c r="T212" s="8"/>
      <c r="U212" s="8"/>
      <c r="V212" s="7"/>
      <c r="W212" s="6" t="str">
        <f t="array" ref="W212">IF(NOT(ISBLANK(D212)),_xludf.XLOOKUP(D212,[1]CODE!$A$4:$A$100,[1]CODE!$D$4:$D$100),"")</f>
        <v/>
      </c>
      <c r="X212" s="5" t="str">
        <f t="array" ref="X212">IF(NOT(AND(ISBLANK(D212),ISBLANK(C212))),_xludf.XLOOKUP(D212,[1]CODE!$A$4:$A$100,[1]CODE!$E$4:$E$100),"")</f>
        <v/>
      </c>
      <c r="Y212" s="5" t="str">
        <f t="shared" si="26"/>
        <v/>
      </c>
      <c r="Z212" s="5" t="str">
        <f t="shared" si="27"/>
        <v/>
      </c>
      <c r="AA212" s="4">
        <f t="shared" si="28"/>
        <v>0</v>
      </c>
      <c r="AC212" s="2"/>
    </row>
    <row r="213" spans="1:29" ht="15.5">
      <c r="A213" s="13" t="str">
        <f>IF(OR(ISBLANK(C213),ISBLANK(D213),ISBLANK(F213),ISBLANK(G213)),"",COUNTIF($B$5:B213,"JAMBUTU"))</f>
        <v/>
      </c>
      <c r="B213" s="8"/>
      <c r="C213" s="8"/>
      <c r="D213" s="8"/>
      <c r="E213" s="13"/>
      <c r="F213" s="12"/>
      <c r="G213" s="11"/>
      <c r="H213" s="12"/>
      <c r="I213" s="11"/>
      <c r="J213" s="10">
        <f t="shared" si="23"/>
        <v>0</v>
      </c>
      <c r="K213" s="10">
        <f t="shared" si="24"/>
        <v>0</v>
      </c>
      <c r="L213" s="9" t="str">
        <f t="shared" si="25"/>
        <v/>
      </c>
      <c r="M213" s="8"/>
      <c r="N213" s="8"/>
      <c r="O213" s="8"/>
      <c r="P213" s="8"/>
      <c r="Q213" s="8"/>
      <c r="R213" s="8"/>
      <c r="S213" s="8"/>
      <c r="T213" s="8"/>
      <c r="U213" s="8"/>
      <c r="V213" s="7"/>
      <c r="W213" s="6" t="str">
        <f t="array" ref="W213">IF(NOT(ISBLANK(D213)),_xludf.XLOOKUP(D213,[1]CODE!$A$4:$A$100,[1]CODE!$D$4:$D$100),"")</f>
        <v/>
      </c>
      <c r="X213" s="5" t="str">
        <f t="array" ref="X213">IF(NOT(AND(ISBLANK(D213),ISBLANK(C213))),_xludf.XLOOKUP(D213,[1]CODE!$A$4:$A$100,[1]CODE!$E$4:$E$100),"")</f>
        <v/>
      </c>
      <c r="Y213" s="5" t="str">
        <f t="shared" si="26"/>
        <v/>
      </c>
      <c r="Z213" s="5" t="str">
        <f t="shared" si="27"/>
        <v/>
      </c>
      <c r="AA213" s="4">
        <f t="shared" si="28"/>
        <v>0</v>
      </c>
      <c r="AC213" s="2"/>
    </row>
    <row r="214" spans="1:29" ht="15.5">
      <c r="A214" s="13" t="str">
        <f>IF(OR(ISBLANK(C214),ISBLANK(D214),ISBLANK(F214),ISBLANK(G214)),"",COUNTIF($B$5:B214,"JAMBUTU"))</f>
        <v/>
      </c>
      <c r="B214" s="8"/>
      <c r="C214" s="8"/>
      <c r="D214" s="8"/>
      <c r="E214" s="13"/>
      <c r="F214" s="12"/>
      <c r="G214" s="11"/>
      <c r="H214" s="12"/>
      <c r="I214" s="11"/>
      <c r="J214" s="10">
        <f t="shared" si="23"/>
        <v>0</v>
      </c>
      <c r="K214" s="10">
        <f t="shared" si="24"/>
        <v>0</v>
      </c>
      <c r="L214" s="9" t="str">
        <f t="shared" si="25"/>
        <v/>
      </c>
      <c r="M214" s="8"/>
      <c r="N214" s="8"/>
      <c r="O214" s="8"/>
      <c r="P214" s="8"/>
      <c r="Q214" s="8"/>
      <c r="R214" s="8"/>
      <c r="S214" s="8"/>
      <c r="T214" s="8"/>
      <c r="U214" s="8"/>
      <c r="V214" s="7"/>
      <c r="W214" s="6" t="str">
        <f t="array" ref="W214">IF(NOT(ISBLANK(D214)),_xludf.XLOOKUP(D214,[1]CODE!$A$4:$A$100,[1]CODE!$D$4:$D$100),"")</f>
        <v/>
      </c>
      <c r="X214" s="5" t="str">
        <f t="array" ref="X214">IF(NOT(AND(ISBLANK(D214),ISBLANK(C214))),_xludf.XLOOKUP(D214,[1]CODE!$A$4:$A$100,[1]CODE!$E$4:$E$100),"")</f>
        <v/>
      </c>
      <c r="Y214" s="5" t="str">
        <f t="shared" si="26"/>
        <v/>
      </c>
      <c r="Z214" s="5" t="str">
        <f t="shared" si="27"/>
        <v/>
      </c>
      <c r="AA214" s="4">
        <f t="shared" si="28"/>
        <v>0</v>
      </c>
      <c r="AC214" s="2"/>
    </row>
    <row r="215" spans="1:29" ht="15.5">
      <c r="A215" s="13" t="str">
        <f>IF(OR(ISBLANK(C215),ISBLANK(D215),ISBLANK(F215),ISBLANK(G215)),"",COUNTIF($B$5:B215,"JAMBUTU"))</f>
        <v/>
      </c>
      <c r="B215" s="8"/>
      <c r="C215" s="8"/>
      <c r="D215" s="8"/>
      <c r="E215" s="13"/>
      <c r="F215" s="12"/>
      <c r="G215" s="11"/>
      <c r="H215" s="12"/>
      <c r="I215" s="11"/>
      <c r="J215" s="10">
        <f t="shared" si="23"/>
        <v>0</v>
      </c>
      <c r="K215" s="10">
        <f t="shared" si="24"/>
        <v>0</v>
      </c>
      <c r="L215" s="9" t="str">
        <f t="shared" si="25"/>
        <v/>
      </c>
      <c r="M215" s="8"/>
      <c r="N215" s="8"/>
      <c r="O215" s="8"/>
      <c r="P215" s="8"/>
      <c r="Q215" s="8"/>
      <c r="R215" s="8"/>
      <c r="S215" s="8"/>
      <c r="T215" s="8"/>
      <c r="U215" s="8"/>
      <c r="V215" s="7"/>
      <c r="W215" s="6" t="str">
        <f t="array" ref="W215">IF(NOT(ISBLANK(D215)),_xludf.XLOOKUP(D215,[1]CODE!$A$4:$A$100,[1]CODE!$D$4:$D$100),"")</f>
        <v/>
      </c>
      <c r="X215" s="5" t="str">
        <f t="array" ref="X215">IF(NOT(AND(ISBLANK(D215),ISBLANK(C215))),_xludf.XLOOKUP(D215,[1]CODE!$A$4:$A$100,[1]CODE!$E$4:$E$100),"")</f>
        <v/>
      </c>
      <c r="Y215" s="5" t="str">
        <f t="shared" si="26"/>
        <v/>
      </c>
      <c r="Z215" s="5" t="str">
        <f t="shared" si="27"/>
        <v/>
      </c>
      <c r="AA215" s="4">
        <f t="shared" si="28"/>
        <v>0</v>
      </c>
      <c r="AC215" s="2"/>
    </row>
    <row r="216" spans="1:29" ht="15.5">
      <c r="A216" s="13" t="str">
        <f>IF(OR(ISBLANK(C216),ISBLANK(D216),ISBLANK(F216),ISBLANK(G216)),"",COUNTIF($B$5:B216,"JAMBUTU"))</f>
        <v/>
      </c>
      <c r="B216" s="8"/>
      <c r="C216" s="8"/>
      <c r="D216" s="8"/>
      <c r="E216" s="13"/>
      <c r="F216" s="12"/>
      <c r="G216" s="11"/>
      <c r="H216" s="12"/>
      <c r="I216" s="11"/>
      <c r="J216" s="10">
        <f t="shared" si="23"/>
        <v>0</v>
      </c>
      <c r="K216" s="10">
        <f t="shared" si="24"/>
        <v>0</v>
      </c>
      <c r="L216" s="9" t="str">
        <f t="shared" si="25"/>
        <v/>
      </c>
      <c r="M216" s="8"/>
      <c r="N216" s="8"/>
      <c r="O216" s="8"/>
      <c r="P216" s="8"/>
      <c r="Q216" s="8"/>
      <c r="R216" s="8"/>
      <c r="S216" s="8"/>
      <c r="T216" s="8"/>
      <c r="U216" s="8"/>
      <c r="V216" s="7"/>
      <c r="W216" s="6" t="str">
        <f t="array" ref="W216">IF(NOT(ISBLANK(D216)),_xludf.XLOOKUP(D216,[1]CODE!$A$4:$A$100,[1]CODE!$D$4:$D$100),"")</f>
        <v/>
      </c>
      <c r="X216" s="5" t="str">
        <f t="array" ref="X216">IF(NOT(AND(ISBLANK(D216),ISBLANK(C216))),_xludf.XLOOKUP(D216,[1]CODE!$A$4:$A$100,[1]CODE!$E$4:$E$100),"")</f>
        <v/>
      </c>
      <c r="Y216" s="5" t="str">
        <f t="shared" si="26"/>
        <v/>
      </c>
      <c r="Z216" s="5" t="str">
        <f t="shared" si="27"/>
        <v/>
      </c>
      <c r="AA216" s="4">
        <f t="shared" si="28"/>
        <v>0</v>
      </c>
      <c r="AC216" s="2"/>
    </row>
    <row r="217" spans="1:29" ht="15.5">
      <c r="A217" s="13" t="str">
        <f>IF(OR(ISBLANK(C217),ISBLANK(D217),ISBLANK(F217),ISBLANK(G217)),"",COUNTIF($B$5:B217,"JAMBUTU"))</f>
        <v/>
      </c>
      <c r="B217" s="8"/>
      <c r="C217" s="8"/>
      <c r="D217" s="8"/>
      <c r="E217" s="13"/>
      <c r="F217" s="12"/>
      <c r="G217" s="11"/>
      <c r="H217" s="12"/>
      <c r="I217" s="11"/>
      <c r="J217" s="10">
        <f t="shared" si="23"/>
        <v>0</v>
      </c>
      <c r="K217" s="10">
        <f t="shared" si="24"/>
        <v>0</v>
      </c>
      <c r="L217" s="9" t="str">
        <f t="shared" si="25"/>
        <v/>
      </c>
      <c r="M217" s="8"/>
      <c r="N217" s="8"/>
      <c r="O217" s="8"/>
      <c r="P217" s="8"/>
      <c r="Q217" s="8"/>
      <c r="R217" s="8"/>
      <c r="S217" s="8"/>
      <c r="T217" s="8"/>
      <c r="U217" s="8"/>
      <c r="V217" s="7"/>
      <c r="W217" s="6" t="str">
        <f t="array" ref="W217">IF(NOT(ISBLANK(D217)),_xludf.XLOOKUP(D217,[1]CODE!$A$4:$A$100,[1]CODE!$D$4:$D$100),"")</f>
        <v/>
      </c>
      <c r="X217" s="5" t="str">
        <f t="array" ref="X217">IF(NOT(AND(ISBLANK(D217),ISBLANK(C217))),_xludf.XLOOKUP(D217,[1]CODE!$A$4:$A$100,[1]CODE!$E$4:$E$100),"")</f>
        <v/>
      </c>
      <c r="Y217" s="5" t="str">
        <f t="shared" si="26"/>
        <v/>
      </c>
      <c r="Z217" s="5" t="str">
        <f t="shared" si="27"/>
        <v/>
      </c>
      <c r="AA217" s="4">
        <f t="shared" si="28"/>
        <v>0</v>
      </c>
      <c r="AC217" s="2"/>
    </row>
    <row r="218" spans="1:29" ht="15.5">
      <c r="A218" s="13" t="str">
        <f>IF(OR(ISBLANK(C218),ISBLANK(D218),ISBLANK(F218),ISBLANK(G218)),"",COUNTIF($B$5:B218,"JAMBUTU"))</f>
        <v/>
      </c>
      <c r="B218" s="8"/>
      <c r="C218" s="8"/>
      <c r="D218" s="8"/>
      <c r="E218" s="13"/>
      <c r="F218" s="12"/>
      <c r="G218" s="11"/>
      <c r="H218" s="12"/>
      <c r="I218" s="11"/>
      <c r="J218" s="10">
        <f t="shared" si="23"/>
        <v>0</v>
      </c>
      <c r="K218" s="10">
        <f t="shared" si="24"/>
        <v>0</v>
      </c>
      <c r="L218" s="9" t="str">
        <f t="shared" si="25"/>
        <v/>
      </c>
      <c r="M218" s="8"/>
      <c r="N218" s="8"/>
      <c r="O218" s="8"/>
      <c r="P218" s="8"/>
      <c r="Q218" s="8"/>
      <c r="R218" s="8"/>
      <c r="S218" s="8"/>
      <c r="T218" s="8"/>
      <c r="U218" s="8"/>
      <c r="V218" s="7"/>
      <c r="W218" s="6" t="str">
        <f t="array" ref="W218">IF(NOT(ISBLANK(D218)),_xludf.XLOOKUP(D218,[1]CODE!$A$4:$A$100,[1]CODE!$D$4:$D$100),"")</f>
        <v/>
      </c>
      <c r="X218" s="5" t="str">
        <f t="array" ref="X218">IF(NOT(AND(ISBLANK(D218),ISBLANK(C218))),_xludf.XLOOKUP(D218,[1]CODE!$A$4:$A$100,[1]CODE!$E$4:$E$100),"")</f>
        <v/>
      </c>
      <c r="Y218" s="5" t="str">
        <f t="shared" si="26"/>
        <v/>
      </c>
      <c r="Z218" s="5" t="str">
        <f t="shared" si="27"/>
        <v/>
      </c>
      <c r="AA218" s="4">
        <f t="shared" si="28"/>
        <v>0</v>
      </c>
      <c r="AC218" s="2"/>
    </row>
    <row r="219" spans="1:29" ht="15.5">
      <c r="A219" s="13" t="str">
        <f>IF(OR(ISBLANK(C219),ISBLANK(D219),ISBLANK(F219),ISBLANK(G219)),"",COUNTIF($B$5:B219,"JAMBUTU"))</f>
        <v/>
      </c>
      <c r="B219" s="8"/>
      <c r="C219" s="8"/>
      <c r="D219" s="8"/>
      <c r="E219" s="13"/>
      <c r="F219" s="12"/>
      <c r="G219" s="11"/>
      <c r="H219" s="12"/>
      <c r="I219" s="11"/>
      <c r="J219" s="10">
        <f t="shared" si="23"/>
        <v>0</v>
      </c>
      <c r="K219" s="10">
        <f t="shared" si="24"/>
        <v>0</v>
      </c>
      <c r="L219" s="9" t="str">
        <f t="shared" si="25"/>
        <v/>
      </c>
      <c r="M219" s="8"/>
      <c r="N219" s="8"/>
      <c r="O219" s="8"/>
      <c r="P219" s="8"/>
      <c r="Q219" s="8"/>
      <c r="R219" s="8"/>
      <c r="S219" s="8"/>
      <c r="T219" s="8"/>
      <c r="U219" s="8"/>
      <c r="V219" s="7"/>
      <c r="W219" s="6" t="str">
        <f t="array" ref="W219">IF(NOT(ISBLANK(D219)),_xludf.XLOOKUP(D219,[1]CODE!$A$4:$A$100,[1]CODE!$D$4:$D$100),"")</f>
        <v/>
      </c>
      <c r="X219" s="5" t="str">
        <f t="array" ref="X219">IF(NOT(AND(ISBLANK(D219),ISBLANK(C219))),_xludf.XLOOKUP(D219,[1]CODE!$A$4:$A$100,[1]CODE!$E$4:$E$100),"")</f>
        <v/>
      </c>
      <c r="Y219" s="5" t="str">
        <f t="shared" si="26"/>
        <v/>
      </c>
      <c r="Z219" s="5" t="str">
        <f t="shared" si="27"/>
        <v/>
      </c>
      <c r="AA219" s="4">
        <f t="shared" si="28"/>
        <v>0</v>
      </c>
      <c r="AC219" s="2"/>
    </row>
    <row r="220" spans="1:29" ht="15.5">
      <c r="A220" s="13" t="str">
        <f>IF(OR(ISBLANK(C220),ISBLANK(D220),ISBLANK(F220),ISBLANK(G220)),"",COUNTIF($B$5:B220,"JAMBUTU"))</f>
        <v/>
      </c>
      <c r="B220" s="8"/>
      <c r="C220" s="8"/>
      <c r="D220" s="8"/>
      <c r="E220" s="13"/>
      <c r="F220" s="12"/>
      <c r="G220" s="11"/>
      <c r="H220" s="12"/>
      <c r="I220" s="11"/>
      <c r="J220" s="10">
        <f t="shared" si="23"/>
        <v>0</v>
      </c>
      <c r="K220" s="10">
        <f t="shared" si="24"/>
        <v>0</v>
      </c>
      <c r="L220" s="9" t="str">
        <f t="shared" si="25"/>
        <v/>
      </c>
      <c r="M220" s="8"/>
      <c r="N220" s="8"/>
      <c r="O220" s="8"/>
      <c r="P220" s="8"/>
      <c r="Q220" s="8"/>
      <c r="R220" s="8"/>
      <c r="S220" s="8"/>
      <c r="T220" s="8"/>
      <c r="U220" s="8"/>
      <c r="V220" s="7"/>
      <c r="W220" s="6" t="str">
        <f t="array" ref="W220">IF(NOT(ISBLANK(D220)),_xludf.XLOOKUP(D220,[1]CODE!$A$4:$A$100,[1]CODE!$D$4:$D$100),"")</f>
        <v/>
      </c>
      <c r="X220" s="5" t="str">
        <f t="array" ref="X220">IF(NOT(AND(ISBLANK(D220),ISBLANK(C220))),_xludf.XLOOKUP(D220,[1]CODE!$A$4:$A$100,[1]CODE!$E$4:$E$100),"")</f>
        <v/>
      </c>
      <c r="Y220" s="5" t="str">
        <f t="shared" si="26"/>
        <v/>
      </c>
      <c r="Z220" s="5" t="str">
        <f t="shared" si="27"/>
        <v/>
      </c>
      <c r="AA220" s="4">
        <f t="shared" si="28"/>
        <v>0</v>
      </c>
      <c r="AC220" s="2"/>
    </row>
    <row r="221" spans="1:29" ht="15.5">
      <c r="A221" s="13">
        <f>IF(OR(ISBLANK(C221),ISBLANK(D221),ISBLANK(F221),ISBLANK(G221)),"",COUNTIF($B$5:B221,"JAMBUTU"))</f>
        <v>28</v>
      </c>
      <c r="B221" s="8" t="str">
        <f>IF(C221&lt;&gt;"","Jambutu","")</f>
        <v>Jambutu</v>
      </c>
      <c r="C221" s="8" t="s">
        <v>4</v>
      </c>
      <c r="D221" s="8" t="s">
        <v>6</v>
      </c>
      <c r="E221" s="13">
        <v>3.3</v>
      </c>
      <c r="F221" s="12">
        <v>46052</v>
      </c>
      <c r="G221" s="11">
        <v>0.84027777777777779</v>
      </c>
      <c r="H221" s="12">
        <v>46052</v>
      </c>
      <c r="I221" s="11">
        <v>0.88541666666666663</v>
      </c>
      <c r="J221" s="10">
        <f t="shared" ref="J221:J284" si="29">DATE(YEAR(F221),MONTH(F221),DAY(F221))+TIME(HOUR(G221),MINUTE(G221), SECOND(G221))</f>
        <v>46052.840277777781</v>
      </c>
      <c r="K221" s="10">
        <f t="shared" si="24"/>
        <v>46052.885416666664</v>
      </c>
      <c r="L221" s="9">
        <f t="shared" si="25"/>
        <v>4.5138888883229811E-2</v>
      </c>
      <c r="M221" s="8" t="s">
        <v>7</v>
      </c>
      <c r="N221" s="8" t="s">
        <v>1</v>
      </c>
      <c r="O221" s="8" t="s">
        <v>0</v>
      </c>
      <c r="P221" s="8"/>
      <c r="Q221" s="8"/>
      <c r="R221" s="8"/>
      <c r="S221" s="8"/>
      <c r="T221" s="8"/>
      <c r="U221" s="8"/>
      <c r="V221" s="7"/>
      <c r="W221" s="6" t="e">
        <f t="array" aca="1" ref="W221" ca="1">IF(NOT(ISBLANK(D221)),_xludf.XLOOKUP(D221,[1]CODE!$A$4:$A$100,[1]CODE!$D$4:$D$100),"")</f>
        <v>#NAME?</v>
      </c>
      <c r="X221" s="5" t="e">
        <f t="array" aca="1" ref="X221" ca="1">IF(NOT(AND(ISBLANK(D221),ISBLANK(C221))),_xludf.XLOOKUP(D221,[1]CODE!$A$4:$A$100,[1]CODE!$E$4:$E$100),"")</f>
        <v>#NAME?</v>
      </c>
      <c r="Y221" s="5" t="str">
        <f t="shared" si="26"/>
        <v>33KV</v>
      </c>
      <c r="Z221" s="5" t="str">
        <f t="shared" si="27"/>
        <v>YES</v>
      </c>
      <c r="AA221" s="4">
        <f t="shared" si="28"/>
        <v>46052</v>
      </c>
      <c r="AC221" s="2"/>
    </row>
    <row r="222" spans="1:29" ht="15.5">
      <c r="A222" s="13" t="str">
        <f>IF(OR(ISBLANK(C222),ISBLANK(D222),ISBLANK(F222),ISBLANK(G222)),"",COUNTIF($B$5:B222,"JAMBUTU"))</f>
        <v/>
      </c>
      <c r="B222" s="8"/>
      <c r="C222" s="8"/>
      <c r="D222" s="8"/>
      <c r="E222" s="13"/>
      <c r="F222" s="12"/>
      <c r="G222" s="11"/>
      <c r="H222" s="12"/>
      <c r="I222" s="11"/>
      <c r="J222" s="10">
        <f t="shared" si="29"/>
        <v>0</v>
      </c>
      <c r="K222" s="10">
        <f t="shared" si="24"/>
        <v>0</v>
      </c>
      <c r="L222" s="9" t="str">
        <f t="shared" si="25"/>
        <v/>
      </c>
      <c r="M222" s="8"/>
      <c r="N222" s="8"/>
      <c r="O222" s="8"/>
      <c r="P222" s="8"/>
      <c r="Q222" s="8"/>
      <c r="R222" s="8"/>
      <c r="S222" s="8"/>
      <c r="T222" s="8"/>
      <c r="U222" s="8"/>
      <c r="V222" s="7"/>
      <c r="W222" s="6" t="str">
        <f t="array" ref="W222">IF(NOT(ISBLANK(D222)),_xludf.XLOOKUP(D222,[1]CODE!$A$4:$A$100,[1]CODE!$D$4:$D$100),"")</f>
        <v/>
      </c>
      <c r="X222" s="5" t="str">
        <f t="array" ref="X222">IF(NOT(AND(ISBLANK(D222),ISBLANK(C222))),_xludf.XLOOKUP(D222,[1]CODE!$A$4:$A$100,[1]CODE!$E$4:$E$100),"")</f>
        <v/>
      </c>
      <c r="Y222" s="5" t="str">
        <f t="shared" si="26"/>
        <v/>
      </c>
      <c r="Z222" s="5" t="str">
        <f t="shared" si="27"/>
        <v/>
      </c>
      <c r="AA222" s="4">
        <f t="shared" si="28"/>
        <v>0</v>
      </c>
      <c r="AC222" s="2"/>
    </row>
    <row r="223" spans="1:29" ht="15.5">
      <c r="A223" s="13" t="str">
        <f>IF(OR(ISBLANK(C223),ISBLANK(D223),ISBLANK(F223),ISBLANK(G223)),"",COUNTIF($B$5:B223,"JAMBUTU"))</f>
        <v/>
      </c>
      <c r="B223" s="8"/>
      <c r="C223" s="8"/>
      <c r="D223" s="8"/>
      <c r="E223" s="13"/>
      <c r="F223" s="12"/>
      <c r="G223" s="11"/>
      <c r="H223" s="12"/>
      <c r="I223" s="15"/>
      <c r="J223" s="10">
        <f t="shared" si="29"/>
        <v>0</v>
      </c>
      <c r="K223" s="10">
        <f t="shared" si="24"/>
        <v>0</v>
      </c>
      <c r="L223" s="9" t="str">
        <f t="shared" si="25"/>
        <v/>
      </c>
      <c r="M223" s="8"/>
      <c r="N223" s="8"/>
      <c r="O223" s="8"/>
      <c r="P223" s="8"/>
      <c r="Q223" s="8"/>
      <c r="R223" s="8"/>
      <c r="S223" s="8"/>
      <c r="T223" s="8"/>
      <c r="U223" s="8"/>
      <c r="V223" s="7"/>
      <c r="W223" s="6" t="str">
        <f t="array" ref="W223">IF(NOT(ISBLANK(D223)),_xludf.XLOOKUP(D223,[1]CODE!$A$4:$A$100,[1]CODE!$D$4:$D$100),"")</f>
        <v/>
      </c>
      <c r="X223" s="5" t="str">
        <f t="array" ref="X223">IF(NOT(AND(ISBLANK(D223),ISBLANK(C223))),_xludf.XLOOKUP(D223,[1]CODE!$A$4:$A$100,[1]CODE!$E$4:$E$100),"")</f>
        <v/>
      </c>
      <c r="Y223" s="5" t="str">
        <f t="shared" si="26"/>
        <v/>
      </c>
      <c r="Z223" s="5" t="str">
        <f t="shared" si="27"/>
        <v/>
      </c>
      <c r="AA223" s="4">
        <f t="shared" si="28"/>
        <v>0</v>
      </c>
      <c r="AC223" s="2"/>
    </row>
    <row r="224" spans="1:29" ht="15.5">
      <c r="A224" s="13" t="str">
        <f>IF(OR(ISBLANK(C224),ISBLANK(D224),ISBLANK(F224),ISBLANK(G224)),"",COUNTIF($B$5:B224,"JAMBUTU"))</f>
        <v/>
      </c>
      <c r="B224" s="8"/>
      <c r="C224" s="8"/>
      <c r="D224" s="8"/>
      <c r="E224" s="13"/>
      <c r="F224" s="12"/>
      <c r="G224" s="11"/>
      <c r="H224" s="12"/>
      <c r="I224" s="15"/>
      <c r="J224" s="10">
        <f t="shared" si="29"/>
        <v>0</v>
      </c>
      <c r="K224" s="10">
        <f t="shared" si="24"/>
        <v>0</v>
      </c>
      <c r="L224" s="9" t="str">
        <f t="shared" si="25"/>
        <v/>
      </c>
      <c r="M224" s="8"/>
      <c r="N224" s="8"/>
      <c r="O224" s="8"/>
      <c r="P224" s="8"/>
      <c r="Q224" s="8"/>
      <c r="R224" s="8"/>
      <c r="S224" s="8"/>
      <c r="T224" s="8"/>
      <c r="U224" s="8"/>
      <c r="V224" s="7"/>
      <c r="W224" s="6" t="str">
        <f t="array" ref="W224">IF(NOT(ISBLANK(D224)),_xludf.XLOOKUP(D224,[1]CODE!$A$4:$A$100,[1]CODE!$D$4:$D$100),"")</f>
        <v/>
      </c>
      <c r="X224" s="5" t="str">
        <f t="array" ref="X224">IF(NOT(AND(ISBLANK(D224),ISBLANK(C224))),_xludf.XLOOKUP(D224,[1]CODE!$A$4:$A$100,[1]CODE!$E$4:$E$100),"")</f>
        <v/>
      </c>
      <c r="Y224" s="5" t="str">
        <f t="shared" si="26"/>
        <v/>
      </c>
      <c r="Z224" s="5" t="str">
        <f t="shared" si="27"/>
        <v/>
      </c>
      <c r="AA224" s="4">
        <f t="shared" si="28"/>
        <v>0</v>
      </c>
      <c r="AC224" s="2"/>
    </row>
    <row r="225" spans="1:29" ht="15.5">
      <c r="A225" s="13">
        <f>IF(OR(ISBLANK(C225),ISBLANK(D225),ISBLANK(F225),ISBLANK(G225)),"",COUNTIF($B$5:B225,"JAMBUTU"))</f>
        <v>29</v>
      </c>
      <c r="B225" s="8" t="str">
        <f>IF(C225&lt;&gt;"","Jambutu","")</f>
        <v>Jambutu</v>
      </c>
      <c r="C225" s="8" t="s">
        <v>4</v>
      </c>
      <c r="D225" s="8" t="s">
        <v>6</v>
      </c>
      <c r="E225" s="13">
        <v>2</v>
      </c>
      <c r="F225" s="12">
        <v>46053</v>
      </c>
      <c r="G225" s="11">
        <v>0.52361111111111114</v>
      </c>
      <c r="H225" s="12">
        <v>46053</v>
      </c>
      <c r="I225" s="11">
        <v>0.53472222222222221</v>
      </c>
      <c r="J225" s="10">
        <f t="shared" si="29"/>
        <v>46053.523611111108</v>
      </c>
      <c r="K225" s="10">
        <f t="shared" si="24"/>
        <v>46053.534722222219</v>
      </c>
      <c r="L225" s="9">
        <f t="shared" si="25"/>
        <v>1.1111111110949423E-2</v>
      </c>
      <c r="M225" s="8" t="s">
        <v>5</v>
      </c>
      <c r="N225" s="8" t="s">
        <v>1</v>
      </c>
      <c r="O225" s="8" t="s">
        <v>0</v>
      </c>
      <c r="P225" s="8"/>
      <c r="Q225" s="8"/>
      <c r="R225" s="8"/>
      <c r="S225" s="8"/>
      <c r="T225" s="8"/>
      <c r="U225" s="8"/>
      <c r="V225" s="7"/>
      <c r="W225" s="6" t="e">
        <f t="array" aca="1" ref="W225" ca="1">IF(NOT(ISBLANK(D225)),_xludf.XLOOKUP(D225,[1]CODE!$A$4:$A$100,[1]CODE!$D$4:$D$100),"")</f>
        <v>#NAME?</v>
      </c>
      <c r="X225" s="5" t="e">
        <f t="array" aca="1" ref="X225" ca="1">IF(NOT(AND(ISBLANK(D225),ISBLANK(C225))),_xludf.XLOOKUP(D225,[1]CODE!$A$4:$A$100,[1]CODE!$E$4:$E$100),"")</f>
        <v>#NAME?</v>
      </c>
      <c r="Y225" s="5" t="str">
        <f t="shared" si="26"/>
        <v>33KV</v>
      </c>
      <c r="Z225" s="5" t="str">
        <f t="shared" si="27"/>
        <v>YES</v>
      </c>
      <c r="AA225" s="4">
        <f t="shared" si="28"/>
        <v>46053</v>
      </c>
      <c r="AC225" s="2"/>
    </row>
    <row r="226" spans="1:29" ht="15.5">
      <c r="A226" s="13" t="str">
        <f>IF(OR(ISBLANK(C226),ISBLANK(D226),ISBLANK(F226),ISBLANK(G226)),"",COUNTIF($B$5:B226,"JAMBUTU"))</f>
        <v/>
      </c>
      <c r="B226" s="8"/>
      <c r="C226" s="8"/>
      <c r="D226" s="8"/>
      <c r="E226" s="13"/>
      <c r="F226" s="12"/>
      <c r="G226" s="11"/>
      <c r="H226" s="12"/>
      <c r="I226" s="11"/>
      <c r="J226" s="10">
        <f t="shared" si="29"/>
        <v>0</v>
      </c>
      <c r="K226" s="10">
        <f t="shared" si="24"/>
        <v>0</v>
      </c>
      <c r="L226" s="9" t="str">
        <f t="shared" si="25"/>
        <v/>
      </c>
      <c r="M226" s="8"/>
      <c r="N226" s="8"/>
      <c r="O226" s="8"/>
      <c r="P226" s="8"/>
      <c r="Q226" s="8"/>
      <c r="R226" s="8"/>
      <c r="S226" s="8"/>
      <c r="T226" s="8"/>
      <c r="U226" s="8"/>
      <c r="V226" s="7"/>
      <c r="W226" s="6" t="str">
        <f t="array" ref="W226">IF(NOT(ISBLANK(D226)),_xludf.XLOOKUP(D226,[1]CODE!$A$4:$A$100,[1]CODE!$D$4:$D$100),"")</f>
        <v/>
      </c>
      <c r="X226" s="5" t="str">
        <f t="array" ref="X226">IF(NOT(AND(ISBLANK(D226),ISBLANK(C226))),_xludf.XLOOKUP(D226,[1]CODE!$A$4:$A$100,[1]CODE!$E$4:$E$100),"")</f>
        <v/>
      </c>
      <c r="Y226" s="5" t="str">
        <f t="shared" si="26"/>
        <v/>
      </c>
      <c r="Z226" s="5" t="str">
        <f t="shared" si="27"/>
        <v/>
      </c>
      <c r="AA226" s="4">
        <f t="shared" si="28"/>
        <v>0</v>
      </c>
      <c r="AC226" s="2"/>
    </row>
    <row r="227" spans="1:29" ht="15.5">
      <c r="A227" s="13" t="str">
        <f>IF(OR(ISBLANK(C227),ISBLANK(D227),ISBLANK(F227),ISBLANK(G227)),"",COUNTIF($B$5:B227,"JAMBUTU"))</f>
        <v/>
      </c>
      <c r="B227" s="8"/>
      <c r="C227" s="8"/>
      <c r="D227" s="8"/>
      <c r="E227" s="13"/>
      <c r="F227" s="12"/>
      <c r="G227" s="11"/>
      <c r="H227" s="12"/>
      <c r="I227" s="15"/>
      <c r="J227" s="10">
        <f t="shared" si="29"/>
        <v>0</v>
      </c>
      <c r="K227" s="10">
        <f t="shared" si="24"/>
        <v>0</v>
      </c>
      <c r="L227" s="9" t="str">
        <f t="shared" si="25"/>
        <v/>
      </c>
      <c r="M227" s="8"/>
      <c r="N227" s="8"/>
      <c r="O227" s="8"/>
      <c r="P227" s="8"/>
      <c r="Q227" s="8"/>
      <c r="R227" s="8"/>
      <c r="S227" s="8"/>
      <c r="T227" s="8"/>
      <c r="U227" s="8"/>
      <c r="V227" s="7"/>
      <c r="W227" s="6" t="str">
        <f t="array" ref="W227">IF(NOT(ISBLANK(D227)),_xludf.XLOOKUP(D227,[1]CODE!$A$4:$A$100,[1]CODE!$D$4:$D$100),"")</f>
        <v/>
      </c>
      <c r="X227" s="5" t="str">
        <f t="array" ref="X227">IF(NOT(AND(ISBLANK(D227),ISBLANK(C227))),_xludf.XLOOKUP(D227,[1]CODE!$A$4:$A$100,[1]CODE!$E$4:$E$100),"")</f>
        <v/>
      </c>
      <c r="Y227" s="5" t="str">
        <f t="shared" si="26"/>
        <v/>
      </c>
      <c r="Z227" s="5" t="str">
        <f t="shared" si="27"/>
        <v/>
      </c>
      <c r="AA227" s="4">
        <f t="shared" si="28"/>
        <v>0</v>
      </c>
      <c r="AC227" s="2"/>
    </row>
    <row r="228" spans="1:29" ht="15.5">
      <c r="A228" s="13" t="str">
        <f>IF(OR(ISBLANK(C228),ISBLANK(D228),ISBLANK(F228),ISBLANK(G228)),"",COUNTIF($B$5:B228,"JAMBUTU"))</f>
        <v/>
      </c>
      <c r="B228" s="8"/>
      <c r="C228" s="8"/>
      <c r="D228" s="8"/>
      <c r="E228" s="13"/>
      <c r="F228" s="12"/>
      <c r="G228" s="11"/>
      <c r="H228" s="12"/>
      <c r="I228" s="15"/>
      <c r="J228" s="10">
        <f t="shared" si="29"/>
        <v>0</v>
      </c>
      <c r="K228" s="10">
        <f t="shared" si="24"/>
        <v>0</v>
      </c>
      <c r="L228" s="9" t="str">
        <f t="shared" si="25"/>
        <v/>
      </c>
      <c r="M228" s="8"/>
      <c r="N228" s="8"/>
      <c r="O228" s="8"/>
      <c r="P228" s="8"/>
      <c r="Q228" s="8"/>
      <c r="R228" s="8"/>
      <c r="S228" s="8"/>
      <c r="T228" s="8"/>
      <c r="U228" s="8"/>
      <c r="V228" s="7"/>
      <c r="W228" s="6" t="str">
        <f t="array" ref="W228">IF(NOT(ISBLANK(D228)),_xludf.XLOOKUP(D228,[1]CODE!$A$4:$A$100,[1]CODE!$D$4:$D$100),"")</f>
        <v/>
      </c>
      <c r="X228" s="5" t="str">
        <f t="array" ref="X228">IF(NOT(AND(ISBLANK(D228),ISBLANK(C228))),_xludf.XLOOKUP(D228,[1]CODE!$A$4:$A$100,[1]CODE!$E$4:$E$100),"")</f>
        <v/>
      </c>
      <c r="Y228" s="5" t="str">
        <f t="shared" si="26"/>
        <v/>
      </c>
      <c r="Z228" s="5" t="str">
        <f t="shared" si="27"/>
        <v/>
      </c>
      <c r="AA228" s="4">
        <f t="shared" si="28"/>
        <v>0</v>
      </c>
      <c r="AC228" s="2"/>
    </row>
    <row r="229" spans="1:29" ht="15.5">
      <c r="A229" s="13" t="str">
        <f>IF(OR(ISBLANK(C229),ISBLANK(D229),ISBLANK(F229),ISBLANK(G229)),"",COUNTIF($B$5:B229,"JAMBUTU"))</f>
        <v/>
      </c>
      <c r="B229" s="8" t="str">
        <f t="shared" ref="B229:B292" si="30">IF(C229&lt;&gt;"","Jambutu","")</f>
        <v/>
      </c>
      <c r="C229" s="8"/>
      <c r="D229" s="8"/>
      <c r="E229" s="13"/>
      <c r="F229" s="12"/>
      <c r="G229" s="11"/>
      <c r="H229" s="12"/>
      <c r="I229" s="11"/>
      <c r="J229" s="10">
        <f t="shared" si="29"/>
        <v>0</v>
      </c>
      <c r="K229" s="10">
        <f t="shared" si="24"/>
        <v>0</v>
      </c>
      <c r="L229" s="9" t="str">
        <f t="shared" si="25"/>
        <v/>
      </c>
      <c r="M229" s="8"/>
      <c r="N229" s="8"/>
      <c r="O229" s="8"/>
      <c r="P229" s="8"/>
      <c r="Q229" s="8"/>
      <c r="R229" s="8"/>
      <c r="S229" s="8"/>
      <c r="T229" s="8"/>
      <c r="U229" s="8"/>
      <c r="V229" s="7"/>
      <c r="W229" s="6" t="str">
        <f t="array" ref="W229">IF(NOT(ISBLANK(D229)),_xludf.XLOOKUP(D229,[1]CODE!$A$4:$A$100,[1]CODE!$D$4:$D$100),"")</f>
        <v/>
      </c>
      <c r="X229" s="5" t="str">
        <f t="array" ref="X229">IF(NOT(AND(ISBLANK(D229),ISBLANK(C229))),_xludf.XLOOKUP(D229,[1]CODE!$A$4:$A$100,[1]CODE!$E$4:$E$100),"")</f>
        <v/>
      </c>
      <c r="Y229" s="5" t="str">
        <f t="shared" si="26"/>
        <v/>
      </c>
      <c r="Z229" s="5" t="str">
        <f t="shared" si="27"/>
        <v/>
      </c>
      <c r="AA229" s="4">
        <f t="shared" si="28"/>
        <v>0</v>
      </c>
      <c r="AC229" s="2"/>
    </row>
    <row r="230" spans="1:29" ht="15.5">
      <c r="A230" s="13" t="str">
        <f>IF(OR(ISBLANK(C230),ISBLANK(D230),ISBLANK(F230),ISBLANK(G230)),"",COUNTIF($B$5:B230,"JAMBUTU"))</f>
        <v/>
      </c>
      <c r="B230" s="8" t="str">
        <f t="shared" si="30"/>
        <v/>
      </c>
      <c r="C230" s="8"/>
      <c r="D230" s="8"/>
      <c r="E230" s="13"/>
      <c r="F230" s="12"/>
      <c r="G230" s="11"/>
      <c r="H230" s="12"/>
      <c r="I230" s="15"/>
      <c r="J230" s="10">
        <f t="shared" si="29"/>
        <v>0</v>
      </c>
      <c r="K230" s="10">
        <f t="shared" si="24"/>
        <v>0</v>
      </c>
      <c r="L230" s="9" t="str">
        <f t="shared" si="25"/>
        <v/>
      </c>
      <c r="M230" s="8"/>
      <c r="N230" s="8"/>
      <c r="O230" s="8"/>
      <c r="P230" s="8"/>
      <c r="Q230" s="8"/>
      <c r="R230" s="8"/>
      <c r="S230" s="8"/>
      <c r="T230" s="8"/>
      <c r="U230" s="8"/>
      <c r="V230" s="7"/>
      <c r="W230" s="6" t="str">
        <f t="array" ref="W230">IF(NOT(ISBLANK(D230)),_xludf.XLOOKUP(D230,[1]CODE!$A$4:$A$100,[1]CODE!$D$4:$D$100),"")</f>
        <v/>
      </c>
      <c r="X230" s="5" t="str">
        <f t="array" ref="X230">IF(NOT(AND(ISBLANK(D230),ISBLANK(C230))),_xludf.XLOOKUP(D230,[1]CODE!$A$4:$A$100,[1]CODE!$E$4:$E$100),"")</f>
        <v/>
      </c>
      <c r="Y230" s="5" t="str">
        <f t="shared" si="26"/>
        <v/>
      </c>
      <c r="Z230" s="5" t="str">
        <f t="shared" si="27"/>
        <v/>
      </c>
      <c r="AA230" s="4">
        <f t="shared" si="28"/>
        <v>0</v>
      </c>
      <c r="AC230" s="2"/>
    </row>
    <row r="231" spans="1:29" ht="15.5">
      <c r="A231" s="13" t="str">
        <f>IF(OR(ISBLANK(C231),ISBLANK(D231),ISBLANK(F231),ISBLANK(G231)),"",COUNTIF($B$5:B231,"JAMBUTU"))</f>
        <v/>
      </c>
      <c r="B231" s="8" t="str">
        <f t="shared" si="30"/>
        <v/>
      </c>
      <c r="C231" s="8"/>
      <c r="D231" s="8"/>
      <c r="E231" s="13"/>
      <c r="F231" s="12"/>
      <c r="G231" s="11"/>
      <c r="H231" s="12"/>
      <c r="I231" s="15"/>
      <c r="J231" s="10">
        <f t="shared" si="29"/>
        <v>0</v>
      </c>
      <c r="K231" s="10">
        <f t="shared" si="24"/>
        <v>0</v>
      </c>
      <c r="L231" s="9" t="str">
        <f t="shared" si="25"/>
        <v/>
      </c>
      <c r="M231" s="8"/>
      <c r="N231" s="8"/>
      <c r="O231" s="8"/>
      <c r="P231" s="8"/>
      <c r="Q231" s="8"/>
      <c r="R231" s="8"/>
      <c r="S231" s="8"/>
      <c r="T231" s="8"/>
      <c r="U231" s="8"/>
      <c r="V231" s="7"/>
      <c r="W231" s="6" t="str">
        <f t="array" ref="W231">IF(NOT(ISBLANK(D231)),_xludf.XLOOKUP(D231,[1]CODE!$A$4:$A$100,[1]CODE!$D$4:$D$100),"")</f>
        <v/>
      </c>
      <c r="X231" s="5" t="str">
        <f t="array" ref="X231">IF(NOT(AND(ISBLANK(D231),ISBLANK(C231))),_xludf.XLOOKUP(D231,[1]CODE!$A$4:$A$100,[1]CODE!$E$4:$E$100),"")</f>
        <v/>
      </c>
      <c r="Y231" s="5" t="str">
        <f t="shared" si="26"/>
        <v/>
      </c>
      <c r="Z231" s="5" t="str">
        <f t="shared" si="27"/>
        <v/>
      </c>
      <c r="AA231" s="4">
        <f t="shared" si="28"/>
        <v>0</v>
      </c>
      <c r="AC231" s="2"/>
    </row>
    <row r="232" spans="1:29" ht="15.5">
      <c r="A232" s="13" t="str">
        <f>IF(OR(ISBLANK(C232),ISBLANK(D232),ISBLANK(F232),ISBLANK(G232)),"",COUNTIF($B$5:B232,"JAMBUTU"))</f>
        <v/>
      </c>
      <c r="B232" s="8" t="str">
        <f t="shared" si="30"/>
        <v/>
      </c>
      <c r="C232" s="8"/>
      <c r="D232" s="8"/>
      <c r="E232" s="13"/>
      <c r="F232" s="12"/>
      <c r="G232" s="11"/>
      <c r="H232" s="12"/>
      <c r="I232" s="15"/>
      <c r="J232" s="10">
        <f t="shared" si="29"/>
        <v>0</v>
      </c>
      <c r="K232" s="10">
        <f t="shared" si="24"/>
        <v>0</v>
      </c>
      <c r="L232" s="9" t="str">
        <f t="shared" si="25"/>
        <v/>
      </c>
      <c r="M232" s="8"/>
      <c r="N232" s="8"/>
      <c r="O232" s="8"/>
      <c r="P232" s="8"/>
      <c r="Q232" s="8"/>
      <c r="R232" s="8"/>
      <c r="S232" s="8"/>
      <c r="T232" s="8"/>
      <c r="U232" s="8"/>
      <c r="V232" s="7"/>
      <c r="W232" s="6" t="str">
        <f t="array" ref="W232">IF(NOT(ISBLANK(D232)),_xludf.XLOOKUP(D232,[1]CODE!$A$4:$A$100,[1]CODE!$D$4:$D$100),"")</f>
        <v/>
      </c>
      <c r="X232" s="5" t="str">
        <f t="array" ref="X232">IF(NOT(AND(ISBLANK(D232),ISBLANK(C232))),_xludf.XLOOKUP(D232,[1]CODE!$A$4:$A$100,[1]CODE!$E$4:$E$100),"")</f>
        <v/>
      </c>
      <c r="Y232" s="5" t="str">
        <f t="shared" si="26"/>
        <v/>
      </c>
      <c r="Z232" s="5" t="str">
        <f t="shared" si="27"/>
        <v/>
      </c>
      <c r="AA232" s="4">
        <f t="shared" si="28"/>
        <v>0</v>
      </c>
      <c r="AC232" s="2"/>
    </row>
    <row r="233" spans="1:29" ht="15.5">
      <c r="A233" s="13" t="str">
        <f>IF(OR(ISBLANK(C233),ISBLANK(D233),ISBLANK(F233),ISBLANK(G233)),"",COUNTIF($B$5:B233,"JAMBUTU"))</f>
        <v/>
      </c>
      <c r="B233" s="8" t="str">
        <f t="shared" si="30"/>
        <v/>
      </c>
      <c r="C233" s="8"/>
      <c r="D233" s="8"/>
      <c r="E233" s="13"/>
      <c r="F233" s="12"/>
      <c r="G233" s="15"/>
      <c r="H233" s="12"/>
      <c r="I233" s="11"/>
      <c r="J233" s="10">
        <f t="shared" si="29"/>
        <v>0</v>
      </c>
      <c r="K233" s="10">
        <f t="shared" si="24"/>
        <v>0</v>
      </c>
      <c r="L233" s="9" t="str">
        <f t="shared" si="25"/>
        <v/>
      </c>
      <c r="M233" s="8"/>
      <c r="N233" s="8"/>
      <c r="O233" s="8"/>
      <c r="P233" s="8"/>
      <c r="Q233" s="8"/>
      <c r="R233" s="8"/>
      <c r="S233" s="8"/>
      <c r="T233" s="8"/>
      <c r="U233" s="8"/>
      <c r="V233" s="7"/>
      <c r="W233" s="6" t="str">
        <f t="array" ref="W233">IF(NOT(ISBLANK(D233)),_xludf.XLOOKUP(D233,[1]CODE!$A$4:$A$100,[1]CODE!$D$4:$D$100),"")</f>
        <v/>
      </c>
      <c r="X233" s="5" t="str">
        <f t="array" ref="X233">IF(NOT(AND(ISBLANK(D233),ISBLANK(C233))),_xludf.XLOOKUP(D233,[1]CODE!$A$4:$A$100,[1]CODE!$E$4:$E$100),"")</f>
        <v/>
      </c>
      <c r="Y233" s="5" t="str">
        <f t="shared" si="26"/>
        <v/>
      </c>
      <c r="Z233" s="5" t="str">
        <f t="shared" si="27"/>
        <v/>
      </c>
      <c r="AA233" s="4">
        <f t="shared" si="28"/>
        <v>0</v>
      </c>
      <c r="AC233" s="2"/>
    </row>
    <row r="234" spans="1:29" ht="15.5">
      <c r="A234" s="13" t="str">
        <f>IF(OR(ISBLANK(C234),ISBLANK(D234),ISBLANK(F234),ISBLANK(G234)),"",COUNTIF($B$5:B234,"JAMBUTU"))</f>
        <v/>
      </c>
      <c r="B234" s="8" t="str">
        <f t="shared" si="30"/>
        <v/>
      </c>
      <c r="C234" s="8"/>
      <c r="D234" s="8"/>
      <c r="E234" s="13"/>
      <c r="F234" s="12"/>
      <c r="G234" s="11"/>
      <c r="H234" s="12"/>
      <c r="I234" s="15"/>
      <c r="J234" s="10">
        <f t="shared" si="29"/>
        <v>0</v>
      </c>
      <c r="K234" s="10">
        <f t="shared" si="24"/>
        <v>0</v>
      </c>
      <c r="L234" s="9" t="str">
        <f t="shared" si="25"/>
        <v/>
      </c>
      <c r="M234" s="8"/>
      <c r="N234" s="8"/>
      <c r="O234" s="8"/>
      <c r="P234" s="8"/>
      <c r="Q234" s="8"/>
      <c r="R234" s="8"/>
      <c r="S234" s="8"/>
      <c r="T234" s="8"/>
      <c r="U234" s="8"/>
      <c r="V234" s="7"/>
      <c r="W234" s="6" t="str">
        <f t="array" ref="W234">IF(NOT(ISBLANK(D234)),_xludf.XLOOKUP(D234,[1]CODE!$A$4:$A$100,[1]CODE!$D$4:$D$100),"")</f>
        <v/>
      </c>
      <c r="X234" s="5" t="str">
        <f t="array" ref="X234">IF(NOT(AND(ISBLANK(D234),ISBLANK(C234))),_xludf.XLOOKUP(D234,[1]CODE!$A$4:$A$100,[1]CODE!$E$4:$E$100),"")</f>
        <v/>
      </c>
      <c r="Y234" s="5" t="str">
        <f t="shared" si="26"/>
        <v/>
      </c>
      <c r="Z234" s="5" t="str">
        <f t="shared" si="27"/>
        <v/>
      </c>
      <c r="AA234" s="4">
        <f t="shared" si="28"/>
        <v>0</v>
      </c>
      <c r="AC234" s="2"/>
    </row>
    <row r="235" spans="1:29" ht="15.5">
      <c r="A235" s="13" t="str">
        <f>IF(OR(ISBLANK(C235),ISBLANK(D235),ISBLANK(F235),ISBLANK(G235)),"",COUNTIF($B$5:B235,"JAMBUTU"))</f>
        <v/>
      </c>
      <c r="B235" s="8" t="str">
        <f t="shared" si="30"/>
        <v/>
      </c>
      <c r="C235" s="8"/>
      <c r="D235" s="8"/>
      <c r="E235" s="13"/>
      <c r="F235" s="12"/>
      <c r="G235" s="11"/>
      <c r="H235" s="12"/>
      <c r="I235" s="15"/>
      <c r="J235" s="10">
        <f t="shared" si="29"/>
        <v>0</v>
      </c>
      <c r="K235" s="10">
        <f t="shared" si="24"/>
        <v>0</v>
      </c>
      <c r="L235" s="9" t="str">
        <f t="shared" si="25"/>
        <v/>
      </c>
      <c r="M235" s="8"/>
      <c r="N235" s="8"/>
      <c r="O235" s="8"/>
      <c r="P235" s="8"/>
      <c r="Q235" s="8"/>
      <c r="R235" s="8"/>
      <c r="S235" s="8"/>
      <c r="T235" s="8"/>
      <c r="U235" s="8"/>
      <c r="V235" s="7"/>
      <c r="W235" s="6" t="str">
        <f t="array" ref="W235">IF(NOT(ISBLANK(D235)),_xludf.XLOOKUP(D235,[1]CODE!$A$4:$A$100,[1]CODE!$D$4:$D$100),"")</f>
        <v/>
      </c>
      <c r="X235" s="5" t="str">
        <f t="array" ref="X235">IF(NOT(AND(ISBLANK(D235),ISBLANK(C235))),_xludf.XLOOKUP(D235,[1]CODE!$A$4:$A$100,[1]CODE!$E$4:$E$100),"")</f>
        <v/>
      </c>
      <c r="Y235" s="5" t="str">
        <f t="shared" si="26"/>
        <v/>
      </c>
      <c r="Z235" s="5" t="str">
        <f t="shared" si="27"/>
        <v/>
      </c>
      <c r="AA235" s="4">
        <f t="shared" si="28"/>
        <v>0</v>
      </c>
      <c r="AC235" s="2"/>
    </row>
    <row r="236" spans="1:29" ht="15.5">
      <c r="A236" s="13" t="str">
        <f>IF(OR(ISBLANK(C236),ISBLANK(D236),ISBLANK(F236),ISBLANK(G236)),"",COUNTIF($B$5:B236,"JAMBUTU"))</f>
        <v/>
      </c>
      <c r="B236" s="8" t="str">
        <f t="shared" si="30"/>
        <v/>
      </c>
      <c r="C236" s="8"/>
      <c r="D236" s="8"/>
      <c r="E236" s="13"/>
      <c r="F236" s="12"/>
      <c r="G236" s="11"/>
      <c r="H236" s="12"/>
      <c r="I236" s="11"/>
      <c r="J236" s="10">
        <f t="shared" si="29"/>
        <v>0</v>
      </c>
      <c r="K236" s="10">
        <f t="shared" si="24"/>
        <v>0</v>
      </c>
      <c r="L236" s="9" t="str">
        <f t="shared" si="25"/>
        <v/>
      </c>
      <c r="M236" s="8"/>
      <c r="N236" s="8"/>
      <c r="O236" s="8"/>
      <c r="P236" s="8"/>
      <c r="Q236" s="8"/>
      <c r="R236" s="8"/>
      <c r="S236" s="8"/>
      <c r="T236" s="8"/>
      <c r="U236" s="8"/>
      <c r="V236" s="7"/>
      <c r="W236" s="6" t="str">
        <f t="array" ref="W236">IF(NOT(ISBLANK(D236)),_xludf.XLOOKUP(D236,[1]CODE!$A$4:$A$100,[1]CODE!$D$4:$D$100),"")</f>
        <v/>
      </c>
      <c r="X236" s="5" t="str">
        <f t="array" ref="X236">IF(NOT(AND(ISBLANK(D236),ISBLANK(C236))),_xludf.XLOOKUP(D236,[1]CODE!$A$4:$A$100,[1]CODE!$E$4:$E$100),"")</f>
        <v/>
      </c>
      <c r="Y236" s="5" t="str">
        <f t="shared" si="26"/>
        <v/>
      </c>
      <c r="Z236" s="5" t="str">
        <f t="shared" si="27"/>
        <v/>
      </c>
      <c r="AA236" s="4">
        <f t="shared" si="28"/>
        <v>0</v>
      </c>
      <c r="AC236" s="2"/>
    </row>
    <row r="237" spans="1:29" ht="15.5">
      <c r="A237" s="13" t="str">
        <f>IF(OR(ISBLANK(C237),ISBLANK(D237),ISBLANK(F237),ISBLANK(G237)),"",COUNTIF($B$5:B237,"JAMBUTU"))</f>
        <v/>
      </c>
      <c r="B237" s="8" t="str">
        <f t="shared" si="30"/>
        <v/>
      </c>
      <c r="C237" s="8"/>
      <c r="D237" s="8"/>
      <c r="E237" s="13"/>
      <c r="F237" s="12"/>
      <c r="G237" s="11"/>
      <c r="H237" s="12"/>
      <c r="I237" s="11"/>
      <c r="J237" s="10">
        <f t="shared" si="29"/>
        <v>0</v>
      </c>
      <c r="K237" s="10">
        <f t="shared" si="24"/>
        <v>0</v>
      </c>
      <c r="L237" s="9" t="str">
        <f t="shared" si="25"/>
        <v/>
      </c>
      <c r="M237" s="8"/>
      <c r="N237" s="8"/>
      <c r="O237" s="8"/>
      <c r="P237" s="8"/>
      <c r="Q237" s="8"/>
      <c r="R237" s="8"/>
      <c r="S237" s="8"/>
      <c r="T237" s="8"/>
      <c r="U237" s="8"/>
      <c r="V237" s="7"/>
      <c r="W237" s="6" t="str">
        <f t="array" ref="W237">IF(NOT(ISBLANK(D237)),_xludf.XLOOKUP(D237,[1]CODE!$A$4:$A$100,[1]CODE!$D$4:$D$100),"")</f>
        <v/>
      </c>
      <c r="X237" s="5" t="str">
        <f t="array" ref="X237">IF(NOT(AND(ISBLANK(D237),ISBLANK(C237))),_xludf.XLOOKUP(D237,[1]CODE!$A$4:$A$100,[1]CODE!$E$4:$E$100),"")</f>
        <v/>
      </c>
      <c r="Y237" s="5" t="str">
        <f t="shared" si="26"/>
        <v/>
      </c>
      <c r="Z237" s="5" t="str">
        <f t="shared" si="27"/>
        <v/>
      </c>
      <c r="AA237" s="4">
        <f t="shared" si="28"/>
        <v>0</v>
      </c>
      <c r="AC237" s="2"/>
    </row>
    <row r="238" spans="1:29" ht="15.5">
      <c r="A238" s="13" t="str">
        <f>IF(OR(ISBLANK(C238),ISBLANK(D238),ISBLANK(F238),ISBLANK(G238)),"",COUNTIF($B$5:B238,"JAMBUTU"))</f>
        <v/>
      </c>
      <c r="B238" s="8" t="str">
        <f t="shared" si="30"/>
        <v/>
      </c>
      <c r="C238" s="8"/>
      <c r="D238" s="8"/>
      <c r="E238" s="13"/>
      <c r="F238" s="12"/>
      <c r="G238" s="11"/>
      <c r="H238" s="12"/>
      <c r="I238" s="11"/>
      <c r="J238" s="10">
        <f t="shared" si="29"/>
        <v>0</v>
      </c>
      <c r="K238" s="10">
        <f t="shared" si="24"/>
        <v>0</v>
      </c>
      <c r="L238" s="9" t="str">
        <f t="shared" si="25"/>
        <v/>
      </c>
      <c r="M238" s="8"/>
      <c r="N238" s="8"/>
      <c r="O238" s="8"/>
      <c r="P238" s="8"/>
      <c r="Q238" s="8"/>
      <c r="R238" s="8"/>
      <c r="S238" s="8"/>
      <c r="T238" s="8"/>
      <c r="U238" s="8"/>
      <c r="V238" s="7"/>
      <c r="W238" s="6" t="str">
        <f t="array" ref="W238">IF(NOT(ISBLANK(D238)),_xludf.XLOOKUP(D238,[1]CODE!$A$4:$A$100,[1]CODE!$D$4:$D$100),"")</f>
        <v/>
      </c>
      <c r="X238" s="5" t="str">
        <f t="array" ref="X238">IF(NOT(AND(ISBLANK(D238),ISBLANK(C238))),_xludf.XLOOKUP(D238,[1]CODE!$A$4:$A$100,[1]CODE!$E$4:$E$100),"")</f>
        <v/>
      </c>
      <c r="Y238" s="5" t="str">
        <f t="shared" si="26"/>
        <v/>
      </c>
      <c r="Z238" s="5" t="str">
        <f t="shared" si="27"/>
        <v/>
      </c>
      <c r="AA238" s="4">
        <f t="shared" si="28"/>
        <v>0</v>
      </c>
      <c r="AC238" s="2"/>
    </row>
    <row r="239" spans="1:29" ht="15.5">
      <c r="A239" s="13" t="str">
        <f>IF(OR(ISBLANK(C239),ISBLANK(D239),ISBLANK(F239),ISBLANK(G239)),"",COUNTIF($B$5:B239,"JAMBUTU"))</f>
        <v/>
      </c>
      <c r="B239" s="8" t="str">
        <f t="shared" si="30"/>
        <v/>
      </c>
      <c r="C239" s="8"/>
      <c r="D239" s="8"/>
      <c r="E239" s="13"/>
      <c r="F239" s="12"/>
      <c r="G239" s="11"/>
      <c r="H239" s="12"/>
      <c r="I239" s="11"/>
      <c r="J239" s="10">
        <f t="shared" si="29"/>
        <v>0</v>
      </c>
      <c r="K239" s="10">
        <f t="shared" si="24"/>
        <v>0</v>
      </c>
      <c r="L239" s="9" t="str">
        <f t="shared" si="25"/>
        <v/>
      </c>
      <c r="M239" s="8"/>
      <c r="N239" s="8"/>
      <c r="O239" s="8"/>
      <c r="P239" s="8"/>
      <c r="Q239" s="8"/>
      <c r="R239" s="8"/>
      <c r="S239" s="8"/>
      <c r="T239" s="8"/>
      <c r="U239" s="8"/>
      <c r="V239" s="7"/>
      <c r="W239" s="6" t="str">
        <f t="array" ref="W239">IF(NOT(ISBLANK(D239)),_xludf.XLOOKUP(D239,[1]CODE!$A$4:$A$100,[1]CODE!$D$4:$D$100),"")</f>
        <v/>
      </c>
      <c r="X239" s="5" t="str">
        <f t="array" ref="X239">IF(NOT(AND(ISBLANK(D239),ISBLANK(C239))),_xludf.XLOOKUP(D239,[1]CODE!$A$4:$A$100,[1]CODE!$E$4:$E$100),"")</f>
        <v/>
      </c>
      <c r="Y239" s="5" t="str">
        <f t="shared" si="26"/>
        <v/>
      </c>
      <c r="Z239" s="5" t="str">
        <f t="shared" si="27"/>
        <v/>
      </c>
      <c r="AA239" s="4">
        <f t="shared" si="28"/>
        <v>0</v>
      </c>
      <c r="AC239" s="2"/>
    </row>
    <row r="240" spans="1:29" ht="15.5">
      <c r="A240" s="13" t="str">
        <f>IF(OR(ISBLANK(C240),ISBLANK(D240),ISBLANK(F240),ISBLANK(G240)),"",COUNTIF($B$5:B240,"JAMBUTU"))</f>
        <v/>
      </c>
      <c r="B240" s="8" t="str">
        <f t="shared" si="30"/>
        <v/>
      </c>
      <c r="C240" s="8"/>
      <c r="D240" s="8"/>
      <c r="E240" s="13"/>
      <c r="F240" s="12"/>
      <c r="G240" s="11"/>
      <c r="H240" s="12"/>
      <c r="I240" s="11"/>
      <c r="J240" s="10">
        <f t="shared" si="29"/>
        <v>0</v>
      </c>
      <c r="K240" s="10">
        <f t="shared" si="24"/>
        <v>0</v>
      </c>
      <c r="L240" s="9" t="str">
        <f t="shared" si="25"/>
        <v/>
      </c>
      <c r="M240" s="8"/>
      <c r="N240" s="8"/>
      <c r="O240" s="8"/>
      <c r="P240" s="8"/>
      <c r="Q240" s="8"/>
      <c r="R240" s="8"/>
      <c r="S240" s="8"/>
      <c r="T240" s="8"/>
      <c r="U240" s="8"/>
      <c r="V240" s="7"/>
      <c r="W240" s="6" t="str">
        <f t="array" ref="W240">IF(NOT(ISBLANK(D240)),_xludf.XLOOKUP(D240,[1]CODE!$A$4:$A$100,[1]CODE!$D$4:$D$100),"")</f>
        <v/>
      </c>
      <c r="X240" s="5" t="str">
        <f t="array" ref="X240">IF(NOT(AND(ISBLANK(D240),ISBLANK(C240))),_xludf.XLOOKUP(D240,[1]CODE!$A$4:$A$100,[1]CODE!$E$4:$E$100),"")</f>
        <v/>
      </c>
      <c r="Y240" s="5" t="str">
        <f t="shared" si="26"/>
        <v/>
      </c>
      <c r="Z240" s="5" t="str">
        <f t="shared" si="27"/>
        <v/>
      </c>
      <c r="AA240" s="4">
        <f t="shared" si="28"/>
        <v>0</v>
      </c>
      <c r="AC240" s="2"/>
    </row>
    <row r="241" spans="1:29" ht="15.5">
      <c r="A241" s="13" t="str">
        <f>IF(OR(ISBLANK(C241),ISBLANK(D241),ISBLANK(F241),ISBLANK(G241)),"",COUNTIF($B$5:B241,"JAMBUTU"))</f>
        <v/>
      </c>
      <c r="B241" s="8" t="str">
        <f t="shared" si="30"/>
        <v/>
      </c>
      <c r="C241" s="8"/>
      <c r="D241" s="8"/>
      <c r="E241" s="13"/>
      <c r="F241" s="12"/>
      <c r="G241" s="11"/>
      <c r="H241" s="12"/>
      <c r="I241" s="11"/>
      <c r="J241" s="10">
        <f t="shared" si="29"/>
        <v>0</v>
      </c>
      <c r="K241" s="10">
        <f t="shared" si="24"/>
        <v>0</v>
      </c>
      <c r="L241" s="9" t="str">
        <f t="shared" si="25"/>
        <v/>
      </c>
      <c r="M241" s="8"/>
      <c r="N241" s="8"/>
      <c r="O241" s="8"/>
      <c r="P241" s="8"/>
      <c r="Q241" s="8"/>
      <c r="R241" s="8"/>
      <c r="S241" s="8"/>
      <c r="T241" s="8"/>
      <c r="U241" s="8"/>
      <c r="V241" s="7"/>
      <c r="W241" s="6" t="str">
        <f t="array" ref="W241">IF(NOT(ISBLANK(D241)),_xludf.XLOOKUP(D241,[1]CODE!$A$4:$A$100,[1]CODE!$D$4:$D$100),"")</f>
        <v/>
      </c>
      <c r="X241" s="5" t="str">
        <f t="array" ref="X241">IF(NOT(AND(ISBLANK(D241),ISBLANK(C241))),_xludf.XLOOKUP(D241,[1]CODE!$A$4:$A$100,[1]CODE!$E$4:$E$100),"")</f>
        <v/>
      </c>
      <c r="Y241" s="5" t="str">
        <f t="shared" si="26"/>
        <v/>
      </c>
      <c r="Z241" s="5" t="str">
        <f t="shared" si="27"/>
        <v/>
      </c>
      <c r="AA241" s="4">
        <f t="shared" si="28"/>
        <v>0</v>
      </c>
      <c r="AC241" s="2"/>
    </row>
    <row r="242" spans="1:29" ht="15.5">
      <c r="A242" s="13" t="str">
        <f>IF(OR(ISBLANK(C242),ISBLANK(D242),ISBLANK(F242),ISBLANK(G242)),"",COUNTIF($B$5:B242,"JAMBUTU"))</f>
        <v/>
      </c>
      <c r="B242" s="8" t="str">
        <f t="shared" si="30"/>
        <v/>
      </c>
      <c r="C242" s="8"/>
      <c r="D242" s="8"/>
      <c r="E242" s="13"/>
      <c r="F242" s="12"/>
      <c r="G242" s="11"/>
      <c r="H242" s="12"/>
      <c r="I242" s="11"/>
      <c r="J242" s="10">
        <f t="shared" si="29"/>
        <v>0</v>
      </c>
      <c r="K242" s="10">
        <f t="shared" si="24"/>
        <v>0</v>
      </c>
      <c r="L242" s="9" t="str">
        <f t="shared" si="25"/>
        <v/>
      </c>
      <c r="M242" s="8"/>
      <c r="N242" s="8"/>
      <c r="O242" s="8"/>
      <c r="P242" s="8"/>
      <c r="Q242" s="8"/>
      <c r="R242" s="8"/>
      <c r="S242" s="8"/>
      <c r="T242" s="8"/>
      <c r="U242" s="8"/>
      <c r="V242" s="7"/>
      <c r="W242" s="6" t="str">
        <f t="array" ref="W242">IF(NOT(ISBLANK(D242)),_xludf.XLOOKUP(D242,[1]CODE!$A$4:$A$100,[1]CODE!$D$4:$D$100),"")</f>
        <v/>
      </c>
      <c r="X242" s="5" t="str">
        <f t="array" ref="X242">IF(NOT(AND(ISBLANK(D242),ISBLANK(C242))),_xludf.XLOOKUP(D242,[1]CODE!$A$4:$A$100,[1]CODE!$E$4:$E$100),"")</f>
        <v/>
      </c>
      <c r="Y242" s="5" t="str">
        <f t="shared" si="26"/>
        <v/>
      </c>
      <c r="Z242" s="5" t="str">
        <f t="shared" si="27"/>
        <v/>
      </c>
      <c r="AA242" s="4">
        <f t="shared" si="28"/>
        <v>0</v>
      </c>
      <c r="AC242" s="2"/>
    </row>
    <row r="243" spans="1:29" ht="15.5">
      <c r="A243" s="13" t="str">
        <f>IF(OR(ISBLANK(C243),ISBLANK(D243),ISBLANK(F243),ISBLANK(G243)),"",COUNTIF($B$5:B243,"JAMBUTU"))</f>
        <v/>
      </c>
      <c r="B243" s="8" t="str">
        <f t="shared" si="30"/>
        <v/>
      </c>
      <c r="C243" s="8"/>
      <c r="D243" s="8"/>
      <c r="E243" s="13"/>
      <c r="F243" s="12"/>
      <c r="G243" s="11"/>
      <c r="H243" s="12"/>
      <c r="I243" s="11"/>
      <c r="J243" s="10">
        <f t="shared" si="29"/>
        <v>0</v>
      </c>
      <c r="K243" s="10">
        <f t="shared" si="24"/>
        <v>0</v>
      </c>
      <c r="L243" s="9" t="str">
        <f t="shared" si="25"/>
        <v/>
      </c>
      <c r="M243" s="8"/>
      <c r="N243" s="8"/>
      <c r="O243" s="8"/>
      <c r="P243" s="8"/>
      <c r="Q243" s="8"/>
      <c r="R243" s="8"/>
      <c r="S243" s="8"/>
      <c r="T243" s="8"/>
      <c r="U243" s="8"/>
      <c r="V243" s="7"/>
      <c r="W243" s="6" t="str">
        <f t="array" ref="W243">IF(NOT(ISBLANK(D243)),_xludf.XLOOKUP(D243,[1]CODE!$A$4:$A$100,[1]CODE!$D$4:$D$100),"")</f>
        <v/>
      </c>
      <c r="X243" s="5" t="str">
        <f t="array" ref="X243">IF(NOT(AND(ISBLANK(D243),ISBLANK(C243))),_xludf.XLOOKUP(D243,[1]CODE!$A$4:$A$100,[1]CODE!$E$4:$E$100),"")</f>
        <v/>
      </c>
      <c r="Y243" s="5" t="str">
        <f t="shared" si="26"/>
        <v/>
      </c>
      <c r="Z243" s="5" t="str">
        <f t="shared" si="27"/>
        <v/>
      </c>
      <c r="AA243" s="4">
        <f t="shared" si="28"/>
        <v>0</v>
      </c>
      <c r="AC243" s="2"/>
    </row>
    <row r="244" spans="1:29" ht="15.5">
      <c r="A244" s="13" t="str">
        <f>IF(OR(ISBLANK(C244),ISBLANK(D244),ISBLANK(F244),ISBLANK(G244)),"",COUNTIF($B$5:B244,"JAMBUTU"))</f>
        <v/>
      </c>
      <c r="B244" s="8" t="str">
        <f t="shared" si="30"/>
        <v/>
      </c>
      <c r="C244" s="8"/>
      <c r="D244" s="8"/>
      <c r="E244" s="13"/>
      <c r="F244" s="12"/>
      <c r="G244" s="11"/>
      <c r="H244" s="12"/>
      <c r="I244" s="11"/>
      <c r="J244" s="10">
        <f t="shared" si="29"/>
        <v>0</v>
      </c>
      <c r="K244" s="10">
        <f t="shared" si="24"/>
        <v>0</v>
      </c>
      <c r="L244" s="9" t="str">
        <f t="shared" si="25"/>
        <v/>
      </c>
      <c r="M244" s="8"/>
      <c r="N244" s="8"/>
      <c r="O244" s="8"/>
      <c r="P244" s="8"/>
      <c r="Q244" s="8"/>
      <c r="R244" s="8"/>
      <c r="S244" s="8"/>
      <c r="T244" s="8"/>
      <c r="U244" s="8"/>
      <c r="V244" s="7"/>
      <c r="W244" s="6" t="str">
        <f t="array" ref="W244">IF(NOT(ISBLANK(D244)),_xludf.XLOOKUP(D244,[1]CODE!$A$4:$A$100,[1]CODE!$D$4:$D$100),"")</f>
        <v/>
      </c>
      <c r="X244" s="5" t="str">
        <f t="array" ref="X244">IF(NOT(AND(ISBLANK(D244),ISBLANK(C244))),_xludf.XLOOKUP(D244,[1]CODE!$A$4:$A$100,[1]CODE!$E$4:$E$100),"")</f>
        <v/>
      </c>
      <c r="Y244" s="5" t="str">
        <f t="shared" si="26"/>
        <v/>
      </c>
      <c r="Z244" s="5" t="str">
        <f t="shared" si="27"/>
        <v/>
      </c>
      <c r="AA244" s="4">
        <f t="shared" si="28"/>
        <v>0</v>
      </c>
      <c r="AC244" s="2"/>
    </row>
    <row r="245" spans="1:29" ht="15.5">
      <c r="A245" s="13" t="str">
        <f>IF(OR(ISBLANK(C245),ISBLANK(D245),ISBLANK(F245),ISBLANK(G245)),"",COUNTIF($B$5:B245,"JAMBUTU"))</f>
        <v/>
      </c>
      <c r="B245" s="8" t="str">
        <f t="shared" si="30"/>
        <v/>
      </c>
      <c r="C245" s="8"/>
      <c r="D245" s="8"/>
      <c r="E245" s="13"/>
      <c r="F245" s="12"/>
      <c r="G245" s="11"/>
      <c r="H245" s="12"/>
      <c r="I245" s="11"/>
      <c r="J245" s="10">
        <f t="shared" si="29"/>
        <v>0</v>
      </c>
      <c r="K245" s="10">
        <f t="shared" si="24"/>
        <v>0</v>
      </c>
      <c r="L245" s="9" t="str">
        <f t="shared" si="25"/>
        <v/>
      </c>
      <c r="M245" s="8"/>
      <c r="N245" s="8"/>
      <c r="O245" s="8"/>
      <c r="P245" s="8"/>
      <c r="Q245" s="8"/>
      <c r="R245" s="8"/>
      <c r="S245" s="8"/>
      <c r="T245" s="8"/>
      <c r="U245" s="8"/>
      <c r="V245" s="7"/>
      <c r="W245" s="6" t="str">
        <f t="array" ref="W245">IF(NOT(ISBLANK(D245)),_xludf.XLOOKUP(D245,[1]CODE!$A$4:$A$100,[1]CODE!$D$4:$D$100),"")</f>
        <v/>
      </c>
      <c r="X245" s="5" t="str">
        <f t="array" ref="X245">IF(NOT(AND(ISBLANK(D245),ISBLANK(C245))),_xludf.XLOOKUP(D245,[1]CODE!$A$4:$A$100,[1]CODE!$E$4:$E$100),"")</f>
        <v/>
      </c>
      <c r="Y245" s="5" t="str">
        <f t="shared" si="26"/>
        <v/>
      </c>
      <c r="Z245" s="5" t="str">
        <f t="shared" si="27"/>
        <v/>
      </c>
      <c r="AA245" s="4">
        <f t="shared" si="28"/>
        <v>0</v>
      </c>
      <c r="AC245" s="2"/>
    </row>
    <row r="246" spans="1:29" ht="15.5">
      <c r="A246" s="13" t="str">
        <f>IF(OR(ISBLANK(C246),ISBLANK(D246),ISBLANK(F246),ISBLANK(G246)),"",COUNTIF($B$5:B246,"JAMBUTU"))</f>
        <v/>
      </c>
      <c r="B246" s="8" t="str">
        <f t="shared" si="30"/>
        <v/>
      </c>
      <c r="C246" s="8"/>
      <c r="D246" s="8"/>
      <c r="E246" s="13"/>
      <c r="F246" s="12"/>
      <c r="G246" s="11"/>
      <c r="H246" s="12"/>
      <c r="I246" s="11"/>
      <c r="J246" s="10">
        <f t="shared" si="29"/>
        <v>0</v>
      </c>
      <c r="K246" s="10">
        <f t="shared" si="24"/>
        <v>0</v>
      </c>
      <c r="L246" s="9" t="str">
        <f t="shared" si="25"/>
        <v/>
      </c>
      <c r="M246" s="8"/>
      <c r="N246" s="8"/>
      <c r="O246" s="8"/>
      <c r="P246" s="8"/>
      <c r="Q246" s="8"/>
      <c r="R246" s="8"/>
      <c r="S246" s="8"/>
      <c r="T246" s="8"/>
      <c r="U246" s="8"/>
      <c r="V246" s="7"/>
      <c r="W246" s="6" t="str">
        <f t="array" ref="W246">IF(NOT(ISBLANK(D246)),_xludf.XLOOKUP(D246,[1]CODE!$A$4:$A$100,[1]CODE!$D$4:$D$100),"")</f>
        <v/>
      </c>
      <c r="X246" s="5" t="str">
        <f t="array" ref="X246">IF(NOT(AND(ISBLANK(D246),ISBLANK(C246))),_xludf.XLOOKUP(D246,[1]CODE!$A$4:$A$100,[1]CODE!$E$4:$E$100),"")</f>
        <v/>
      </c>
      <c r="Y246" s="5" t="str">
        <f t="shared" si="26"/>
        <v/>
      </c>
      <c r="Z246" s="5" t="str">
        <f t="shared" si="27"/>
        <v/>
      </c>
      <c r="AA246" s="4">
        <f t="shared" si="28"/>
        <v>0</v>
      </c>
      <c r="AC246" s="2"/>
    </row>
    <row r="247" spans="1:29" ht="15.5">
      <c r="A247" s="13" t="str">
        <f>IF(OR(ISBLANK(C247),ISBLANK(D247),ISBLANK(F247),ISBLANK(G247)),"",COUNTIF($B$5:B247,"JAMBUTU"))</f>
        <v/>
      </c>
      <c r="B247" s="8" t="str">
        <f t="shared" si="30"/>
        <v/>
      </c>
      <c r="C247" s="8"/>
      <c r="D247" s="8"/>
      <c r="E247" s="13"/>
      <c r="F247" s="12"/>
      <c r="G247" s="11"/>
      <c r="H247" s="12"/>
      <c r="I247" s="11"/>
      <c r="J247" s="10">
        <f t="shared" si="29"/>
        <v>0</v>
      </c>
      <c r="K247" s="10">
        <f t="shared" si="24"/>
        <v>0</v>
      </c>
      <c r="L247" s="9" t="str">
        <f t="shared" si="25"/>
        <v/>
      </c>
      <c r="M247" s="8"/>
      <c r="N247" s="8"/>
      <c r="O247" s="8"/>
      <c r="P247" s="8"/>
      <c r="Q247" s="8"/>
      <c r="R247" s="8"/>
      <c r="S247" s="8"/>
      <c r="T247" s="8"/>
      <c r="U247" s="8"/>
      <c r="V247" s="7"/>
      <c r="W247" s="6" t="str">
        <f t="array" ref="W247">IF(NOT(ISBLANK(D247)),_xludf.XLOOKUP(D247,[1]CODE!$A$4:$A$100,[1]CODE!$D$4:$D$100),"")</f>
        <v/>
      </c>
      <c r="X247" s="5" t="str">
        <f t="array" ref="X247">IF(NOT(AND(ISBLANK(D247),ISBLANK(C247))),_xludf.XLOOKUP(D247,[1]CODE!$A$4:$A$100,[1]CODE!$E$4:$E$100),"")</f>
        <v/>
      </c>
      <c r="Y247" s="5" t="str">
        <f t="shared" si="26"/>
        <v/>
      </c>
      <c r="Z247" s="5" t="str">
        <f t="shared" si="27"/>
        <v/>
      </c>
      <c r="AA247" s="4">
        <f t="shared" si="28"/>
        <v>0</v>
      </c>
      <c r="AC247" s="2"/>
    </row>
    <row r="248" spans="1:29" ht="15.5">
      <c r="A248" s="13" t="str">
        <f>IF(OR(ISBLANK(C248),ISBLANK(D248),ISBLANK(F248),ISBLANK(G248)),"",COUNTIF($B$5:B248,"JAMBUTU"))</f>
        <v/>
      </c>
      <c r="B248" s="8" t="str">
        <f t="shared" si="30"/>
        <v/>
      </c>
      <c r="C248" s="8"/>
      <c r="D248" s="8"/>
      <c r="E248" s="13"/>
      <c r="F248" s="12"/>
      <c r="G248" s="11"/>
      <c r="H248" s="12"/>
      <c r="I248" s="11"/>
      <c r="J248" s="10">
        <f t="shared" si="29"/>
        <v>0</v>
      </c>
      <c r="K248" s="10">
        <f t="shared" si="24"/>
        <v>0</v>
      </c>
      <c r="L248" s="9" t="str">
        <f t="shared" si="25"/>
        <v/>
      </c>
      <c r="M248" s="8"/>
      <c r="N248" s="8"/>
      <c r="O248" s="8"/>
      <c r="P248" s="8"/>
      <c r="Q248" s="8"/>
      <c r="R248" s="8"/>
      <c r="S248" s="8"/>
      <c r="T248" s="8"/>
      <c r="U248" s="8"/>
      <c r="V248" s="7"/>
      <c r="W248" s="6" t="str">
        <f t="array" ref="W248">IF(NOT(ISBLANK(D248)),_xludf.XLOOKUP(D248,[1]CODE!$A$4:$A$100,[1]CODE!$D$4:$D$100),"")</f>
        <v/>
      </c>
      <c r="X248" s="5" t="str">
        <f t="array" ref="X248">IF(NOT(AND(ISBLANK(D248),ISBLANK(C248))),_xludf.XLOOKUP(D248,[1]CODE!$A$4:$A$100,[1]CODE!$E$4:$E$100),"")</f>
        <v/>
      </c>
      <c r="Y248" s="5" t="str">
        <f t="shared" si="26"/>
        <v/>
      </c>
      <c r="Z248" s="5" t="str">
        <f t="shared" si="27"/>
        <v/>
      </c>
      <c r="AA248" s="4">
        <f t="shared" si="28"/>
        <v>0</v>
      </c>
      <c r="AC248" s="2"/>
    </row>
    <row r="249" spans="1:29" ht="15.5">
      <c r="A249" s="13" t="str">
        <f>IF(OR(ISBLANK(C249),ISBLANK(D249),ISBLANK(F249),ISBLANK(G249)),"",COUNTIF($B$5:B249,"JAMBUTU"))</f>
        <v/>
      </c>
      <c r="B249" s="8" t="str">
        <f t="shared" si="30"/>
        <v/>
      </c>
      <c r="C249" s="8"/>
      <c r="D249" s="8"/>
      <c r="E249" s="13"/>
      <c r="F249" s="12"/>
      <c r="G249" s="11"/>
      <c r="H249" s="12"/>
      <c r="I249" s="11"/>
      <c r="J249" s="10">
        <f t="shared" si="29"/>
        <v>0</v>
      </c>
      <c r="K249" s="10">
        <f t="shared" si="24"/>
        <v>0</v>
      </c>
      <c r="L249" s="9" t="str">
        <f t="shared" si="25"/>
        <v/>
      </c>
      <c r="M249" s="8"/>
      <c r="N249" s="8"/>
      <c r="O249" s="8"/>
      <c r="P249" s="8"/>
      <c r="Q249" s="8"/>
      <c r="R249" s="8"/>
      <c r="S249" s="8"/>
      <c r="T249" s="8"/>
      <c r="U249" s="8"/>
      <c r="V249" s="7"/>
      <c r="W249" s="6" t="str">
        <f t="array" ref="W249">IF(NOT(ISBLANK(D249)),_xludf.XLOOKUP(D249,[1]CODE!$A$4:$A$100,[1]CODE!$D$4:$D$100),"")</f>
        <v/>
      </c>
      <c r="X249" s="5" t="str">
        <f t="array" ref="X249">IF(NOT(AND(ISBLANK(D249),ISBLANK(C249))),_xludf.XLOOKUP(D249,[1]CODE!$A$4:$A$100,[1]CODE!$E$4:$E$100),"")</f>
        <v/>
      </c>
      <c r="Y249" s="5" t="str">
        <f t="shared" si="26"/>
        <v/>
      </c>
      <c r="Z249" s="5" t="str">
        <f t="shared" si="27"/>
        <v/>
      </c>
      <c r="AA249" s="4">
        <f t="shared" si="28"/>
        <v>0</v>
      </c>
      <c r="AC249" s="2"/>
    </row>
    <row r="250" spans="1:29" ht="15.5">
      <c r="A250" s="13" t="str">
        <f>IF(OR(ISBLANK(C250),ISBLANK(D250),ISBLANK(F250),ISBLANK(G250)),"",COUNTIF($B$5:B250,"JAMBUTU"))</f>
        <v/>
      </c>
      <c r="B250" s="8" t="str">
        <f t="shared" si="30"/>
        <v/>
      </c>
      <c r="C250" s="8"/>
      <c r="D250" s="8"/>
      <c r="E250" s="13"/>
      <c r="F250" s="12"/>
      <c r="G250" s="11"/>
      <c r="H250" s="12"/>
      <c r="I250" s="11"/>
      <c r="J250" s="10">
        <f t="shared" si="29"/>
        <v>0</v>
      </c>
      <c r="K250" s="10">
        <f t="shared" si="24"/>
        <v>0</v>
      </c>
      <c r="L250" s="9" t="str">
        <f t="shared" si="25"/>
        <v/>
      </c>
      <c r="M250" s="8"/>
      <c r="N250" s="8"/>
      <c r="O250" s="8"/>
      <c r="P250" s="8"/>
      <c r="Q250" s="8"/>
      <c r="R250" s="8"/>
      <c r="S250" s="8"/>
      <c r="T250" s="8"/>
      <c r="U250" s="8"/>
      <c r="V250" s="7"/>
      <c r="W250" s="6" t="str">
        <f t="array" ref="W250">IF(NOT(ISBLANK(D250)),_xludf.XLOOKUP(D250,[1]CODE!$A$4:$A$100,[1]CODE!$D$4:$D$100),"")</f>
        <v/>
      </c>
      <c r="X250" s="5" t="str">
        <f t="array" ref="X250">IF(NOT(AND(ISBLANK(D250),ISBLANK(C250))),_xludf.XLOOKUP(D250,[1]CODE!$A$4:$A$100,[1]CODE!$E$4:$E$100),"")</f>
        <v/>
      </c>
      <c r="Y250" s="5" t="str">
        <f t="shared" si="26"/>
        <v/>
      </c>
      <c r="Z250" s="5" t="str">
        <f t="shared" si="27"/>
        <v/>
      </c>
      <c r="AA250" s="4">
        <f t="shared" si="28"/>
        <v>0</v>
      </c>
      <c r="AC250" s="2"/>
    </row>
    <row r="251" spans="1:29" ht="15.5">
      <c r="A251" s="13" t="str">
        <f>IF(OR(ISBLANK(C251),ISBLANK(D251),ISBLANK(F251),ISBLANK(G251)),"",COUNTIF($B$5:B251,"JAMBUTU"))</f>
        <v/>
      </c>
      <c r="B251" s="8" t="str">
        <f t="shared" si="30"/>
        <v/>
      </c>
      <c r="C251" s="8"/>
      <c r="D251" s="8"/>
      <c r="E251" s="13"/>
      <c r="F251" s="12"/>
      <c r="G251" s="11"/>
      <c r="H251" s="12"/>
      <c r="I251" s="11"/>
      <c r="J251" s="10">
        <f t="shared" si="29"/>
        <v>0</v>
      </c>
      <c r="K251" s="10">
        <f t="shared" si="24"/>
        <v>0</v>
      </c>
      <c r="L251" s="9" t="str">
        <f t="shared" si="25"/>
        <v/>
      </c>
      <c r="M251" s="8"/>
      <c r="N251" s="8"/>
      <c r="O251" s="8"/>
      <c r="P251" s="8"/>
      <c r="Q251" s="8"/>
      <c r="R251" s="8"/>
      <c r="S251" s="8"/>
      <c r="T251" s="8"/>
      <c r="U251" s="8"/>
      <c r="V251" s="7"/>
      <c r="W251" s="6" t="str">
        <f t="array" ref="W251">IF(NOT(ISBLANK(D251)),_xludf.XLOOKUP(D251,[1]CODE!$A$4:$A$100,[1]CODE!$D$4:$D$100),"")</f>
        <v/>
      </c>
      <c r="X251" s="5" t="str">
        <f t="array" ref="X251">IF(NOT(AND(ISBLANK(D251),ISBLANK(C251))),_xludf.XLOOKUP(D251,[1]CODE!$A$4:$A$100,[1]CODE!$E$4:$E$100),"")</f>
        <v/>
      </c>
      <c r="Y251" s="5" t="str">
        <f t="shared" si="26"/>
        <v/>
      </c>
      <c r="Z251" s="5" t="str">
        <f t="shared" si="27"/>
        <v/>
      </c>
      <c r="AA251" s="4">
        <f t="shared" si="28"/>
        <v>0</v>
      </c>
      <c r="AC251" s="2"/>
    </row>
    <row r="252" spans="1:29" ht="15.5">
      <c r="A252" s="13" t="str">
        <f>IF(OR(ISBLANK(C252),ISBLANK(D252),ISBLANK(F252),ISBLANK(G252)),"",COUNTIF($B$5:B252,"JAMBUTU"))</f>
        <v/>
      </c>
      <c r="B252" s="8" t="str">
        <f t="shared" si="30"/>
        <v/>
      </c>
      <c r="C252" s="8"/>
      <c r="D252" s="8"/>
      <c r="E252" s="13"/>
      <c r="F252" s="12"/>
      <c r="G252" s="11"/>
      <c r="H252" s="12"/>
      <c r="I252" s="11"/>
      <c r="J252" s="10">
        <f t="shared" si="29"/>
        <v>0</v>
      </c>
      <c r="K252" s="10">
        <f t="shared" si="24"/>
        <v>0</v>
      </c>
      <c r="L252" s="9" t="str">
        <f t="shared" si="25"/>
        <v/>
      </c>
      <c r="M252" s="8"/>
      <c r="N252" s="8"/>
      <c r="O252" s="8"/>
      <c r="P252" s="8"/>
      <c r="Q252" s="8"/>
      <c r="R252" s="8"/>
      <c r="S252" s="8"/>
      <c r="T252" s="8"/>
      <c r="U252" s="8"/>
      <c r="V252" s="7"/>
      <c r="W252" s="6" t="str">
        <f t="array" ref="W252">IF(NOT(ISBLANK(D252)),_xludf.XLOOKUP(D252,[1]CODE!$A$4:$A$100,[1]CODE!$D$4:$D$100),"")</f>
        <v/>
      </c>
      <c r="X252" s="5" t="str">
        <f t="array" ref="X252">IF(NOT(AND(ISBLANK(D252),ISBLANK(C252))),_xludf.XLOOKUP(D252,[1]CODE!$A$4:$A$100,[1]CODE!$E$4:$E$100),"")</f>
        <v/>
      </c>
      <c r="Y252" s="5" t="str">
        <f t="shared" si="26"/>
        <v/>
      </c>
      <c r="Z252" s="5" t="str">
        <f t="shared" si="27"/>
        <v/>
      </c>
      <c r="AA252" s="4">
        <f t="shared" si="28"/>
        <v>0</v>
      </c>
      <c r="AC252" s="2"/>
    </row>
    <row r="253" spans="1:29" ht="15.5">
      <c r="A253" s="13" t="str">
        <f>IF(OR(ISBLANK(C253),ISBLANK(D253),ISBLANK(F253),ISBLANK(G253)),"",COUNTIF($B$5:B253,"JAMBUTU"))</f>
        <v/>
      </c>
      <c r="B253" s="8" t="str">
        <f t="shared" si="30"/>
        <v/>
      </c>
      <c r="C253" s="8"/>
      <c r="D253" s="8"/>
      <c r="E253" s="13"/>
      <c r="F253" s="12"/>
      <c r="G253" s="11"/>
      <c r="H253" s="12"/>
      <c r="I253" s="11"/>
      <c r="J253" s="10">
        <f t="shared" si="29"/>
        <v>0</v>
      </c>
      <c r="K253" s="10">
        <f t="shared" si="24"/>
        <v>0</v>
      </c>
      <c r="L253" s="9" t="str">
        <f t="shared" si="25"/>
        <v/>
      </c>
      <c r="M253" s="8"/>
      <c r="N253" s="8"/>
      <c r="O253" s="8"/>
      <c r="P253" s="8"/>
      <c r="Q253" s="8"/>
      <c r="R253" s="8"/>
      <c r="S253" s="8"/>
      <c r="T253" s="8"/>
      <c r="U253" s="8"/>
      <c r="V253" s="7"/>
      <c r="W253" s="6" t="str">
        <f t="array" ref="W253">IF(NOT(ISBLANK(D253)),_xludf.XLOOKUP(D253,[1]CODE!$A$4:$A$100,[1]CODE!$D$4:$D$100),"")</f>
        <v/>
      </c>
      <c r="X253" s="5" t="str">
        <f t="array" ref="X253">IF(NOT(AND(ISBLANK(D253),ISBLANK(C253))),_xludf.XLOOKUP(D253,[1]CODE!$A$4:$A$100,[1]CODE!$E$4:$E$100),"")</f>
        <v/>
      </c>
      <c r="Y253" s="5" t="str">
        <f t="shared" si="26"/>
        <v/>
      </c>
      <c r="Z253" s="5" t="str">
        <f t="shared" si="27"/>
        <v/>
      </c>
      <c r="AA253" s="4">
        <f t="shared" si="28"/>
        <v>0</v>
      </c>
      <c r="AC253" s="2"/>
    </row>
    <row r="254" spans="1:29" ht="15.5">
      <c r="A254" s="13" t="str">
        <f>IF(OR(ISBLANK(C254),ISBLANK(D254),ISBLANK(F254),ISBLANK(G254)),"",COUNTIF($B$5:B254,"JAMBUTU"))</f>
        <v/>
      </c>
      <c r="B254" s="8" t="str">
        <f t="shared" si="30"/>
        <v/>
      </c>
      <c r="C254" s="8"/>
      <c r="D254" s="8"/>
      <c r="E254" s="13"/>
      <c r="F254" s="12"/>
      <c r="G254" s="11"/>
      <c r="H254" s="12"/>
      <c r="I254" s="11"/>
      <c r="J254" s="10">
        <f t="shared" si="29"/>
        <v>0</v>
      </c>
      <c r="K254" s="10">
        <f t="shared" si="24"/>
        <v>0</v>
      </c>
      <c r="L254" s="9" t="str">
        <f t="shared" si="25"/>
        <v/>
      </c>
      <c r="M254" s="8"/>
      <c r="N254" s="8"/>
      <c r="O254" s="8"/>
      <c r="P254" s="8"/>
      <c r="Q254" s="8"/>
      <c r="R254" s="8"/>
      <c r="S254" s="8"/>
      <c r="T254" s="8"/>
      <c r="U254" s="8"/>
      <c r="V254" s="7"/>
      <c r="W254" s="6" t="str">
        <f t="array" ref="W254">IF(NOT(ISBLANK(D254)),_xludf.XLOOKUP(D254,[1]CODE!$A$4:$A$100,[1]CODE!$D$4:$D$100),"")</f>
        <v/>
      </c>
      <c r="X254" s="5" t="str">
        <f t="array" ref="X254">IF(NOT(AND(ISBLANK(D254),ISBLANK(C254))),_xludf.XLOOKUP(D254,[1]CODE!$A$4:$A$100,[1]CODE!$E$4:$E$100),"")</f>
        <v/>
      </c>
      <c r="Y254" s="5" t="str">
        <f t="shared" si="26"/>
        <v/>
      </c>
      <c r="Z254" s="5" t="str">
        <f t="shared" si="27"/>
        <v/>
      </c>
      <c r="AA254" s="4">
        <f t="shared" si="28"/>
        <v>0</v>
      </c>
      <c r="AC254" s="2"/>
    </row>
    <row r="255" spans="1:29" ht="15.5">
      <c r="A255" s="13" t="str">
        <f>IF(OR(ISBLANK(C255),ISBLANK(D255),ISBLANK(F255),ISBLANK(G255)),"",COUNTIF($B$5:B255,"JAMBUTU"))</f>
        <v/>
      </c>
      <c r="B255" s="8" t="str">
        <f t="shared" si="30"/>
        <v/>
      </c>
      <c r="C255" s="8"/>
      <c r="D255" s="8"/>
      <c r="E255" s="13"/>
      <c r="F255" s="12"/>
      <c r="G255" s="11"/>
      <c r="H255" s="12"/>
      <c r="I255" s="11"/>
      <c r="J255" s="10">
        <f t="shared" si="29"/>
        <v>0</v>
      </c>
      <c r="K255" s="10">
        <f t="shared" si="24"/>
        <v>0</v>
      </c>
      <c r="L255" s="9" t="str">
        <f t="shared" si="25"/>
        <v/>
      </c>
      <c r="M255" s="8"/>
      <c r="N255" s="8"/>
      <c r="O255" s="8"/>
      <c r="P255" s="8"/>
      <c r="Q255" s="8"/>
      <c r="R255" s="8"/>
      <c r="S255" s="8"/>
      <c r="T255" s="8"/>
      <c r="U255" s="8"/>
      <c r="V255" s="7"/>
      <c r="W255" s="6" t="str">
        <f t="array" ref="W255">IF(NOT(ISBLANK(D255)),_xludf.XLOOKUP(D255,[1]CODE!$A$4:$A$100,[1]CODE!$D$4:$D$100),"")</f>
        <v/>
      </c>
      <c r="X255" s="5" t="str">
        <f t="array" ref="X255">IF(NOT(AND(ISBLANK(D255),ISBLANK(C255))),_xludf.XLOOKUP(D255,[1]CODE!$A$4:$A$100,[1]CODE!$E$4:$E$100),"")</f>
        <v/>
      </c>
      <c r="Y255" s="5" t="str">
        <f t="shared" si="26"/>
        <v/>
      </c>
      <c r="Z255" s="5" t="str">
        <f t="shared" si="27"/>
        <v/>
      </c>
      <c r="AA255" s="4">
        <f t="shared" si="28"/>
        <v>0</v>
      </c>
      <c r="AC255" s="2"/>
    </row>
    <row r="256" spans="1:29" ht="15.5">
      <c r="A256" s="13" t="str">
        <f>IF(OR(ISBLANK(C256),ISBLANK(D256),ISBLANK(F256),ISBLANK(G256)),"",COUNTIF($B$5:B256,"JAMBUTU"))</f>
        <v/>
      </c>
      <c r="B256" s="8" t="str">
        <f t="shared" si="30"/>
        <v/>
      </c>
      <c r="C256" s="8"/>
      <c r="D256" s="8"/>
      <c r="E256" s="13"/>
      <c r="F256" s="12"/>
      <c r="G256" s="11"/>
      <c r="H256" s="12"/>
      <c r="I256" s="11"/>
      <c r="J256" s="10">
        <f t="shared" si="29"/>
        <v>0</v>
      </c>
      <c r="K256" s="10">
        <f t="shared" si="24"/>
        <v>0</v>
      </c>
      <c r="L256" s="9" t="str">
        <f t="shared" si="25"/>
        <v/>
      </c>
      <c r="M256" s="8"/>
      <c r="N256" s="8"/>
      <c r="O256" s="8"/>
      <c r="P256" s="8"/>
      <c r="Q256" s="8"/>
      <c r="R256" s="8"/>
      <c r="S256" s="8"/>
      <c r="T256" s="8"/>
      <c r="U256" s="8"/>
      <c r="V256" s="7"/>
      <c r="W256" s="6" t="str">
        <f t="array" ref="W256">IF(NOT(ISBLANK(D256)),_xludf.XLOOKUP(D256,[1]CODE!$A$4:$A$100,[1]CODE!$D$4:$D$100),"")</f>
        <v/>
      </c>
      <c r="X256" s="5" t="str">
        <f t="array" ref="X256">IF(NOT(AND(ISBLANK(D256),ISBLANK(C256))),_xludf.XLOOKUP(D256,[1]CODE!$A$4:$A$100,[1]CODE!$E$4:$E$100),"")</f>
        <v/>
      </c>
      <c r="Y256" s="5" t="str">
        <f t="shared" si="26"/>
        <v/>
      </c>
      <c r="Z256" s="5" t="str">
        <f t="shared" si="27"/>
        <v/>
      </c>
      <c r="AA256" s="4">
        <f t="shared" si="28"/>
        <v>0</v>
      </c>
      <c r="AC256" s="2"/>
    </row>
    <row r="257" spans="1:29" ht="15.5">
      <c r="A257" s="13" t="str">
        <f>IF(OR(ISBLANK(C257),ISBLANK(D257),ISBLANK(F257),ISBLANK(G257)),"",COUNTIF($B$5:B257,"JAMBUTU"))</f>
        <v/>
      </c>
      <c r="B257" s="8" t="str">
        <f t="shared" si="30"/>
        <v/>
      </c>
      <c r="C257" s="8"/>
      <c r="D257" s="8"/>
      <c r="E257" s="13"/>
      <c r="F257" s="12"/>
      <c r="G257" s="11"/>
      <c r="H257" s="12"/>
      <c r="I257" s="11"/>
      <c r="J257" s="10">
        <f t="shared" si="29"/>
        <v>0</v>
      </c>
      <c r="K257" s="10">
        <f t="shared" si="24"/>
        <v>0</v>
      </c>
      <c r="L257" s="9" t="str">
        <f t="shared" si="25"/>
        <v/>
      </c>
      <c r="M257" s="8"/>
      <c r="N257" s="8"/>
      <c r="O257" s="8"/>
      <c r="P257" s="8"/>
      <c r="Q257" s="8"/>
      <c r="R257" s="8"/>
      <c r="S257" s="8"/>
      <c r="T257" s="8"/>
      <c r="U257" s="8"/>
      <c r="V257" s="7"/>
      <c r="W257" s="6" t="str">
        <f t="array" ref="W257">IF(NOT(ISBLANK(D257)),_xludf.XLOOKUP(D257,[1]CODE!$A$4:$A$100,[1]CODE!$D$4:$D$100),"")</f>
        <v/>
      </c>
      <c r="X257" s="5" t="str">
        <f t="array" ref="X257">IF(NOT(AND(ISBLANK(D257),ISBLANK(C257))),_xludf.XLOOKUP(D257,[1]CODE!$A$4:$A$100,[1]CODE!$E$4:$E$100),"")</f>
        <v/>
      </c>
      <c r="Y257" s="5" t="str">
        <f t="shared" si="26"/>
        <v/>
      </c>
      <c r="Z257" s="5" t="str">
        <f t="shared" si="27"/>
        <v/>
      </c>
      <c r="AA257" s="4">
        <f t="shared" si="28"/>
        <v>0</v>
      </c>
      <c r="AC257" s="2"/>
    </row>
    <row r="258" spans="1:29" ht="15.5">
      <c r="A258" s="13" t="str">
        <f>IF(OR(ISBLANK(C258),ISBLANK(D258),ISBLANK(F258),ISBLANK(G258)),"",COUNTIF($B$5:B258,"JAMBUTU"))</f>
        <v/>
      </c>
      <c r="B258" s="8" t="str">
        <f t="shared" si="30"/>
        <v/>
      </c>
      <c r="C258" s="8"/>
      <c r="D258" s="8"/>
      <c r="E258" s="13"/>
      <c r="F258" s="12"/>
      <c r="G258" s="11"/>
      <c r="H258" s="12"/>
      <c r="I258" s="11"/>
      <c r="J258" s="10">
        <f t="shared" si="29"/>
        <v>0</v>
      </c>
      <c r="K258" s="10">
        <f t="shared" si="24"/>
        <v>0</v>
      </c>
      <c r="L258" s="9" t="str">
        <f t="shared" si="25"/>
        <v/>
      </c>
      <c r="M258" s="8"/>
      <c r="N258" s="8"/>
      <c r="O258" s="8"/>
      <c r="P258" s="8"/>
      <c r="Q258" s="8"/>
      <c r="R258" s="8"/>
      <c r="S258" s="8"/>
      <c r="T258" s="8"/>
      <c r="U258" s="8"/>
      <c r="V258" s="7"/>
      <c r="W258" s="6" t="str">
        <f t="array" ref="W258">IF(NOT(ISBLANK(D258)),_xludf.XLOOKUP(D258,[1]CODE!$A$4:$A$100,[1]CODE!$D$4:$D$100),"")</f>
        <v/>
      </c>
      <c r="X258" s="5" t="str">
        <f t="array" ref="X258">IF(NOT(AND(ISBLANK(D258),ISBLANK(C258))),_xludf.XLOOKUP(D258,[1]CODE!$A$4:$A$100,[1]CODE!$E$4:$E$100),"")</f>
        <v/>
      </c>
      <c r="Y258" s="5" t="str">
        <f t="shared" si="26"/>
        <v/>
      </c>
      <c r="Z258" s="5" t="str">
        <f t="shared" si="27"/>
        <v/>
      </c>
      <c r="AA258" s="4">
        <f t="shared" si="28"/>
        <v>0</v>
      </c>
      <c r="AC258" s="2"/>
    </row>
    <row r="259" spans="1:29" ht="15.5">
      <c r="A259" s="13" t="str">
        <f>IF(OR(ISBLANK(C259),ISBLANK(D259),ISBLANK(F259),ISBLANK(G259)),"",COUNTIF($B$5:B259,"JAMBUTU"))</f>
        <v/>
      </c>
      <c r="B259" s="8" t="str">
        <f t="shared" si="30"/>
        <v/>
      </c>
      <c r="C259" s="8"/>
      <c r="D259" s="8"/>
      <c r="E259" s="13"/>
      <c r="F259" s="12"/>
      <c r="G259" s="11"/>
      <c r="H259" s="12"/>
      <c r="I259" s="11"/>
      <c r="J259" s="10">
        <f t="shared" si="29"/>
        <v>0</v>
      </c>
      <c r="K259" s="10">
        <f t="shared" si="24"/>
        <v>0</v>
      </c>
      <c r="L259" s="9" t="str">
        <f t="shared" si="25"/>
        <v/>
      </c>
      <c r="M259" s="8"/>
      <c r="N259" s="8"/>
      <c r="O259" s="8"/>
      <c r="P259" s="8"/>
      <c r="Q259" s="8"/>
      <c r="R259" s="8"/>
      <c r="S259" s="8"/>
      <c r="T259" s="8"/>
      <c r="U259" s="8"/>
      <c r="V259" s="7"/>
      <c r="W259" s="6" t="str">
        <f t="array" ref="W259">IF(NOT(ISBLANK(D259)),_xludf.XLOOKUP(D259,[1]CODE!$A$4:$A$100,[1]CODE!$D$4:$D$100),"")</f>
        <v/>
      </c>
      <c r="X259" s="5" t="str">
        <f t="array" ref="X259">IF(NOT(AND(ISBLANK(D259),ISBLANK(C259))),_xludf.XLOOKUP(D259,[1]CODE!$A$4:$A$100,[1]CODE!$E$4:$E$100),"")</f>
        <v/>
      </c>
      <c r="Y259" s="5" t="str">
        <f t="shared" si="26"/>
        <v/>
      </c>
      <c r="Z259" s="5" t="str">
        <f t="shared" si="27"/>
        <v/>
      </c>
      <c r="AA259" s="4">
        <f t="shared" si="28"/>
        <v>0</v>
      </c>
      <c r="AC259" s="2"/>
    </row>
    <row r="260" spans="1:29" ht="15.5">
      <c r="A260" s="13" t="str">
        <f>IF(OR(ISBLANK(C260),ISBLANK(D260),ISBLANK(F260),ISBLANK(G260)),"",COUNTIF($B$5:B260,"JAMBUTU"))</f>
        <v/>
      </c>
      <c r="B260" s="8" t="str">
        <f t="shared" si="30"/>
        <v/>
      </c>
      <c r="C260" s="8"/>
      <c r="D260" s="8"/>
      <c r="E260" s="13"/>
      <c r="F260" s="12"/>
      <c r="G260" s="11"/>
      <c r="H260" s="12"/>
      <c r="I260" s="11"/>
      <c r="J260" s="10">
        <f t="shared" si="29"/>
        <v>0</v>
      </c>
      <c r="K260" s="10">
        <f t="shared" si="24"/>
        <v>0</v>
      </c>
      <c r="L260" s="9" t="str">
        <f t="shared" si="25"/>
        <v/>
      </c>
      <c r="M260" s="8"/>
      <c r="N260" s="8"/>
      <c r="O260" s="8"/>
      <c r="P260" s="8"/>
      <c r="Q260" s="8"/>
      <c r="R260" s="8"/>
      <c r="S260" s="8"/>
      <c r="T260" s="8"/>
      <c r="U260" s="8"/>
      <c r="V260" s="7"/>
      <c r="W260" s="6" t="str">
        <f t="array" ref="W260">IF(NOT(ISBLANK(D260)),_xludf.XLOOKUP(D260,[1]CODE!$A$4:$A$100,[1]CODE!$D$4:$D$100),"")</f>
        <v/>
      </c>
      <c r="X260" s="5" t="str">
        <f t="array" ref="X260">IF(NOT(AND(ISBLANK(D260),ISBLANK(C260))),_xludf.XLOOKUP(D260,[1]CODE!$A$4:$A$100,[1]CODE!$E$4:$E$100),"")</f>
        <v/>
      </c>
      <c r="Y260" s="5" t="str">
        <f t="shared" si="26"/>
        <v/>
      </c>
      <c r="Z260" s="5" t="str">
        <f t="shared" si="27"/>
        <v/>
      </c>
      <c r="AA260" s="4">
        <f t="shared" si="28"/>
        <v>0</v>
      </c>
      <c r="AC260" s="2"/>
    </row>
    <row r="261" spans="1:29" ht="15.5">
      <c r="A261" s="13" t="str">
        <f>IF(OR(ISBLANK(C261),ISBLANK(D261),ISBLANK(F261),ISBLANK(G261)),"",COUNTIF($B$5:B261,"JAMBUTU"))</f>
        <v/>
      </c>
      <c r="B261" s="8" t="str">
        <f t="shared" si="30"/>
        <v/>
      </c>
      <c r="C261" s="8"/>
      <c r="D261" s="8"/>
      <c r="E261" s="13"/>
      <c r="F261" s="12"/>
      <c r="G261" s="11"/>
      <c r="H261" s="12"/>
      <c r="I261" s="11"/>
      <c r="J261" s="10">
        <f t="shared" si="29"/>
        <v>0</v>
      </c>
      <c r="K261" s="10">
        <f t="shared" ref="K261:K324" si="31">DATE(YEAR(H261),MONTH(H261),DAY(H261))+TIME(HOUR(I261),MINUTE(I261), SECOND(I261))</f>
        <v>0</v>
      </c>
      <c r="L261" s="9" t="str">
        <f t="shared" ref="L261:L324" si="32">IF(ISBLANK(I261),"",IF(J261&gt;K261,(K261+1)-J261,K261-J261))</f>
        <v/>
      </c>
      <c r="M261" s="8"/>
      <c r="N261" s="8"/>
      <c r="O261" s="8"/>
      <c r="P261" s="8"/>
      <c r="Q261" s="8"/>
      <c r="R261" s="8"/>
      <c r="S261" s="8"/>
      <c r="T261" s="8"/>
      <c r="U261" s="8"/>
      <c r="V261" s="7"/>
      <c r="W261" s="6" t="str">
        <f t="array" ref="W261">IF(NOT(ISBLANK(D261)),_xludf.XLOOKUP(D261,[1]CODE!$A$4:$A$100,[1]CODE!$D$4:$D$100),"")</f>
        <v/>
      </c>
      <c r="X261" s="5" t="str">
        <f t="array" ref="X261">IF(NOT(AND(ISBLANK(D261),ISBLANK(C261))),_xludf.XLOOKUP(D261,[1]CODE!$A$4:$A$100,[1]CODE!$E$4:$E$100),"")</f>
        <v/>
      </c>
      <c r="Y261" s="5" t="str">
        <f t="shared" ref="Y261:Y324" si="33">LEFT(C261,4)</f>
        <v/>
      </c>
      <c r="Z261" s="5" t="str">
        <f t="shared" ref="Z261:Z324" si="34">IF(NOT(ISBLANK(C261)), IF(K261&gt;J261,"YES","NO"),"")</f>
        <v/>
      </c>
      <c r="AA261" s="4">
        <f t="shared" ref="AA261:AA324" si="35">IF(AND(F261=H261,Z261="NO"),1+H261,H261)</f>
        <v>0</v>
      </c>
      <c r="AC261" s="2"/>
    </row>
    <row r="262" spans="1:29" ht="15.5">
      <c r="A262" s="13" t="str">
        <f>IF(OR(ISBLANK(C262),ISBLANK(D262),ISBLANK(F262),ISBLANK(G262)),"",COUNTIF($B$5:B262,"JAMBUTU"))</f>
        <v/>
      </c>
      <c r="B262" s="8" t="str">
        <f t="shared" si="30"/>
        <v/>
      </c>
      <c r="C262" s="8"/>
      <c r="D262" s="8"/>
      <c r="E262" s="13"/>
      <c r="F262" s="12"/>
      <c r="G262" s="11"/>
      <c r="H262" s="12"/>
      <c r="I262" s="11"/>
      <c r="J262" s="10">
        <f t="shared" si="29"/>
        <v>0</v>
      </c>
      <c r="K262" s="10">
        <f t="shared" si="31"/>
        <v>0</v>
      </c>
      <c r="L262" s="9" t="str">
        <f t="shared" si="32"/>
        <v/>
      </c>
      <c r="M262" s="8"/>
      <c r="N262" s="8"/>
      <c r="O262" s="8"/>
      <c r="P262" s="8"/>
      <c r="Q262" s="8"/>
      <c r="R262" s="8"/>
      <c r="S262" s="8"/>
      <c r="T262" s="8"/>
      <c r="U262" s="8"/>
      <c r="V262" s="7"/>
      <c r="W262" s="6" t="str">
        <f t="array" ref="W262">IF(NOT(ISBLANK(D262)),_xludf.XLOOKUP(D262,[1]CODE!$A$4:$A$100,[1]CODE!$D$4:$D$100),"")</f>
        <v/>
      </c>
      <c r="X262" s="5" t="str">
        <f t="array" ref="X262">IF(NOT(AND(ISBLANK(D262),ISBLANK(C262))),_xludf.XLOOKUP(D262,[1]CODE!$A$4:$A$100,[1]CODE!$E$4:$E$100),"")</f>
        <v/>
      </c>
      <c r="Y262" s="5" t="str">
        <f t="shared" si="33"/>
        <v/>
      </c>
      <c r="Z262" s="5" t="str">
        <f t="shared" si="34"/>
        <v/>
      </c>
      <c r="AA262" s="4">
        <f t="shared" si="35"/>
        <v>0</v>
      </c>
      <c r="AC262" s="2"/>
    </row>
    <row r="263" spans="1:29" ht="15.5">
      <c r="A263" s="13" t="str">
        <f>IF(OR(ISBLANK(C263),ISBLANK(D263),ISBLANK(F263),ISBLANK(G263)),"",COUNTIF($B$5:B263,"JAMBUTU"))</f>
        <v/>
      </c>
      <c r="B263" s="8" t="str">
        <f t="shared" si="30"/>
        <v/>
      </c>
      <c r="C263" s="8"/>
      <c r="D263" s="8"/>
      <c r="E263" s="13"/>
      <c r="F263" s="12"/>
      <c r="G263" s="11"/>
      <c r="H263" s="12"/>
      <c r="I263" s="11"/>
      <c r="J263" s="10">
        <f t="shared" si="29"/>
        <v>0</v>
      </c>
      <c r="K263" s="10">
        <f t="shared" si="31"/>
        <v>0</v>
      </c>
      <c r="L263" s="9" t="str">
        <f t="shared" si="32"/>
        <v/>
      </c>
      <c r="M263" s="8"/>
      <c r="N263" s="8"/>
      <c r="O263" s="8"/>
      <c r="P263" s="8"/>
      <c r="Q263" s="8"/>
      <c r="R263" s="8"/>
      <c r="S263" s="8"/>
      <c r="T263" s="8"/>
      <c r="U263" s="8"/>
      <c r="V263" s="7"/>
      <c r="W263" s="6" t="str">
        <f t="array" ref="W263">IF(NOT(ISBLANK(D263)),_xludf.XLOOKUP(D263,[1]CODE!$A$4:$A$100,[1]CODE!$D$4:$D$100),"")</f>
        <v/>
      </c>
      <c r="X263" s="5" t="str">
        <f t="array" ref="X263">IF(NOT(AND(ISBLANK(D263),ISBLANK(C263))),_xludf.XLOOKUP(D263,[1]CODE!$A$4:$A$100,[1]CODE!$E$4:$E$100),"")</f>
        <v/>
      </c>
      <c r="Y263" s="5" t="str">
        <f t="shared" si="33"/>
        <v/>
      </c>
      <c r="Z263" s="5" t="str">
        <f t="shared" si="34"/>
        <v/>
      </c>
      <c r="AA263" s="4">
        <f t="shared" si="35"/>
        <v>0</v>
      </c>
      <c r="AC263" s="2"/>
    </row>
    <row r="264" spans="1:29" ht="15.5">
      <c r="A264" s="13" t="str">
        <f>IF(OR(ISBLANK(C264),ISBLANK(D264),ISBLANK(F264),ISBLANK(G264)),"",COUNTIF($B$5:B264,"JAMBUTU"))</f>
        <v/>
      </c>
      <c r="B264" s="8" t="str">
        <f t="shared" si="30"/>
        <v/>
      </c>
      <c r="C264" s="8"/>
      <c r="D264" s="8"/>
      <c r="E264" s="13"/>
      <c r="F264" s="12"/>
      <c r="G264" s="11"/>
      <c r="H264" s="12"/>
      <c r="I264" s="11"/>
      <c r="J264" s="10">
        <f t="shared" si="29"/>
        <v>0</v>
      </c>
      <c r="K264" s="10">
        <f t="shared" si="31"/>
        <v>0</v>
      </c>
      <c r="L264" s="9" t="str">
        <f t="shared" si="32"/>
        <v/>
      </c>
      <c r="M264" s="8"/>
      <c r="N264" s="8"/>
      <c r="O264" s="8"/>
      <c r="P264" s="8"/>
      <c r="Q264" s="8"/>
      <c r="R264" s="8"/>
      <c r="S264" s="8"/>
      <c r="T264" s="8"/>
      <c r="U264" s="8"/>
      <c r="V264" s="7"/>
      <c r="W264" s="6" t="str">
        <f t="array" ref="W264">IF(NOT(ISBLANK(D264)),_xludf.XLOOKUP(D264,[1]CODE!$A$4:$A$100,[1]CODE!$D$4:$D$100),"")</f>
        <v/>
      </c>
      <c r="X264" s="5" t="str">
        <f t="array" ref="X264">IF(NOT(AND(ISBLANK(D264),ISBLANK(C264))),_xludf.XLOOKUP(D264,[1]CODE!$A$4:$A$100,[1]CODE!$E$4:$E$100),"")</f>
        <v/>
      </c>
      <c r="Y264" s="5" t="str">
        <f t="shared" si="33"/>
        <v/>
      </c>
      <c r="Z264" s="5" t="str">
        <f t="shared" si="34"/>
        <v/>
      </c>
      <c r="AA264" s="4">
        <f t="shared" si="35"/>
        <v>0</v>
      </c>
      <c r="AC264" s="2"/>
    </row>
    <row r="265" spans="1:29" ht="15.5">
      <c r="A265" s="13" t="str">
        <f>IF(OR(ISBLANK(C265),ISBLANK(D265),ISBLANK(F265),ISBLANK(G265)),"",COUNTIF($B$5:B265,"JAMBUTU"))</f>
        <v/>
      </c>
      <c r="B265" s="8" t="str">
        <f t="shared" si="30"/>
        <v/>
      </c>
      <c r="C265" s="8"/>
      <c r="D265" s="8"/>
      <c r="E265" s="13"/>
      <c r="F265" s="12"/>
      <c r="G265" s="11"/>
      <c r="H265" s="12"/>
      <c r="I265" s="11"/>
      <c r="J265" s="10">
        <f t="shared" si="29"/>
        <v>0</v>
      </c>
      <c r="K265" s="10">
        <f t="shared" si="31"/>
        <v>0</v>
      </c>
      <c r="L265" s="9" t="str">
        <f t="shared" si="32"/>
        <v/>
      </c>
      <c r="M265" s="8"/>
      <c r="N265" s="8"/>
      <c r="O265" s="8"/>
      <c r="P265" s="8"/>
      <c r="Q265" s="8"/>
      <c r="R265" s="8"/>
      <c r="S265" s="8"/>
      <c r="T265" s="8"/>
      <c r="U265" s="8"/>
      <c r="V265" s="7"/>
      <c r="W265" s="6" t="str">
        <f t="array" ref="W265">IF(NOT(ISBLANK(D265)),_xludf.XLOOKUP(D265,[1]CODE!$A$4:$A$100,[1]CODE!$D$4:$D$100),"")</f>
        <v/>
      </c>
      <c r="X265" s="5" t="str">
        <f t="array" ref="X265">IF(NOT(AND(ISBLANK(D265),ISBLANK(C265))),_xludf.XLOOKUP(D265,[1]CODE!$A$4:$A$100,[1]CODE!$E$4:$E$100),"")</f>
        <v/>
      </c>
      <c r="Y265" s="5" t="str">
        <f t="shared" si="33"/>
        <v/>
      </c>
      <c r="Z265" s="5" t="str">
        <f t="shared" si="34"/>
        <v/>
      </c>
      <c r="AA265" s="4">
        <f t="shared" si="35"/>
        <v>0</v>
      </c>
      <c r="AC265" s="2"/>
    </row>
    <row r="266" spans="1:29" ht="15.5">
      <c r="A266" s="13" t="str">
        <f>IF(OR(ISBLANK(C266),ISBLANK(D266),ISBLANK(F266),ISBLANK(G266)),"",COUNTIF($B$5:B266,"JAMBUTU"))</f>
        <v/>
      </c>
      <c r="B266" s="8" t="str">
        <f t="shared" si="30"/>
        <v/>
      </c>
      <c r="C266" s="8"/>
      <c r="D266" s="8"/>
      <c r="E266" s="13"/>
      <c r="F266" s="12"/>
      <c r="G266" s="11"/>
      <c r="H266" s="12"/>
      <c r="I266" s="11"/>
      <c r="J266" s="10">
        <f t="shared" si="29"/>
        <v>0</v>
      </c>
      <c r="K266" s="10">
        <f t="shared" si="31"/>
        <v>0</v>
      </c>
      <c r="L266" s="9" t="str">
        <f t="shared" si="32"/>
        <v/>
      </c>
      <c r="M266" s="8"/>
      <c r="N266" s="8"/>
      <c r="O266" s="8"/>
      <c r="P266" s="8"/>
      <c r="Q266" s="8"/>
      <c r="R266" s="8"/>
      <c r="S266" s="8"/>
      <c r="T266" s="8"/>
      <c r="U266" s="8"/>
      <c r="V266" s="7"/>
      <c r="W266" s="6" t="str">
        <f t="array" ref="W266">IF(NOT(ISBLANK(D266)),_xludf.XLOOKUP(D266,[1]CODE!$A$4:$A$100,[1]CODE!$D$4:$D$100),"")</f>
        <v/>
      </c>
      <c r="X266" s="5" t="str">
        <f t="array" ref="X266">IF(NOT(AND(ISBLANK(D266),ISBLANK(C266))),_xludf.XLOOKUP(D266,[1]CODE!$A$4:$A$100,[1]CODE!$E$4:$E$100),"")</f>
        <v/>
      </c>
      <c r="Y266" s="5" t="str">
        <f t="shared" si="33"/>
        <v/>
      </c>
      <c r="Z266" s="5" t="str">
        <f t="shared" si="34"/>
        <v/>
      </c>
      <c r="AA266" s="4">
        <f t="shared" si="35"/>
        <v>0</v>
      </c>
      <c r="AC266" s="2"/>
    </row>
    <row r="267" spans="1:29" ht="15.5">
      <c r="A267" s="13" t="str">
        <f>IF(OR(ISBLANK(C267),ISBLANK(D267),ISBLANK(F267),ISBLANK(G267)),"",COUNTIF($B$5:B267,"JAMBUTU"))</f>
        <v/>
      </c>
      <c r="B267" s="8" t="str">
        <f t="shared" si="30"/>
        <v/>
      </c>
      <c r="C267" s="8"/>
      <c r="D267" s="8"/>
      <c r="E267" s="13"/>
      <c r="F267" s="12"/>
      <c r="G267" s="11"/>
      <c r="H267" s="12"/>
      <c r="I267" s="11"/>
      <c r="J267" s="10">
        <f t="shared" si="29"/>
        <v>0</v>
      </c>
      <c r="K267" s="10">
        <f t="shared" si="31"/>
        <v>0</v>
      </c>
      <c r="L267" s="9" t="str">
        <f t="shared" si="32"/>
        <v/>
      </c>
      <c r="M267" s="8"/>
      <c r="N267" s="8"/>
      <c r="O267" s="8"/>
      <c r="P267" s="8"/>
      <c r="Q267" s="8"/>
      <c r="R267" s="8"/>
      <c r="S267" s="8"/>
      <c r="T267" s="8"/>
      <c r="U267" s="8"/>
      <c r="V267" s="7"/>
      <c r="W267" s="6" t="str">
        <f t="array" ref="W267">IF(NOT(ISBLANK(D267)),_xludf.XLOOKUP(D267,[1]CODE!$A$4:$A$100,[1]CODE!$D$4:$D$100),"")</f>
        <v/>
      </c>
      <c r="X267" s="5" t="str">
        <f t="array" ref="X267">IF(NOT(AND(ISBLANK(D267),ISBLANK(C267))),_xludf.XLOOKUP(D267,[1]CODE!$A$4:$A$100,[1]CODE!$E$4:$E$100),"")</f>
        <v/>
      </c>
      <c r="Y267" s="5" t="str">
        <f t="shared" si="33"/>
        <v/>
      </c>
      <c r="Z267" s="5" t="str">
        <f t="shared" si="34"/>
        <v/>
      </c>
      <c r="AA267" s="4">
        <f t="shared" si="35"/>
        <v>0</v>
      </c>
      <c r="AC267" s="2"/>
    </row>
    <row r="268" spans="1:29" ht="15.5">
      <c r="A268" s="13" t="str">
        <f>IF(OR(ISBLANK(C268),ISBLANK(D268),ISBLANK(F268),ISBLANK(G268)),"",COUNTIF($B$5:B268,"JAMBUTU"))</f>
        <v/>
      </c>
      <c r="B268" s="8" t="str">
        <f t="shared" si="30"/>
        <v/>
      </c>
      <c r="C268" s="8"/>
      <c r="D268" s="8"/>
      <c r="E268" s="13"/>
      <c r="F268" s="12"/>
      <c r="G268" s="11"/>
      <c r="H268" s="12"/>
      <c r="I268" s="11"/>
      <c r="J268" s="10">
        <f t="shared" si="29"/>
        <v>0</v>
      </c>
      <c r="K268" s="10">
        <f t="shared" si="31"/>
        <v>0</v>
      </c>
      <c r="L268" s="9" t="str">
        <f t="shared" si="32"/>
        <v/>
      </c>
      <c r="M268" s="8"/>
      <c r="N268" s="8"/>
      <c r="O268" s="8"/>
      <c r="P268" s="8"/>
      <c r="Q268" s="8"/>
      <c r="R268" s="8"/>
      <c r="S268" s="8"/>
      <c r="T268" s="8"/>
      <c r="U268" s="8"/>
      <c r="V268" s="7"/>
      <c r="W268" s="6" t="str">
        <f t="array" ref="W268">IF(NOT(ISBLANK(D268)),_xludf.XLOOKUP(D268,[1]CODE!$A$4:$A$100,[1]CODE!$D$4:$D$100),"")</f>
        <v/>
      </c>
      <c r="X268" s="5" t="str">
        <f t="array" ref="X268">IF(NOT(AND(ISBLANK(D268),ISBLANK(C268))),_xludf.XLOOKUP(D268,[1]CODE!$A$4:$A$100,[1]CODE!$E$4:$E$100),"")</f>
        <v/>
      </c>
      <c r="Y268" s="5" t="str">
        <f t="shared" si="33"/>
        <v/>
      </c>
      <c r="Z268" s="5" t="str">
        <f t="shared" si="34"/>
        <v/>
      </c>
      <c r="AA268" s="4">
        <f t="shared" si="35"/>
        <v>0</v>
      </c>
      <c r="AC268" s="2"/>
    </row>
    <row r="269" spans="1:29" ht="15.5">
      <c r="A269" s="13" t="str">
        <f>IF(OR(ISBLANK(C269),ISBLANK(D269),ISBLANK(F269),ISBLANK(G269)),"",COUNTIF($B$5:B269,"JAMBUTU"))</f>
        <v/>
      </c>
      <c r="B269" s="8" t="str">
        <f t="shared" si="30"/>
        <v/>
      </c>
      <c r="C269" s="8"/>
      <c r="D269" s="8"/>
      <c r="E269" s="13"/>
      <c r="F269" s="12"/>
      <c r="G269" s="11"/>
      <c r="H269" s="12"/>
      <c r="I269" s="11"/>
      <c r="J269" s="10">
        <f t="shared" si="29"/>
        <v>0</v>
      </c>
      <c r="K269" s="10">
        <f t="shared" si="31"/>
        <v>0</v>
      </c>
      <c r="L269" s="9" t="str">
        <f t="shared" si="32"/>
        <v/>
      </c>
      <c r="M269" s="8"/>
      <c r="N269" s="8"/>
      <c r="O269" s="8"/>
      <c r="P269" s="8"/>
      <c r="Q269" s="8"/>
      <c r="R269" s="8"/>
      <c r="S269" s="8"/>
      <c r="T269" s="8"/>
      <c r="U269" s="8"/>
      <c r="V269" s="7"/>
      <c r="W269" s="6" t="str">
        <f t="array" ref="W269">IF(NOT(ISBLANK(D269)),_xludf.XLOOKUP(D269,[1]CODE!$A$4:$A$100,[1]CODE!$D$4:$D$100),"")</f>
        <v/>
      </c>
      <c r="X269" s="5" t="str">
        <f t="array" ref="X269">IF(NOT(AND(ISBLANK(D269),ISBLANK(C269))),_xludf.XLOOKUP(D269,[1]CODE!$A$4:$A$100,[1]CODE!$E$4:$E$100),"")</f>
        <v/>
      </c>
      <c r="Y269" s="5" t="str">
        <f t="shared" si="33"/>
        <v/>
      </c>
      <c r="Z269" s="5" t="str">
        <f t="shared" si="34"/>
        <v/>
      </c>
      <c r="AA269" s="4">
        <f t="shared" si="35"/>
        <v>0</v>
      </c>
      <c r="AC269" s="2"/>
    </row>
    <row r="270" spans="1:29" ht="15.5">
      <c r="A270" s="13" t="str">
        <f>IF(OR(ISBLANK(C270),ISBLANK(D270),ISBLANK(F270),ISBLANK(G270)),"",COUNTIF($B$5:B270,"JAMBUTU"))</f>
        <v/>
      </c>
      <c r="B270" s="8" t="str">
        <f t="shared" si="30"/>
        <v/>
      </c>
      <c r="C270" s="8"/>
      <c r="D270" s="8"/>
      <c r="E270" s="13"/>
      <c r="F270" s="12"/>
      <c r="G270" s="11"/>
      <c r="H270" s="12"/>
      <c r="I270" s="11"/>
      <c r="J270" s="10">
        <f t="shared" si="29"/>
        <v>0</v>
      </c>
      <c r="K270" s="10">
        <f t="shared" si="31"/>
        <v>0</v>
      </c>
      <c r="L270" s="9" t="str">
        <f t="shared" si="32"/>
        <v/>
      </c>
      <c r="M270" s="8"/>
      <c r="N270" s="8"/>
      <c r="O270" s="8"/>
      <c r="P270" s="8"/>
      <c r="Q270" s="8"/>
      <c r="R270" s="8"/>
      <c r="S270" s="8"/>
      <c r="T270" s="8"/>
      <c r="U270" s="8"/>
      <c r="V270" s="7"/>
      <c r="W270" s="6" t="str">
        <f t="array" ref="W270">IF(NOT(ISBLANK(D270)),_xludf.XLOOKUP(D270,[1]CODE!$A$4:$A$100,[1]CODE!$D$4:$D$100),"")</f>
        <v/>
      </c>
      <c r="X270" s="5" t="str">
        <f t="array" ref="X270">IF(NOT(AND(ISBLANK(D270),ISBLANK(C270))),_xludf.XLOOKUP(D270,[1]CODE!$A$4:$A$100,[1]CODE!$E$4:$E$100),"")</f>
        <v/>
      </c>
      <c r="Y270" s="5" t="str">
        <f t="shared" si="33"/>
        <v/>
      </c>
      <c r="Z270" s="5" t="str">
        <f t="shared" si="34"/>
        <v/>
      </c>
      <c r="AA270" s="4">
        <f t="shared" si="35"/>
        <v>0</v>
      </c>
      <c r="AC270" s="2"/>
    </row>
    <row r="271" spans="1:29" ht="15.5">
      <c r="A271" s="13" t="str">
        <f>IF(OR(ISBLANK(C271),ISBLANK(D271),ISBLANK(F271),ISBLANK(G271)),"",COUNTIF($B$5:B271,"JAMBUTU"))</f>
        <v/>
      </c>
      <c r="B271" s="8" t="str">
        <f t="shared" si="30"/>
        <v/>
      </c>
      <c r="C271" s="8"/>
      <c r="D271" s="8"/>
      <c r="E271" s="13"/>
      <c r="F271" s="12"/>
      <c r="G271" s="11"/>
      <c r="H271" s="12"/>
      <c r="I271" s="11"/>
      <c r="J271" s="10">
        <f t="shared" si="29"/>
        <v>0</v>
      </c>
      <c r="K271" s="10">
        <f t="shared" si="31"/>
        <v>0</v>
      </c>
      <c r="L271" s="9" t="str">
        <f t="shared" si="32"/>
        <v/>
      </c>
      <c r="M271" s="8"/>
      <c r="N271" s="8"/>
      <c r="O271" s="8"/>
      <c r="P271" s="8"/>
      <c r="Q271" s="8"/>
      <c r="R271" s="8"/>
      <c r="S271" s="16"/>
      <c r="T271" s="8"/>
      <c r="U271" s="8"/>
      <c r="V271" s="7"/>
      <c r="W271" s="6" t="str">
        <f t="array" ref="W271">IF(NOT(ISBLANK(D271)),_xludf.XLOOKUP(D271,[1]CODE!$A$4:$A$100,[1]CODE!$D$4:$D$100),"")</f>
        <v/>
      </c>
      <c r="X271" s="5" t="str">
        <f t="array" ref="X271">IF(NOT(AND(ISBLANK(D271),ISBLANK(C271))),_xludf.XLOOKUP(D271,[1]CODE!$A$4:$A$100,[1]CODE!$E$4:$E$100),"")</f>
        <v/>
      </c>
      <c r="Y271" s="5" t="str">
        <f t="shared" si="33"/>
        <v/>
      </c>
      <c r="Z271" s="5" t="str">
        <f t="shared" si="34"/>
        <v/>
      </c>
      <c r="AA271" s="4">
        <f t="shared" si="35"/>
        <v>0</v>
      </c>
      <c r="AC271" s="2"/>
    </row>
    <row r="272" spans="1:29" ht="15.5">
      <c r="A272" s="13" t="str">
        <f>IF(OR(ISBLANK(C272),ISBLANK(D272),ISBLANK(F272),ISBLANK(G272)),"",COUNTIF($B$5:B272,"JAMBUTU"))</f>
        <v/>
      </c>
      <c r="B272" s="8" t="str">
        <f t="shared" si="30"/>
        <v/>
      </c>
      <c r="C272" s="8"/>
      <c r="D272" s="8"/>
      <c r="E272" s="13"/>
      <c r="F272" s="12"/>
      <c r="G272" s="11"/>
      <c r="H272" s="12"/>
      <c r="I272" s="11"/>
      <c r="J272" s="10">
        <f t="shared" si="29"/>
        <v>0</v>
      </c>
      <c r="K272" s="10">
        <f t="shared" si="31"/>
        <v>0</v>
      </c>
      <c r="L272" s="9" t="str">
        <f t="shared" si="32"/>
        <v/>
      </c>
      <c r="M272" s="8"/>
      <c r="N272" s="8"/>
      <c r="O272" s="8"/>
      <c r="P272" s="8"/>
      <c r="Q272" s="8"/>
      <c r="R272" s="8"/>
      <c r="S272" s="8"/>
      <c r="T272" s="8"/>
      <c r="U272" s="8"/>
      <c r="V272" s="7"/>
      <c r="W272" s="6" t="str">
        <f t="array" ref="W272">IF(NOT(ISBLANK(D272)),_xludf.XLOOKUP(D272,[1]CODE!$A$4:$A$100,[1]CODE!$D$4:$D$100),"")</f>
        <v/>
      </c>
      <c r="X272" s="5" t="str">
        <f t="array" ref="X272">IF(NOT(AND(ISBLANK(D272),ISBLANK(C272))),_xludf.XLOOKUP(D272,[1]CODE!$A$4:$A$100,[1]CODE!$E$4:$E$100),"")</f>
        <v/>
      </c>
      <c r="Y272" s="5" t="str">
        <f t="shared" si="33"/>
        <v/>
      </c>
      <c r="Z272" s="5" t="str">
        <f t="shared" si="34"/>
        <v/>
      </c>
      <c r="AA272" s="4">
        <f t="shared" si="35"/>
        <v>0</v>
      </c>
      <c r="AC272" s="2"/>
    </row>
    <row r="273" spans="1:29" ht="15.5">
      <c r="A273" s="13" t="str">
        <f>IF(OR(ISBLANK(C273),ISBLANK(D273),ISBLANK(F273),ISBLANK(G273)),"",COUNTIF($B$5:B273,"JAMBUTU"))</f>
        <v/>
      </c>
      <c r="B273" s="8" t="str">
        <f t="shared" si="30"/>
        <v/>
      </c>
      <c r="C273" s="8"/>
      <c r="D273" s="8"/>
      <c r="E273" s="13"/>
      <c r="F273" s="12"/>
      <c r="G273" s="11"/>
      <c r="H273" s="12"/>
      <c r="I273" s="11"/>
      <c r="J273" s="10">
        <f t="shared" si="29"/>
        <v>0</v>
      </c>
      <c r="K273" s="10">
        <f t="shared" si="31"/>
        <v>0</v>
      </c>
      <c r="L273" s="9" t="str">
        <f t="shared" si="32"/>
        <v/>
      </c>
      <c r="M273" s="8"/>
      <c r="N273" s="8"/>
      <c r="O273" s="8"/>
      <c r="P273" s="8"/>
      <c r="Q273" s="8"/>
      <c r="R273" s="8"/>
      <c r="S273" s="8"/>
      <c r="T273" s="8"/>
      <c r="U273" s="8"/>
      <c r="V273" s="7"/>
      <c r="W273" s="6" t="str">
        <f t="array" ref="W273">IF(NOT(ISBLANK(D273)),_xludf.XLOOKUP(D273,[1]CODE!$A$4:$A$100,[1]CODE!$D$4:$D$100),"")</f>
        <v/>
      </c>
      <c r="X273" s="5" t="str">
        <f t="array" ref="X273">IF(NOT(AND(ISBLANK(D273),ISBLANK(C273))),_xludf.XLOOKUP(D273,[1]CODE!$A$4:$A$100,[1]CODE!$E$4:$E$100),"")</f>
        <v/>
      </c>
      <c r="Y273" s="5" t="str">
        <f t="shared" si="33"/>
        <v/>
      </c>
      <c r="Z273" s="5" t="str">
        <f t="shared" si="34"/>
        <v/>
      </c>
      <c r="AA273" s="4">
        <f t="shared" si="35"/>
        <v>0</v>
      </c>
      <c r="AC273" s="2"/>
    </row>
    <row r="274" spans="1:29" ht="15.5">
      <c r="A274" s="13" t="str">
        <f>IF(OR(ISBLANK(C274),ISBLANK(D274),ISBLANK(F274),ISBLANK(G274)),"",COUNTIF($B$5:B274,"JAMBUTU"))</f>
        <v/>
      </c>
      <c r="B274" s="8" t="str">
        <f t="shared" si="30"/>
        <v/>
      </c>
      <c r="C274" s="8"/>
      <c r="D274" s="8"/>
      <c r="E274" s="13"/>
      <c r="F274" s="12"/>
      <c r="G274" s="11"/>
      <c r="H274" s="12"/>
      <c r="I274" s="11"/>
      <c r="J274" s="10">
        <f t="shared" si="29"/>
        <v>0</v>
      </c>
      <c r="K274" s="10">
        <f t="shared" si="31"/>
        <v>0</v>
      </c>
      <c r="L274" s="9" t="str">
        <f t="shared" si="32"/>
        <v/>
      </c>
      <c r="M274" s="8"/>
      <c r="N274" s="8"/>
      <c r="O274" s="8"/>
      <c r="P274" s="8"/>
      <c r="Q274" s="8"/>
      <c r="R274" s="8"/>
      <c r="S274" s="8"/>
      <c r="T274" s="8"/>
      <c r="U274" s="8"/>
      <c r="V274" s="7"/>
      <c r="W274" s="6" t="str">
        <f t="array" ref="W274">IF(NOT(ISBLANK(D274)),_xludf.XLOOKUP(D274,[1]CODE!$A$4:$A$100,[1]CODE!$D$4:$D$100),"")</f>
        <v/>
      </c>
      <c r="X274" s="5" t="str">
        <f t="array" ref="X274">IF(NOT(AND(ISBLANK(D274),ISBLANK(C274))),_xludf.XLOOKUP(D274,[1]CODE!$A$4:$A$100,[1]CODE!$E$4:$E$100),"")</f>
        <v/>
      </c>
      <c r="Y274" s="5" t="str">
        <f t="shared" si="33"/>
        <v/>
      </c>
      <c r="Z274" s="5" t="str">
        <f t="shared" si="34"/>
        <v/>
      </c>
      <c r="AA274" s="4">
        <f t="shared" si="35"/>
        <v>0</v>
      </c>
      <c r="AC274" s="2"/>
    </row>
    <row r="275" spans="1:29" ht="15.5">
      <c r="A275" s="13" t="str">
        <f>IF(OR(ISBLANK(C275),ISBLANK(D275),ISBLANK(F275),ISBLANK(G275)),"",COUNTIF($B$5:B275,"JAMBUTU"))</f>
        <v/>
      </c>
      <c r="B275" s="8" t="str">
        <f t="shared" si="30"/>
        <v/>
      </c>
      <c r="C275" s="8"/>
      <c r="D275" s="8"/>
      <c r="E275" s="13"/>
      <c r="F275" s="12"/>
      <c r="G275" s="11"/>
      <c r="H275" s="12"/>
      <c r="I275" s="11"/>
      <c r="J275" s="10">
        <f t="shared" si="29"/>
        <v>0</v>
      </c>
      <c r="K275" s="10">
        <f t="shared" si="31"/>
        <v>0</v>
      </c>
      <c r="L275" s="9" t="str">
        <f t="shared" si="32"/>
        <v/>
      </c>
      <c r="M275" s="8"/>
      <c r="N275" s="8"/>
      <c r="O275" s="8"/>
      <c r="P275" s="8"/>
      <c r="Q275" s="8"/>
      <c r="R275" s="8"/>
      <c r="S275" s="8"/>
      <c r="T275" s="8"/>
      <c r="U275" s="8"/>
      <c r="V275" s="7"/>
      <c r="W275" s="6" t="str">
        <f t="array" ref="W275">IF(NOT(ISBLANK(D275)),_xludf.XLOOKUP(D275,[1]CODE!$A$4:$A$100,[1]CODE!$D$4:$D$100),"")</f>
        <v/>
      </c>
      <c r="X275" s="5" t="str">
        <f t="array" ref="X275">IF(NOT(AND(ISBLANK(D275),ISBLANK(C275))),_xludf.XLOOKUP(D275,[1]CODE!$A$4:$A$100,[1]CODE!$E$4:$E$100),"")</f>
        <v/>
      </c>
      <c r="Y275" s="5" t="str">
        <f t="shared" si="33"/>
        <v/>
      </c>
      <c r="Z275" s="5" t="str">
        <f t="shared" si="34"/>
        <v/>
      </c>
      <c r="AA275" s="4">
        <f t="shared" si="35"/>
        <v>0</v>
      </c>
      <c r="AC275" s="2"/>
    </row>
    <row r="276" spans="1:29" ht="15.5">
      <c r="A276" s="13" t="str">
        <f>IF(OR(ISBLANK(C276),ISBLANK(D276),ISBLANK(F276),ISBLANK(G276)),"",COUNTIF($B$5:B276,"JAMBUTU"))</f>
        <v/>
      </c>
      <c r="B276" s="8" t="str">
        <f t="shared" si="30"/>
        <v/>
      </c>
      <c r="C276" s="8"/>
      <c r="D276" s="8"/>
      <c r="E276" s="13"/>
      <c r="F276" s="12"/>
      <c r="G276" s="11"/>
      <c r="H276" s="12"/>
      <c r="I276" s="11"/>
      <c r="J276" s="10">
        <f t="shared" si="29"/>
        <v>0</v>
      </c>
      <c r="K276" s="10">
        <f t="shared" si="31"/>
        <v>0</v>
      </c>
      <c r="L276" s="9" t="str">
        <f t="shared" si="32"/>
        <v/>
      </c>
      <c r="M276" s="8"/>
      <c r="N276" s="8"/>
      <c r="O276" s="8"/>
      <c r="P276" s="8"/>
      <c r="Q276" s="8"/>
      <c r="R276" s="8"/>
      <c r="S276" s="8"/>
      <c r="T276" s="8"/>
      <c r="U276" s="8"/>
      <c r="V276" s="7"/>
      <c r="W276" s="6" t="str">
        <f t="array" ref="W276">IF(NOT(ISBLANK(D276)),_xludf.XLOOKUP(D276,[1]CODE!$A$4:$A$100,[1]CODE!$D$4:$D$100),"")</f>
        <v/>
      </c>
      <c r="X276" s="5" t="str">
        <f t="array" ref="X276">IF(NOT(AND(ISBLANK(D276),ISBLANK(C276))),_xludf.XLOOKUP(D276,[1]CODE!$A$4:$A$100,[1]CODE!$E$4:$E$100),"")</f>
        <v/>
      </c>
      <c r="Y276" s="5" t="str">
        <f t="shared" si="33"/>
        <v/>
      </c>
      <c r="Z276" s="5" t="str">
        <f t="shared" si="34"/>
        <v/>
      </c>
      <c r="AA276" s="4">
        <f t="shared" si="35"/>
        <v>0</v>
      </c>
      <c r="AC276" s="2"/>
    </row>
    <row r="277" spans="1:29" ht="15.5">
      <c r="A277" s="13" t="str">
        <f>IF(OR(ISBLANK(C277),ISBLANK(D277),ISBLANK(F277),ISBLANK(G277)),"",COUNTIF($B$5:B277,"JAMBUTU"))</f>
        <v/>
      </c>
      <c r="B277" s="8" t="str">
        <f t="shared" si="30"/>
        <v/>
      </c>
      <c r="C277" s="8"/>
      <c r="D277" s="8"/>
      <c r="E277" s="13"/>
      <c r="F277" s="12"/>
      <c r="G277" s="11"/>
      <c r="H277" s="12"/>
      <c r="I277" s="11"/>
      <c r="J277" s="10">
        <f t="shared" si="29"/>
        <v>0</v>
      </c>
      <c r="K277" s="10">
        <f t="shared" si="31"/>
        <v>0</v>
      </c>
      <c r="L277" s="9" t="str">
        <f t="shared" si="32"/>
        <v/>
      </c>
      <c r="M277" s="8"/>
      <c r="N277" s="8"/>
      <c r="O277" s="8"/>
      <c r="P277" s="8"/>
      <c r="Q277" s="8"/>
      <c r="R277" s="8"/>
      <c r="S277" s="8"/>
      <c r="T277" s="8"/>
      <c r="U277" s="8"/>
      <c r="V277" s="7"/>
      <c r="W277" s="6" t="str">
        <f t="array" ref="W277">IF(NOT(ISBLANK(D277)),_xludf.XLOOKUP(D277,[1]CODE!$A$4:$A$100,[1]CODE!$D$4:$D$100),"")</f>
        <v/>
      </c>
      <c r="X277" s="5" t="str">
        <f t="array" ref="X277">IF(NOT(AND(ISBLANK(D277),ISBLANK(C277))),_xludf.XLOOKUP(D277,[1]CODE!$A$4:$A$100,[1]CODE!$E$4:$E$100),"")</f>
        <v/>
      </c>
      <c r="Y277" s="5" t="str">
        <f t="shared" si="33"/>
        <v/>
      </c>
      <c r="Z277" s="5" t="str">
        <f t="shared" si="34"/>
        <v/>
      </c>
      <c r="AA277" s="4">
        <f t="shared" si="35"/>
        <v>0</v>
      </c>
      <c r="AC277" s="2"/>
    </row>
    <row r="278" spans="1:29" ht="15.5">
      <c r="A278" s="13" t="str">
        <f>IF(OR(ISBLANK(C278),ISBLANK(D278),ISBLANK(F278),ISBLANK(G278)),"",COUNTIF($B$5:B278,"JAMBUTU"))</f>
        <v/>
      </c>
      <c r="B278" s="8" t="str">
        <f t="shared" si="30"/>
        <v/>
      </c>
      <c r="C278" s="8"/>
      <c r="D278" s="8"/>
      <c r="E278" s="13"/>
      <c r="F278" s="12"/>
      <c r="G278" s="11"/>
      <c r="H278" s="12"/>
      <c r="I278" s="11"/>
      <c r="J278" s="10">
        <f t="shared" si="29"/>
        <v>0</v>
      </c>
      <c r="K278" s="10">
        <f t="shared" si="31"/>
        <v>0</v>
      </c>
      <c r="L278" s="9" t="str">
        <f t="shared" si="32"/>
        <v/>
      </c>
      <c r="M278" s="8"/>
      <c r="N278" s="8"/>
      <c r="O278" s="8"/>
      <c r="P278" s="8"/>
      <c r="Q278" s="8"/>
      <c r="R278" s="8"/>
      <c r="S278" s="8"/>
      <c r="T278" s="8"/>
      <c r="U278" s="8"/>
      <c r="V278" s="7"/>
      <c r="W278" s="6" t="str">
        <f t="array" ref="W278">IF(NOT(ISBLANK(D278)),_xludf.XLOOKUP(D278,[1]CODE!$A$4:$A$100,[1]CODE!$D$4:$D$100),"")</f>
        <v/>
      </c>
      <c r="X278" s="5" t="str">
        <f t="array" ref="X278">IF(NOT(AND(ISBLANK(D278),ISBLANK(C278))),_xludf.XLOOKUP(D278,[1]CODE!$A$4:$A$100,[1]CODE!$E$4:$E$100),"")</f>
        <v/>
      </c>
      <c r="Y278" s="5" t="str">
        <f t="shared" si="33"/>
        <v/>
      </c>
      <c r="Z278" s="5" t="str">
        <f t="shared" si="34"/>
        <v/>
      </c>
      <c r="AA278" s="4">
        <f t="shared" si="35"/>
        <v>0</v>
      </c>
      <c r="AC278" s="2"/>
    </row>
    <row r="279" spans="1:29" ht="15.5">
      <c r="A279" s="13" t="str">
        <f>IF(OR(ISBLANK(C279),ISBLANK(D279),ISBLANK(F279),ISBLANK(G279)),"",COUNTIF($B$5:B279,"JAMBUTU"))</f>
        <v/>
      </c>
      <c r="B279" s="8" t="str">
        <f t="shared" si="30"/>
        <v/>
      </c>
      <c r="C279" s="8"/>
      <c r="D279" s="8"/>
      <c r="E279" s="13"/>
      <c r="F279" s="12"/>
      <c r="G279" s="11"/>
      <c r="H279" s="12"/>
      <c r="I279" s="11"/>
      <c r="J279" s="10">
        <f t="shared" si="29"/>
        <v>0</v>
      </c>
      <c r="K279" s="10">
        <f t="shared" si="31"/>
        <v>0</v>
      </c>
      <c r="L279" s="9" t="str">
        <f t="shared" si="32"/>
        <v/>
      </c>
      <c r="M279" s="8"/>
      <c r="N279" s="8"/>
      <c r="O279" s="8"/>
      <c r="P279" s="8"/>
      <c r="Q279" s="8"/>
      <c r="R279" s="8"/>
      <c r="S279" s="8"/>
      <c r="T279" s="8"/>
      <c r="U279" s="8"/>
      <c r="V279" s="7"/>
      <c r="W279" s="6" t="str">
        <f t="array" ref="W279">IF(NOT(ISBLANK(D279)),_xludf.XLOOKUP(D279,[1]CODE!$A$4:$A$100,[1]CODE!$D$4:$D$100),"")</f>
        <v/>
      </c>
      <c r="X279" s="5" t="str">
        <f t="array" ref="X279">IF(NOT(AND(ISBLANK(D279),ISBLANK(C279))),_xludf.XLOOKUP(D279,[1]CODE!$A$4:$A$100,[1]CODE!$E$4:$E$100),"")</f>
        <v/>
      </c>
      <c r="Y279" s="5" t="str">
        <f t="shared" si="33"/>
        <v/>
      </c>
      <c r="Z279" s="5" t="str">
        <f t="shared" si="34"/>
        <v/>
      </c>
      <c r="AA279" s="4">
        <f t="shared" si="35"/>
        <v>0</v>
      </c>
      <c r="AC279" s="2"/>
    </row>
    <row r="280" spans="1:29" ht="15.5">
      <c r="A280" s="13" t="str">
        <f>IF(OR(ISBLANK(C280),ISBLANK(D280),ISBLANK(F280),ISBLANK(G280)),"",COUNTIF($B$5:B280,"JAMBUTU"))</f>
        <v/>
      </c>
      <c r="B280" s="8" t="str">
        <f t="shared" si="30"/>
        <v/>
      </c>
      <c r="C280" s="8"/>
      <c r="D280" s="8"/>
      <c r="E280" s="13"/>
      <c r="F280" s="12"/>
      <c r="G280" s="11"/>
      <c r="H280" s="12"/>
      <c r="I280" s="11"/>
      <c r="J280" s="10">
        <f t="shared" si="29"/>
        <v>0</v>
      </c>
      <c r="K280" s="10">
        <f t="shared" si="31"/>
        <v>0</v>
      </c>
      <c r="L280" s="9" t="str">
        <f t="shared" si="32"/>
        <v/>
      </c>
      <c r="M280" s="8"/>
      <c r="N280" s="8"/>
      <c r="O280" s="8"/>
      <c r="P280" s="8"/>
      <c r="Q280" s="8"/>
      <c r="R280" s="8"/>
      <c r="S280" s="8"/>
      <c r="T280" s="8"/>
      <c r="U280" s="8"/>
      <c r="V280" s="7"/>
      <c r="W280" s="6" t="str">
        <f t="array" ref="W280">IF(NOT(ISBLANK(D280)),_xludf.XLOOKUP(D280,[1]CODE!$A$4:$A$100,[1]CODE!$D$4:$D$100),"")</f>
        <v/>
      </c>
      <c r="X280" s="5" t="str">
        <f t="array" ref="X280">IF(NOT(AND(ISBLANK(D280),ISBLANK(C280))),_xludf.XLOOKUP(D280,[1]CODE!$A$4:$A$100,[1]CODE!$E$4:$E$100),"")</f>
        <v/>
      </c>
      <c r="Y280" s="5" t="str">
        <f t="shared" si="33"/>
        <v/>
      </c>
      <c r="Z280" s="5" t="str">
        <f t="shared" si="34"/>
        <v/>
      </c>
      <c r="AA280" s="4">
        <f t="shared" si="35"/>
        <v>0</v>
      </c>
      <c r="AC280" s="2"/>
    </row>
    <row r="281" spans="1:29" ht="15.5">
      <c r="A281" s="13" t="str">
        <f>IF(OR(ISBLANK(C281),ISBLANK(D281),ISBLANK(F281),ISBLANK(G281)),"",COUNTIF($B$5:B281,"JAMBUTU"))</f>
        <v/>
      </c>
      <c r="B281" s="8" t="str">
        <f t="shared" si="30"/>
        <v/>
      </c>
      <c r="C281" s="8"/>
      <c r="D281" s="8"/>
      <c r="E281" s="13"/>
      <c r="F281" s="12"/>
      <c r="G281" s="11"/>
      <c r="H281" s="12"/>
      <c r="I281" s="11"/>
      <c r="J281" s="10">
        <f t="shared" si="29"/>
        <v>0</v>
      </c>
      <c r="K281" s="10">
        <f t="shared" si="31"/>
        <v>0</v>
      </c>
      <c r="L281" s="9" t="str">
        <f t="shared" si="32"/>
        <v/>
      </c>
      <c r="M281" s="8"/>
      <c r="N281" s="8"/>
      <c r="O281" s="8"/>
      <c r="P281" s="8"/>
      <c r="Q281" s="8"/>
      <c r="R281" s="8"/>
      <c r="S281" s="8"/>
      <c r="T281" s="8"/>
      <c r="U281" s="8"/>
      <c r="V281" s="7"/>
      <c r="W281" s="6" t="str">
        <f t="array" ref="W281">IF(NOT(ISBLANK(D281)),_xludf.XLOOKUP(D281,[1]CODE!$A$4:$A$100,[1]CODE!$D$4:$D$100),"")</f>
        <v/>
      </c>
      <c r="X281" s="5" t="str">
        <f t="array" ref="X281">IF(NOT(AND(ISBLANK(D281),ISBLANK(C281))),_xludf.XLOOKUP(D281,[1]CODE!$A$4:$A$100,[1]CODE!$E$4:$E$100),"")</f>
        <v/>
      </c>
      <c r="Y281" s="5" t="str">
        <f t="shared" si="33"/>
        <v/>
      </c>
      <c r="Z281" s="5" t="str">
        <f t="shared" si="34"/>
        <v/>
      </c>
      <c r="AA281" s="4">
        <f t="shared" si="35"/>
        <v>0</v>
      </c>
      <c r="AC281" s="2"/>
    </row>
    <row r="282" spans="1:29" ht="15.5">
      <c r="A282" s="13" t="str">
        <f>IF(OR(ISBLANK(C282),ISBLANK(D282),ISBLANK(F282),ISBLANK(G282)),"",COUNTIF($B$5:B282,"JAMBUTU"))</f>
        <v/>
      </c>
      <c r="B282" s="8" t="str">
        <f t="shared" si="30"/>
        <v/>
      </c>
      <c r="C282" s="8"/>
      <c r="D282" s="8"/>
      <c r="E282" s="13"/>
      <c r="F282" s="12"/>
      <c r="G282" s="11"/>
      <c r="H282" s="12"/>
      <c r="I282" s="11"/>
      <c r="J282" s="10">
        <f t="shared" si="29"/>
        <v>0</v>
      </c>
      <c r="K282" s="10">
        <f t="shared" si="31"/>
        <v>0</v>
      </c>
      <c r="L282" s="9" t="str">
        <f t="shared" si="32"/>
        <v/>
      </c>
      <c r="M282" s="8"/>
      <c r="N282" s="8"/>
      <c r="O282" s="8"/>
      <c r="P282" s="8"/>
      <c r="Q282" s="8"/>
      <c r="R282" s="8"/>
      <c r="S282" s="8"/>
      <c r="T282" s="8"/>
      <c r="U282" s="8"/>
      <c r="V282" s="7"/>
      <c r="W282" s="6" t="str">
        <f t="array" ref="W282">IF(NOT(ISBLANK(D282)),_xludf.XLOOKUP(D282,[1]CODE!$A$4:$A$100,[1]CODE!$D$4:$D$100),"")</f>
        <v/>
      </c>
      <c r="X282" s="5" t="str">
        <f t="array" ref="X282">IF(NOT(AND(ISBLANK(D282),ISBLANK(C282))),_xludf.XLOOKUP(D282,[1]CODE!$A$4:$A$100,[1]CODE!$E$4:$E$100),"")</f>
        <v/>
      </c>
      <c r="Y282" s="5" t="str">
        <f t="shared" si="33"/>
        <v/>
      </c>
      <c r="Z282" s="5" t="str">
        <f t="shared" si="34"/>
        <v/>
      </c>
      <c r="AA282" s="4">
        <f t="shared" si="35"/>
        <v>0</v>
      </c>
      <c r="AC282" s="2"/>
    </row>
    <row r="283" spans="1:29" ht="15.5">
      <c r="A283" s="13" t="str">
        <f>IF(OR(ISBLANK(C283),ISBLANK(D283),ISBLANK(F283),ISBLANK(G283)),"",COUNTIF($B$5:B283,"JAMBUTU"))</f>
        <v/>
      </c>
      <c r="B283" s="8" t="str">
        <f t="shared" si="30"/>
        <v/>
      </c>
      <c r="C283" s="8"/>
      <c r="D283" s="8"/>
      <c r="E283" s="13"/>
      <c r="F283" s="12"/>
      <c r="G283" s="11"/>
      <c r="H283" s="12"/>
      <c r="I283" s="11"/>
      <c r="J283" s="10">
        <f t="shared" si="29"/>
        <v>0</v>
      </c>
      <c r="K283" s="10">
        <f t="shared" si="31"/>
        <v>0</v>
      </c>
      <c r="L283" s="9" t="str">
        <f t="shared" si="32"/>
        <v/>
      </c>
      <c r="M283" s="8"/>
      <c r="N283" s="8"/>
      <c r="O283" s="8"/>
      <c r="P283" s="8"/>
      <c r="Q283" s="8"/>
      <c r="R283" s="8"/>
      <c r="S283" s="8"/>
      <c r="T283" s="8"/>
      <c r="U283" s="8"/>
      <c r="V283" s="7"/>
      <c r="W283" s="6" t="str">
        <f t="array" ref="W283">IF(NOT(ISBLANK(D283)),_xludf.XLOOKUP(D283,[1]CODE!$A$4:$A$100,[1]CODE!$D$4:$D$100),"")</f>
        <v/>
      </c>
      <c r="X283" s="5" t="str">
        <f t="array" ref="X283">IF(NOT(AND(ISBLANK(D283),ISBLANK(C283))),_xludf.XLOOKUP(D283,[1]CODE!$A$4:$A$100,[1]CODE!$E$4:$E$100),"")</f>
        <v/>
      </c>
      <c r="Y283" s="5" t="str">
        <f t="shared" si="33"/>
        <v/>
      </c>
      <c r="Z283" s="5" t="str">
        <f t="shared" si="34"/>
        <v/>
      </c>
      <c r="AA283" s="4">
        <f t="shared" si="35"/>
        <v>0</v>
      </c>
      <c r="AC283" s="2"/>
    </row>
    <row r="284" spans="1:29" ht="15.5">
      <c r="A284" s="13" t="str">
        <f>IF(OR(ISBLANK(C284),ISBLANK(D284),ISBLANK(F284),ISBLANK(G284)),"",COUNTIF($B$5:B284,"JAMBUTU"))</f>
        <v/>
      </c>
      <c r="B284" s="8" t="str">
        <f t="shared" si="30"/>
        <v/>
      </c>
      <c r="C284" s="8"/>
      <c r="D284" s="8"/>
      <c r="E284" s="13"/>
      <c r="F284" s="12"/>
      <c r="G284" s="11"/>
      <c r="H284" s="12"/>
      <c r="I284" s="11"/>
      <c r="J284" s="10">
        <f t="shared" si="29"/>
        <v>0</v>
      </c>
      <c r="K284" s="10">
        <f t="shared" si="31"/>
        <v>0</v>
      </c>
      <c r="L284" s="9" t="str">
        <f t="shared" si="32"/>
        <v/>
      </c>
      <c r="M284" s="8"/>
      <c r="N284" s="8"/>
      <c r="O284" s="8"/>
      <c r="P284" s="8"/>
      <c r="Q284" s="8"/>
      <c r="R284" s="8"/>
      <c r="S284" s="8"/>
      <c r="T284" s="8"/>
      <c r="U284" s="8"/>
      <c r="V284" s="7"/>
      <c r="W284" s="6" t="str">
        <f t="array" ref="W284">IF(NOT(ISBLANK(D284)),_xludf.XLOOKUP(D284,[1]CODE!$A$4:$A$100,[1]CODE!$D$4:$D$100),"")</f>
        <v/>
      </c>
      <c r="X284" s="5" t="str">
        <f t="array" ref="X284">IF(NOT(AND(ISBLANK(D284),ISBLANK(C284))),_xludf.XLOOKUP(D284,[1]CODE!$A$4:$A$100,[1]CODE!$E$4:$E$100),"")</f>
        <v/>
      </c>
      <c r="Y284" s="5" t="str">
        <f t="shared" si="33"/>
        <v/>
      </c>
      <c r="Z284" s="5" t="str">
        <f t="shared" si="34"/>
        <v/>
      </c>
      <c r="AA284" s="4">
        <f t="shared" si="35"/>
        <v>0</v>
      </c>
      <c r="AC284" s="2"/>
    </row>
    <row r="285" spans="1:29" ht="15.5">
      <c r="A285" s="13" t="str">
        <f>IF(OR(ISBLANK(C285),ISBLANK(D285),ISBLANK(F285),ISBLANK(G285)),"",COUNTIF($B$5:B285,"JAMBUTU"))</f>
        <v/>
      </c>
      <c r="B285" s="8" t="str">
        <f t="shared" si="30"/>
        <v/>
      </c>
      <c r="C285" s="8"/>
      <c r="D285" s="8"/>
      <c r="E285" s="13"/>
      <c r="F285" s="12"/>
      <c r="G285" s="11"/>
      <c r="H285" s="12"/>
      <c r="I285" s="11"/>
      <c r="J285" s="10">
        <f t="shared" ref="J285:J348" si="36">DATE(YEAR(F285),MONTH(F285),DAY(F285))+TIME(HOUR(G285),MINUTE(G285), SECOND(G285))</f>
        <v>0</v>
      </c>
      <c r="K285" s="10">
        <f t="shared" si="31"/>
        <v>0</v>
      </c>
      <c r="L285" s="9" t="str">
        <f t="shared" si="32"/>
        <v/>
      </c>
      <c r="M285" s="8"/>
      <c r="N285" s="8"/>
      <c r="O285" s="8"/>
      <c r="P285" s="8"/>
      <c r="Q285" s="8"/>
      <c r="R285" s="8"/>
      <c r="S285" s="8"/>
      <c r="T285" s="8"/>
      <c r="U285" s="8"/>
      <c r="V285" s="7"/>
      <c r="W285" s="6" t="str">
        <f t="array" ref="W285">IF(NOT(ISBLANK(D285)),_xludf.XLOOKUP(D285,[1]CODE!$A$4:$A$100,[1]CODE!$D$4:$D$100),"")</f>
        <v/>
      </c>
      <c r="X285" s="5" t="str">
        <f t="array" ref="X285">IF(NOT(AND(ISBLANK(D285),ISBLANK(C285))),_xludf.XLOOKUP(D285,[1]CODE!$A$4:$A$100,[1]CODE!$E$4:$E$100),"")</f>
        <v/>
      </c>
      <c r="Y285" s="5" t="str">
        <f t="shared" si="33"/>
        <v/>
      </c>
      <c r="Z285" s="5" t="str">
        <f t="shared" si="34"/>
        <v/>
      </c>
      <c r="AA285" s="4">
        <f t="shared" si="35"/>
        <v>0</v>
      </c>
      <c r="AC285" s="2"/>
    </row>
    <row r="286" spans="1:29" ht="15.5">
      <c r="A286" s="13" t="str">
        <f>IF(OR(ISBLANK(C286),ISBLANK(D286),ISBLANK(F286),ISBLANK(G286)),"",COUNTIF($B$5:B286,"JAMBUTU"))</f>
        <v/>
      </c>
      <c r="B286" s="8" t="str">
        <f t="shared" si="30"/>
        <v/>
      </c>
      <c r="C286" s="8"/>
      <c r="D286" s="8"/>
      <c r="E286" s="13"/>
      <c r="F286" s="12"/>
      <c r="G286" s="11"/>
      <c r="H286" s="12"/>
      <c r="I286" s="11"/>
      <c r="J286" s="10">
        <f t="shared" si="36"/>
        <v>0</v>
      </c>
      <c r="K286" s="10">
        <f t="shared" si="31"/>
        <v>0</v>
      </c>
      <c r="L286" s="9" t="str">
        <f t="shared" si="32"/>
        <v/>
      </c>
      <c r="M286" s="8"/>
      <c r="N286" s="8"/>
      <c r="O286" s="8"/>
      <c r="P286" s="8"/>
      <c r="Q286" s="8"/>
      <c r="R286" s="8"/>
      <c r="S286" s="8"/>
      <c r="T286" s="8"/>
      <c r="U286" s="8"/>
      <c r="V286" s="7"/>
      <c r="W286" s="6" t="str">
        <f t="array" ref="W286">IF(NOT(ISBLANK(D286)),_xludf.XLOOKUP(D286,[1]CODE!$A$4:$A$100,[1]CODE!$D$4:$D$100),"")</f>
        <v/>
      </c>
      <c r="X286" s="5" t="str">
        <f t="array" ref="X286">IF(NOT(AND(ISBLANK(D286),ISBLANK(C286))),_xludf.XLOOKUP(D286,[1]CODE!$A$4:$A$100,[1]CODE!$E$4:$E$100),"")</f>
        <v/>
      </c>
      <c r="Y286" s="5" t="str">
        <f t="shared" si="33"/>
        <v/>
      </c>
      <c r="Z286" s="5" t="str">
        <f t="shared" si="34"/>
        <v/>
      </c>
      <c r="AA286" s="4">
        <f t="shared" si="35"/>
        <v>0</v>
      </c>
      <c r="AC286" s="2"/>
    </row>
    <row r="287" spans="1:29" ht="15.5">
      <c r="A287" s="13" t="str">
        <f>IF(OR(ISBLANK(C287),ISBLANK(D287),ISBLANK(F287),ISBLANK(G287)),"",COUNTIF($B$5:B287,"JAMBUTU"))</f>
        <v/>
      </c>
      <c r="B287" s="8" t="str">
        <f t="shared" si="30"/>
        <v/>
      </c>
      <c r="C287" s="8"/>
      <c r="D287" s="8"/>
      <c r="E287" s="13"/>
      <c r="F287" s="12"/>
      <c r="G287" s="11"/>
      <c r="H287" s="12"/>
      <c r="I287" s="11"/>
      <c r="J287" s="10">
        <f t="shared" si="36"/>
        <v>0</v>
      </c>
      <c r="K287" s="10">
        <f t="shared" si="31"/>
        <v>0</v>
      </c>
      <c r="L287" s="9" t="str">
        <f t="shared" si="32"/>
        <v/>
      </c>
      <c r="M287" s="8"/>
      <c r="N287" s="8"/>
      <c r="O287" s="8"/>
      <c r="P287" s="8"/>
      <c r="Q287" s="8"/>
      <c r="R287" s="8"/>
      <c r="S287" s="8"/>
      <c r="T287" s="8"/>
      <c r="U287" s="8"/>
      <c r="V287" s="7"/>
      <c r="W287" s="6" t="str">
        <f t="array" ref="W287">IF(NOT(ISBLANK(D287)),_xludf.XLOOKUP(D287,[1]CODE!$A$4:$A$100,[1]CODE!$D$4:$D$100),"")</f>
        <v/>
      </c>
      <c r="X287" s="5" t="str">
        <f t="array" ref="X287">IF(NOT(AND(ISBLANK(D287),ISBLANK(C287))),_xludf.XLOOKUP(D287,[1]CODE!$A$4:$A$100,[1]CODE!$E$4:$E$100),"")</f>
        <v/>
      </c>
      <c r="Y287" s="5" t="str">
        <f t="shared" si="33"/>
        <v/>
      </c>
      <c r="Z287" s="5" t="str">
        <f t="shared" si="34"/>
        <v/>
      </c>
      <c r="AA287" s="4">
        <f t="shared" si="35"/>
        <v>0</v>
      </c>
      <c r="AC287" s="2"/>
    </row>
    <row r="288" spans="1:29" ht="15.5">
      <c r="A288" s="13" t="str">
        <f>IF(OR(ISBLANK(C288),ISBLANK(D288),ISBLANK(F288),ISBLANK(G288)),"",COUNTIF($B$5:B288,"JAMBUTU"))</f>
        <v/>
      </c>
      <c r="B288" s="8" t="str">
        <f t="shared" si="30"/>
        <v/>
      </c>
      <c r="C288" s="8"/>
      <c r="D288" s="8"/>
      <c r="E288" s="13"/>
      <c r="F288" s="12"/>
      <c r="G288" s="11"/>
      <c r="H288" s="12"/>
      <c r="I288" s="11"/>
      <c r="J288" s="10">
        <f t="shared" si="36"/>
        <v>0</v>
      </c>
      <c r="K288" s="10">
        <f t="shared" si="31"/>
        <v>0</v>
      </c>
      <c r="L288" s="9" t="str">
        <f t="shared" si="32"/>
        <v/>
      </c>
      <c r="M288" s="8"/>
      <c r="N288" s="8"/>
      <c r="O288" s="8"/>
      <c r="P288" s="8"/>
      <c r="Q288" s="8"/>
      <c r="R288" s="8"/>
      <c r="S288" s="8"/>
      <c r="T288" s="8"/>
      <c r="U288" s="8"/>
      <c r="V288" s="7"/>
      <c r="W288" s="6" t="str">
        <f t="array" ref="W288">IF(NOT(ISBLANK(D288)),_xludf.XLOOKUP(D288,[1]CODE!$A$4:$A$100,[1]CODE!$D$4:$D$100),"")</f>
        <v/>
      </c>
      <c r="X288" s="5" t="str">
        <f t="array" ref="X288">IF(NOT(AND(ISBLANK(D288),ISBLANK(C288))),_xludf.XLOOKUP(D288,[1]CODE!$A$4:$A$100,[1]CODE!$E$4:$E$100),"")</f>
        <v/>
      </c>
      <c r="Y288" s="5" t="str">
        <f t="shared" si="33"/>
        <v/>
      </c>
      <c r="Z288" s="5" t="str">
        <f t="shared" si="34"/>
        <v/>
      </c>
      <c r="AA288" s="4">
        <f t="shared" si="35"/>
        <v>0</v>
      </c>
      <c r="AC288" s="2"/>
    </row>
    <row r="289" spans="1:29" ht="15.5">
      <c r="A289" s="13" t="str">
        <f>IF(OR(ISBLANK(C289),ISBLANK(D289),ISBLANK(F289),ISBLANK(G289)),"",COUNTIF($B$5:B289,"JAMBUTU"))</f>
        <v/>
      </c>
      <c r="B289" s="8" t="str">
        <f t="shared" si="30"/>
        <v/>
      </c>
      <c r="C289" s="8"/>
      <c r="D289" s="8"/>
      <c r="E289" s="13"/>
      <c r="F289" s="12"/>
      <c r="G289" s="11"/>
      <c r="H289" s="12"/>
      <c r="I289" s="11"/>
      <c r="J289" s="10">
        <f t="shared" si="36"/>
        <v>0</v>
      </c>
      <c r="K289" s="10">
        <f t="shared" si="31"/>
        <v>0</v>
      </c>
      <c r="L289" s="9" t="str">
        <f t="shared" si="32"/>
        <v/>
      </c>
      <c r="M289" s="8"/>
      <c r="N289" s="8"/>
      <c r="O289" s="8"/>
      <c r="P289" s="8"/>
      <c r="Q289" s="8"/>
      <c r="R289" s="8"/>
      <c r="S289" s="8"/>
      <c r="T289" s="8"/>
      <c r="U289" s="8"/>
      <c r="V289" s="7"/>
      <c r="W289" s="6" t="str">
        <f t="array" ref="W289">IF(NOT(ISBLANK(D289)),_xludf.XLOOKUP(D289,[1]CODE!$A$4:$A$100,[1]CODE!$D$4:$D$100),"")</f>
        <v/>
      </c>
      <c r="X289" s="5" t="str">
        <f t="array" ref="X289">IF(NOT(AND(ISBLANK(D289),ISBLANK(C289))),_xludf.XLOOKUP(D289,[1]CODE!$A$4:$A$100,[1]CODE!$E$4:$E$100),"")</f>
        <v/>
      </c>
      <c r="Y289" s="5" t="str">
        <f t="shared" si="33"/>
        <v/>
      </c>
      <c r="Z289" s="5" t="str">
        <f t="shared" si="34"/>
        <v/>
      </c>
      <c r="AA289" s="4">
        <f t="shared" si="35"/>
        <v>0</v>
      </c>
      <c r="AC289" s="2"/>
    </row>
    <row r="290" spans="1:29" ht="15.5">
      <c r="A290" s="13" t="str">
        <f>IF(OR(ISBLANK(C290),ISBLANK(D290),ISBLANK(F290),ISBLANK(G290)),"",COUNTIF($B$5:B290,"JAMBUTU"))</f>
        <v/>
      </c>
      <c r="B290" s="8" t="str">
        <f t="shared" si="30"/>
        <v/>
      </c>
      <c r="C290" s="8"/>
      <c r="D290" s="8"/>
      <c r="E290" s="13"/>
      <c r="F290" s="12"/>
      <c r="G290" s="11"/>
      <c r="H290" s="12"/>
      <c r="I290" s="11"/>
      <c r="J290" s="10">
        <f t="shared" si="36"/>
        <v>0</v>
      </c>
      <c r="K290" s="10">
        <f t="shared" si="31"/>
        <v>0</v>
      </c>
      <c r="L290" s="9" t="str">
        <f t="shared" si="32"/>
        <v/>
      </c>
      <c r="M290" s="8"/>
      <c r="N290" s="8"/>
      <c r="O290" s="8"/>
      <c r="P290" s="8"/>
      <c r="Q290" s="8"/>
      <c r="R290" s="8"/>
      <c r="S290" s="8"/>
      <c r="T290" s="8"/>
      <c r="U290" s="8"/>
      <c r="V290" s="7"/>
      <c r="W290" s="6" t="str">
        <f t="array" ref="W290">IF(NOT(ISBLANK(D290)),_xludf.XLOOKUP(D290,[1]CODE!$A$4:$A$100,[1]CODE!$D$4:$D$100),"")</f>
        <v/>
      </c>
      <c r="X290" s="5" t="str">
        <f t="array" ref="X290">IF(NOT(AND(ISBLANK(D290),ISBLANK(C290))),_xludf.XLOOKUP(D290,[1]CODE!$A$4:$A$100,[1]CODE!$E$4:$E$100),"")</f>
        <v/>
      </c>
      <c r="Y290" s="5" t="str">
        <f t="shared" si="33"/>
        <v/>
      </c>
      <c r="Z290" s="5" t="str">
        <f t="shared" si="34"/>
        <v/>
      </c>
      <c r="AA290" s="4">
        <f t="shared" si="35"/>
        <v>0</v>
      </c>
      <c r="AC290" s="2"/>
    </row>
    <row r="291" spans="1:29" ht="15.5">
      <c r="A291" s="13" t="str">
        <f>IF(OR(ISBLANK(C291),ISBLANK(D291),ISBLANK(F291),ISBLANK(G291)),"",COUNTIF($B$5:B291,"JAMBUTU"))</f>
        <v/>
      </c>
      <c r="B291" s="8" t="str">
        <f t="shared" si="30"/>
        <v/>
      </c>
      <c r="C291" s="8"/>
      <c r="D291" s="8"/>
      <c r="E291" s="13"/>
      <c r="F291" s="12"/>
      <c r="G291" s="11"/>
      <c r="H291" s="12"/>
      <c r="I291" s="11"/>
      <c r="J291" s="10">
        <f t="shared" si="36"/>
        <v>0</v>
      </c>
      <c r="K291" s="10">
        <f t="shared" si="31"/>
        <v>0</v>
      </c>
      <c r="L291" s="9" t="str">
        <f t="shared" si="32"/>
        <v/>
      </c>
      <c r="M291" s="8"/>
      <c r="N291" s="8"/>
      <c r="O291" s="8"/>
      <c r="P291" s="8"/>
      <c r="Q291" s="8"/>
      <c r="R291" s="8"/>
      <c r="S291" s="8"/>
      <c r="T291" s="8"/>
      <c r="U291" s="8"/>
      <c r="V291" s="7"/>
      <c r="W291" s="6" t="str">
        <f t="array" ref="W291">IF(NOT(ISBLANK(D291)),_xludf.XLOOKUP(D291,[1]CODE!$A$4:$A$100,[1]CODE!$D$4:$D$100),"")</f>
        <v/>
      </c>
      <c r="X291" s="5" t="str">
        <f t="array" ref="X291">IF(NOT(AND(ISBLANK(D291),ISBLANK(C291))),_xludf.XLOOKUP(D291,[1]CODE!$A$4:$A$100,[1]CODE!$E$4:$E$100),"")</f>
        <v/>
      </c>
      <c r="Y291" s="5" t="str">
        <f t="shared" si="33"/>
        <v/>
      </c>
      <c r="Z291" s="5" t="str">
        <f t="shared" si="34"/>
        <v/>
      </c>
      <c r="AA291" s="4">
        <f t="shared" si="35"/>
        <v>0</v>
      </c>
      <c r="AC291" s="2"/>
    </row>
    <row r="292" spans="1:29" ht="15.5">
      <c r="A292" s="13" t="str">
        <f>IF(OR(ISBLANK(C292),ISBLANK(D292),ISBLANK(F292),ISBLANK(G292)),"",COUNTIF($B$5:B292,"JAMBUTU"))</f>
        <v/>
      </c>
      <c r="B292" s="8" t="str">
        <f t="shared" si="30"/>
        <v/>
      </c>
      <c r="C292" s="8"/>
      <c r="D292" s="8"/>
      <c r="E292" s="13"/>
      <c r="F292" s="12"/>
      <c r="G292" s="11"/>
      <c r="H292" s="12"/>
      <c r="I292" s="11"/>
      <c r="J292" s="10">
        <f t="shared" si="36"/>
        <v>0</v>
      </c>
      <c r="K292" s="10">
        <f t="shared" si="31"/>
        <v>0</v>
      </c>
      <c r="L292" s="9" t="str">
        <f t="shared" si="32"/>
        <v/>
      </c>
      <c r="M292" s="8"/>
      <c r="N292" s="8"/>
      <c r="O292" s="8"/>
      <c r="P292" s="8"/>
      <c r="Q292" s="8"/>
      <c r="R292" s="8"/>
      <c r="S292" s="8"/>
      <c r="T292" s="8"/>
      <c r="U292" s="8"/>
      <c r="V292" s="7"/>
      <c r="W292" s="6" t="str">
        <f t="array" ref="W292">IF(NOT(ISBLANK(D292)),_xludf.XLOOKUP(D292,[1]CODE!$A$4:$A$100,[1]CODE!$D$4:$D$100),"")</f>
        <v/>
      </c>
      <c r="X292" s="5" t="str">
        <f t="array" ref="X292">IF(NOT(AND(ISBLANK(D292),ISBLANK(C292))),_xludf.XLOOKUP(D292,[1]CODE!$A$4:$A$100,[1]CODE!$E$4:$E$100),"")</f>
        <v/>
      </c>
      <c r="Y292" s="5" t="str">
        <f t="shared" si="33"/>
        <v/>
      </c>
      <c r="Z292" s="5" t="str">
        <f t="shared" si="34"/>
        <v/>
      </c>
      <c r="AA292" s="4">
        <f t="shared" si="35"/>
        <v>0</v>
      </c>
      <c r="AC292" s="2"/>
    </row>
    <row r="293" spans="1:29" ht="15.5">
      <c r="A293" s="13" t="str">
        <f>IF(OR(ISBLANK(C293),ISBLANK(D293),ISBLANK(F293),ISBLANK(G293)),"",COUNTIF($B$5:B293,"JAMBUTU"))</f>
        <v/>
      </c>
      <c r="B293" s="8" t="str">
        <f t="shared" ref="B293:B356" si="37">IF(C293&lt;&gt;"","Jambutu","")</f>
        <v/>
      </c>
      <c r="C293" s="8"/>
      <c r="D293" s="8"/>
      <c r="E293" s="13"/>
      <c r="F293" s="12"/>
      <c r="G293" s="11"/>
      <c r="H293" s="12"/>
      <c r="I293" s="11"/>
      <c r="J293" s="10">
        <f t="shared" si="36"/>
        <v>0</v>
      </c>
      <c r="K293" s="10">
        <f t="shared" si="31"/>
        <v>0</v>
      </c>
      <c r="L293" s="9" t="str">
        <f t="shared" si="32"/>
        <v/>
      </c>
      <c r="M293" s="8"/>
      <c r="N293" s="8"/>
      <c r="O293" s="8"/>
      <c r="P293" s="8"/>
      <c r="Q293" s="8"/>
      <c r="R293" s="8"/>
      <c r="S293" s="8"/>
      <c r="T293" s="8"/>
      <c r="U293" s="8"/>
      <c r="V293" s="7"/>
      <c r="W293" s="6" t="str">
        <f t="array" ref="W293">IF(NOT(ISBLANK(D293)),_xludf.XLOOKUP(D293,[1]CODE!$A$4:$A$100,[1]CODE!$D$4:$D$100),"")</f>
        <v/>
      </c>
      <c r="X293" s="5" t="str">
        <f t="array" ref="X293">IF(NOT(AND(ISBLANK(D293),ISBLANK(C293))),_xludf.XLOOKUP(D293,[1]CODE!$A$4:$A$100,[1]CODE!$E$4:$E$100),"")</f>
        <v/>
      </c>
      <c r="Y293" s="5" t="str">
        <f t="shared" si="33"/>
        <v/>
      </c>
      <c r="Z293" s="5" t="str">
        <f t="shared" si="34"/>
        <v/>
      </c>
      <c r="AA293" s="4">
        <f t="shared" si="35"/>
        <v>0</v>
      </c>
      <c r="AC293" s="2"/>
    </row>
    <row r="294" spans="1:29" ht="15.5">
      <c r="A294" s="13" t="str">
        <f>IF(OR(ISBLANK(C294),ISBLANK(D294),ISBLANK(F294),ISBLANK(G294)),"",COUNTIF($B$5:B294,"JAMBUTU"))</f>
        <v/>
      </c>
      <c r="B294" s="8" t="str">
        <f t="shared" si="37"/>
        <v/>
      </c>
      <c r="C294" s="8"/>
      <c r="D294" s="8"/>
      <c r="E294" s="13"/>
      <c r="F294" s="12"/>
      <c r="G294" s="11"/>
      <c r="H294" s="12"/>
      <c r="I294" s="11"/>
      <c r="J294" s="10">
        <f t="shared" si="36"/>
        <v>0</v>
      </c>
      <c r="K294" s="10">
        <f t="shared" si="31"/>
        <v>0</v>
      </c>
      <c r="L294" s="9" t="str">
        <f t="shared" si="32"/>
        <v/>
      </c>
      <c r="M294" s="8"/>
      <c r="N294" s="8"/>
      <c r="O294" s="8"/>
      <c r="P294" s="8"/>
      <c r="Q294" s="8"/>
      <c r="R294" s="8"/>
      <c r="S294" s="8"/>
      <c r="T294" s="8"/>
      <c r="U294" s="8"/>
      <c r="V294" s="7"/>
      <c r="W294" s="6" t="str">
        <f t="array" ref="W294">IF(NOT(ISBLANK(D294)),_xludf.XLOOKUP(D294,[1]CODE!$A$4:$A$100,[1]CODE!$D$4:$D$100),"")</f>
        <v/>
      </c>
      <c r="X294" s="5" t="str">
        <f t="array" ref="X294">IF(NOT(AND(ISBLANK(D294),ISBLANK(C294))),_xludf.XLOOKUP(D294,[1]CODE!$A$4:$A$100,[1]CODE!$E$4:$E$100),"")</f>
        <v/>
      </c>
      <c r="Y294" s="5" t="str">
        <f t="shared" si="33"/>
        <v/>
      </c>
      <c r="Z294" s="5" t="str">
        <f t="shared" si="34"/>
        <v/>
      </c>
      <c r="AA294" s="4">
        <f t="shared" si="35"/>
        <v>0</v>
      </c>
      <c r="AC294" s="2"/>
    </row>
    <row r="295" spans="1:29" ht="15.5">
      <c r="A295" s="13" t="str">
        <f>IF(OR(ISBLANK(C295),ISBLANK(D295),ISBLANK(F295),ISBLANK(G295)),"",COUNTIF($B$5:B295,"JAMBUTU"))</f>
        <v/>
      </c>
      <c r="B295" s="8" t="str">
        <f t="shared" si="37"/>
        <v/>
      </c>
      <c r="C295" s="8"/>
      <c r="D295" s="8"/>
      <c r="E295" s="13"/>
      <c r="F295" s="12"/>
      <c r="G295" s="11"/>
      <c r="H295" s="12"/>
      <c r="I295" s="11"/>
      <c r="J295" s="10">
        <f t="shared" si="36"/>
        <v>0</v>
      </c>
      <c r="K295" s="10">
        <f t="shared" si="31"/>
        <v>0</v>
      </c>
      <c r="L295" s="9" t="str">
        <f t="shared" si="32"/>
        <v/>
      </c>
      <c r="M295" s="8"/>
      <c r="N295" s="8"/>
      <c r="O295" s="8"/>
      <c r="P295" s="8"/>
      <c r="Q295" s="8"/>
      <c r="R295" s="8"/>
      <c r="S295" s="8"/>
      <c r="T295" s="8"/>
      <c r="U295" s="8"/>
      <c r="V295" s="7"/>
      <c r="W295" s="6" t="str">
        <f t="array" ref="W295">IF(NOT(ISBLANK(D295)),_xludf.XLOOKUP(D295,[1]CODE!$A$4:$A$100,[1]CODE!$D$4:$D$100),"")</f>
        <v/>
      </c>
      <c r="X295" s="5" t="str">
        <f t="array" ref="X295">IF(NOT(AND(ISBLANK(D295),ISBLANK(C295))),_xludf.XLOOKUP(D295,[1]CODE!$A$4:$A$100,[1]CODE!$E$4:$E$100),"")</f>
        <v/>
      </c>
      <c r="Y295" s="5" t="str">
        <f t="shared" si="33"/>
        <v/>
      </c>
      <c r="Z295" s="5" t="str">
        <f t="shared" si="34"/>
        <v/>
      </c>
      <c r="AA295" s="4">
        <f t="shared" si="35"/>
        <v>0</v>
      </c>
      <c r="AC295" s="2"/>
    </row>
    <row r="296" spans="1:29" ht="15.5">
      <c r="A296" s="13" t="str">
        <f>IF(OR(ISBLANK(C296),ISBLANK(D296),ISBLANK(F296),ISBLANK(G296)),"",COUNTIF($B$5:B296,"JAMBUTU"))</f>
        <v/>
      </c>
      <c r="B296" s="8" t="str">
        <f t="shared" si="37"/>
        <v/>
      </c>
      <c r="C296" s="8"/>
      <c r="D296" s="8"/>
      <c r="E296" s="13"/>
      <c r="F296" s="12"/>
      <c r="G296" s="11"/>
      <c r="H296" s="12"/>
      <c r="I296" s="11"/>
      <c r="J296" s="10">
        <f t="shared" si="36"/>
        <v>0</v>
      </c>
      <c r="K296" s="10">
        <f t="shared" si="31"/>
        <v>0</v>
      </c>
      <c r="L296" s="9" t="str">
        <f t="shared" si="32"/>
        <v/>
      </c>
      <c r="M296" s="8"/>
      <c r="N296" s="8"/>
      <c r="O296" s="8"/>
      <c r="P296" s="8"/>
      <c r="Q296" s="8"/>
      <c r="R296" s="8"/>
      <c r="S296" s="8"/>
      <c r="T296" s="8"/>
      <c r="U296" s="8"/>
      <c r="V296" s="7"/>
      <c r="W296" s="6" t="str">
        <f t="array" ref="W296">IF(NOT(ISBLANK(D296)),_xludf.XLOOKUP(D296,[1]CODE!$A$4:$A$100,[1]CODE!$D$4:$D$100),"")</f>
        <v/>
      </c>
      <c r="X296" s="5" t="str">
        <f t="array" ref="X296">IF(NOT(AND(ISBLANK(D296),ISBLANK(C296))),_xludf.XLOOKUP(D296,[1]CODE!$A$4:$A$100,[1]CODE!$E$4:$E$100),"")</f>
        <v/>
      </c>
      <c r="Y296" s="5" t="str">
        <f t="shared" si="33"/>
        <v/>
      </c>
      <c r="Z296" s="5" t="str">
        <f t="shared" si="34"/>
        <v/>
      </c>
      <c r="AA296" s="4">
        <f t="shared" si="35"/>
        <v>0</v>
      </c>
      <c r="AC296" s="2"/>
    </row>
    <row r="297" spans="1:29" ht="15.5">
      <c r="A297" s="13" t="str">
        <f>IF(OR(ISBLANK(C297),ISBLANK(D297),ISBLANK(F297),ISBLANK(G297)),"",COUNTIF($B$5:B297,"JAMBUTU"))</f>
        <v/>
      </c>
      <c r="B297" s="8" t="str">
        <f t="shared" si="37"/>
        <v/>
      </c>
      <c r="C297" s="8"/>
      <c r="D297" s="8"/>
      <c r="E297" s="13"/>
      <c r="F297" s="12"/>
      <c r="G297" s="11"/>
      <c r="H297" s="12"/>
      <c r="I297" s="11"/>
      <c r="J297" s="10">
        <f t="shared" si="36"/>
        <v>0</v>
      </c>
      <c r="K297" s="10">
        <f t="shared" si="31"/>
        <v>0</v>
      </c>
      <c r="L297" s="9" t="str">
        <f t="shared" si="32"/>
        <v/>
      </c>
      <c r="M297" s="8"/>
      <c r="N297" s="8"/>
      <c r="O297" s="8"/>
      <c r="P297" s="8"/>
      <c r="Q297" s="8"/>
      <c r="R297" s="8"/>
      <c r="S297" s="8"/>
      <c r="T297" s="8"/>
      <c r="U297" s="8"/>
      <c r="V297" s="7"/>
      <c r="W297" s="6" t="str">
        <f t="array" ref="W297">IF(NOT(ISBLANK(D297)),_xludf.XLOOKUP(D297,[1]CODE!$A$4:$A$100,[1]CODE!$D$4:$D$100),"")</f>
        <v/>
      </c>
      <c r="X297" s="5" t="str">
        <f t="array" ref="X297">IF(NOT(AND(ISBLANK(D297),ISBLANK(C297))),_xludf.XLOOKUP(D297,[1]CODE!$A$4:$A$100,[1]CODE!$E$4:$E$100),"")</f>
        <v/>
      </c>
      <c r="Y297" s="5" t="str">
        <f t="shared" si="33"/>
        <v/>
      </c>
      <c r="Z297" s="5" t="str">
        <f t="shared" si="34"/>
        <v/>
      </c>
      <c r="AA297" s="4">
        <f t="shared" si="35"/>
        <v>0</v>
      </c>
      <c r="AC297" s="2"/>
    </row>
    <row r="298" spans="1:29" ht="15.5">
      <c r="A298" s="13" t="str">
        <f>IF(OR(ISBLANK(C298),ISBLANK(D298),ISBLANK(F298),ISBLANK(G298)),"",COUNTIF($B$5:B298,"JAMBUTU"))</f>
        <v/>
      </c>
      <c r="B298" s="8" t="str">
        <f t="shared" si="37"/>
        <v/>
      </c>
      <c r="C298" s="8"/>
      <c r="D298" s="8"/>
      <c r="E298" s="13"/>
      <c r="F298" s="12"/>
      <c r="G298" s="11"/>
      <c r="H298" s="12"/>
      <c r="I298" s="11"/>
      <c r="J298" s="10">
        <f t="shared" si="36"/>
        <v>0</v>
      </c>
      <c r="K298" s="10">
        <f t="shared" si="31"/>
        <v>0</v>
      </c>
      <c r="L298" s="9" t="str">
        <f t="shared" si="32"/>
        <v/>
      </c>
      <c r="M298" s="8"/>
      <c r="N298" s="8"/>
      <c r="O298" s="8"/>
      <c r="P298" s="8"/>
      <c r="Q298" s="8"/>
      <c r="R298" s="8"/>
      <c r="S298" s="8"/>
      <c r="T298" s="8"/>
      <c r="U298" s="8"/>
      <c r="V298" s="7"/>
      <c r="W298" s="6" t="str">
        <f t="array" ref="W298">IF(NOT(ISBLANK(D298)),_xludf.XLOOKUP(D298,[1]CODE!$A$4:$A$100,[1]CODE!$D$4:$D$100),"")</f>
        <v/>
      </c>
      <c r="X298" s="5" t="str">
        <f t="array" ref="X298">IF(NOT(AND(ISBLANK(D298),ISBLANK(C298))),_xludf.XLOOKUP(D298,[1]CODE!$A$4:$A$100,[1]CODE!$E$4:$E$100),"")</f>
        <v/>
      </c>
      <c r="Y298" s="5" t="str">
        <f t="shared" si="33"/>
        <v/>
      </c>
      <c r="Z298" s="5" t="str">
        <f t="shared" si="34"/>
        <v/>
      </c>
      <c r="AA298" s="4">
        <f t="shared" si="35"/>
        <v>0</v>
      </c>
      <c r="AC298" s="2"/>
    </row>
    <row r="299" spans="1:29" ht="15.5">
      <c r="A299" s="13" t="str">
        <f>IF(OR(ISBLANK(C299),ISBLANK(D299),ISBLANK(F299),ISBLANK(G299)),"",COUNTIF($B$5:B299,"JAMBUTU"))</f>
        <v/>
      </c>
      <c r="B299" s="8" t="str">
        <f t="shared" si="37"/>
        <v/>
      </c>
      <c r="C299" s="8"/>
      <c r="D299" s="8"/>
      <c r="E299" s="13"/>
      <c r="F299" s="12"/>
      <c r="G299" s="11"/>
      <c r="H299" s="12"/>
      <c r="I299" s="11"/>
      <c r="J299" s="10">
        <f t="shared" si="36"/>
        <v>0</v>
      </c>
      <c r="K299" s="10">
        <f t="shared" si="31"/>
        <v>0</v>
      </c>
      <c r="L299" s="9" t="str">
        <f t="shared" si="32"/>
        <v/>
      </c>
      <c r="M299" s="8"/>
      <c r="N299" s="8"/>
      <c r="O299" s="8"/>
      <c r="P299" s="8"/>
      <c r="Q299" s="8"/>
      <c r="R299" s="8"/>
      <c r="S299" s="8"/>
      <c r="T299" s="8"/>
      <c r="U299" s="8"/>
      <c r="V299" s="7"/>
      <c r="W299" s="6" t="str">
        <f t="array" ref="W299">IF(NOT(ISBLANK(D299)),_xludf.XLOOKUP(D299,[1]CODE!$A$4:$A$100,[1]CODE!$D$4:$D$100),"")</f>
        <v/>
      </c>
      <c r="X299" s="5" t="str">
        <f t="array" ref="X299">IF(NOT(AND(ISBLANK(D299),ISBLANK(C299))),_xludf.XLOOKUP(D299,[1]CODE!$A$4:$A$100,[1]CODE!$E$4:$E$100),"")</f>
        <v/>
      </c>
      <c r="Y299" s="5" t="str">
        <f t="shared" si="33"/>
        <v/>
      </c>
      <c r="Z299" s="5" t="str">
        <f t="shared" si="34"/>
        <v/>
      </c>
      <c r="AA299" s="4">
        <f t="shared" si="35"/>
        <v>0</v>
      </c>
      <c r="AC299" s="2"/>
    </row>
    <row r="300" spans="1:29" ht="15.5">
      <c r="A300" s="13" t="str">
        <f>IF(OR(ISBLANK(C300),ISBLANK(D300),ISBLANK(F300),ISBLANK(G300)),"",COUNTIF($B$5:B300,"JAMBUTU"))</f>
        <v/>
      </c>
      <c r="B300" s="8" t="str">
        <f t="shared" si="37"/>
        <v/>
      </c>
      <c r="C300" s="8"/>
      <c r="D300" s="8"/>
      <c r="E300" s="13"/>
      <c r="F300" s="12"/>
      <c r="G300" s="11"/>
      <c r="H300" s="12"/>
      <c r="I300" s="11"/>
      <c r="J300" s="10">
        <f t="shared" si="36"/>
        <v>0</v>
      </c>
      <c r="K300" s="10">
        <f t="shared" si="31"/>
        <v>0</v>
      </c>
      <c r="L300" s="9" t="str">
        <f t="shared" si="32"/>
        <v/>
      </c>
      <c r="M300" s="8"/>
      <c r="N300" s="8"/>
      <c r="O300" s="8"/>
      <c r="P300" s="8"/>
      <c r="Q300" s="8"/>
      <c r="R300" s="8"/>
      <c r="S300" s="8"/>
      <c r="T300" s="8"/>
      <c r="U300" s="8"/>
      <c r="V300" s="7"/>
      <c r="W300" s="6" t="str">
        <f t="array" ref="W300">IF(NOT(ISBLANK(D300)),_xludf.XLOOKUP(D300,[1]CODE!$A$4:$A$100,[1]CODE!$D$4:$D$100),"")</f>
        <v/>
      </c>
      <c r="X300" s="5" t="str">
        <f t="array" ref="X300">IF(NOT(AND(ISBLANK(D300),ISBLANK(C300))),_xludf.XLOOKUP(D300,[1]CODE!$A$4:$A$100,[1]CODE!$E$4:$E$100),"")</f>
        <v/>
      </c>
      <c r="Y300" s="5" t="str">
        <f t="shared" si="33"/>
        <v/>
      </c>
      <c r="Z300" s="5" t="str">
        <f t="shared" si="34"/>
        <v/>
      </c>
      <c r="AA300" s="4">
        <f t="shared" si="35"/>
        <v>0</v>
      </c>
      <c r="AC300" s="2"/>
    </row>
    <row r="301" spans="1:29" ht="15.5">
      <c r="A301" s="13" t="str">
        <f>IF(OR(ISBLANK(C301),ISBLANK(D301),ISBLANK(F301),ISBLANK(G301)),"",COUNTIF($B$5:B301,"JAMBUTU"))</f>
        <v/>
      </c>
      <c r="B301" s="8" t="str">
        <f t="shared" si="37"/>
        <v/>
      </c>
      <c r="C301" s="8"/>
      <c r="D301" s="8"/>
      <c r="E301" s="13"/>
      <c r="F301" s="12"/>
      <c r="G301" s="11"/>
      <c r="H301" s="12"/>
      <c r="I301" s="11"/>
      <c r="J301" s="10">
        <f t="shared" si="36"/>
        <v>0</v>
      </c>
      <c r="K301" s="10">
        <f t="shared" si="31"/>
        <v>0</v>
      </c>
      <c r="L301" s="9" t="str">
        <f t="shared" si="32"/>
        <v/>
      </c>
      <c r="M301" s="8"/>
      <c r="N301" s="8"/>
      <c r="O301" s="8"/>
      <c r="P301" s="8"/>
      <c r="Q301" s="8"/>
      <c r="R301" s="8"/>
      <c r="S301" s="8"/>
      <c r="T301" s="8"/>
      <c r="U301" s="8"/>
      <c r="V301" s="7"/>
      <c r="W301" s="6" t="str">
        <f t="array" ref="W301">IF(NOT(ISBLANK(D301)),_xludf.XLOOKUP(D301,[1]CODE!$A$4:$A$100,[1]CODE!$D$4:$D$100),"")</f>
        <v/>
      </c>
      <c r="X301" s="5" t="str">
        <f t="array" ref="X301">IF(NOT(AND(ISBLANK(D301),ISBLANK(C301))),_xludf.XLOOKUP(D301,[1]CODE!$A$4:$A$100,[1]CODE!$E$4:$E$100),"")</f>
        <v/>
      </c>
      <c r="Y301" s="5" t="str">
        <f t="shared" si="33"/>
        <v/>
      </c>
      <c r="Z301" s="5" t="str">
        <f t="shared" si="34"/>
        <v/>
      </c>
      <c r="AA301" s="4">
        <f t="shared" si="35"/>
        <v>0</v>
      </c>
      <c r="AC301" s="2"/>
    </row>
    <row r="302" spans="1:29" ht="15.5">
      <c r="A302" s="13" t="str">
        <f>IF(OR(ISBLANK(C302),ISBLANK(D302),ISBLANK(F302),ISBLANK(G302)),"",COUNTIF($B$5:B302,"JAMBUTU"))</f>
        <v/>
      </c>
      <c r="B302" s="8" t="str">
        <f t="shared" si="37"/>
        <v/>
      </c>
      <c r="C302" s="8"/>
      <c r="D302" s="8"/>
      <c r="E302" s="13"/>
      <c r="F302" s="12"/>
      <c r="G302" s="11"/>
      <c r="H302" s="12"/>
      <c r="I302" s="11"/>
      <c r="J302" s="10">
        <f t="shared" si="36"/>
        <v>0</v>
      </c>
      <c r="K302" s="10">
        <f t="shared" si="31"/>
        <v>0</v>
      </c>
      <c r="L302" s="9" t="str">
        <f t="shared" si="32"/>
        <v/>
      </c>
      <c r="M302" s="8"/>
      <c r="N302" s="8"/>
      <c r="O302" s="8"/>
      <c r="P302" s="8"/>
      <c r="Q302" s="8"/>
      <c r="R302" s="8"/>
      <c r="S302" s="8"/>
      <c r="T302" s="8"/>
      <c r="U302" s="8"/>
      <c r="V302" s="7"/>
      <c r="W302" s="6" t="str">
        <f t="array" ref="W302">IF(NOT(ISBLANK(D302)),_xludf.XLOOKUP(D302,[1]CODE!$A$4:$A$100,[1]CODE!$D$4:$D$100),"")</f>
        <v/>
      </c>
      <c r="X302" s="5" t="str">
        <f t="array" ref="X302">IF(NOT(AND(ISBLANK(D302),ISBLANK(C302))),_xludf.XLOOKUP(D302,[1]CODE!$A$4:$A$100,[1]CODE!$E$4:$E$100),"")</f>
        <v/>
      </c>
      <c r="Y302" s="5" t="str">
        <f t="shared" si="33"/>
        <v/>
      </c>
      <c r="Z302" s="5" t="str">
        <f t="shared" si="34"/>
        <v/>
      </c>
      <c r="AA302" s="4">
        <f t="shared" si="35"/>
        <v>0</v>
      </c>
      <c r="AC302" s="2"/>
    </row>
    <row r="303" spans="1:29" ht="15.5">
      <c r="A303" s="13" t="str">
        <f>IF(OR(ISBLANK(C303),ISBLANK(D303),ISBLANK(F303),ISBLANK(G303)),"",COUNTIF($B$5:B303,"JAMBUTU"))</f>
        <v/>
      </c>
      <c r="B303" s="8" t="str">
        <f t="shared" si="37"/>
        <v/>
      </c>
      <c r="C303" s="8"/>
      <c r="D303" s="8"/>
      <c r="E303" s="13"/>
      <c r="F303" s="12"/>
      <c r="G303" s="11"/>
      <c r="H303" s="12"/>
      <c r="I303" s="11"/>
      <c r="J303" s="10">
        <f t="shared" si="36"/>
        <v>0</v>
      </c>
      <c r="K303" s="10">
        <f t="shared" si="31"/>
        <v>0</v>
      </c>
      <c r="L303" s="9" t="str">
        <f t="shared" si="32"/>
        <v/>
      </c>
      <c r="M303" s="8"/>
      <c r="N303" s="8"/>
      <c r="O303" s="8"/>
      <c r="P303" s="8"/>
      <c r="Q303" s="8"/>
      <c r="R303" s="8"/>
      <c r="S303" s="8"/>
      <c r="T303" s="8"/>
      <c r="U303" s="8"/>
      <c r="V303" s="7"/>
      <c r="W303" s="6" t="str">
        <f t="array" ref="W303">IF(NOT(ISBLANK(D303)),_xludf.XLOOKUP(D303,[1]CODE!$A$4:$A$100,[1]CODE!$D$4:$D$100),"")</f>
        <v/>
      </c>
      <c r="X303" s="5" t="str">
        <f t="array" ref="X303">IF(NOT(AND(ISBLANK(D303),ISBLANK(C303))),_xludf.XLOOKUP(D303,[1]CODE!$A$4:$A$100,[1]CODE!$E$4:$E$100),"")</f>
        <v/>
      </c>
      <c r="Y303" s="5" t="str">
        <f t="shared" si="33"/>
        <v/>
      </c>
      <c r="Z303" s="5" t="str">
        <f t="shared" si="34"/>
        <v/>
      </c>
      <c r="AA303" s="4">
        <f t="shared" si="35"/>
        <v>0</v>
      </c>
      <c r="AC303" s="2"/>
    </row>
    <row r="304" spans="1:29" ht="15.5">
      <c r="A304" s="13" t="str">
        <f>IF(OR(ISBLANK(C304),ISBLANK(D304),ISBLANK(F304),ISBLANK(G304)),"",COUNTIF($B$5:B304,"JAMBUTU"))</f>
        <v/>
      </c>
      <c r="B304" s="8" t="str">
        <f t="shared" si="37"/>
        <v/>
      </c>
      <c r="C304" s="8"/>
      <c r="D304" s="8"/>
      <c r="E304" s="13"/>
      <c r="F304" s="12"/>
      <c r="G304" s="11"/>
      <c r="H304" s="12"/>
      <c r="I304" s="11"/>
      <c r="J304" s="10">
        <f t="shared" si="36"/>
        <v>0</v>
      </c>
      <c r="K304" s="10">
        <f t="shared" si="31"/>
        <v>0</v>
      </c>
      <c r="L304" s="9" t="str">
        <f t="shared" si="32"/>
        <v/>
      </c>
      <c r="M304" s="8"/>
      <c r="N304" s="8"/>
      <c r="O304" s="8"/>
      <c r="P304" s="8"/>
      <c r="Q304" s="8"/>
      <c r="R304" s="8"/>
      <c r="S304" s="8"/>
      <c r="T304" s="8"/>
      <c r="U304" s="8"/>
      <c r="V304" s="7"/>
      <c r="W304" s="6" t="str">
        <f t="array" ref="W304">IF(NOT(ISBLANK(D304)),_xludf.XLOOKUP(D304,[1]CODE!$A$4:$A$100,[1]CODE!$D$4:$D$100),"")</f>
        <v/>
      </c>
      <c r="X304" s="5" t="str">
        <f t="array" ref="X304">IF(NOT(AND(ISBLANK(D304),ISBLANK(C304))),_xludf.XLOOKUP(D304,[1]CODE!$A$4:$A$100,[1]CODE!$E$4:$E$100),"")</f>
        <v/>
      </c>
      <c r="Y304" s="5" t="str">
        <f t="shared" si="33"/>
        <v/>
      </c>
      <c r="Z304" s="5" t="str">
        <f t="shared" si="34"/>
        <v/>
      </c>
      <c r="AA304" s="4">
        <f t="shared" si="35"/>
        <v>0</v>
      </c>
      <c r="AC304" s="2"/>
    </row>
    <row r="305" spans="1:29" ht="15.5">
      <c r="A305" s="13" t="str">
        <f>IF(OR(ISBLANK(C305),ISBLANK(D305),ISBLANK(F305),ISBLANK(G305)),"",COUNTIF($B$5:B305,"JAMBUTU"))</f>
        <v/>
      </c>
      <c r="B305" s="8" t="str">
        <f t="shared" si="37"/>
        <v/>
      </c>
      <c r="C305" s="8"/>
      <c r="D305" s="8"/>
      <c r="E305" s="13"/>
      <c r="F305" s="12"/>
      <c r="G305" s="11"/>
      <c r="H305" s="12"/>
      <c r="I305" s="11"/>
      <c r="J305" s="10">
        <f t="shared" si="36"/>
        <v>0</v>
      </c>
      <c r="K305" s="10">
        <f t="shared" si="31"/>
        <v>0</v>
      </c>
      <c r="L305" s="9" t="str">
        <f t="shared" si="32"/>
        <v/>
      </c>
      <c r="M305" s="8"/>
      <c r="N305" s="8"/>
      <c r="O305" s="8"/>
      <c r="P305" s="8"/>
      <c r="Q305" s="8"/>
      <c r="R305" s="8"/>
      <c r="S305" s="8"/>
      <c r="T305" s="8"/>
      <c r="U305" s="8"/>
      <c r="V305" s="7"/>
      <c r="W305" s="6" t="str">
        <f t="array" ref="W305">IF(NOT(ISBLANK(D305)),_xludf.XLOOKUP(D305,[1]CODE!$A$4:$A$100,[1]CODE!$D$4:$D$100),"")</f>
        <v/>
      </c>
      <c r="X305" s="5" t="str">
        <f t="array" ref="X305">IF(NOT(AND(ISBLANK(D305),ISBLANK(C305))),_xludf.XLOOKUP(D305,[1]CODE!$A$4:$A$100,[1]CODE!$E$4:$E$100),"")</f>
        <v/>
      </c>
      <c r="Y305" s="5" t="str">
        <f t="shared" si="33"/>
        <v/>
      </c>
      <c r="Z305" s="5" t="str">
        <f t="shared" si="34"/>
        <v/>
      </c>
      <c r="AA305" s="4">
        <f t="shared" si="35"/>
        <v>0</v>
      </c>
      <c r="AC305" s="2"/>
    </row>
    <row r="306" spans="1:29" ht="15.5">
      <c r="A306" s="13" t="str">
        <f>IF(OR(ISBLANK(C306),ISBLANK(D306),ISBLANK(F306),ISBLANK(G306)),"",COUNTIF($B$5:B306,"JAMBUTU"))</f>
        <v/>
      </c>
      <c r="B306" s="8" t="str">
        <f t="shared" si="37"/>
        <v/>
      </c>
      <c r="C306" s="8"/>
      <c r="D306" s="8"/>
      <c r="E306" s="13"/>
      <c r="F306" s="12"/>
      <c r="G306" s="11"/>
      <c r="H306" s="12"/>
      <c r="I306" s="15"/>
      <c r="J306" s="10">
        <f t="shared" si="36"/>
        <v>0</v>
      </c>
      <c r="K306" s="10">
        <f t="shared" si="31"/>
        <v>0</v>
      </c>
      <c r="L306" s="9" t="str">
        <f t="shared" si="32"/>
        <v/>
      </c>
      <c r="M306" s="8"/>
      <c r="N306" s="8"/>
      <c r="O306" s="8"/>
      <c r="P306" s="8"/>
      <c r="Q306" s="8"/>
      <c r="R306" s="8"/>
      <c r="S306" s="8"/>
      <c r="T306" s="8"/>
      <c r="U306" s="8"/>
      <c r="V306" s="7"/>
      <c r="W306" s="6" t="str">
        <f t="array" ref="W306">IF(NOT(ISBLANK(D306)),_xludf.XLOOKUP(D306,[1]CODE!$A$4:$A$100,[1]CODE!$D$4:$D$100),"")</f>
        <v/>
      </c>
      <c r="X306" s="5" t="str">
        <f t="array" ref="X306">IF(NOT(AND(ISBLANK(D306),ISBLANK(C306))),_xludf.XLOOKUP(D306,[1]CODE!$A$4:$A$100,[1]CODE!$E$4:$E$100),"")</f>
        <v/>
      </c>
      <c r="Y306" s="5" t="str">
        <f t="shared" si="33"/>
        <v/>
      </c>
      <c r="Z306" s="5" t="str">
        <f t="shared" si="34"/>
        <v/>
      </c>
      <c r="AA306" s="4">
        <f t="shared" si="35"/>
        <v>0</v>
      </c>
      <c r="AC306" s="2"/>
    </row>
    <row r="307" spans="1:29" ht="15.5">
      <c r="A307" s="13" t="str">
        <f>IF(OR(ISBLANK(C307),ISBLANK(D307),ISBLANK(F307),ISBLANK(G307)),"",COUNTIF($B$5:B307,"JAMBUTU"))</f>
        <v/>
      </c>
      <c r="B307" s="8" t="str">
        <f t="shared" si="37"/>
        <v/>
      </c>
      <c r="C307" s="8"/>
      <c r="D307" s="8"/>
      <c r="E307" s="13"/>
      <c r="F307" s="12"/>
      <c r="G307" s="11"/>
      <c r="H307" s="12"/>
      <c r="I307" s="11"/>
      <c r="J307" s="10">
        <f t="shared" si="36"/>
        <v>0</v>
      </c>
      <c r="K307" s="10">
        <f t="shared" si="31"/>
        <v>0</v>
      </c>
      <c r="L307" s="9" t="str">
        <f t="shared" si="32"/>
        <v/>
      </c>
      <c r="M307" s="8"/>
      <c r="N307" s="8"/>
      <c r="O307" s="8"/>
      <c r="P307" s="8"/>
      <c r="Q307" s="8"/>
      <c r="R307" s="8"/>
      <c r="S307" s="8"/>
      <c r="T307" s="8"/>
      <c r="U307" s="8"/>
      <c r="V307" s="7"/>
      <c r="W307" s="6" t="str">
        <f t="array" ref="W307">IF(NOT(ISBLANK(D307)),_xludf.XLOOKUP(D307,[1]CODE!$A$4:$A$100,[1]CODE!$D$4:$D$100),"")</f>
        <v/>
      </c>
      <c r="X307" s="5" t="str">
        <f t="array" ref="X307">IF(NOT(AND(ISBLANK(D307),ISBLANK(C307))),_xludf.XLOOKUP(D307,[1]CODE!$A$4:$A$100,[1]CODE!$E$4:$E$100),"")</f>
        <v/>
      </c>
      <c r="Y307" s="5" t="str">
        <f t="shared" si="33"/>
        <v/>
      </c>
      <c r="Z307" s="5" t="str">
        <f t="shared" si="34"/>
        <v/>
      </c>
      <c r="AA307" s="4">
        <f t="shared" si="35"/>
        <v>0</v>
      </c>
      <c r="AC307" s="2"/>
    </row>
    <row r="308" spans="1:29" ht="15.5">
      <c r="A308" s="13" t="str">
        <f>IF(OR(ISBLANK(C308),ISBLANK(D308),ISBLANK(F308),ISBLANK(G308)),"",COUNTIF($B$5:B308,"JAMBUTU"))</f>
        <v/>
      </c>
      <c r="B308" s="8" t="str">
        <f t="shared" si="37"/>
        <v/>
      </c>
      <c r="C308" s="8"/>
      <c r="D308" s="8"/>
      <c r="E308" s="13"/>
      <c r="F308" s="12"/>
      <c r="G308" s="11"/>
      <c r="H308" s="12"/>
      <c r="I308" s="11"/>
      <c r="J308" s="10">
        <f t="shared" si="36"/>
        <v>0</v>
      </c>
      <c r="K308" s="10">
        <f t="shared" si="31"/>
        <v>0</v>
      </c>
      <c r="L308" s="9" t="str">
        <f t="shared" si="32"/>
        <v/>
      </c>
      <c r="M308" s="8"/>
      <c r="N308" s="8"/>
      <c r="O308" s="8"/>
      <c r="P308" s="8"/>
      <c r="Q308" s="8"/>
      <c r="R308" s="8"/>
      <c r="S308" s="8"/>
      <c r="T308" s="8"/>
      <c r="U308" s="8"/>
      <c r="V308" s="7"/>
      <c r="W308" s="6" t="str">
        <f t="array" ref="W308">IF(NOT(ISBLANK(D308)),_xludf.XLOOKUP(D308,[1]CODE!$A$4:$A$100,[1]CODE!$D$4:$D$100),"")</f>
        <v/>
      </c>
      <c r="X308" s="5" t="str">
        <f t="array" ref="X308">IF(NOT(AND(ISBLANK(D308),ISBLANK(C308))),_xludf.XLOOKUP(D308,[1]CODE!$A$4:$A$100,[1]CODE!$E$4:$E$100),"")</f>
        <v/>
      </c>
      <c r="Y308" s="5" t="str">
        <f t="shared" si="33"/>
        <v/>
      </c>
      <c r="Z308" s="5" t="str">
        <f t="shared" si="34"/>
        <v/>
      </c>
      <c r="AA308" s="4">
        <f t="shared" si="35"/>
        <v>0</v>
      </c>
      <c r="AC308" s="2"/>
    </row>
    <row r="309" spans="1:29" ht="15.5">
      <c r="A309" s="13" t="str">
        <f>IF(OR(ISBLANK(C309),ISBLANK(D309),ISBLANK(F309),ISBLANK(G309)),"",COUNTIF($B$5:B309,"JAMBUTU"))</f>
        <v/>
      </c>
      <c r="B309" s="8" t="str">
        <f t="shared" si="37"/>
        <v/>
      </c>
      <c r="C309" s="8"/>
      <c r="D309" s="8"/>
      <c r="E309" s="13"/>
      <c r="F309" s="12"/>
      <c r="G309" s="11"/>
      <c r="H309" s="12"/>
      <c r="I309" s="15"/>
      <c r="J309" s="10">
        <f t="shared" si="36"/>
        <v>0</v>
      </c>
      <c r="K309" s="10">
        <f t="shared" si="31"/>
        <v>0</v>
      </c>
      <c r="L309" s="9" t="str">
        <f t="shared" si="32"/>
        <v/>
      </c>
      <c r="M309" s="8"/>
      <c r="N309" s="8"/>
      <c r="O309" s="8"/>
      <c r="P309" s="8"/>
      <c r="Q309" s="8"/>
      <c r="R309" s="8"/>
      <c r="S309" s="8"/>
      <c r="T309" s="8"/>
      <c r="U309" s="8"/>
      <c r="V309" s="7"/>
      <c r="W309" s="6" t="str">
        <f t="array" ref="W309">IF(NOT(ISBLANK(D309)),_xludf.XLOOKUP(D309,[1]CODE!$A$4:$A$100,[1]CODE!$D$4:$D$100),"")</f>
        <v/>
      </c>
      <c r="X309" s="5" t="str">
        <f t="array" ref="X309">IF(NOT(AND(ISBLANK(D309),ISBLANK(C309))),_xludf.XLOOKUP(D309,[1]CODE!$A$4:$A$100,[1]CODE!$E$4:$E$100),"")</f>
        <v/>
      </c>
      <c r="Y309" s="5" t="str">
        <f t="shared" si="33"/>
        <v/>
      </c>
      <c r="Z309" s="5" t="str">
        <f t="shared" si="34"/>
        <v/>
      </c>
      <c r="AA309" s="4">
        <f t="shared" si="35"/>
        <v>0</v>
      </c>
      <c r="AC309" s="2"/>
    </row>
    <row r="310" spans="1:29" ht="15.5">
      <c r="A310" s="13" t="str">
        <f>IF(OR(ISBLANK(C310),ISBLANK(D310),ISBLANK(F310),ISBLANK(G310)),"",COUNTIF($B$5:B310,"JAMBUTU"))</f>
        <v/>
      </c>
      <c r="B310" s="8" t="str">
        <f t="shared" si="37"/>
        <v/>
      </c>
      <c r="C310" s="8"/>
      <c r="D310" s="8"/>
      <c r="E310" s="13"/>
      <c r="F310" s="12"/>
      <c r="G310" s="11"/>
      <c r="H310" s="12"/>
      <c r="I310" s="11"/>
      <c r="J310" s="10">
        <f t="shared" si="36"/>
        <v>0</v>
      </c>
      <c r="K310" s="10">
        <f t="shared" si="31"/>
        <v>0</v>
      </c>
      <c r="L310" s="9" t="str">
        <f t="shared" si="32"/>
        <v/>
      </c>
      <c r="M310" s="8"/>
      <c r="N310" s="8"/>
      <c r="O310" s="8"/>
      <c r="P310" s="8"/>
      <c r="Q310" s="8"/>
      <c r="R310" s="8"/>
      <c r="S310" s="8"/>
      <c r="T310" s="8"/>
      <c r="U310" s="8"/>
      <c r="V310" s="7"/>
      <c r="W310" s="6" t="str">
        <f t="array" ref="W310">IF(NOT(ISBLANK(D310)),_xludf.XLOOKUP(D310,[1]CODE!$A$4:$A$100,[1]CODE!$D$4:$D$100),"")</f>
        <v/>
      </c>
      <c r="X310" s="5" t="str">
        <f t="array" ref="X310">IF(NOT(AND(ISBLANK(D310),ISBLANK(C310))),_xludf.XLOOKUP(D310,[1]CODE!$A$4:$A$100,[1]CODE!$E$4:$E$100),"")</f>
        <v/>
      </c>
      <c r="Y310" s="5" t="str">
        <f t="shared" si="33"/>
        <v/>
      </c>
      <c r="Z310" s="5" t="str">
        <f t="shared" si="34"/>
        <v/>
      </c>
      <c r="AA310" s="4">
        <f t="shared" si="35"/>
        <v>0</v>
      </c>
      <c r="AC310" s="2"/>
    </row>
    <row r="311" spans="1:29" ht="15.5">
      <c r="A311" s="13" t="str">
        <f>IF(OR(ISBLANK(C311),ISBLANK(D311),ISBLANK(F311),ISBLANK(G311)),"",COUNTIF($B$5:B311,"JAMBUTU"))</f>
        <v/>
      </c>
      <c r="B311" s="8" t="str">
        <f t="shared" si="37"/>
        <v/>
      </c>
      <c r="C311" s="8"/>
      <c r="D311" s="8"/>
      <c r="E311" s="13"/>
      <c r="F311" s="12"/>
      <c r="G311" s="11"/>
      <c r="H311" s="12"/>
      <c r="I311" s="11"/>
      <c r="J311" s="10">
        <f t="shared" si="36"/>
        <v>0</v>
      </c>
      <c r="K311" s="10">
        <f t="shared" si="31"/>
        <v>0</v>
      </c>
      <c r="L311" s="9" t="str">
        <f t="shared" si="32"/>
        <v/>
      </c>
      <c r="M311" s="8"/>
      <c r="N311" s="8"/>
      <c r="O311" s="8"/>
      <c r="P311" s="8"/>
      <c r="Q311" s="8"/>
      <c r="R311" s="8"/>
      <c r="S311" s="8"/>
      <c r="T311" s="8"/>
      <c r="U311" s="8"/>
      <c r="V311" s="7"/>
      <c r="W311" s="6" t="str">
        <f t="array" ref="W311">IF(NOT(ISBLANK(D311)),_xludf.XLOOKUP(D311,[1]CODE!$A$4:$A$100,[1]CODE!$D$4:$D$100),"")</f>
        <v/>
      </c>
      <c r="X311" s="5" t="str">
        <f t="array" ref="X311">IF(NOT(AND(ISBLANK(D311),ISBLANK(C311))),_xludf.XLOOKUP(D311,[1]CODE!$A$4:$A$100,[1]CODE!$E$4:$E$100),"")</f>
        <v/>
      </c>
      <c r="Y311" s="5" t="str">
        <f t="shared" si="33"/>
        <v/>
      </c>
      <c r="Z311" s="5" t="str">
        <f t="shared" si="34"/>
        <v/>
      </c>
      <c r="AA311" s="4">
        <f t="shared" si="35"/>
        <v>0</v>
      </c>
      <c r="AC311" s="2"/>
    </row>
    <row r="312" spans="1:29" ht="15.5">
      <c r="A312" s="13" t="str">
        <f>IF(OR(ISBLANK(C312),ISBLANK(D312),ISBLANK(F312),ISBLANK(G312)),"",COUNTIF($B$5:B312,"JAMBUTU"))</f>
        <v/>
      </c>
      <c r="B312" s="8" t="str">
        <f t="shared" si="37"/>
        <v/>
      </c>
      <c r="C312" s="8"/>
      <c r="D312" s="8"/>
      <c r="E312" s="13"/>
      <c r="F312" s="12"/>
      <c r="G312" s="11"/>
      <c r="H312" s="12"/>
      <c r="I312" s="11"/>
      <c r="J312" s="10">
        <f t="shared" si="36"/>
        <v>0</v>
      </c>
      <c r="K312" s="10">
        <f t="shared" si="31"/>
        <v>0</v>
      </c>
      <c r="L312" s="9" t="str">
        <f t="shared" si="32"/>
        <v/>
      </c>
      <c r="M312" s="8"/>
      <c r="N312" s="8"/>
      <c r="O312" s="8"/>
      <c r="P312" s="8"/>
      <c r="Q312" s="8"/>
      <c r="R312" s="8"/>
      <c r="S312" s="8"/>
      <c r="T312" s="8"/>
      <c r="U312" s="8"/>
      <c r="V312" s="7"/>
      <c r="W312" s="6" t="str">
        <f t="array" ref="W312">IF(NOT(ISBLANK(D312)),_xludf.XLOOKUP(D312,[1]CODE!$A$4:$A$100,[1]CODE!$D$4:$D$100),"")</f>
        <v/>
      </c>
      <c r="X312" s="5" t="str">
        <f t="array" ref="X312">IF(NOT(AND(ISBLANK(D312),ISBLANK(C312))),_xludf.XLOOKUP(D312,[1]CODE!$A$4:$A$100,[1]CODE!$E$4:$E$100),"")</f>
        <v/>
      </c>
      <c r="Y312" s="5" t="str">
        <f t="shared" si="33"/>
        <v/>
      </c>
      <c r="Z312" s="5" t="str">
        <f t="shared" si="34"/>
        <v/>
      </c>
      <c r="AA312" s="4">
        <f t="shared" si="35"/>
        <v>0</v>
      </c>
      <c r="AC312" s="2"/>
    </row>
    <row r="313" spans="1:29" ht="15.5">
      <c r="A313" s="13" t="str">
        <f>IF(OR(ISBLANK(C313),ISBLANK(D313),ISBLANK(F313),ISBLANK(G313)),"",COUNTIF($B$5:B313,"JAMBUTU"))</f>
        <v/>
      </c>
      <c r="B313" s="8" t="str">
        <f t="shared" si="37"/>
        <v/>
      </c>
      <c r="C313" s="8"/>
      <c r="D313" s="8"/>
      <c r="E313" s="13"/>
      <c r="F313" s="12"/>
      <c r="G313" s="11"/>
      <c r="H313" s="12"/>
      <c r="I313" s="15"/>
      <c r="J313" s="10">
        <f t="shared" si="36"/>
        <v>0</v>
      </c>
      <c r="K313" s="10">
        <f t="shared" si="31"/>
        <v>0</v>
      </c>
      <c r="L313" s="9" t="str">
        <f t="shared" si="32"/>
        <v/>
      </c>
      <c r="M313" s="8"/>
      <c r="N313" s="8"/>
      <c r="O313" s="8"/>
      <c r="P313" s="8"/>
      <c r="Q313" s="8"/>
      <c r="R313" s="8"/>
      <c r="S313" s="8"/>
      <c r="T313" s="8"/>
      <c r="U313" s="8"/>
      <c r="V313" s="7"/>
      <c r="W313" s="6" t="str">
        <f t="array" ref="W313">IF(NOT(ISBLANK(D313)),_xludf.XLOOKUP(D313,[1]CODE!$A$4:$A$100,[1]CODE!$D$4:$D$100),"")</f>
        <v/>
      </c>
      <c r="X313" s="5" t="str">
        <f t="array" ref="X313">IF(NOT(AND(ISBLANK(D313),ISBLANK(C313))),_xludf.XLOOKUP(D313,[1]CODE!$A$4:$A$100,[1]CODE!$E$4:$E$100),"")</f>
        <v/>
      </c>
      <c r="Y313" s="5" t="str">
        <f t="shared" si="33"/>
        <v/>
      </c>
      <c r="Z313" s="5" t="str">
        <f t="shared" si="34"/>
        <v/>
      </c>
      <c r="AA313" s="4">
        <f t="shared" si="35"/>
        <v>0</v>
      </c>
      <c r="AC313" s="2"/>
    </row>
    <row r="314" spans="1:29" ht="15.5">
      <c r="A314" s="13" t="str">
        <f>IF(OR(ISBLANK(C314),ISBLANK(D314),ISBLANK(F314),ISBLANK(G314)),"",COUNTIF($B$5:B314,"JAMBUTU"))</f>
        <v/>
      </c>
      <c r="B314" s="8" t="str">
        <f t="shared" si="37"/>
        <v/>
      </c>
      <c r="C314" s="8"/>
      <c r="D314" s="8"/>
      <c r="E314" s="13"/>
      <c r="F314" s="12"/>
      <c r="G314" s="11"/>
      <c r="H314" s="12"/>
      <c r="I314" s="11"/>
      <c r="J314" s="10">
        <f t="shared" si="36"/>
        <v>0</v>
      </c>
      <c r="K314" s="10">
        <f t="shared" si="31"/>
        <v>0</v>
      </c>
      <c r="L314" s="9" t="str">
        <f t="shared" si="32"/>
        <v/>
      </c>
      <c r="M314" s="8"/>
      <c r="N314" s="8"/>
      <c r="O314" s="8"/>
      <c r="P314" s="8"/>
      <c r="Q314" s="8"/>
      <c r="R314" s="8"/>
      <c r="S314" s="8"/>
      <c r="T314" s="8"/>
      <c r="U314" s="8"/>
      <c r="V314" s="7"/>
      <c r="W314" s="6" t="str">
        <f t="array" ref="W314">IF(NOT(ISBLANK(D314)),_xludf.XLOOKUP(D314,[1]CODE!$A$4:$A$100,[1]CODE!$D$4:$D$100),"")</f>
        <v/>
      </c>
      <c r="X314" s="5" t="str">
        <f t="array" ref="X314">IF(NOT(AND(ISBLANK(D314),ISBLANK(C314))),_xludf.XLOOKUP(D314,[1]CODE!$A$4:$A$100,[1]CODE!$E$4:$E$100),"")</f>
        <v/>
      </c>
      <c r="Y314" s="5" t="str">
        <f t="shared" si="33"/>
        <v/>
      </c>
      <c r="Z314" s="5" t="str">
        <f t="shared" si="34"/>
        <v/>
      </c>
      <c r="AA314" s="4">
        <f t="shared" si="35"/>
        <v>0</v>
      </c>
      <c r="AC314" s="2"/>
    </row>
    <row r="315" spans="1:29" ht="15.5">
      <c r="A315" s="13" t="str">
        <f>IF(OR(ISBLANK(C315),ISBLANK(D315),ISBLANK(F315),ISBLANK(G315)),"",COUNTIF($B$5:B315,"JAMBUTU"))</f>
        <v/>
      </c>
      <c r="B315" s="8" t="str">
        <f t="shared" si="37"/>
        <v/>
      </c>
      <c r="C315" s="8"/>
      <c r="D315" s="8"/>
      <c r="E315" s="13"/>
      <c r="F315" s="12"/>
      <c r="G315" s="11"/>
      <c r="H315" s="12"/>
      <c r="I315" s="11"/>
      <c r="J315" s="10">
        <f t="shared" si="36"/>
        <v>0</v>
      </c>
      <c r="K315" s="10">
        <f t="shared" si="31"/>
        <v>0</v>
      </c>
      <c r="L315" s="9" t="str">
        <f t="shared" si="32"/>
        <v/>
      </c>
      <c r="M315" s="8"/>
      <c r="N315" s="8"/>
      <c r="O315" s="8"/>
      <c r="P315" s="8"/>
      <c r="Q315" s="8"/>
      <c r="R315" s="8"/>
      <c r="S315" s="8"/>
      <c r="T315" s="8"/>
      <c r="U315" s="8"/>
      <c r="V315" s="7"/>
      <c r="W315" s="6" t="str">
        <f t="array" ref="W315">IF(NOT(ISBLANK(D315)),_xludf.XLOOKUP(D315,[1]CODE!$A$4:$A$100,[1]CODE!$D$4:$D$100),"")</f>
        <v/>
      </c>
      <c r="X315" s="5" t="str">
        <f t="array" ref="X315">IF(NOT(AND(ISBLANK(D315),ISBLANK(C315))),_xludf.XLOOKUP(D315,[1]CODE!$A$4:$A$100,[1]CODE!$E$4:$E$100),"")</f>
        <v/>
      </c>
      <c r="Y315" s="5" t="str">
        <f t="shared" si="33"/>
        <v/>
      </c>
      <c r="Z315" s="5" t="str">
        <f t="shared" si="34"/>
        <v/>
      </c>
      <c r="AA315" s="4">
        <f t="shared" si="35"/>
        <v>0</v>
      </c>
      <c r="AC315" s="2"/>
    </row>
    <row r="316" spans="1:29" ht="15.5">
      <c r="A316" s="13" t="str">
        <f>IF(OR(ISBLANK(C316),ISBLANK(D316),ISBLANK(F316),ISBLANK(G316)),"",COUNTIF($B$5:B316,"JAMBUTU"))</f>
        <v/>
      </c>
      <c r="B316" s="8" t="str">
        <f t="shared" si="37"/>
        <v/>
      </c>
      <c r="C316" s="8"/>
      <c r="D316" s="8"/>
      <c r="E316" s="13"/>
      <c r="F316" s="12"/>
      <c r="G316" s="11"/>
      <c r="H316" s="12"/>
      <c r="I316" s="15"/>
      <c r="J316" s="10">
        <f t="shared" si="36"/>
        <v>0</v>
      </c>
      <c r="K316" s="10">
        <f t="shared" si="31"/>
        <v>0</v>
      </c>
      <c r="L316" s="9" t="str">
        <f t="shared" si="32"/>
        <v/>
      </c>
      <c r="M316" s="8"/>
      <c r="N316" s="8"/>
      <c r="O316" s="8"/>
      <c r="P316" s="8"/>
      <c r="Q316" s="8"/>
      <c r="R316" s="8"/>
      <c r="S316" s="8"/>
      <c r="T316" s="8"/>
      <c r="U316" s="8"/>
      <c r="V316" s="7"/>
      <c r="W316" s="6" t="str">
        <f t="array" ref="W316">IF(NOT(ISBLANK(D316)),_xludf.XLOOKUP(D316,[1]CODE!$A$4:$A$100,[1]CODE!$D$4:$D$100),"")</f>
        <v/>
      </c>
      <c r="X316" s="5" t="str">
        <f t="array" ref="X316">IF(NOT(AND(ISBLANK(D316),ISBLANK(C316))),_xludf.XLOOKUP(D316,[1]CODE!$A$4:$A$100,[1]CODE!$E$4:$E$100),"")</f>
        <v/>
      </c>
      <c r="Y316" s="5" t="str">
        <f t="shared" si="33"/>
        <v/>
      </c>
      <c r="Z316" s="5" t="str">
        <f t="shared" si="34"/>
        <v/>
      </c>
      <c r="AA316" s="4">
        <f t="shared" si="35"/>
        <v>0</v>
      </c>
      <c r="AC316" s="2"/>
    </row>
    <row r="317" spans="1:29" ht="15.5">
      <c r="A317" s="13" t="str">
        <f>IF(OR(ISBLANK(C317),ISBLANK(D317),ISBLANK(F317),ISBLANK(G317)),"",COUNTIF($B$5:B317,"JAMBUTU"))</f>
        <v/>
      </c>
      <c r="B317" s="8" t="str">
        <f t="shared" si="37"/>
        <v/>
      </c>
      <c r="C317" s="8"/>
      <c r="D317" s="8"/>
      <c r="E317" s="13"/>
      <c r="F317" s="12"/>
      <c r="G317" s="15"/>
      <c r="H317" s="12"/>
      <c r="I317" s="15"/>
      <c r="J317" s="10">
        <f t="shared" si="36"/>
        <v>0</v>
      </c>
      <c r="K317" s="10">
        <f t="shared" si="31"/>
        <v>0</v>
      </c>
      <c r="L317" s="9" t="str">
        <f t="shared" si="32"/>
        <v/>
      </c>
      <c r="M317" s="8"/>
      <c r="N317" s="8"/>
      <c r="O317" s="8"/>
      <c r="P317" s="8"/>
      <c r="Q317" s="8"/>
      <c r="R317" s="8"/>
      <c r="S317" s="8"/>
      <c r="T317" s="8"/>
      <c r="U317" s="8"/>
      <c r="V317" s="7"/>
      <c r="W317" s="6" t="str">
        <f t="array" ref="W317">IF(NOT(ISBLANK(D317)),_xludf.XLOOKUP(D317,[1]CODE!$A$4:$A$100,[1]CODE!$D$4:$D$100),"")</f>
        <v/>
      </c>
      <c r="X317" s="5" t="str">
        <f t="array" ref="X317">IF(NOT(AND(ISBLANK(D317),ISBLANK(C317))),_xludf.XLOOKUP(D317,[1]CODE!$A$4:$A$100,[1]CODE!$E$4:$E$100),"")</f>
        <v/>
      </c>
      <c r="Y317" s="5" t="str">
        <f t="shared" si="33"/>
        <v/>
      </c>
      <c r="Z317" s="5" t="str">
        <f t="shared" si="34"/>
        <v/>
      </c>
      <c r="AA317" s="4">
        <f t="shared" si="35"/>
        <v>0</v>
      </c>
      <c r="AC317" s="2"/>
    </row>
    <row r="318" spans="1:29" ht="15.5">
      <c r="A318" s="13" t="str">
        <f>IF(OR(ISBLANK(C318),ISBLANK(D318),ISBLANK(F318),ISBLANK(G318)),"",COUNTIF($B$5:B318,"JAMBUTU"))</f>
        <v/>
      </c>
      <c r="B318" s="8" t="str">
        <f t="shared" si="37"/>
        <v/>
      </c>
      <c r="C318" s="8"/>
      <c r="D318" s="8"/>
      <c r="E318" s="13"/>
      <c r="F318" s="12"/>
      <c r="G318" s="11"/>
      <c r="H318" s="12"/>
      <c r="I318" s="15"/>
      <c r="J318" s="10">
        <f t="shared" si="36"/>
        <v>0</v>
      </c>
      <c r="K318" s="10">
        <f t="shared" si="31"/>
        <v>0</v>
      </c>
      <c r="L318" s="9" t="str">
        <f t="shared" si="32"/>
        <v/>
      </c>
      <c r="M318" s="8"/>
      <c r="N318" s="8"/>
      <c r="O318" s="8"/>
      <c r="P318" s="8"/>
      <c r="Q318" s="8"/>
      <c r="R318" s="8"/>
      <c r="S318" s="8"/>
      <c r="T318" s="8"/>
      <c r="U318" s="8"/>
      <c r="V318" s="7"/>
      <c r="W318" s="6" t="str">
        <f t="array" ref="W318">IF(NOT(ISBLANK(D318)),_xludf.XLOOKUP(D318,[1]CODE!$A$4:$A$100,[1]CODE!$D$4:$D$100),"")</f>
        <v/>
      </c>
      <c r="X318" s="5" t="str">
        <f t="array" ref="X318">IF(NOT(AND(ISBLANK(D318),ISBLANK(C318))),_xludf.XLOOKUP(D318,[1]CODE!$A$4:$A$100,[1]CODE!$E$4:$E$100),"")</f>
        <v/>
      </c>
      <c r="Y318" s="5" t="str">
        <f t="shared" si="33"/>
        <v/>
      </c>
      <c r="Z318" s="5" t="str">
        <f t="shared" si="34"/>
        <v/>
      </c>
      <c r="AA318" s="4">
        <f t="shared" si="35"/>
        <v>0</v>
      </c>
      <c r="AC318" s="2"/>
    </row>
    <row r="319" spans="1:29" ht="15.5">
      <c r="A319" s="13" t="str">
        <f>IF(OR(ISBLANK(C319),ISBLANK(D319),ISBLANK(F319),ISBLANK(G319)),"",COUNTIF($B$5:B319,"JAMBUTU"))</f>
        <v/>
      </c>
      <c r="B319" s="8" t="str">
        <f t="shared" si="37"/>
        <v/>
      </c>
      <c r="C319" s="8"/>
      <c r="D319" s="8"/>
      <c r="E319" s="13"/>
      <c r="F319" s="12"/>
      <c r="G319" s="11"/>
      <c r="H319" s="12"/>
      <c r="I319" s="15"/>
      <c r="J319" s="10">
        <f t="shared" si="36"/>
        <v>0</v>
      </c>
      <c r="K319" s="10">
        <f t="shared" si="31"/>
        <v>0</v>
      </c>
      <c r="L319" s="9" t="str">
        <f t="shared" si="32"/>
        <v/>
      </c>
      <c r="M319" s="8"/>
      <c r="N319" s="8"/>
      <c r="O319" s="8"/>
      <c r="P319" s="8"/>
      <c r="Q319" s="8"/>
      <c r="R319" s="8"/>
      <c r="S319" s="8"/>
      <c r="T319" s="8"/>
      <c r="U319" s="8"/>
      <c r="V319" s="7"/>
      <c r="W319" s="6" t="str">
        <f t="array" ref="W319">IF(NOT(ISBLANK(D319)),_xludf.XLOOKUP(D319,[1]CODE!$A$4:$A$100,[1]CODE!$D$4:$D$100),"")</f>
        <v/>
      </c>
      <c r="X319" s="5" t="str">
        <f t="array" ref="X319">IF(NOT(AND(ISBLANK(D319),ISBLANK(C319))),_xludf.XLOOKUP(D319,[1]CODE!$A$4:$A$100,[1]CODE!$E$4:$E$100),"")</f>
        <v/>
      </c>
      <c r="Y319" s="5" t="str">
        <f t="shared" si="33"/>
        <v/>
      </c>
      <c r="Z319" s="5" t="str">
        <f t="shared" si="34"/>
        <v/>
      </c>
      <c r="AA319" s="4">
        <f t="shared" si="35"/>
        <v>0</v>
      </c>
      <c r="AC319" s="2"/>
    </row>
    <row r="320" spans="1:29" ht="15.5">
      <c r="A320" s="13" t="str">
        <f>IF(OR(ISBLANK(C320),ISBLANK(D320),ISBLANK(F320),ISBLANK(G320)),"",COUNTIF($B$5:B320,"JAMBUTU"))</f>
        <v/>
      </c>
      <c r="B320" s="8" t="str">
        <f t="shared" si="37"/>
        <v/>
      </c>
      <c r="C320" s="8"/>
      <c r="D320" s="8"/>
      <c r="E320" s="13"/>
      <c r="F320" s="12"/>
      <c r="G320" s="11"/>
      <c r="H320" s="12"/>
      <c r="I320" s="15"/>
      <c r="J320" s="10">
        <f t="shared" si="36"/>
        <v>0</v>
      </c>
      <c r="K320" s="10">
        <f t="shared" si="31"/>
        <v>0</v>
      </c>
      <c r="L320" s="9" t="str">
        <f t="shared" si="32"/>
        <v/>
      </c>
      <c r="M320" s="8"/>
      <c r="N320" s="8"/>
      <c r="O320" s="8"/>
      <c r="P320" s="8"/>
      <c r="Q320" s="8"/>
      <c r="R320" s="8"/>
      <c r="S320" s="8"/>
      <c r="T320" s="8"/>
      <c r="U320" s="8"/>
      <c r="V320" s="7"/>
      <c r="W320" s="6" t="str">
        <f t="array" ref="W320">IF(NOT(ISBLANK(D320)),_xludf.XLOOKUP(D320,[1]CODE!$A$4:$A$100,[1]CODE!$D$4:$D$100),"")</f>
        <v/>
      </c>
      <c r="X320" s="5" t="str">
        <f t="array" ref="X320">IF(NOT(AND(ISBLANK(D320),ISBLANK(C320))),_xludf.XLOOKUP(D320,[1]CODE!$A$4:$A$100,[1]CODE!$E$4:$E$100),"")</f>
        <v/>
      </c>
      <c r="Y320" s="5" t="str">
        <f t="shared" si="33"/>
        <v/>
      </c>
      <c r="Z320" s="5" t="str">
        <f t="shared" si="34"/>
        <v/>
      </c>
      <c r="AA320" s="4">
        <f t="shared" si="35"/>
        <v>0</v>
      </c>
      <c r="AC320" s="2"/>
    </row>
    <row r="321" spans="1:29" ht="15.5">
      <c r="A321" s="13" t="str">
        <f>IF(OR(ISBLANK(C321),ISBLANK(D321),ISBLANK(F321),ISBLANK(G321)),"",COUNTIF($B$5:B321,"JAMBUTU"))</f>
        <v/>
      </c>
      <c r="B321" s="8" t="str">
        <f t="shared" si="37"/>
        <v/>
      </c>
      <c r="C321" s="8"/>
      <c r="D321" s="8"/>
      <c r="E321" s="13"/>
      <c r="F321" s="12"/>
      <c r="G321" s="11"/>
      <c r="H321" s="12"/>
      <c r="I321" s="15"/>
      <c r="J321" s="10">
        <f t="shared" si="36"/>
        <v>0</v>
      </c>
      <c r="K321" s="10">
        <f t="shared" si="31"/>
        <v>0</v>
      </c>
      <c r="L321" s="9" t="str">
        <f t="shared" si="32"/>
        <v/>
      </c>
      <c r="M321" s="8"/>
      <c r="N321" s="8"/>
      <c r="O321" s="8"/>
      <c r="P321" s="8"/>
      <c r="Q321" s="8"/>
      <c r="R321" s="8"/>
      <c r="S321" s="8"/>
      <c r="T321" s="8"/>
      <c r="U321" s="8"/>
      <c r="V321" s="7"/>
      <c r="W321" s="6" t="str">
        <f t="array" ref="W321">IF(NOT(ISBLANK(D321)),_xludf.XLOOKUP(D321,[1]CODE!$A$4:$A$100,[1]CODE!$D$4:$D$100),"")</f>
        <v/>
      </c>
      <c r="X321" s="5" t="str">
        <f t="array" ref="X321">IF(NOT(AND(ISBLANK(D321),ISBLANK(C321))),_xludf.XLOOKUP(D321,[1]CODE!$A$4:$A$100,[1]CODE!$E$4:$E$100),"")</f>
        <v/>
      </c>
      <c r="Y321" s="5" t="str">
        <f t="shared" si="33"/>
        <v/>
      </c>
      <c r="Z321" s="5" t="str">
        <f t="shared" si="34"/>
        <v/>
      </c>
      <c r="AA321" s="4">
        <f t="shared" si="35"/>
        <v>0</v>
      </c>
      <c r="AC321" s="2"/>
    </row>
    <row r="322" spans="1:29" ht="15.5">
      <c r="A322" s="13" t="str">
        <f>IF(OR(ISBLANK(C322),ISBLANK(D322),ISBLANK(F322),ISBLANK(G322)),"",COUNTIF($B$5:B322,"JAMBUTU"))</f>
        <v/>
      </c>
      <c r="B322" s="8" t="str">
        <f t="shared" si="37"/>
        <v/>
      </c>
      <c r="C322" s="8"/>
      <c r="D322" s="8"/>
      <c r="E322" s="13"/>
      <c r="F322" s="12"/>
      <c r="G322" s="11"/>
      <c r="H322" s="12"/>
      <c r="I322" s="15"/>
      <c r="J322" s="10">
        <f t="shared" si="36"/>
        <v>0</v>
      </c>
      <c r="K322" s="10">
        <f t="shared" si="31"/>
        <v>0</v>
      </c>
      <c r="L322" s="9" t="str">
        <f t="shared" si="32"/>
        <v/>
      </c>
      <c r="M322" s="8"/>
      <c r="N322" s="8"/>
      <c r="O322" s="8"/>
      <c r="P322" s="8"/>
      <c r="Q322" s="8"/>
      <c r="R322" s="8"/>
      <c r="S322" s="8"/>
      <c r="T322" s="8"/>
      <c r="U322" s="8"/>
      <c r="V322" s="7"/>
      <c r="W322" s="6" t="str">
        <f t="array" ref="W322">IF(NOT(ISBLANK(D322)),_xludf.XLOOKUP(D322,[1]CODE!$A$4:$A$100,[1]CODE!$D$4:$D$100),"")</f>
        <v/>
      </c>
      <c r="X322" s="5" t="str">
        <f t="array" ref="X322">IF(NOT(AND(ISBLANK(D322),ISBLANK(C322))),_xludf.XLOOKUP(D322,[1]CODE!$A$4:$A$100,[1]CODE!$E$4:$E$100),"")</f>
        <v/>
      </c>
      <c r="Y322" s="5" t="str">
        <f t="shared" si="33"/>
        <v/>
      </c>
      <c r="Z322" s="5" t="str">
        <f t="shared" si="34"/>
        <v/>
      </c>
      <c r="AA322" s="4">
        <f t="shared" si="35"/>
        <v>0</v>
      </c>
      <c r="AC322" s="2"/>
    </row>
    <row r="323" spans="1:29" ht="15.5">
      <c r="A323" s="13" t="str">
        <f>IF(OR(ISBLANK(C323),ISBLANK(D323),ISBLANK(F323),ISBLANK(G323)),"",COUNTIF($B$5:B323,"JAMBUTU"))</f>
        <v/>
      </c>
      <c r="B323" s="8" t="str">
        <f t="shared" si="37"/>
        <v/>
      </c>
      <c r="C323" s="8"/>
      <c r="D323" s="8"/>
      <c r="E323" s="13"/>
      <c r="F323" s="12"/>
      <c r="G323" s="11"/>
      <c r="H323" s="12"/>
      <c r="I323" s="11"/>
      <c r="J323" s="10">
        <f t="shared" si="36"/>
        <v>0</v>
      </c>
      <c r="K323" s="10">
        <f t="shared" si="31"/>
        <v>0</v>
      </c>
      <c r="L323" s="9" t="str">
        <f t="shared" si="32"/>
        <v/>
      </c>
      <c r="M323" s="8"/>
      <c r="N323" s="8"/>
      <c r="O323" s="8"/>
      <c r="P323" s="8"/>
      <c r="Q323" s="8"/>
      <c r="R323" s="8"/>
      <c r="S323" s="8"/>
      <c r="T323" s="8"/>
      <c r="U323" s="8"/>
      <c r="V323" s="7"/>
      <c r="W323" s="6" t="str">
        <f t="array" ref="W323">IF(NOT(ISBLANK(D323)),_xludf.XLOOKUP(D323,[1]CODE!$A$4:$A$100,[1]CODE!$D$4:$D$100),"")</f>
        <v/>
      </c>
      <c r="X323" s="5" t="str">
        <f t="array" ref="X323">IF(NOT(AND(ISBLANK(D323),ISBLANK(C323))),_xludf.XLOOKUP(D323,[1]CODE!$A$4:$A$100,[1]CODE!$E$4:$E$100),"")</f>
        <v/>
      </c>
      <c r="Y323" s="5" t="str">
        <f t="shared" si="33"/>
        <v/>
      </c>
      <c r="Z323" s="5" t="str">
        <f t="shared" si="34"/>
        <v/>
      </c>
      <c r="AA323" s="4">
        <f t="shared" si="35"/>
        <v>0</v>
      </c>
      <c r="AC323" s="2"/>
    </row>
    <row r="324" spans="1:29" ht="15.5">
      <c r="A324" s="13" t="str">
        <f>IF(OR(ISBLANK(C324),ISBLANK(D324),ISBLANK(F324),ISBLANK(G324)),"",COUNTIF($B$5:B324,"JAMBUTU"))</f>
        <v/>
      </c>
      <c r="B324" s="8" t="str">
        <f t="shared" si="37"/>
        <v/>
      </c>
      <c r="C324" s="8"/>
      <c r="D324" s="8"/>
      <c r="E324" s="13"/>
      <c r="F324" s="12"/>
      <c r="G324" s="11"/>
      <c r="H324" s="12"/>
      <c r="I324" s="11"/>
      <c r="J324" s="10">
        <f t="shared" si="36"/>
        <v>0</v>
      </c>
      <c r="K324" s="10">
        <f t="shared" si="31"/>
        <v>0</v>
      </c>
      <c r="L324" s="9" t="str">
        <f t="shared" si="32"/>
        <v/>
      </c>
      <c r="M324" s="8"/>
      <c r="N324" s="8"/>
      <c r="O324" s="8"/>
      <c r="P324" s="8"/>
      <c r="Q324" s="8"/>
      <c r="R324" s="8"/>
      <c r="S324" s="8"/>
      <c r="T324" s="8"/>
      <c r="U324" s="8"/>
      <c r="V324" s="7"/>
      <c r="W324" s="6" t="str">
        <f t="array" ref="W324">IF(NOT(ISBLANK(D324)),_xludf.XLOOKUP(D324,[1]CODE!$A$4:$A$100,[1]CODE!$D$4:$D$100),"")</f>
        <v/>
      </c>
      <c r="X324" s="5" t="str">
        <f t="array" ref="X324">IF(NOT(AND(ISBLANK(D324),ISBLANK(C324))),_xludf.XLOOKUP(D324,[1]CODE!$A$4:$A$100,[1]CODE!$E$4:$E$100),"")</f>
        <v/>
      </c>
      <c r="Y324" s="5" t="str">
        <f t="shared" si="33"/>
        <v/>
      </c>
      <c r="Z324" s="5" t="str">
        <f t="shared" si="34"/>
        <v/>
      </c>
      <c r="AA324" s="4">
        <f t="shared" si="35"/>
        <v>0</v>
      </c>
      <c r="AC324" s="2"/>
    </row>
    <row r="325" spans="1:29" ht="15.5">
      <c r="A325" s="13" t="str">
        <f>IF(OR(ISBLANK(C325),ISBLANK(D325),ISBLANK(F325),ISBLANK(G325)),"",COUNTIF($B$5:B325,"JAMBUTU"))</f>
        <v/>
      </c>
      <c r="B325" s="8" t="str">
        <f t="shared" si="37"/>
        <v/>
      </c>
      <c r="C325" s="8"/>
      <c r="D325" s="8"/>
      <c r="E325" s="13"/>
      <c r="F325" s="12"/>
      <c r="G325" s="15"/>
      <c r="H325" s="12"/>
      <c r="I325" s="15"/>
      <c r="J325" s="10">
        <f t="shared" si="36"/>
        <v>0</v>
      </c>
      <c r="K325" s="10">
        <f t="shared" ref="K325:K388" si="38">DATE(YEAR(H325),MONTH(H325),DAY(H325))+TIME(HOUR(I325),MINUTE(I325), SECOND(I325))</f>
        <v>0</v>
      </c>
      <c r="L325" s="9" t="str">
        <f t="shared" ref="L325:L388" si="39">IF(ISBLANK(I325),"",IF(J325&gt;K325,(K325+1)-J325,K325-J325))</f>
        <v/>
      </c>
      <c r="M325" s="8"/>
      <c r="N325" s="8"/>
      <c r="O325" s="8"/>
      <c r="P325" s="8"/>
      <c r="Q325" s="8"/>
      <c r="R325" s="8"/>
      <c r="S325" s="8"/>
      <c r="T325" s="8"/>
      <c r="U325" s="8"/>
      <c r="V325" s="7"/>
      <c r="W325" s="6" t="str">
        <f t="array" ref="W325">IF(NOT(ISBLANK(D325)),_xludf.XLOOKUP(D325,[1]CODE!$A$4:$A$100,[1]CODE!$D$4:$D$100),"")</f>
        <v/>
      </c>
      <c r="X325" s="5" t="str">
        <f t="array" ref="X325">IF(NOT(AND(ISBLANK(D325),ISBLANK(C325))),_xludf.XLOOKUP(D325,[1]CODE!$A$4:$A$100,[1]CODE!$E$4:$E$100),"")</f>
        <v/>
      </c>
      <c r="Y325" s="5" t="str">
        <f t="shared" ref="Y325:Y388" si="40">LEFT(C325,4)</f>
        <v/>
      </c>
      <c r="Z325" s="5" t="str">
        <f t="shared" ref="Z325:Z388" si="41">IF(NOT(ISBLANK(C325)), IF(K325&gt;J325,"YES","NO"),"")</f>
        <v/>
      </c>
      <c r="AA325" s="4">
        <f t="shared" ref="AA325:AA388" si="42">IF(AND(F325=H325,Z325="NO"),1+H325,H325)</f>
        <v>0</v>
      </c>
      <c r="AC325" s="2"/>
    </row>
    <row r="326" spans="1:29" ht="15.5">
      <c r="A326" s="13" t="str">
        <f>IF(OR(ISBLANK(C326),ISBLANK(D326),ISBLANK(F326),ISBLANK(G326)),"",COUNTIF($B$5:B326,"JAMBUTU"))</f>
        <v/>
      </c>
      <c r="B326" s="8" t="str">
        <f t="shared" si="37"/>
        <v/>
      </c>
      <c r="C326" s="8"/>
      <c r="D326" s="8"/>
      <c r="E326" s="13"/>
      <c r="F326" s="12"/>
      <c r="G326" s="15"/>
      <c r="H326" s="12"/>
      <c r="I326" s="15"/>
      <c r="J326" s="10">
        <f t="shared" si="36"/>
        <v>0</v>
      </c>
      <c r="K326" s="10">
        <f t="shared" si="38"/>
        <v>0</v>
      </c>
      <c r="L326" s="9" t="str">
        <f t="shared" si="39"/>
        <v/>
      </c>
      <c r="M326" s="8"/>
      <c r="N326" s="8"/>
      <c r="O326" s="8"/>
      <c r="P326" s="8"/>
      <c r="Q326" s="8"/>
      <c r="R326" s="8"/>
      <c r="S326" s="8"/>
      <c r="T326" s="8"/>
      <c r="U326" s="8"/>
      <c r="V326" s="7"/>
      <c r="W326" s="6" t="str">
        <f t="array" ref="W326">IF(NOT(ISBLANK(D326)),_xludf.XLOOKUP(D326,[1]CODE!$A$4:$A$100,[1]CODE!$D$4:$D$100),"")</f>
        <v/>
      </c>
      <c r="X326" s="5" t="str">
        <f t="array" ref="X326">IF(NOT(AND(ISBLANK(D326),ISBLANK(C326))),_xludf.XLOOKUP(D326,[1]CODE!$A$4:$A$100,[1]CODE!$E$4:$E$100),"")</f>
        <v/>
      </c>
      <c r="Y326" s="5" t="str">
        <f t="shared" si="40"/>
        <v/>
      </c>
      <c r="Z326" s="5" t="str">
        <f t="shared" si="41"/>
        <v/>
      </c>
      <c r="AA326" s="4">
        <f t="shared" si="42"/>
        <v>0</v>
      </c>
      <c r="AC326" s="2"/>
    </row>
    <row r="327" spans="1:29" ht="15.5">
      <c r="A327" s="13" t="str">
        <f>IF(OR(ISBLANK(C327),ISBLANK(D327),ISBLANK(F327),ISBLANK(G327)),"",COUNTIF($B$5:B327,"JAMBUTU"))</f>
        <v/>
      </c>
      <c r="B327" s="8" t="str">
        <f t="shared" si="37"/>
        <v/>
      </c>
      <c r="C327" s="8"/>
      <c r="D327" s="8"/>
      <c r="E327" s="13"/>
      <c r="F327" s="12"/>
      <c r="G327" s="11"/>
      <c r="H327" s="12"/>
      <c r="I327" s="15"/>
      <c r="J327" s="10">
        <f t="shared" si="36"/>
        <v>0</v>
      </c>
      <c r="K327" s="10">
        <f t="shared" si="38"/>
        <v>0</v>
      </c>
      <c r="L327" s="9" t="str">
        <f t="shared" si="39"/>
        <v/>
      </c>
      <c r="M327" s="8"/>
      <c r="N327" s="8"/>
      <c r="O327" s="8"/>
      <c r="P327" s="8"/>
      <c r="Q327" s="8"/>
      <c r="R327" s="8"/>
      <c r="S327" s="8"/>
      <c r="T327" s="8"/>
      <c r="U327" s="8"/>
      <c r="V327" s="7"/>
      <c r="W327" s="6" t="str">
        <f t="array" ref="W327">IF(NOT(ISBLANK(D327)),_xludf.XLOOKUP(D327,[1]CODE!$A$4:$A$100,[1]CODE!$D$4:$D$100),"")</f>
        <v/>
      </c>
      <c r="X327" s="5" t="str">
        <f t="array" ref="X327">IF(NOT(AND(ISBLANK(D327),ISBLANK(C327))),_xludf.XLOOKUP(D327,[1]CODE!$A$4:$A$100,[1]CODE!$E$4:$E$100),"")</f>
        <v/>
      </c>
      <c r="Y327" s="5" t="str">
        <f t="shared" si="40"/>
        <v/>
      </c>
      <c r="Z327" s="5" t="str">
        <f t="shared" si="41"/>
        <v/>
      </c>
      <c r="AA327" s="4">
        <f t="shared" si="42"/>
        <v>0</v>
      </c>
      <c r="AC327" s="2"/>
    </row>
    <row r="328" spans="1:29" ht="15.5">
      <c r="A328" s="13" t="str">
        <f>IF(OR(ISBLANK(C328),ISBLANK(D328),ISBLANK(F328),ISBLANK(G328)),"",COUNTIF($B$5:B328,"JAMBUTU"))</f>
        <v/>
      </c>
      <c r="B328" s="8" t="str">
        <f t="shared" si="37"/>
        <v/>
      </c>
      <c r="C328" s="8"/>
      <c r="D328" s="8"/>
      <c r="E328" s="13"/>
      <c r="F328" s="12"/>
      <c r="G328" s="11"/>
      <c r="H328" s="12"/>
      <c r="I328" s="15"/>
      <c r="J328" s="10">
        <f t="shared" si="36"/>
        <v>0</v>
      </c>
      <c r="K328" s="10">
        <f t="shared" si="38"/>
        <v>0</v>
      </c>
      <c r="L328" s="9" t="str">
        <f t="shared" si="39"/>
        <v/>
      </c>
      <c r="M328" s="8"/>
      <c r="N328" s="8"/>
      <c r="O328" s="8"/>
      <c r="P328" s="8"/>
      <c r="Q328" s="8"/>
      <c r="R328" s="8"/>
      <c r="S328" s="8"/>
      <c r="T328" s="8"/>
      <c r="U328" s="8"/>
      <c r="V328" s="7"/>
      <c r="W328" s="6" t="str">
        <f t="array" ref="W328">IF(NOT(ISBLANK(D328)),_xludf.XLOOKUP(D328,[1]CODE!$A$4:$A$100,[1]CODE!$D$4:$D$100),"")</f>
        <v/>
      </c>
      <c r="X328" s="5" t="str">
        <f t="array" ref="X328">IF(NOT(AND(ISBLANK(D328),ISBLANK(C328))),_xludf.XLOOKUP(D328,[1]CODE!$A$4:$A$100,[1]CODE!$E$4:$E$100),"")</f>
        <v/>
      </c>
      <c r="Y328" s="5" t="str">
        <f t="shared" si="40"/>
        <v/>
      </c>
      <c r="Z328" s="5" t="str">
        <f t="shared" si="41"/>
        <v/>
      </c>
      <c r="AA328" s="4">
        <f t="shared" si="42"/>
        <v>0</v>
      </c>
      <c r="AC328" s="2"/>
    </row>
    <row r="329" spans="1:29" ht="15.5">
      <c r="A329" s="13" t="str">
        <f>IF(OR(ISBLANK(C329),ISBLANK(D329),ISBLANK(F329),ISBLANK(G329)),"",COUNTIF($B$5:B329,"JAMBUTU"))</f>
        <v/>
      </c>
      <c r="B329" s="8" t="str">
        <f t="shared" si="37"/>
        <v/>
      </c>
      <c r="C329" s="8"/>
      <c r="D329" s="8"/>
      <c r="E329" s="13"/>
      <c r="F329" s="12"/>
      <c r="G329" s="11"/>
      <c r="H329" s="12"/>
      <c r="I329" s="15"/>
      <c r="J329" s="10">
        <f t="shared" si="36"/>
        <v>0</v>
      </c>
      <c r="K329" s="10">
        <f t="shared" si="38"/>
        <v>0</v>
      </c>
      <c r="L329" s="9" t="str">
        <f t="shared" si="39"/>
        <v/>
      </c>
      <c r="M329" s="8"/>
      <c r="N329" s="8"/>
      <c r="O329" s="8"/>
      <c r="P329" s="8"/>
      <c r="Q329" s="8"/>
      <c r="R329" s="8"/>
      <c r="S329" s="8"/>
      <c r="T329" s="8"/>
      <c r="U329" s="8"/>
      <c r="V329" s="7"/>
      <c r="W329" s="6" t="str">
        <f t="array" ref="W329">IF(NOT(ISBLANK(D329)),_xludf.XLOOKUP(D329,[1]CODE!$A$4:$A$100,[1]CODE!$D$4:$D$100),"")</f>
        <v/>
      </c>
      <c r="X329" s="5" t="str">
        <f t="array" ref="X329">IF(NOT(AND(ISBLANK(D329),ISBLANK(C329))),_xludf.XLOOKUP(D329,[1]CODE!$A$4:$A$100,[1]CODE!$E$4:$E$100),"")</f>
        <v/>
      </c>
      <c r="Y329" s="5" t="str">
        <f t="shared" si="40"/>
        <v/>
      </c>
      <c r="Z329" s="5" t="str">
        <f t="shared" si="41"/>
        <v/>
      </c>
      <c r="AA329" s="4">
        <f t="shared" si="42"/>
        <v>0</v>
      </c>
      <c r="AC329" s="2"/>
    </row>
    <row r="330" spans="1:29" ht="15.5">
      <c r="A330" s="13" t="str">
        <f>IF(OR(ISBLANK(C330),ISBLANK(D330),ISBLANK(F330),ISBLANK(G330)),"",COUNTIF($B$5:B330,"JAMBUTU"))</f>
        <v/>
      </c>
      <c r="B330" s="8" t="str">
        <f t="shared" si="37"/>
        <v/>
      </c>
      <c r="C330" s="8"/>
      <c r="D330" s="8"/>
      <c r="E330" s="13"/>
      <c r="F330" s="12"/>
      <c r="G330" s="11"/>
      <c r="H330" s="12"/>
      <c r="I330" s="15"/>
      <c r="J330" s="10">
        <f t="shared" si="36"/>
        <v>0</v>
      </c>
      <c r="K330" s="10">
        <f t="shared" si="38"/>
        <v>0</v>
      </c>
      <c r="L330" s="9" t="str">
        <f t="shared" si="39"/>
        <v/>
      </c>
      <c r="M330" s="8"/>
      <c r="N330" s="8"/>
      <c r="O330" s="8"/>
      <c r="P330" s="8"/>
      <c r="Q330" s="8"/>
      <c r="R330" s="8"/>
      <c r="S330" s="8"/>
      <c r="T330" s="8"/>
      <c r="U330" s="8"/>
      <c r="V330" s="7"/>
      <c r="W330" s="6" t="str">
        <f t="array" ref="W330">IF(NOT(ISBLANK(D330)),_xludf.XLOOKUP(D330,[1]CODE!$A$4:$A$100,[1]CODE!$D$4:$D$100),"")</f>
        <v/>
      </c>
      <c r="X330" s="5" t="str">
        <f t="array" ref="X330">IF(NOT(AND(ISBLANK(D330),ISBLANK(C330))),_xludf.XLOOKUP(D330,[1]CODE!$A$4:$A$100,[1]CODE!$E$4:$E$100),"")</f>
        <v/>
      </c>
      <c r="Y330" s="5" t="str">
        <f t="shared" si="40"/>
        <v/>
      </c>
      <c r="Z330" s="5" t="str">
        <f t="shared" si="41"/>
        <v/>
      </c>
      <c r="AA330" s="4">
        <f t="shared" si="42"/>
        <v>0</v>
      </c>
      <c r="AC330" s="2"/>
    </row>
    <row r="331" spans="1:29" ht="15.5">
      <c r="A331" s="13" t="str">
        <f>IF(OR(ISBLANK(C331),ISBLANK(D331),ISBLANK(F331),ISBLANK(G331)),"",COUNTIF($B$5:B331,"JAMBUTU"))</f>
        <v/>
      </c>
      <c r="B331" s="8" t="str">
        <f t="shared" si="37"/>
        <v/>
      </c>
      <c r="C331" s="8"/>
      <c r="D331" s="8"/>
      <c r="E331" s="13"/>
      <c r="F331" s="12"/>
      <c r="G331" s="11"/>
      <c r="H331" s="12"/>
      <c r="I331" s="15"/>
      <c r="J331" s="10">
        <f t="shared" si="36"/>
        <v>0</v>
      </c>
      <c r="K331" s="10">
        <f t="shared" si="38"/>
        <v>0</v>
      </c>
      <c r="L331" s="9" t="str">
        <f t="shared" si="39"/>
        <v/>
      </c>
      <c r="M331" s="8"/>
      <c r="N331" s="8"/>
      <c r="O331" s="8"/>
      <c r="P331" s="8"/>
      <c r="Q331" s="8"/>
      <c r="R331" s="8"/>
      <c r="S331" s="8"/>
      <c r="T331" s="8"/>
      <c r="U331" s="8"/>
      <c r="V331" s="7"/>
      <c r="W331" s="6" t="str">
        <f t="array" ref="W331">IF(NOT(ISBLANK(D331)),_xludf.XLOOKUP(D331,[1]CODE!$A$4:$A$100,[1]CODE!$D$4:$D$100),"")</f>
        <v/>
      </c>
      <c r="X331" s="5" t="str">
        <f t="array" ref="X331">IF(NOT(AND(ISBLANK(D331),ISBLANK(C331))),_xludf.XLOOKUP(D331,[1]CODE!$A$4:$A$100,[1]CODE!$E$4:$E$100),"")</f>
        <v/>
      </c>
      <c r="Y331" s="5" t="str">
        <f t="shared" si="40"/>
        <v/>
      </c>
      <c r="Z331" s="5" t="str">
        <f t="shared" si="41"/>
        <v/>
      </c>
      <c r="AA331" s="4">
        <f t="shared" si="42"/>
        <v>0</v>
      </c>
      <c r="AC331" s="2"/>
    </row>
    <row r="332" spans="1:29" ht="15.5">
      <c r="A332" s="13" t="str">
        <f>IF(OR(ISBLANK(C332),ISBLANK(D332),ISBLANK(F332),ISBLANK(G332)),"",COUNTIF($B$5:B332,"JAMBUTU"))</f>
        <v/>
      </c>
      <c r="B332" s="8" t="str">
        <f t="shared" si="37"/>
        <v/>
      </c>
      <c r="C332" s="8"/>
      <c r="D332" s="8"/>
      <c r="E332" s="13"/>
      <c r="F332" s="12"/>
      <c r="G332" s="11"/>
      <c r="H332" s="12"/>
      <c r="I332" s="15"/>
      <c r="J332" s="10">
        <f t="shared" si="36"/>
        <v>0</v>
      </c>
      <c r="K332" s="10">
        <f t="shared" si="38"/>
        <v>0</v>
      </c>
      <c r="L332" s="9" t="str">
        <f t="shared" si="39"/>
        <v/>
      </c>
      <c r="M332" s="8"/>
      <c r="N332" s="8"/>
      <c r="O332" s="8"/>
      <c r="P332" s="8"/>
      <c r="Q332" s="8"/>
      <c r="R332" s="8"/>
      <c r="S332" s="8"/>
      <c r="T332" s="8"/>
      <c r="U332" s="8"/>
      <c r="V332" s="7"/>
      <c r="W332" s="6" t="str">
        <f t="array" ref="W332">IF(NOT(ISBLANK(D332)),_xludf.XLOOKUP(D332,[1]CODE!$A$4:$A$100,[1]CODE!$D$4:$D$100),"")</f>
        <v/>
      </c>
      <c r="X332" s="5" t="str">
        <f t="array" ref="X332">IF(NOT(AND(ISBLANK(D332),ISBLANK(C332))),_xludf.XLOOKUP(D332,[1]CODE!$A$4:$A$100,[1]CODE!$E$4:$E$100),"")</f>
        <v/>
      </c>
      <c r="Y332" s="5" t="str">
        <f t="shared" si="40"/>
        <v/>
      </c>
      <c r="Z332" s="5" t="str">
        <f t="shared" si="41"/>
        <v/>
      </c>
      <c r="AA332" s="4">
        <f t="shared" si="42"/>
        <v>0</v>
      </c>
      <c r="AC332" s="2"/>
    </row>
    <row r="333" spans="1:29" ht="15.5">
      <c r="A333" s="13" t="str">
        <f>IF(OR(ISBLANK(C333),ISBLANK(D333),ISBLANK(F333),ISBLANK(G333)),"",COUNTIF($B$5:B333,"JAMBUTU"))</f>
        <v/>
      </c>
      <c r="B333" s="8" t="str">
        <f t="shared" si="37"/>
        <v/>
      </c>
      <c r="C333" s="8"/>
      <c r="D333" s="8"/>
      <c r="E333" s="13"/>
      <c r="F333" s="12"/>
      <c r="G333" s="11"/>
      <c r="H333" s="12"/>
      <c r="I333" s="15"/>
      <c r="J333" s="10">
        <f t="shared" si="36"/>
        <v>0</v>
      </c>
      <c r="K333" s="10">
        <f t="shared" si="38"/>
        <v>0</v>
      </c>
      <c r="L333" s="9" t="str">
        <f t="shared" si="39"/>
        <v/>
      </c>
      <c r="M333" s="8"/>
      <c r="N333" s="8"/>
      <c r="O333" s="8"/>
      <c r="P333" s="8"/>
      <c r="Q333" s="8"/>
      <c r="R333" s="8"/>
      <c r="S333" s="8"/>
      <c r="T333" s="8"/>
      <c r="U333" s="8"/>
      <c r="V333" s="7"/>
      <c r="W333" s="6" t="str">
        <f t="array" ref="W333">IF(NOT(ISBLANK(D333)),_xludf.XLOOKUP(D333,[1]CODE!$A$4:$A$100,[1]CODE!$D$4:$D$100),"")</f>
        <v/>
      </c>
      <c r="X333" s="5" t="str">
        <f t="array" ref="X333">IF(NOT(AND(ISBLANK(D333),ISBLANK(C333))),_xludf.XLOOKUP(D333,[1]CODE!$A$4:$A$100,[1]CODE!$E$4:$E$100),"")</f>
        <v/>
      </c>
      <c r="Y333" s="5" t="str">
        <f t="shared" si="40"/>
        <v/>
      </c>
      <c r="Z333" s="5" t="str">
        <f t="shared" si="41"/>
        <v/>
      </c>
      <c r="AA333" s="4">
        <f t="shared" si="42"/>
        <v>0</v>
      </c>
      <c r="AC333" s="2"/>
    </row>
    <row r="334" spans="1:29" ht="15.5">
      <c r="A334" s="13" t="str">
        <f>IF(OR(ISBLANK(C334),ISBLANK(D334),ISBLANK(F334),ISBLANK(G334)),"",COUNTIF($B$5:B334,"JAMBUTU"))</f>
        <v/>
      </c>
      <c r="B334" s="8" t="str">
        <f t="shared" si="37"/>
        <v/>
      </c>
      <c r="C334" s="8"/>
      <c r="D334" s="8"/>
      <c r="E334" s="13"/>
      <c r="F334" s="12"/>
      <c r="G334" s="11"/>
      <c r="H334" s="12"/>
      <c r="I334" s="15"/>
      <c r="J334" s="10">
        <f t="shared" si="36"/>
        <v>0</v>
      </c>
      <c r="K334" s="10">
        <f t="shared" si="38"/>
        <v>0</v>
      </c>
      <c r="L334" s="9" t="str">
        <f t="shared" si="39"/>
        <v/>
      </c>
      <c r="M334" s="8"/>
      <c r="N334" s="8"/>
      <c r="O334" s="8"/>
      <c r="P334" s="8"/>
      <c r="Q334" s="8"/>
      <c r="R334" s="8"/>
      <c r="S334" s="8"/>
      <c r="T334" s="8"/>
      <c r="U334" s="8"/>
      <c r="V334" s="7"/>
      <c r="W334" s="6" t="str">
        <f t="array" ref="W334">IF(NOT(ISBLANK(D334)),_xludf.XLOOKUP(D334,[1]CODE!$A$4:$A$100,[1]CODE!$D$4:$D$100),"")</f>
        <v/>
      </c>
      <c r="X334" s="5" t="str">
        <f t="array" ref="X334">IF(NOT(AND(ISBLANK(D334),ISBLANK(C334))),_xludf.XLOOKUP(D334,[1]CODE!$A$4:$A$100,[1]CODE!$E$4:$E$100),"")</f>
        <v/>
      </c>
      <c r="Y334" s="5" t="str">
        <f t="shared" si="40"/>
        <v/>
      </c>
      <c r="Z334" s="5" t="str">
        <f t="shared" si="41"/>
        <v/>
      </c>
      <c r="AA334" s="4">
        <f t="shared" si="42"/>
        <v>0</v>
      </c>
      <c r="AC334" s="2"/>
    </row>
    <row r="335" spans="1:29" ht="15.5">
      <c r="A335" s="13" t="str">
        <f>IF(OR(ISBLANK(C335),ISBLANK(D335),ISBLANK(F335),ISBLANK(G335)),"",COUNTIF($B$5:B335,"JAMBUTU"))</f>
        <v/>
      </c>
      <c r="B335" s="8" t="str">
        <f t="shared" si="37"/>
        <v/>
      </c>
      <c r="C335" s="8"/>
      <c r="D335" s="8"/>
      <c r="E335" s="13"/>
      <c r="F335" s="12"/>
      <c r="G335" s="11"/>
      <c r="H335" s="12"/>
      <c r="I335" s="11"/>
      <c r="J335" s="10">
        <f t="shared" si="36"/>
        <v>0</v>
      </c>
      <c r="K335" s="10">
        <f t="shared" si="38"/>
        <v>0</v>
      </c>
      <c r="L335" s="9" t="str">
        <f t="shared" si="39"/>
        <v/>
      </c>
      <c r="M335" s="8"/>
      <c r="N335" s="8"/>
      <c r="O335" s="8"/>
      <c r="P335" s="8"/>
      <c r="Q335" s="8"/>
      <c r="R335" s="8"/>
      <c r="S335" s="8"/>
      <c r="T335" s="8"/>
      <c r="U335" s="8"/>
      <c r="V335" s="7"/>
      <c r="W335" s="6" t="str">
        <f t="array" ref="W335">IF(NOT(ISBLANK(D335)),_xludf.XLOOKUP(D335,[1]CODE!$A$4:$A$100,[1]CODE!$D$4:$D$100),"")</f>
        <v/>
      </c>
      <c r="X335" s="5" t="str">
        <f t="array" ref="X335">IF(NOT(AND(ISBLANK(D335),ISBLANK(C335))),_xludf.XLOOKUP(D335,[1]CODE!$A$4:$A$100,[1]CODE!$E$4:$E$100),"")</f>
        <v/>
      </c>
      <c r="Y335" s="5" t="str">
        <f t="shared" si="40"/>
        <v/>
      </c>
      <c r="Z335" s="5" t="str">
        <f t="shared" si="41"/>
        <v/>
      </c>
      <c r="AA335" s="4">
        <f t="shared" si="42"/>
        <v>0</v>
      </c>
      <c r="AC335" s="2"/>
    </row>
    <row r="336" spans="1:29" ht="15.5">
      <c r="A336" s="13" t="str">
        <f>IF(OR(ISBLANK(C336),ISBLANK(D336),ISBLANK(F336),ISBLANK(G336)),"",COUNTIF($B$5:B336,"JAMBUTU"))</f>
        <v/>
      </c>
      <c r="B336" s="8" t="str">
        <f t="shared" si="37"/>
        <v/>
      </c>
      <c r="C336" s="8"/>
      <c r="D336" s="8"/>
      <c r="E336" s="13"/>
      <c r="F336" s="12"/>
      <c r="G336" s="11"/>
      <c r="H336" s="12"/>
      <c r="I336" s="11"/>
      <c r="J336" s="10">
        <f t="shared" si="36"/>
        <v>0</v>
      </c>
      <c r="K336" s="10">
        <f t="shared" si="38"/>
        <v>0</v>
      </c>
      <c r="L336" s="9" t="str">
        <f t="shared" si="39"/>
        <v/>
      </c>
      <c r="M336" s="8"/>
      <c r="N336" s="8"/>
      <c r="O336" s="8"/>
      <c r="P336" s="8"/>
      <c r="Q336" s="8"/>
      <c r="R336" s="8"/>
      <c r="S336" s="8"/>
      <c r="T336" s="8"/>
      <c r="U336" s="8"/>
      <c r="V336" s="7"/>
      <c r="W336" s="6" t="str">
        <f t="array" ref="W336">IF(NOT(ISBLANK(D336)),_xludf.XLOOKUP(D336,[1]CODE!$A$4:$A$100,[1]CODE!$D$4:$D$100),"")</f>
        <v/>
      </c>
      <c r="X336" s="5" t="str">
        <f t="array" ref="X336">IF(NOT(AND(ISBLANK(D336),ISBLANK(C336))),_xludf.XLOOKUP(D336,[1]CODE!$A$4:$A$100,[1]CODE!$E$4:$E$100),"")</f>
        <v/>
      </c>
      <c r="Y336" s="5" t="str">
        <f t="shared" si="40"/>
        <v/>
      </c>
      <c r="Z336" s="5" t="str">
        <f t="shared" si="41"/>
        <v/>
      </c>
      <c r="AA336" s="4">
        <f t="shared" si="42"/>
        <v>0</v>
      </c>
      <c r="AC336" s="2"/>
    </row>
    <row r="337" spans="1:29" ht="15.5">
      <c r="A337" s="13" t="str">
        <f>IF(OR(ISBLANK(C337),ISBLANK(D337),ISBLANK(F337),ISBLANK(G337)),"",COUNTIF($B$5:B337,"JAMBUTU"))</f>
        <v/>
      </c>
      <c r="B337" s="8" t="str">
        <f t="shared" si="37"/>
        <v/>
      </c>
      <c r="C337" s="8"/>
      <c r="D337" s="8"/>
      <c r="E337" s="13"/>
      <c r="F337" s="12"/>
      <c r="G337" s="11"/>
      <c r="H337" s="12"/>
      <c r="I337" s="11"/>
      <c r="J337" s="10">
        <f t="shared" si="36"/>
        <v>0</v>
      </c>
      <c r="K337" s="10">
        <f t="shared" si="38"/>
        <v>0</v>
      </c>
      <c r="L337" s="9" t="str">
        <f t="shared" si="39"/>
        <v/>
      </c>
      <c r="M337" s="8"/>
      <c r="N337" s="8"/>
      <c r="O337" s="8"/>
      <c r="P337" s="8"/>
      <c r="Q337" s="8"/>
      <c r="R337" s="8"/>
      <c r="S337" s="8"/>
      <c r="T337" s="8"/>
      <c r="U337" s="8"/>
      <c r="V337" s="7"/>
      <c r="W337" s="6" t="str">
        <f t="array" ref="W337">IF(NOT(ISBLANK(D337)),_xludf.XLOOKUP(D337,[1]CODE!$A$4:$A$100,[1]CODE!$D$4:$D$100),"")</f>
        <v/>
      </c>
      <c r="X337" s="5" t="str">
        <f t="array" ref="X337">IF(NOT(AND(ISBLANK(D337),ISBLANK(C337))),_xludf.XLOOKUP(D337,[1]CODE!$A$4:$A$100,[1]CODE!$E$4:$E$100),"")</f>
        <v/>
      </c>
      <c r="Y337" s="5" t="str">
        <f t="shared" si="40"/>
        <v/>
      </c>
      <c r="Z337" s="5" t="str">
        <f t="shared" si="41"/>
        <v/>
      </c>
      <c r="AA337" s="4">
        <f t="shared" si="42"/>
        <v>0</v>
      </c>
      <c r="AC337" s="2"/>
    </row>
    <row r="338" spans="1:29" ht="15.5">
      <c r="A338" s="13" t="str">
        <f>IF(OR(ISBLANK(C338),ISBLANK(D338),ISBLANK(F338),ISBLANK(G338)),"",COUNTIF($B$5:B338,"JAMBUTU"))</f>
        <v/>
      </c>
      <c r="B338" s="8" t="str">
        <f t="shared" si="37"/>
        <v/>
      </c>
      <c r="C338" s="8"/>
      <c r="D338" s="8"/>
      <c r="E338" s="13"/>
      <c r="F338" s="12"/>
      <c r="G338" s="11"/>
      <c r="H338" s="12"/>
      <c r="I338" s="11"/>
      <c r="J338" s="10">
        <f t="shared" si="36"/>
        <v>0</v>
      </c>
      <c r="K338" s="10">
        <f t="shared" si="38"/>
        <v>0</v>
      </c>
      <c r="L338" s="9" t="str">
        <f t="shared" si="39"/>
        <v/>
      </c>
      <c r="M338" s="8"/>
      <c r="N338" s="8"/>
      <c r="O338" s="8"/>
      <c r="P338" s="8"/>
      <c r="Q338" s="8"/>
      <c r="R338" s="8"/>
      <c r="S338" s="8"/>
      <c r="T338" s="8"/>
      <c r="U338" s="8"/>
      <c r="V338" s="7"/>
      <c r="W338" s="6" t="str">
        <f t="array" ref="W338">IF(NOT(ISBLANK(D338)),_xludf.XLOOKUP(D338,[1]CODE!$A$4:$A$100,[1]CODE!$D$4:$D$100),"")</f>
        <v/>
      </c>
      <c r="X338" s="5" t="str">
        <f t="array" ref="X338">IF(NOT(AND(ISBLANK(D338),ISBLANK(C338))),_xludf.XLOOKUP(D338,[1]CODE!$A$4:$A$100,[1]CODE!$E$4:$E$100),"")</f>
        <v/>
      </c>
      <c r="Y338" s="5" t="str">
        <f t="shared" si="40"/>
        <v/>
      </c>
      <c r="Z338" s="5" t="str">
        <f t="shared" si="41"/>
        <v/>
      </c>
      <c r="AA338" s="4">
        <f t="shared" si="42"/>
        <v>0</v>
      </c>
      <c r="AC338" s="2"/>
    </row>
    <row r="339" spans="1:29" ht="15.5">
      <c r="A339" s="13" t="str">
        <f>IF(OR(ISBLANK(C339),ISBLANK(D339),ISBLANK(F339),ISBLANK(G339)),"",COUNTIF($B$5:B339,"JAMBUTU"))</f>
        <v/>
      </c>
      <c r="B339" s="8" t="str">
        <f t="shared" si="37"/>
        <v/>
      </c>
      <c r="C339" s="8"/>
      <c r="D339" s="8"/>
      <c r="E339" s="13"/>
      <c r="F339" s="12"/>
      <c r="G339" s="11"/>
      <c r="H339" s="12"/>
      <c r="I339" s="11"/>
      <c r="J339" s="10">
        <f t="shared" si="36"/>
        <v>0</v>
      </c>
      <c r="K339" s="10">
        <f t="shared" si="38"/>
        <v>0</v>
      </c>
      <c r="L339" s="9" t="str">
        <f t="shared" si="39"/>
        <v/>
      </c>
      <c r="M339" s="8"/>
      <c r="N339" s="8"/>
      <c r="O339" s="8"/>
      <c r="P339" s="8"/>
      <c r="Q339" s="8"/>
      <c r="R339" s="8"/>
      <c r="S339" s="8"/>
      <c r="T339" s="8"/>
      <c r="U339" s="8"/>
      <c r="V339" s="7"/>
      <c r="W339" s="6" t="str">
        <f t="array" ref="W339">IF(NOT(ISBLANK(D339)),_xludf.XLOOKUP(D339,[1]CODE!$A$4:$A$100,[1]CODE!$D$4:$D$100),"")</f>
        <v/>
      </c>
      <c r="X339" s="5" t="str">
        <f t="array" ref="X339">IF(NOT(AND(ISBLANK(D339),ISBLANK(C339))),_xludf.XLOOKUP(D339,[1]CODE!$A$4:$A$100,[1]CODE!$E$4:$E$100),"")</f>
        <v/>
      </c>
      <c r="Y339" s="5" t="str">
        <f t="shared" si="40"/>
        <v/>
      </c>
      <c r="Z339" s="5" t="str">
        <f t="shared" si="41"/>
        <v/>
      </c>
      <c r="AA339" s="4">
        <f t="shared" si="42"/>
        <v>0</v>
      </c>
      <c r="AC339" s="2"/>
    </row>
    <row r="340" spans="1:29" ht="15.5">
      <c r="A340" s="13" t="str">
        <f>IF(OR(ISBLANK(C340),ISBLANK(D340),ISBLANK(F340),ISBLANK(G340)),"",COUNTIF($B$5:B340,"JAMBUTU"))</f>
        <v/>
      </c>
      <c r="B340" s="8" t="str">
        <f t="shared" si="37"/>
        <v/>
      </c>
      <c r="C340" s="8"/>
      <c r="D340" s="8"/>
      <c r="E340" s="13"/>
      <c r="F340" s="12"/>
      <c r="G340" s="11"/>
      <c r="H340" s="12"/>
      <c r="I340" s="11"/>
      <c r="J340" s="10">
        <f t="shared" si="36"/>
        <v>0</v>
      </c>
      <c r="K340" s="10">
        <f t="shared" si="38"/>
        <v>0</v>
      </c>
      <c r="L340" s="9" t="str">
        <f t="shared" si="39"/>
        <v/>
      </c>
      <c r="M340" s="8"/>
      <c r="N340" s="8"/>
      <c r="O340" s="8"/>
      <c r="P340" s="8"/>
      <c r="Q340" s="8"/>
      <c r="R340" s="8"/>
      <c r="S340" s="8"/>
      <c r="T340" s="8"/>
      <c r="U340" s="8"/>
      <c r="V340" s="7"/>
      <c r="W340" s="6" t="str">
        <f t="array" ref="W340">IF(NOT(ISBLANK(D340)),_xludf.XLOOKUP(D340,[1]CODE!$A$4:$A$100,[1]CODE!$D$4:$D$100),"")</f>
        <v/>
      </c>
      <c r="X340" s="5" t="str">
        <f t="array" ref="X340">IF(NOT(AND(ISBLANK(D340),ISBLANK(C340))),_xludf.XLOOKUP(D340,[1]CODE!$A$4:$A$100,[1]CODE!$E$4:$E$100),"")</f>
        <v/>
      </c>
      <c r="Y340" s="5" t="str">
        <f t="shared" si="40"/>
        <v/>
      </c>
      <c r="Z340" s="5" t="str">
        <f t="shared" si="41"/>
        <v/>
      </c>
      <c r="AA340" s="4">
        <f t="shared" si="42"/>
        <v>0</v>
      </c>
      <c r="AC340" s="2"/>
    </row>
    <row r="341" spans="1:29" ht="15.5">
      <c r="A341" s="13" t="str">
        <f>IF(OR(ISBLANK(C341),ISBLANK(D341),ISBLANK(F341),ISBLANK(G341)),"",COUNTIF($B$5:B341,"JAMBUTU"))</f>
        <v/>
      </c>
      <c r="B341" s="8" t="str">
        <f t="shared" si="37"/>
        <v/>
      </c>
      <c r="C341" s="8"/>
      <c r="D341" s="8"/>
      <c r="E341" s="13"/>
      <c r="F341" s="12"/>
      <c r="G341" s="11"/>
      <c r="H341" s="12"/>
      <c r="I341" s="11"/>
      <c r="J341" s="10">
        <f t="shared" si="36"/>
        <v>0</v>
      </c>
      <c r="K341" s="10">
        <f t="shared" si="38"/>
        <v>0</v>
      </c>
      <c r="L341" s="9" t="str">
        <f t="shared" si="39"/>
        <v/>
      </c>
      <c r="M341" s="8"/>
      <c r="N341" s="8"/>
      <c r="O341" s="8"/>
      <c r="P341" s="8"/>
      <c r="Q341" s="8"/>
      <c r="R341" s="8"/>
      <c r="S341" s="8"/>
      <c r="T341" s="8"/>
      <c r="U341" s="8"/>
      <c r="V341" s="7"/>
      <c r="W341" s="6" t="str">
        <f t="array" ref="W341">IF(NOT(ISBLANK(D341)),_xludf.XLOOKUP(D341,[1]CODE!$A$4:$A$100,[1]CODE!$D$4:$D$100),"")</f>
        <v/>
      </c>
      <c r="X341" s="5" t="str">
        <f t="array" ref="X341">IF(NOT(AND(ISBLANK(D341),ISBLANK(C341))),_xludf.XLOOKUP(D341,[1]CODE!$A$4:$A$100,[1]CODE!$E$4:$E$100),"")</f>
        <v/>
      </c>
      <c r="Y341" s="5" t="str">
        <f t="shared" si="40"/>
        <v/>
      </c>
      <c r="Z341" s="5" t="str">
        <f t="shared" si="41"/>
        <v/>
      </c>
      <c r="AA341" s="4">
        <f t="shared" si="42"/>
        <v>0</v>
      </c>
      <c r="AC341" s="2"/>
    </row>
    <row r="342" spans="1:29" ht="15.5">
      <c r="A342" s="13" t="str">
        <f>IF(OR(ISBLANK(C342),ISBLANK(D342),ISBLANK(F342),ISBLANK(G342)),"",COUNTIF($B$5:B342,"JAMBUTU"))</f>
        <v/>
      </c>
      <c r="B342" s="8" t="str">
        <f t="shared" si="37"/>
        <v/>
      </c>
      <c r="C342" s="8"/>
      <c r="D342" s="8"/>
      <c r="E342" s="13"/>
      <c r="F342" s="12"/>
      <c r="G342" s="11"/>
      <c r="H342" s="12"/>
      <c r="I342" s="11"/>
      <c r="J342" s="10">
        <f t="shared" si="36"/>
        <v>0</v>
      </c>
      <c r="K342" s="10">
        <f t="shared" si="38"/>
        <v>0</v>
      </c>
      <c r="L342" s="9" t="str">
        <f t="shared" si="39"/>
        <v/>
      </c>
      <c r="M342" s="8"/>
      <c r="N342" s="8"/>
      <c r="O342" s="8"/>
      <c r="P342" s="8"/>
      <c r="Q342" s="8"/>
      <c r="R342" s="8"/>
      <c r="S342" s="8"/>
      <c r="T342" s="8"/>
      <c r="U342" s="8"/>
      <c r="V342" s="7"/>
      <c r="W342" s="6" t="str">
        <f t="array" ref="W342">IF(NOT(ISBLANK(D342)),_xludf.XLOOKUP(D342,[1]CODE!$A$4:$A$100,[1]CODE!$D$4:$D$100),"")</f>
        <v/>
      </c>
      <c r="X342" s="5" t="str">
        <f t="array" ref="X342">IF(NOT(AND(ISBLANK(D342),ISBLANK(C342))),_xludf.XLOOKUP(D342,[1]CODE!$A$4:$A$100,[1]CODE!$E$4:$E$100),"")</f>
        <v/>
      </c>
      <c r="Y342" s="5" t="str">
        <f t="shared" si="40"/>
        <v/>
      </c>
      <c r="Z342" s="5" t="str">
        <f t="shared" si="41"/>
        <v/>
      </c>
      <c r="AA342" s="4">
        <f t="shared" si="42"/>
        <v>0</v>
      </c>
      <c r="AC342" s="2"/>
    </row>
    <row r="343" spans="1:29" ht="15.5">
      <c r="A343" s="13" t="str">
        <f>IF(OR(ISBLANK(C343),ISBLANK(D343),ISBLANK(F343),ISBLANK(G343)),"",COUNTIF($B$5:B343,"JAMBUTU"))</f>
        <v/>
      </c>
      <c r="B343" s="8" t="str">
        <f t="shared" si="37"/>
        <v/>
      </c>
      <c r="C343" s="8"/>
      <c r="D343" s="8"/>
      <c r="E343" s="13"/>
      <c r="F343" s="12"/>
      <c r="G343" s="11"/>
      <c r="H343" s="12"/>
      <c r="I343" s="11"/>
      <c r="J343" s="10">
        <f t="shared" si="36"/>
        <v>0</v>
      </c>
      <c r="K343" s="10">
        <f t="shared" si="38"/>
        <v>0</v>
      </c>
      <c r="L343" s="9" t="str">
        <f t="shared" si="39"/>
        <v/>
      </c>
      <c r="M343" s="8"/>
      <c r="N343" s="8"/>
      <c r="O343" s="8"/>
      <c r="P343" s="8"/>
      <c r="Q343" s="8"/>
      <c r="R343" s="8"/>
      <c r="S343" s="8"/>
      <c r="T343" s="8"/>
      <c r="U343" s="8"/>
      <c r="V343" s="7"/>
      <c r="W343" s="6" t="str">
        <f t="array" ref="W343">IF(NOT(ISBLANK(D343)),_xludf.XLOOKUP(D343,[1]CODE!$A$4:$A$100,[1]CODE!$D$4:$D$100),"")</f>
        <v/>
      </c>
      <c r="X343" s="5" t="str">
        <f t="array" ref="X343">IF(NOT(AND(ISBLANK(D343),ISBLANK(C343))),_xludf.XLOOKUP(D343,[1]CODE!$A$4:$A$100,[1]CODE!$E$4:$E$100),"")</f>
        <v/>
      </c>
      <c r="Y343" s="5" t="str">
        <f t="shared" si="40"/>
        <v/>
      </c>
      <c r="Z343" s="5" t="str">
        <f t="shared" si="41"/>
        <v/>
      </c>
      <c r="AA343" s="4">
        <f t="shared" si="42"/>
        <v>0</v>
      </c>
      <c r="AC343" s="2"/>
    </row>
    <row r="344" spans="1:29" ht="15.5">
      <c r="A344" s="13" t="str">
        <f>IF(OR(ISBLANK(C344),ISBLANK(D344),ISBLANK(F344),ISBLANK(G344)),"",COUNTIF($B$5:B344,"JAMBUTU"))</f>
        <v/>
      </c>
      <c r="B344" s="8" t="str">
        <f t="shared" si="37"/>
        <v/>
      </c>
      <c r="C344" s="8"/>
      <c r="D344" s="8"/>
      <c r="E344" s="13"/>
      <c r="F344" s="12"/>
      <c r="G344" s="11"/>
      <c r="H344" s="12"/>
      <c r="I344" s="11"/>
      <c r="J344" s="10">
        <f t="shared" si="36"/>
        <v>0</v>
      </c>
      <c r="K344" s="10">
        <f t="shared" si="38"/>
        <v>0</v>
      </c>
      <c r="L344" s="9" t="str">
        <f t="shared" si="39"/>
        <v/>
      </c>
      <c r="M344" s="8"/>
      <c r="N344" s="8"/>
      <c r="O344" s="8"/>
      <c r="P344" s="8"/>
      <c r="Q344" s="8"/>
      <c r="R344" s="8"/>
      <c r="S344" s="8"/>
      <c r="T344" s="8"/>
      <c r="U344" s="8"/>
      <c r="V344" s="7"/>
      <c r="W344" s="6" t="str">
        <f t="array" ref="W344">IF(NOT(ISBLANK(D344)),_xludf.XLOOKUP(D344,[1]CODE!$A$4:$A$100,[1]CODE!$D$4:$D$100),"")</f>
        <v/>
      </c>
      <c r="X344" s="5" t="str">
        <f t="array" ref="X344">IF(NOT(AND(ISBLANK(D344),ISBLANK(C344))),_xludf.XLOOKUP(D344,[1]CODE!$A$4:$A$100,[1]CODE!$E$4:$E$100),"")</f>
        <v/>
      </c>
      <c r="Y344" s="5" t="str">
        <f t="shared" si="40"/>
        <v/>
      </c>
      <c r="Z344" s="5" t="str">
        <f t="shared" si="41"/>
        <v/>
      </c>
      <c r="AA344" s="4">
        <f t="shared" si="42"/>
        <v>0</v>
      </c>
      <c r="AC344" s="2"/>
    </row>
    <row r="345" spans="1:29" ht="15.5">
      <c r="A345" s="13" t="str">
        <f>IF(OR(ISBLANK(C345),ISBLANK(D345),ISBLANK(F345),ISBLANK(G345)),"",COUNTIF($B$5:B345,"JAMBUTU"))</f>
        <v/>
      </c>
      <c r="B345" s="8" t="str">
        <f t="shared" si="37"/>
        <v/>
      </c>
      <c r="C345" s="8"/>
      <c r="D345" s="8"/>
      <c r="E345" s="13"/>
      <c r="F345" s="12"/>
      <c r="G345" s="11"/>
      <c r="H345" s="12"/>
      <c r="I345" s="11"/>
      <c r="J345" s="10">
        <f t="shared" si="36"/>
        <v>0</v>
      </c>
      <c r="K345" s="10">
        <f t="shared" si="38"/>
        <v>0</v>
      </c>
      <c r="L345" s="9" t="str">
        <f t="shared" si="39"/>
        <v/>
      </c>
      <c r="M345" s="8"/>
      <c r="N345" s="8"/>
      <c r="O345" s="8"/>
      <c r="P345" s="8"/>
      <c r="Q345" s="8"/>
      <c r="R345" s="8"/>
      <c r="S345" s="8"/>
      <c r="T345" s="8"/>
      <c r="U345" s="8"/>
      <c r="V345" s="7"/>
      <c r="W345" s="6" t="str">
        <f t="array" ref="W345">IF(NOT(ISBLANK(D345)),_xludf.XLOOKUP(D345,[1]CODE!$A$4:$A$100,[1]CODE!$D$4:$D$100),"")</f>
        <v/>
      </c>
      <c r="X345" s="5" t="str">
        <f t="array" ref="X345">IF(NOT(AND(ISBLANK(D345),ISBLANK(C345))),_xludf.XLOOKUP(D345,[1]CODE!$A$4:$A$100,[1]CODE!$E$4:$E$100),"")</f>
        <v/>
      </c>
      <c r="Y345" s="5" t="str">
        <f t="shared" si="40"/>
        <v/>
      </c>
      <c r="Z345" s="5" t="str">
        <f t="shared" si="41"/>
        <v/>
      </c>
      <c r="AA345" s="4">
        <f t="shared" si="42"/>
        <v>0</v>
      </c>
      <c r="AC345" s="2"/>
    </row>
    <row r="346" spans="1:29" ht="15.5">
      <c r="A346" s="13" t="str">
        <f>IF(OR(ISBLANK(C346),ISBLANK(D346),ISBLANK(F346),ISBLANK(G346)),"",COUNTIF($B$5:B346,"JAMBUTU"))</f>
        <v/>
      </c>
      <c r="B346" s="8" t="str">
        <f t="shared" si="37"/>
        <v/>
      </c>
      <c r="C346" s="8"/>
      <c r="D346" s="8"/>
      <c r="E346" s="13"/>
      <c r="F346" s="12"/>
      <c r="G346" s="11"/>
      <c r="H346" s="12"/>
      <c r="I346" s="11"/>
      <c r="J346" s="10">
        <f t="shared" si="36"/>
        <v>0</v>
      </c>
      <c r="K346" s="10">
        <f t="shared" si="38"/>
        <v>0</v>
      </c>
      <c r="L346" s="9" t="str">
        <f t="shared" si="39"/>
        <v/>
      </c>
      <c r="M346" s="8"/>
      <c r="N346" s="8"/>
      <c r="O346" s="8"/>
      <c r="P346" s="8"/>
      <c r="Q346" s="8"/>
      <c r="R346" s="8"/>
      <c r="S346" s="8"/>
      <c r="T346" s="8"/>
      <c r="U346" s="8"/>
      <c r="V346" s="7"/>
      <c r="W346" s="6" t="str">
        <f t="array" ref="W346">IF(NOT(ISBLANK(D346)),_xludf.XLOOKUP(D346,[1]CODE!$A$4:$A$100,[1]CODE!$D$4:$D$100),"")</f>
        <v/>
      </c>
      <c r="X346" s="5" t="str">
        <f t="array" ref="X346">IF(NOT(AND(ISBLANK(D346),ISBLANK(C346))),_xludf.XLOOKUP(D346,[1]CODE!$A$4:$A$100,[1]CODE!$E$4:$E$100),"")</f>
        <v/>
      </c>
      <c r="Y346" s="5" t="str">
        <f t="shared" si="40"/>
        <v/>
      </c>
      <c r="Z346" s="5" t="str">
        <f t="shared" si="41"/>
        <v/>
      </c>
      <c r="AA346" s="4">
        <f t="shared" si="42"/>
        <v>0</v>
      </c>
      <c r="AC346" s="2"/>
    </row>
    <row r="347" spans="1:29" ht="15.5">
      <c r="A347" s="13" t="str">
        <f>IF(OR(ISBLANK(C347),ISBLANK(D347),ISBLANK(F347),ISBLANK(G347)),"",COUNTIF($B$5:B347,"JAMBUTU"))</f>
        <v/>
      </c>
      <c r="B347" s="8" t="str">
        <f t="shared" si="37"/>
        <v/>
      </c>
      <c r="C347" s="8"/>
      <c r="D347" s="8"/>
      <c r="E347" s="13"/>
      <c r="F347" s="12"/>
      <c r="G347" s="11"/>
      <c r="H347" s="12"/>
      <c r="I347" s="11"/>
      <c r="J347" s="10">
        <f t="shared" si="36"/>
        <v>0</v>
      </c>
      <c r="K347" s="10">
        <f t="shared" si="38"/>
        <v>0</v>
      </c>
      <c r="L347" s="9" t="str">
        <f t="shared" si="39"/>
        <v/>
      </c>
      <c r="M347" s="8"/>
      <c r="N347" s="8"/>
      <c r="O347" s="8"/>
      <c r="P347" s="8"/>
      <c r="Q347" s="8"/>
      <c r="R347" s="8"/>
      <c r="S347" s="8"/>
      <c r="T347" s="8"/>
      <c r="U347" s="8"/>
      <c r="V347" s="7"/>
      <c r="W347" s="6" t="str">
        <f t="array" ref="W347">IF(NOT(ISBLANK(D347)),_xludf.XLOOKUP(D347,[1]CODE!$A$4:$A$100,[1]CODE!$D$4:$D$100),"")</f>
        <v/>
      </c>
      <c r="X347" s="5" t="str">
        <f t="array" ref="X347">IF(NOT(AND(ISBLANK(D347),ISBLANK(C347))),_xludf.XLOOKUP(D347,[1]CODE!$A$4:$A$100,[1]CODE!$E$4:$E$100),"")</f>
        <v/>
      </c>
      <c r="Y347" s="5" t="str">
        <f t="shared" si="40"/>
        <v/>
      </c>
      <c r="Z347" s="5" t="str">
        <f t="shared" si="41"/>
        <v/>
      </c>
      <c r="AA347" s="4">
        <f t="shared" si="42"/>
        <v>0</v>
      </c>
      <c r="AC347" s="2"/>
    </row>
    <row r="348" spans="1:29" ht="15.5">
      <c r="A348" s="13" t="str">
        <f>IF(OR(ISBLANK(C348),ISBLANK(D348),ISBLANK(F348),ISBLANK(G348)),"",COUNTIF($B$5:B348,"JAMBUTU"))</f>
        <v/>
      </c>
      <c r="B348" s="8" t="str">
        <f t="shared" si="37"/>
        <v/>
      </c>
      <c r="C348" s="8"/>
      <c r="D348" s="8"/>
      <c r="E348" s="13"/>
      <c r="F348" s="12"/>
      <c r="G348" s="11"/>
      <c r="H348" s="12"/>
      <c r="I348" s="11"/>
      <c r="J348" s="10">
        <f t="shared" si="36"/>
        <v>0</v>
      </c>
      <c r="K348" s="10">
        <f t="shared" si="38"/>
        <v>0</v>
      </c>
      <c r="L348" s="9" t="str">
        <f t="shared" si="39"/>
        <v/>
      </c>
      <c r="M348" s="8"/>
      <c r="N348" s="8"/>
      <c r="O348" s="8"/>
      <c r="P348" s="8"/>
      <c r="Q348" s="8"/>
      <c r="R348" s="8"/>
      <c r="S348" s="8"/>
      <c r="T348" s="8"/>
      <c r="U348" s="8"/>
      <c r="V348" s="7"/>
      <c r="W348" s="6" t="str">
        <f t="array" ref="W348">IF(NOT(ISBLANK(D348)),_xludf.XLOOKUP(D348,[1]CODE!$A$4:$A$100,[1]CODE!$D$4:$D$100),"")</f>
        <v/>
      </c>
      <c r="X348" s="5" t="str">
        <f t="array" ref="X348">IF(NOT(AND(ISBLANK(D348),ISBLANK(C348))),_xludf.XLOOKUP(D348,[1]CODE!$A$4:$A$100,[1]CODE!$E$4:$E$100),"")</f>
        <v/>
      </c>
      <c r="Y348" s="5" t="str">
        <f t="shared" si="40"/>
        <v/>
      </c>
      <c r="Z348" s="5" t="str">
        <f t="shared" si="41"/>
        <v/>
      </c>
      <c r="AA348" s="4">
        <f t="shared" si="42"/>
        <v>0</v>
      </c>
      <c r="AC348" s="2"/>
    </row>
    <row r="349" spans="1:29" ht="15.5">
      <c r="A349" s="13" t="str">
        <f>IF(OR(ISBLANK(C349),ISBLANK(D349),ISBLANK(F349),ISBLANK(G349)),"",COUNTIF($B$5:B349,"JAMBUTU"))</f>
        <v/>
      </c>
      <c r="B349" s="8" t="str">
        <f t="shared" si="37"/>
        <v/>
      </c>
      <c r="C349" s="8"/>
      <c r="D349" s="8"/>
      <c r="E349" s="13"/>
      <c r="F349" s="12"/>
      <c r="G349" s="11"/>
      <c r="H349" s="12"/>
      <c r="I349" s="11"/>
      <c r="J349" s="10">
        <f t="shared" ref="J349:J412" si="43">DATE(YEAR(F349),MONTH(F349),DAY(F349))+TIME(HOUR(G349),MINUTE(G349), SECOND(G349))</f>
        <v>0</v>
      </c>
      <c r="K349" s="10">
        <f t="shared" si="38"/>
        <v>0</v>
      </c>
      <c r="L349" s="9" t="str">
        <f t="shared" si="39"/>
        <v/>
      </c>
      <c r="M349" s="8"/>
      <c r="N349" s="8"/>
      <c r="O349" s="8"/>
      <c r="P349" s="8"/>
      <c r="Q349" s="8"/>
      <c r="R349" s="8"/>
      <c r="S349" s="8"/>
      <c r="T349" s="8"/>
      <c r="U349" s="8"/>
      <c r="V349" s="7"/>
      <c r="W349" s="6" t="str">
        <f t="array" ref="W349">IF(NOT(ISBLANK(D349)),_xludf.XLOOKUP(D349,[1]CODE!$A$4:$A$100,[1]CODE!$D$4:$D$100),"")</f>
        <v/>
      </c>
      <c r="X349" s="5" t="str">
        <f t="array" ref="X349">IF(NOT(AND(ISBLANK(D349),ISBLANK(C349))),_xludf.XLOOKUP(D349,[1]CODE!$A$4:$A$100,[1]CODE!$E$4:$E$100),"")</f>
        <v/>
      </c>
      <c r="Y349" s="5" t="str">
        <f t="shared" si="40"/>
        <v/>
      </c>
      <c r="Z349" s="5" t="str">
        <f t="shared" si="41"/>
        <v/>
      </c>
      <c r="AA349" s="4">
        <f t="shared" si="42"/>
        <v>0</v>
      </c>
      <c r="AC349" s="2"/>
    </row>
    <row r="350" spans="1:29" ht="15.5">
      <c r="A350" s="13" t="str">
        <f>IF(OR(ISBLANK(C350),ISBLANK(D350),ISBLANK(F350),ISBLANK(G350)),"",COUNTIF($B$5:B350,"JAMBUTU"))</f>
        <v/>
      </c>
      <c r="B350" s="8" t="str">
        <f t="shared" si="37"/>
        <v/>
      </c>
      <c r="C350" s="8"/>
      <c r="D350" s="8"/>
      <c r="E350" s="13"/>
      <c r="F350" s="12"/>
      <c r="G350" s="11"/>
      <c r="H350" s="12"/>
      <c r="I350" s="11"/>
      <c r="J350" s="10">
        <f t="shared" si="43"/>
        <v>0</v>
      </c>
      <c r="K350" s="10">
        <f t="shared" si="38"/>
        <v>0</v>
      </c>
      <c r="L350" s="9" t="str">
        <f t="shared" si="39"/>
        <v/>
      </c>
      <c r="M350" s="8"/>
      <c r="N350" s="8"/>
      <c r="O350" s="8"/>
      <c r="P350" s="8"/>
      <c r="Q350" s="8"/>
      <c r="R350" s="8"/>
      <c r="S350" s="8"/>
      <c r="T350" s="8"/>
      <c r="U350" s="8"/>
      <c r="V350" s="7"/>
      <c r="W350" s="6" t="str">
        <f t="array" ref="W350">IF(NOT(ISBLANK(D350)),_xludf.XLOOKUP(D350,[1]CODE!$A$4:$A$100,[1]CODE!$D$4:$D$100),"")</f>
        <v/>
      </c>
      <c r="X350" s="5" t="str">
        <f t="array" ref="X350">IF(NOT(AND(ISBLANK(D350),ISBLANK(C350))),_xludf.XLOOKUP(D350,[1]CODE!$A$4:$A$100,[1]CODE!$E$4:$E$100),"")</f>
        <v/>
      </c>
      <c r="Y350" s="5" t="str">
        <f t="shared" si="40"/>
        <v/>
      </c>
      <c r="Z350" s="5" t="str">
        <f t="shared" si="41"/>
        <v/>
      </c>
      <c r="AA350" s="4">
        <f t="shared" si="42"/>
        <v>0</v>
      </c>
      <c r="AC350" s="2"/>
    </row>
    <row r="351" spans="1:29" ht="15.5">
      <c r="A351" s="13" t="str">
        <f>IF(OR(ISBLANK(C351),ISBLANK(D351),ISBLANK(F351),ISBLANK(G351)),"",COUNTIF($B$5:B351,"JAMBUTU"))</f>
        <v/>
      </c>
      <c r="B351" s="8" t="str">
        <f t="shared" si="37"/>
        <v/>
      </c>
      <c r="C351" s="8"/>
      <c r="D351" s="8"/>
      <c r="E351" s="13"/>
      <c r="F351" s="12"/>
      <c r="G351" s="11"/>
      <c r="H351" s="12"/>
      <c r="I351" s="11"/>
      <c r="J351" s="10">
        <f t="shared" si="43"/>
        <v>0</v>
      </c>
      <c r="K351" s="10">
        <f t="shared" si="38"/>
        <v>0</v>
      </c>
      <c r="L351" s="9" t="str">
        <f t="shared" si="39"/>
        <v/>
      </c>
      <c r="M351" s="8"/>
      <c r="N351" s="8"/>
      <c r="O351" s="8"/>
      <c r="P351" s="8"/>
      <c r="Q351" s="8"/>
      <c r="R351" s="8"/>
      <c r="S351" s="8"/>
      <c r="T351" s="8"/>
      <c r="U351" s="8"/>
      <c r="V351" s="7"/>
      <c r="W351" s="6" t="str">
        <f t="array" ref="W351">IF(NOT(ISBLANK(D351)),_xludf.XLOOKUP(D351,[1]CODE!$A$4:$A$100,[1]CODE!$D$4:$D$100),"")</f>
        <v/>
      </c>
      <c r="X351" s="5" t="str">
        <f t="array" ref="X351">IF(NOT(AND(ISBLANK(D351),ISBLANK(C351))),_xludf.XLOOKUP(D351,[1]CODE!$A$4:$A$100,[1]CODE!$E$4:$E$100),"")</f>
        <v/>
      </c>
      <c r="Y351" s="5" t="str">
        <f t="shared" si="40"/>
        <v/>
      </c>
      <c r="Z351" s="5" t="str">
        <f t="shared" si="41"/>
        <v/>
      </c>
      <c r="AA351" s="4">
        <f t="shared" si="42"/>
        <v>0</v>
      </c>
      <c r="AC351" s="2"/>
    </row>
    <row r="352" spans="1:29" ht="15.5">
      <c r="A352" s="13" t="str">
        <f>IF(OR(ISBLANK(C352),ISBLANK(D352),ISBLANK(F352),ISBLANK(G352)),"",COUNTIF($B$5:B352,"JAMBUTU"))</f>
        <v/>
      </c>
      <c r="B352" s="8" t="str">
        <f t="shared" si="37"/>
        <v/>
      </c>
      <c r="C352" s="8"/>
      <c r="D352" s="8"/>
      <c r="E352" s="13"/>
      <c r="F352" s="12"/>
      <c r="G352" s="11"/>
      <c r="H352" s="12"/>
      <c r="I352" s="11"/>
      <c r="J352" s="10">
        <f t="shared" si="43"/>
        <v>0</v>
      </c>
      <c r="K352" s="10">
        <f t="shared" si="38"/>
        <v>0</v>
      </c>
      <c r="L352" s="9" t="str">
        <f t="shared" si="39"/>
        <v/>
      </c>
      <c r="M352" s="8"/>
      <c r="N352" s="8"/>
      <c r="O352" s="8"/>
      <c r="P352" s="8"/>
      <c r="Q352" s="8"/>
      <c r="R352" s="8"/>
      <c r="S352" s="8"/>
      <c r="T352" s="8"/>
      <c r="U352" s="8"/>
      <c r="V352" s="7"/>
      <c r="W352" s="6" t="str">
        <f t="array" ref="W352">IF(NOT(ISBLANK(D352)),_xludf.XLOOKUP(D352,[1]CODE!$A$4:$A$100,[1]CODE!$D$4:$D$100),"")</f>
        <v/>
      </c>
      <c r="X352" s="5" t="str">
        <f t="array" ref="X352">IF(NOT(AND(ISBLANK(D352),ISBLANK(C352))),_xludf.XLOOKUP(D352,[1]CODE!$A$4:$A$100,[1]CODE!$E$4:$E$100),"")</f>
        <v/>
      </c>
      <c r="Y352" s="5" t="str">
        <f t="shared" si="40"/>
        <v/>
      </c>
      <c r="Z352" s="5" t="str">
        <f t="shared" si="41"/>
        <v/>
      </c>
      <c r="AA352" s="4">
        <f t="shared" si="42"/>
        <v>0</v>
      </c>
      <c r="AC352" s="2"/>
    </row>
    <row r="353" spans="1:29" ht="15.5">
      <c r="A353" s="13" t="str">
        <f>IF(OR(ISBLANK(C353),ISBLANK(D353),ISBLANK(F353),ISBLANK(G353)),"",COUNTIF($B$5:B353,"JAMBUTU"))</f>
        <v/>
      </c>
      <c r="B353" s="8" t="str">
        <f t="shared" si="37"/>
        <v/>
      </c>
      <c r="C353" s="8"/>
      <c r="D353" s="8"/>
      <c r="E353" s="13"/>
      <c r="F353" s="12"/>
      <c r="G353" s="11"/>
      <c r="H353" s="12"/>
      <c r="I353" s="11"/>
      <c r="J353" s="10">
        <f t="shared" si="43"/>
        <v>0</v>
      </c>
      <c r="K353" s="10">
        <f t="shared" si="38"/>
        <v>0</v>
      </c>
      <c r="L353" s="9" t="str">
        <f t="shared" si="39"/>
        <v/>
      </c>
      <c r="M353" s="8"/>
      <c r="N353" s="8"/>
      <c r="O353" s="8"/>
      <c r="P353" s="8"/>
      <c r="Q353" s="8"/>
      <c r="R353" s="8"/>
      <c r="S353" s="8"/>
      <c r="T353" s="8"/>
      <c r="U353" s="8"/>
      <c r="V353" s="7"/>
      <c r="W353" s="6" t="str">
        <f t="array" ref="W353">IF(NOT(ISBLANK(D353)),_xludf.XLOOKUP(D353,[1]CODE!$A$4:$A$100,[1]CODE!$D$4:$D$100),"")</f>
        <v/>
      </c>
      <c r="X353" s="5" t="str">
        <f t="array" ref="X353">IF(NOT(AND(ISBLANK(D353),ISBLANK(C353))),_xludf.XLOOKUP(D353,[1]CODE!$A$4:$A$100,[1]CODE!$E$4:$E$100),"")</f>
        <v/>
      </c>
      <c r="Y353" s="5" t="str">
        <f t="shared" si="40"/>
        <v/>
      </c>
      <c r="Z353" s="5" t="str">
        <f t="shared" si="41"/>
        <v/>
      </c>
      <c r="AA353" s="4">
        <f t="shared" si="42"/>
        <v>0</v>
      </c>
      <c r="AC353" s="2"/>
    </row>
    <row r="354" spans="1:29" ht="15.5">
      <c r="A354" s="13" t="str">
        <f>IF(OR(ISBLANK(C354),ISBLANK(D354),ISBLANK(F354),ISBLANK(G354)),"",COUNTIF($B$5:B354,"JAMBUTU"))</f>
        <v/>
      </c>
      <c r="B354" s="8" t="str">
        <f t="shared" si="37"/>
        <v/>
      </c>
      <c r="C354" s="8"/>
      <c r="D354" s="8"/>
      <c r="E354" s="13"/>
      <c r="F354" s="12"/>
      <c r="G354" s="11"/>
      <c r="H354" s="12"/>
      <c r="I354" s="11"/>
      <c r="J354" s="10">
        <f t="shared" si="43"/>
        <v>0</v>
      </c>
      <c r="K354" s="10">
        <f t="shared" si="38"/>
        <v>0</v>
      </c>
      <c r="L354" s="9" t="str">
        <f t="shared" si="39"/>
        <v/>
      </c>
      <c r="M354" s="8"/>
      <c r="N354" s="8"/>
      <c r="O354" s="8"/>
      <c r="P354" s="8"/>
      <c r="Q354" s="8"/>
      <c r="R354" s="8"/>
      <c r="S354" s="8"/>
      <c r="T354" s="8"/>
      <c r="U354" s="8"/>
      <c r="V354" s="7"/>
      <c r="W354" s="6" t="str">
        <f t="array" ref="W354">IF(NOT(ISBLANK(D354)),_xludf.XLOOKUP(D354,[1]CODE!$A$4:$A$100,[1]CODE!$D$4:$D$100),"")</f>
        <v/>
      </c>
      <c r="X354" s="5" t="str">
        <f t="array" ref="X354">IF(NOT(AND(ISBLANK(D354),ISBLANK(C354))),_xludf.XLOOKUP(D354,[1]CODE!$A$4:$A$100,[1]CODE!$E$4:$E$100),"")</f>
        <v/>
      </c>
      <c r="Y354" s="5" t="str">
        <f t="shared" si="40"/>
        <v/>
      </c>
      <c r="Z354" s="5" t="str">
        <f t="shared" si="41"/>
        <v/>
      </c>
      <c r="AA354" s="4">
        <f t="shared" si="42"/>
        <v>0</v>
      </c>
      <c r="AC354" s="2"/>
    </row>
    <row r="355" spans="1:29" ht="15.5">
      <c r="A355" s="13" t="str">
        <f>IF(OR(ISBLANK(C355),ISBLANK(D355),ISBLANK(F355),ISBLANK(G355)),"",COUNTIF($B$5:B355,"JAMBUTU"))</f>
        <v/>
      </c>
      <c r="B355" s="8" t="str">
        <f t="shared" si="37"/>
        <v/>
      </c>
      <c r="C355" s="8"/>
      <c r="D355" s="8"/>
      <c r="E355" s="13"/>
      <c r="F355" s="12"/>
      <c r="G355" s="11"/>
      <c r="H355" s="12"/>
      <c r="I355" s="11"/>
      <c r="J355" s="10">
        <f t="shared" si="43"/>
        <v>0</v>
      </c>
      <c r="K355" s="10">
        <f t="shared" si="38"/>
        <v>0</v>
      </c>
      <c r="L355" s="9" t="str">
        <f t="shared" si="39"/>
        <v/>
      </c>
      <c r="M355" s="8"/>
      <c r="N355" s="8"/>
      <c r="O355" s="8"/>
      <c r="P355" s="8"/>
      <c r="Q355" s="8"/>
      <c r="R355" s="8"/>
      <c r="S355" s="8"/>
      <c r="T355" s="8"/>
      <c r="U355" s="8"/>
      <c r="V355" s="7"/>
      <c r="W355" s="6" t="str">
        <f t="array" ref="W355">IF(NOT(ISBLANK(D355)),_xludf.XLOOKUP(D355,[1]CODE!$A$4:$A$100,[1]CODE!$D$4:$D$100),"")</f>
        <v/>
      </c>
      <c r="X355" s="5" t="str">
        <f t="array" ref="X355">IF(NOT(AND(ISBLANK(D355),ISBLANK(C355))),_xludf.XLOOKUP(D355,[1]CODE!$A$4:$A$100,[1]CODE!$E$4:$E$100),"")</f>
        <v/>
      </c>
      <c r="Y355" s="5" t="str">
        <f t="shared" si="40"/>
        <v/>
      </c>
      <c r="Z355" s="5" t="str">
        <f t="shared" si="41"/>
        <v/>
      </c>
      <c r="AA355" s="4">
        <f t="shared" si="42"/>
        <v>0</v>
      </c>
      <c r="AC355" s="2"/>
    </row>
    <row r="356" spans="1:29" ht="15.5">
      <c r="A356" s="13" t="str">
        <f>IF(OR(ISBLANK(C356),ISBLANK(D356),ISBLANK(F356),ISBLANK(G356)),"",COUNTIF($B$5:B356,"JAMBUTU"))</f>
        <v/>
      </c>
      <c r="B356" s="8" t="str">
        <f t="shared" si="37"/>
        <v/>
      </c>
      <c r="C356" s="8"/>
      <c r="D356" s="8"/>
      <c r="E356" s="13"/>
      <c r="F356" s="12"/>
      <c r="G356" s="11"/>
      <c r="H356" s="12"/>
      <c r="I356" s="11"/>
      <c r="J356" s="10">
        <f t="shared" si="43"/>
        <v>0</v>
      </c>
      <c r="K356" s="10">
        <f t="shared" si="38"/>
        <v>0</v>
      </c>
      <c r="L356" s="9" t="str">
        <f t="shared" si="39"/>
        <v/>
      </c>
      <c r="M356" s="8"/>
      <c r="N356" s="8"/>
      <c r="O356" s="8"/>
      <c r="P356" s="8"/>
      <c r="Q356" s="8"/>
      <c r="R356" s="8"/>
      <c r="S356" s="8"/>
      <c r="T356" s="8"/>
      <c r="U356" s="8"/>
      <c r="V356" s="7"/>
      <c r="W356" s="6" t="str">
        <f t="array" ref="W356">IF(NOT(ISBLANK(D356)),_xludf.XLOOKUP(D356,[1]CODE!$A$4:$A$100,[1]CODE!$D$4:$D$100),"")</f>
        <v/>
      </c>
      <c r="X356" s="5" t="str">
        <f t="array" ref="X356">IF(NOT(AND(ISBLANK(D356),ISBLANK(C356))),_xludf.XLOOKUP(D356,[1]CODE!$A$4:$A$100,[1]CODE!$E$4:$E$100),"")</f>
        <v/>
      </c>
      <c r="Y356" s="5" t="str">
        <f t="shared" si="40"/>
        <v/>
      </c>
      <c r="Z356" s="5" t="str">
        <f t="shared" si="41"/>
        <v/>
      </c>
      <c r="AA356" s="4">
        <f t="shared" si="42"/>
        <v>0</v>
      </c>
      <c r="AC356" s="2"/>
    </row>
    <row r="357" spans="1:29" ht="15.5">
      <c r="A357" s="13" t="str">
        <f>IF(OR(ISBLANK(C357),ISBLANK(D357),ISBLANK(F357),ISBLANK(G357)),"",COUNTIF($B$5:B357,"JAMBUTU"))</f>
        <v/>
      </c>
      <c r="B357" s="8" t="str">
        <f t="shared" ref="B357:B420" si="44">IF(C357&lt;&gt;"","Jambutu","")</f>
        <v/>
      </c>
      <c r="C357" s="8"/>
      <c r="D357" s="8"/>
      <c r="E357" s="13"/>
      <c r="F357" s="12"/>
      <c r="G357" s="11"/>
      <c r="H357" s="12"/>
      <c r="I357" s="11"/>
      <c r="J357" s="10">
        <f t="shared" si="43"/>
        <v>0</v>
      </c>
      <c r="K357" s="10">
        <f t="shared" si="38"/>
        <v>0</v>
      </c>
      <c r="L357" s="9" t="str">
        <f t="shared" si="39"/>
        <v/>
      </c>
      <c r="M357" s="8"/>
      <c r="N357" s="8"/>
      <c r="O357" s="8"/>
      <c r="P357" s="8"/>
      <c r="Q357" s="8"/>
      <c r="R357" s="8"/>
      <c r="S357" s="8"/>
      <c r="T357" s="8"/>
      <c r="U357" s="8"/>
      <c r="V357" s="7"/>
      <c r="W357" s="6" t="str">
        <f t="array" ref="W357">IF(NOT(ISBLANK(D357)),_xludf.XLOOKUP(D357,[1]CODE!$A$4:$A$100,[1]CODE!$D$4:$D$100),"")</f>
        <v/>
      </c>
      <c r="X357" s="5" t="str">
        <f t="array" ref="X357">IF(NOT(AND(ISBLANK(D357),ISBLANK(C357))),_xludf.XLOOKUP(D357,[1]CODE!$A$4:$A$100,[1]CODE!$E$4:$E$100),"")</f>
        <v/>
      </c>
      <c r="Y357" s="5" t="str">
        <f t="shared" si="40"/>
        <v/>
      </c>
      <c r="Z357" s="5" t="str">
        <f t="shared" si="41"/>
        <v/>
      </c>
      <c r="AA357" s="4">
        <f t="shared" si="42"/>
        <v>0</v>
      </c>
      <c r="AC357" s="2"/>
    </row>
    <row r="358" spans="1:29" ht="15.5">
      <c r="A358" s="13" t="str">
        <f>IF(OR(ISBLANK(C358),ISBLANK(D358),ISBLANK(F358),ISBLANK(G358)),"",COUNTIF($B$5:B358,"JAMBUTU"))</f>
        <v/>
      </c>
      <c r="B358" s="8" t="str">
        <f t="shared" si="44"/>
        <v/>
      </c>
      <c r="C358" s="8"/>
      <c r="D358" s="8"/>
      <c r="E358" s="13"/>
      <c r="F358" s="12"/>
      <c r="G358" s="11"/>
      <c r="H358" s="12"/>
      <c r="I358" s="11"/>
      <c r="J358" s="10">
        <f t="shared" si="43"/>
        <v>0</v>
      </c>
      <c r="K358" s="10">
        <f t="shared" si="38"/>
        <v>0</v>
      </c>
      <c r="L358" s="9" t="str">
        <f t="shared" si="39"/>
        <v/>
      </c>
      <c r="M358" s="8"/>
      <c r="N358" s="8"/>
      <c r="O358" s="8"/>
      <c r="P358" s="8"/>
      <c r="Q358" s="8"/>
      <c r="R358" s="8"/>
      <c r="S358" s="8"/>
      <c r="T358" s="8"/>
      <c r="U358" s="8"/>
      <c r="V358" s="7"/>
      <c r="W358" s="6" t="str">
        <f t="array" ref="W358">IF(NOT(ISBLANK(D358)),_xludf.XLOOKUP(D358,[1]CODE!$A$4:$A$100,[1]CODE!$D$4:$D$100),"")</f>
        <v/>
      </c>
      <c r="X358" s="5" t="str">
        <f t="array" ref="X358">IF(NOT(AND(ISBLANK(D358),ISBLANK(C358))),_xludf.XLOOKUP(D358,[1]CODE!$A$4:$A$100,[1]CODE!$E$4:$E$100),"")</f>
        <v/>
      </c>
      <c r="Y358" s="5" t="str">
        <f t="shared" si="40"/>
        <v/>
      </c>
      <c r="Z358" s="5" t="str">
        <f t="shared" si="41"/>
        <v/>
      </c>
      <c r="AA358" s="4">
        <f t="shared" si="42"/>
        <v>0</v>
      </c>
      <c r="AC358" s="2"/>
    </row>
    <row r="359" spans="1:29" ht="15.5">
      <c r="A359" s="13" t="str">
        <f>IF(OR(ISBLANK(C359),ISBLANK(D359),ISBLANK(F359),ISBLANK(G359)),"",COUNTIF($B$5:B359,"JAMBUTU"))</f>
        <v/>
      </c>
      <c r="B359" s="8" t="str">
        <f t="shared" si="44"/>
        <v/>
      </c>
      <c r="C359" s="8"/>
      <c r="D359" s="8"/>
      <c r="E359" s="13"/>
      <c r="F359" s="12"/>
      <c r="G359" s="11"/>
      <c r="H359" s="12"/>
      <c r="I359" s="11"/>
      <c r="J359" s="10">
        <f t="shared" si="43"/>
        <v>0</v>
      </c>
      <c r="K359" s="10">
        <f t="shared" si="38"/>
        <v>0</v>
      </c>
      <c r="L359" s="9" t="str">
        <f t="shared" si="39"/>
        <v/>
      </c>
      <c r="M359" s="8"/>
      <c r="N359" s="8"/>
      <c r="O359" s="8"/>
      <c r="P359" s="8"/>
      <c r="Q359" s="8"/>
      <c r="R359" s="8"/>
      <c r="S359" s="8"/>
      <c r="T359" s="8"/>
      <c r="U359" s="8"/>
      <c r="V359" s="7"/>
      <c r="W359" s="6" t="str">
        <f t="array" ref="W359">IF(NOT(ISBLANK(D359)),_xludf.XLOOKUP(D359,[1]CODE!$A$4:$A$100,[1]CODE!$D$4:$D$100),"")</f>
        <v/>
      </c>
      <c r="X359" s="5" t="str">
        <f t="array" ref="X359">IF(NOT(AND(ISBLANK(D359),ISBLANK(C359))),_xludf.XLOOKUP(D359,[1]CODE!$A$4:$A$100,[1]CODE!$E$4:$E$100),"")</f>
        <v/>
      </c>
      <c r="Y359" s="5" t="str">
        <f t="shared" si="40"/>
        <v/>
      </c>
      <c r="Z359" s="5" t="str">
        <f t="shared" si="41"/>
        <v/>
      </c>
      <c r="AA359" s="4">
        <f t="shared" si="42"/>
        <v>0</v>
      </c>
      <c r="AC359" s="2"/>
    </row>
    <row r="360" spans="1:29" ht="15.5">
      <c r="A360" s="13" t="str">
        <f>IF(OR(ISBLANK(C360),ISBLANK(D360),ISBLANK(F360),ISBLANK(G360)),"",COUNTIF($B$5:B360,"JAMBUTU"))</f>
        <v/>
      </c>
      <c r="B360" s="8" t="str">
        <f t="shared" si="44"/>
        <v/>
      </c>
      <c r="C360" s="8"/>
      <c r="D360" s="8"/>
      <c r="E360" s="13"/>
      <c r="F360" s="12"/>
      <c r="G360" s="11"/>
      <c r="H360" s="12"/>
      <c r="I360" s="11"/>
      <c r="J360" s="10">
        <f t="shared" si="43"/>
        <v>0</v>
      </c>
      <c r="K360" s="10">
        <f t="shared" si="38"/>
        <v>0</v>
      </c>
      <c r="L360" s="9" t="str">
        <f t="shared" si="39"/>
        <v/>
      </c>
      <c r="M360" s="8"/>
      <c r="N360" s="8"/>
      <c r="O360" s="8"/>
      <c r="P360" s="8"/>
      <c r="Q360" s="8"/>
      <c r="R360" s="8"/>
      <c r="S360" s="8"/>
      <c r="T360" s="8"/>
      <c r="U360" s="8"/>
      <c r="V360" s="7"/>
      <c r="W360" s="6" t="str">
        <f t="array" ref="W360">IF(NOT(ISBLANK(D360)),_xludf.XLOOKUP(D360,[1]CODE!$A$4:$A$100,[1]CODE!$D$4:$D$100),"")</f>
        <v/>
      </c>
      <c r="X360" s="5" t="str">
        <f t="array" ref="X360">IF(NOT(AND(ISBLANK(D360),ISBLANK(C360))),_xludf.XLOOKUP(D360,[1]CODE!$A$4:$A$100,[1]CODE!$E$4:$E$100),"")</f>
        <v/>
      </c>
      <c r="Y360" s="5" t="str">
        <f t="shared" si="40"/>
        <v/>
      </c>
      <c r="Z360" s="5" t="str">
        <f t="shared" si="41"/>
        <v/>
      </c>
      <c r="AA360" s="4">
        <f t="shared" si="42"/>
        <v>0</v>
      </c>
      <c r="AC360" s="2"/>
    </row>
    <row r="361" spans="1:29" ht="15.5">
      <c r="A361" s="13" t="str">
        <f>IF(OR(ISBLANK(C361),ISBLANK(D361),ISBLANK(F361),ISBLANK(G361)),"",COUNTIF($B$5:B361,"JAMBUTU"))</f>
        <v/>
      </c>
      <c r="B361" s="8" t="str">
        <f t="shared" si="44"/>
        <v/>
      </c>
      <c r="C361" s="8"/>
      <c r="D361" s="8"/>
      <c r="E361" s="13"/>
      <c r="F361" s="12"/>
      <c r="G361" s="11"/>
      <c r="H361" s="12"/>
      <c r="I361" s="11"/>
      <c r="J361" s="10">
        <f t="shared" si="43"/>
        <v>0</v>
      </c>
      <c r="K361" s="10">
        <f t="shared" si="38"/>
        <v>0</v>
      </c>
      <c r="L361" s="9" t="str">
        <f t="shared" si="39"/>
        <v/>
      </c>
      <c r="M361" s="8"/>
      <c r="N361" s="8"/>
      <c r="O361" s="8"/>
      <c r="P361" s="8"/>
      <c r="Q361" s="8"/>
      <c r="R361" s="8"/>
      <c r="S361" s="8"/>
      <c r="T361" s="8"/>
      <c r="U361" s="8"/>
      <c r="V361" s="7"/>
      <c r="W361" s="6" t="str">
        <f t="array" ref="W361">IF(NOT(ISBLANK(D361)),_xludf.XLOOKUP(D361,[1]CODE!$A$4:$A$100,[1]CODE!$D$4:$D$100),"")</f>
        <v/>
      </c>
      <c r="X361" s="5" t="str">
        <f t="array" ref="X361">IF(NOT(AND(ISBLANK(D361),ISBLANK(C361))),_xludf.XLOOKUP(D361,[1]CODE!$A$4:$A$100,[1]CODE!$E$4:$E$100),"")</f>
        <v/>
      </c>
      <c r="Y361" s="5" t="str">
        <f t="shared" si="40"/>
        <v/>
      </c>
      <c r="Z361" s="5" t="str">
        <f t="shared" si="41"/>
        <v/>
      </c>
      <c r="AA361" s="4">
        <f t="shared" si="42"/>
        <v>0</v>
      </c>
      <c r="AC361" s="2"/>
    </row>
    <row r="362" spans="1:29" ht="15.5">
      <c r="A362" s="13" t="str">
        <f>IF(OR(ISBLANK(C362),ISBLANK(D362),ISBLANK(F362),ISBLANK(G362)),"",COUNTIF($B$5:B362,"JAMBUTU"))</f>
        <v/>
      </c>
      <c r="B362" s="8" t="str">
        <f t="shared" si="44"/>
        <v/>
      </c>
      <c r="C362" s="8"/>
      <c r="D362" s="8"/>
      <c r="E362" s="13"/>
      <c r="F362" s="12"/>
      <c r="G362" s="11"/>
      <c r="H362" s="12"/>
      <c r="I362" s="11"/>
      <c r="J362" s="10">
        <f t="shared" si="43"/>
        <v>0</v>
      </c>
      <c r="K362" s="10">
        <f t="shared" si="38"/>
        <v>0</v>
      </c>
      <c r="L362" s="9" t="str">
        <f t="shared" si="39"/>
        <v/>
      </c>
      <c r="M362" s="8"/>
      <c r="N362" s="8"/>
      <c r="O362" s="8"/>
      <c r="P362" s="8"/>
      <c r="Q362" s="8"/>
      <c r="R362" s="8"/>
      <c r="S362" s="8"/>
      <c r="T362" s="8"/>
      <c r="U362" s="8"/>
      <c r="V362" s="7"/>
      <c r="W362" s="6" t="str">
        <f t="array" ref="W362">IF(NOT(ISBLANK(D362)),_xludf.XLOOKUP(D362,[1]CODE!$A$4:$A$100,[1]CODE!$D$4:$D$100),"")</f>
        <v/>
      </c>
      <c r="X362" s="5" t="str">
        <f t="array" ref="X362">IF(NOT(AND(ISBLANK(D362),ISBLANK(C362))),_xludf.XLOOKUP(D362,[1]CODE!$A$4:$A$100,[1]CODE!$E$4:$E$100),"")</f>
        <v/>
      </c>
      <c r="Y362" s="5" t="str">
        <f t="shared" si="40"/>
        <v/>
      </c>
      <c r="Z362" s="5" t="str">
        <f t="shared" si="41"/>
        <v/>
      </c>
      <c r="AA362" s="4">
        <f t="shared" si="42"/>
        <v>0</v>
      </c>
      <c r="AC362" s="2"/>
    </row>
    <row r="363" spans="1:29" ht="15.5">
      <c r="A363" s="13" t="str">
        <f>IF(OR(ISBLANK(C363),ISBLANK(D363),ISBLANK(F363),ISBLANK(G363)),"",COUNTIF($B$5:B363,"JAMBUTU"))</f>
        <v/>
      </c>
      <c r="B363" s="8" t="str">
        <f t="shared" si="44"/>
        <v/>
      </c>
      <c r="C363" s="8"/>
      <c r="D363" s="8"/>
      <c r="E363" s="13"/>
      <c r="F363" s="12"/>
      <c r="G363" s="11"/>
      <c r="H363" s="12"/>
      <c r="I363" s="11"/>
      <c r="J363" s="10">
        <f t="shared" si="43"/>
        <v>0</v>
      </c>
      <c r="K363" s="10">
        <f t="shared" si="38"/>
        <v>0</v>
      </c>
      <c r="L363" s="9" t="str">
        <f t="shared" si="39"/>
        <v/>
      </c>
      <c r="M363" s="8"/>
      <c r="N363" s="8"/>
      <c r="O363" s="8"/>
      <c r="P363" s="8"/>
      <c r="Q363" s="8"/>
      <c r="R363" s="8"/>
      <c r="S363" s="8"/>
      <c r="T363" s="8"/>
      <c r="U363" s="8"/>
      <c r="V363" s="7"/>
      <c r="W363" s="6" t="str">
        <f t="array" ref="W363">IF(NOT(ISBLANK(D363)),_xludf.XLOOKUP(D363,[1]CODE!$A$4:$A$100,[1]CODE!$D$4:$D$100),"")</f>
        <v/>
      </c>
      <c r="X363" s="5" t="str">
        <f t="array" ref="X363">IF(NOT(AND(ISBLANK(D363),ISBLANK(C363))),_xludf.XLOOKUP(D363,[1]CODE!$A$4:$A$100,[1]CODE!$E$4:$E$100),"")</f>
        <v/>
      </c>
      <c r="Y363" s="5" t="str">
        <f t="shared" si="40"/>
        <v/>
      </c>
      <c r="Z363" s="5" t="str">
        <f t="shared" si="41"/>
        <v/>
      </c>
      <c r="AA363" s="4">
        <f t="shared" si="42"/>
        <v>0</v>
      </c>
      <c r="AC363" s="2"/>
    </row>
    <row r="364" spans="1:29" ht="15.5">
      <c r="A364" s="13" t="str">
        <f>IF(OR(ISBLANK(C364),ISBLANK(D364),ISBLANK(F364),ISBLANK(G364)),"",COUNTIF($B$5:B364,"JAMBUTU"))</f>
        <v/>
      </c>
      <c r="B364" s="8" t="str">
        <f t="shared" si="44"/>
        <v/>
      </c>
      <c r="C364" s="8"/>
      <c r="D364" s="8"/>
      <c r="E364" s="13"/>
      <c r="F364" s="12"/>
      <c r="G364" s="11"/>
      <c r="H364" s="12"/>
      <c r="I364" s="11"/>
      <c r="J364" s="10">
        <f t="shared" si="43"/>
        <v>0</v>
      </c>
      <c r="K364" s="10">
        <f t="shared" si="38"/>
        <v>0</v>
      </c>
      <c r="L364" s="9" t="str">
        <f t="shared" si="39"/>
        <v/>
      </c>
      <c r="M364" s="8"/>
      <c r="N364" s="8"/>
      <c r="O364" s="8"/>
      <c r="P364" s="8"/>
      <c r="Q364" s="8"/>
      <c r="R364" s="8"/>
      <c r="S364" s="8"/>
      <c r="T364" s="8"/>
      <c r="U364" s="8"/>
      <c r="V364" s="7"/>
      <c r="W364" s="6" t="str">
        <f t="array" ref="W364">IF(NOT(ISBLANK(D364)),_xludf.XLOOKUP(D364,[1]CODE!$A$4:$A$100,[1]CODE!$D$4:$D$100),"")</f>
        <v/>
      </c>
      <c r="X364" s="5" t="str">
        <f t="array" ref="X364">IF(NOT(AND(ISBLANK(D364),ISBLANK(C364))),_xludf.XLOOKUP(D364,[1]CODE!$A$4:$A$100,[1]CODE!$E$4:$E$100),"")</f>
        <v/>
      </c>
      <c r="Y364" s="5" t="str">
        <f t="shared" si="40"/>
        <v/>
      </c>
      <c r="Z364" s="5" t="str">
        <f t="shared" si="41"/>
        <v/>
      </c>
      <c r="AA364" s="4">
        <f t="shared" si="42"/>
        <v>0</v>
      </c>
      <c r="AC364" s="2"/>
    </row>
    <row r="365" spans="1:29" ht="15.5">
      <c r="A365" s="13" t="str">
        <f>IF(OR(ISBLANK(C365),ISBLANK(D365),ISBLANK(F365),ISBLANK(G365)),"",COUNTIF($B$5:B365,"JAMBUTU"))</f>
        <v/>
      </c>
      <c r="B365" s="8" t="str">
        <f t="shared" si="44"/>
        <v/>
      </c>
      <c r="C365" s="8"/>
      <c r="D365" s="8"/>
      <c r="E365" s="13"/>
      <c r="F365" s="12"/>
      <c r="G365" s="11"/>
      <c r="H365" s="12"/>
      <c r="I365" s="11"/>
      <c r="J365" s="10">
        <f t="shared" si="43"/>
        <v>0</v>
      </c>
      <c r="K365" s="10">
        <f t="shared" si="38"/>
        <v>0</v>
      </c>
      <c r="L365" s="9" t="str">
        <f t="shared" si="39"/>
        <v/>
      </c>
      <c r="M365" s="8"/>
      <c r="N365" s="8"/>
      <c r="O365" s="8"/>
      <c r="P365" s="8"/>
      <c r="Q365" s="8"/>
      <c r="R365" s="8"/>
      <c r="S365" s="8"/>
      <c r="T365" s="8"/>
      <c r="U365" s="8"/>
      <c r="V365" s="7"/>
      <c r="W365" s="6" t="str">
        <f t="array" ref="W365">IF(NOT(ISBLANK(D365)),_xludf.XLOOKUP(D365,[1]CODE!$A$4:$A$100,[1]CODE!$D$4:$D$100),"")</f>
        <v/>
      </c>
      <c r="X365" s="5" t="str">
        <f t="array" ref="X365">IF(NOT(AND(ISBLANK(D365),ISBLANK(C365))),_xludf.XLOOKUP(D365,[1]CODE!$A$4:$A$100,[1]CODE!$E$4:$E$100),"")</f>
        <v/>
      </c>
      <c r="Y365" s="5" t="str">
        <f t="shared" si="40"/>
        <v/>
      </c>
      <c r="Z365" s="5" t="str">
        <f t="shared" si="41"/>
        <v/>
      </c>
      <c r="AA365" s="4">
        <f t="shared" si="42"/>
        <v>0</v>
      </c>
      <c r="AC365" s="2"/>
    </row>
    <row r="366" spans="1:29" ht="15.5">
      <c r="A366" s="13" t="str">
        <f>IF(OR(ISBLANK(C366),ISBLANK(D366),ISBLANK(F366),ISBLANK(G366)),"",COUNTIF($B$5:B366,"JAMBUTU"))</f>
        <v/>
      </c>
      <c r="B366" s="8" t="str">
        <f t="shared" si="44"/>
        <v/>
      </c>
      <c r="C366" s="8"/>
      <c r="D366" s="8"/>
      <c r="E366" s="13"/>
      <c r="F366" s="12"/>
      <c r="G366" s="11"/>
      <c r="H366" s="12"/>
      <c r="I366" s="11"/>
      <c r="J366" s="10">
        <f t="shared" si="43"/>
        <v>0</v>
      </c>
      <c r="K366" s="10">
        <f t="shared" si="38"/>
        <v>0</v>
      </c>
      <c r="L366" s="9" t="str">
        <f t="shared" si="39"/>
        <v/>
      </c>
      <c r="M366" s="8"/>
      <c r="N366" s="8"/>
      <c r="O366" s="8"/>
      <c r="P366" s="8"/>
      <c r="Q366" s="8"/>
      <c r="R366" s="8"/>
      <c r="S366" s="8"/>
      <c r="T366" s="8"/>
      <c r="U366" s="8"/>
      <c r="V366" s="7"/>
      <c r="W366" s="6" t="str">
        <f t="array" ref="W366">IF(NOT(ISBLANK(D366)),_xludf.XLOOKUP(D366,[1]CODE!$A$4:$A$100,[1]CODE!$D$4:$D$100),"")</f>
        <v/>
      </c>
      <c r="X366" s="5" t="str">
        <f t="array" ref="X366">IF(NOT(AND(ISBLANK(D366),ISBLANK(C366))),_xludf.XLOOKUP(D366,[1]CODE!$A$4:$A$100,[1]CODE!$E$4:$E$100),"")</f>
        <v/>
      </c>
      <c r="Y366" s="5" t="str">
        <f t="shared" si="40"/>
        <v/>
      </c>
      <c r="Z366" s="5" t="str">
        <f t="shared" si="41"/>
        <v/>
      </c>
      <c r="AA366" s="4">
        <f t="shared" si="42"/>
        <v>0</v>
      </c>
      <c r="AC366" s="2"/>
    </row>
    <row r="367" spans="1:29" ht="15.5">
      <c r="A367" s="13" t="str">
        <f>IF(OR(ISBLANK(C367),ISBLANK(D367),ISBLANK(F367),ISBLANK(G367)),"",COUNTIF($B$5:B367,"JAMBUTU"))</f>
        <v/>
      </c>
      <c r="B367" s="8" t="str">
        <f t="shared" si="44"/>
        <v/>
      </c>
      <c r="C367" s="8"/>
      <c r="D367" s="8"/>
      <c r="E367" s="13"/>
      <c r="F367" s="12"/>
      <c r="G367" s="11"/>
      <c r="H367" s="12"/>
      <c r="I367" s="11"/>
      <c r="J367" s="10">
        <f t="shared" si="43"/>
        <v>0</v>
      </c>
      <c r="K367" s="10">
        <f t="shared" si="38"/>
        <v>0</v>
      </c>
      <c r="L367" s="9" t="str">
        <f t="shared" si="39"/>
        <v/>
      </c>
      <c r="M367" s="8"/>
      <c r="N367" s="8"/>
      <c r="O367" s="8"/>
      <c r="P367" s="8"/>
      <c r="Q367" s="8"/>
      <c r="R367" s="8"/>
      <c r="S367" s="8"/>
      <c r="T367" s="8"/>
      <c r="U367" s="8"/>
      <c r="V367" s="7"/>
      <c r="W367" s="6" t="str">
        <f t="array" ref="W367">IF(NOT(ISBLANK(D367)),_xludf.XLOOKUP(D367,[1]CODE!$A$4:$A$100,[1]CODE!$D$4:$D$100),"")</f>
        <v/>
      </c>
      <c r="X367" s="5" t="str">
        <f t="array" ref="X367">IF(NOT(AND(ISBLANK(D367),ISBLANK(C367))),_xludf.XLOOKUP(D367,[1]CODE!$A$4:$A$100,[1]CODE!$E$4:$E$100),"")</f>
        <v/>
      </c>
      <c r="Y367" s="5" t="str">
        <f t="shared" si="40"/>
        <v/>
      </c>
      <c r="Z367" s="5" t="str">
        <f t="shared" si="41"/>
        <v/>
      </c>
      <c r="AA367" s="4">
        <f t="shared" si="42"/>
        <v>0</v>
      </c>
      <c r="AC367" s="2"/>
    </row>
    <row r="368" spans="1:29" ht="15.5">
      <c r="A368" s="13" t="str">
        <f>IF(OR(ISBLANK(C368),ISBLANK(D368),ISBLANK(F368),ISBLANK(G368)),"",COUNTIF($B$5:B368,"JAMBUTU"))</f>
        <v/>
      </c>
      <c r="B368" s="8" t="str">
        <f t="shared" si="44"/>
        <v/>
      </c>
      <c r="C368" s="8"/>
      <c r="D368" s="8"/>
      <c r="E368" s="13"/>
      <c r="F368" s="12"/>
      <c r="G368" s="11"/>
      <c r="H368" s="12"/>
      <c r="I368" s="11"/>
      <c r="J368" s="10">
        <f t="shared" si="43"/>
        <v>0</v>
      </c>
      <c r="K368" s="10">
        <f t="shared" si="38"/>
        <v>0</v>
      </c>
      <c r="L368" s="9" t="str">
        <f t="shared" si="39"/>
        <v/>
      </c>
      <c r="M368" s="8"/>
      <c r="N368" s="8"/>
      <c r="O368" s="8"/>
      <c r="P368" s="8"/>
      <c r="Q368" s="8"/>
      <c r="R368" s="8"/>
      <c r="S368" s="8"/>
      <c r="T368" s="8"/>
      <c r="U368" s="8"/>
      <c r="V368" s="7"/>
      <c r="W368" s="6" t="str">
        <f t="array" ref="W368">IF(NOT(ISBLANK(D368)),_xludf.XLOOKUP(D368,[1]CODE!$A$4:$A$100,[1]CODE!$D$4:$D$100),"")</f>
        <v/>
      </c>
      <c r="X368" s="5" t="str">
        <f t="array" ref="X368">IF(NOT(AND(ISBLANK(D368),ISBLANK(C368))),_xludf.XLOOKUP(D368,[1]CODE!$A$4:$A$100,[1]CODE!$E$4:$E$100),"")</f>
        <v/>
      </c>
      <c r="Y368" s="5" t="str">
        <f t="shared" si="40"/>
        <v/>
      </c>
      <c r="Z368" s="5" t="str">
        <f t="shared" si="41"/>
        <v/>
      </c>
      <c r="AA368" s="4">
        <f t="shared" si="42"/>
        <v>0</v>
      </c>
      <c r="AC368" s="2"/>
    </row>
    <row r="369" spans="1:29" ht="15.5">
      <c r="A369" s="13" t="str">
        <f>IF(OR(ISBLANK(C369),ISBLANK(D369),ISBLANK(F369),ISBLANK(G369)),"",COUNTIF($B$5:B369,"JAMBUTU"))</f>
        <v/>
      </c>
      <c r="B369" s="8" t="str">
        <f t="shared" si="44"/>
        <v/>
      </c>
      <c r="C369" s="8"/>
      <c r="D369" s="8"/>
      <c r="E369" s="13"/>
      <c r="F369" s="12"/>
      <c r="G369" s="11"/>
      <c r="H369" s="12"/>
      <c r="I369" s="11"/>
      <c r="J369" s="10">
        <f t="shared" si="43"/>
        <v>0</v>
      </c>
      <c r="K369" s="10">
        <f t="shared" si="38"/>
        <v>0</v>
      </c>
      <c r="L369" s="9" t="str">
        <f t="shared" si="39"/>
        <v/>
      </c>
      <c r="M369" s="8"/>
      <c r="N369" s="8"/>
      <c r="O369" s="8"/>
      <c r="P369" s="8"/>
      <c r="Q369" s="8"/>
      <c r="R369" s="8"/>
      <c r="S369" s="8"/>
      <c r="T369" s="8"/>
      <c r="U369" s="8"/>
      <c r="V369" s="7"/>
      <c r="W369" s="6" t="str">
        <f t="array" ref="W369">IF(NOT(ISBLANK(D369)),_xludf.XLOOKUP(D369,[1]CODE!$A$4:$A$100,[1]CODE!$D$4:$D$100),"")</f>
        <v/>
      </c>
      <c r="X369" s="5" t="str">
        <f t="array" ref="X369">IF(NOT(AND(ISBLANK(D369),ISBLANK(C369))),_xludf.XLOOKUP(D369,[1]CODE!$A$4:$A$100,[1]CODE!$E$4:$E$100),"")</f>
        <v/>
      </c>
      <c r="Y369" s="5" t="str">
        <f t="shared" si="40"/>
        <v/>
      </c>
      <c r="Z369" s="5" t="str">
        <f t="shared" si="41"/>
        <v/>
      </c>
      <c r="AA369" s="4">
        <f t="shared" si="42"/>
        <v>0</v>
      </c>
      <c r="AC369" s="2"/>
    </row>
    <row r="370" spans="1:29" ht="15.5">
      <c r="A370" s="13" t="str">
        <f>IF(OR(ISBLANK(C370),ISBLANK(D370),ISBLANK(F370),ISBLANK(G370)),"",COUNTIF($B$5:B370,"JAMBUTU"))</f>
        <v/>
      </c>
      <c r="B370" s="8" t="str">
        <f t="shared" si="44"/>
        <v/>
      </c>
      <c r="C370" s="8"/>
      <c r="D370" s="8"/>
      <c r="E370" s="13"/>
      <c r="F370" s="12"/>
      <c r="G370" s="11"/>
      <c r="H370" s="12"/>
      <c r="I370" s="11"/>
      <c r="J370" s="10">
        <f t="shared" si="43"/>
        <v>0</v>
      </c>
      <c r="K370" s="10">
        <f t="shared" si="38"/>
        <v>0</v>
      </c>
      <c r="L370" s="9" t="str">
        <f t="shared" si="39"/>
        <v/>
      </c>
      <c r="M370" s="8"/>
      <c r="N370" s="8"/>
      <c r="O370" s="8"/>
      <c r="P370" s="8"/>
      <c r="Q370" s="8"/>
      <c r="R370" s="8"/>
      <c r="S370" s="8"/>
      <c r="T370" s="8"/>
      <c r="U370" s="8"/>
      <c r="V370" s="7"/>
      <c r="W370" s="6" t="str">
        <f t="array" ref="W370">IF(NOT(ISBLANK(D370)),_xludf.XLOOKUP(D370,[1]CODE!$A$4:$A$100,[1]CODE!$D$4:$D$100),"")</f>
        <v/>
      </c>
      <c r="X370" s="5" t="str">
        <f t="array" ref="X370">IF(NOT(AND(ISBLANK(D370),ISBLANK(C370))),_xludf.XLOOKUP(D370,[1]CODE!$A$4:$A$100,[1]CODE!$E$4:$E$100),"")</f>
        <v/>
      </c>
      <c r="Y370" s="5" t="str">
        <f t="shared" si="40"/>
        <v/>
      </c>
      <c r="Z370" s="5" t="str">
        <f t="shared" si="41"/>
        <v/>
      </c>
      <c r="AA370" s="4">
        <f t="shared" si="42"/>
        <v>0</v>
      </c>
      <c r="AC370" s="2"/>
    </row>
    <row r="371" spans="1:29" ht="15.5">
      <c r="A371" s="13" t="str">
        <f>IF(OR(ISBLANK(C371),ISBLANK(D371),ISBLANK(F371),ISBLANK(G371)),"",COUNTIF($B$5:B371,"JAMBUTU"))</f>
        <v/>
      </c>
      <c r="B371" s="8" t="str">
        <f t="shared" si="44"/>
        <v/>
      </c>
      <c r="C371" s="8"/>
      <c r="D371" s="8"/>
      <c r="E371" s="13"/>
      <c r="F371" s="12"/>
      <c r="G371" s="11"/>
      <c r="H371" s="12"/>
      <c r="I371" s="11"/>
      <c r="J371" s="10">
        <f t="shared" si="43"/>
        <v>0</v>
      </c>
      <c r="K371" s="10">
        <f t="shared" si="38"/>
        <v>0</v>
      </c>
      <c r="L371" s="9" t="str">
        <f t="shared" si="39"/>
        <v/>
      </c>
      <c r="M371" s="8"/>
      <c r="N371" s="8"/>
      <c r="O371" s="8"/>
      <c r="P371" s="8"/>
      <c r="Q371" s="8"/>
      <c r="R371" s="8"/>
      <c r="S371" s="8"/>
      <c r="T371" s="8"/>
      <c r="U371" s="8"/>
      <c r="V371" s="7"/>
      <c r="W371" s="6" t="str">
        <f t="array" ref="W371">IF(NOT(ISBLANK(D371)),_xludf.XLOOKUP(D371,[1]CODE!$A$4:$A$100,[1]CODE!$D$4:$D$100),"")</f>
        <v/>
      </c>
      <c r="X371" s="5" t="str">
        <f t="array" ref="X371">IF(NOT(AND(ISBLANK(D371),ISBLANK(C371))),_xludf.XLOOKUP(D371,[1]CODE!$A$4:$A$100,[1]CODE!$E$4:$E$100),"")</f>
        <v/>
      </c>
      <c r="Y371" s="5" t="str">
        <f t="shared" si="40"/>
        <v/>
      </c>
      <c r="Z371" s="5" t="str">
        <f t="shared" si="41"/>
        <v/>
      </c>
      <c r="AA371" s="4">
        <f t="shared" si="42"/>
        <v>0</v>
      </c>
      <c r="AC371" s="2"/>
    </row>
    <row r="372" spans="1:29" ht="15.5">
      <c r="A372" s="13" t="str">
        <f>IF(OR(ISBLANK(C372),ISBLANK(D372),ISBLANK(F372),ISBLANK(G372)),"",COUNTIF($B$5:B372,"JAMBUTU"))</f>
        <v/>
      </c>
      <c r="B372" s="8" t="str">
        <f t="shared" si="44"/>
        <v/>
      </c>
      <c r="C372" s="8"/>
      <c r="D372" s="8"/>
      <c r="E372" s="13"/>
      <c r="F372" s="12"/>
      <c r="G372" s="11"/>
      <c r="H372" s="12"/>
      <c r="I372" s="11"/>
      <c r="J372" s="10">
        <f t="shared" si="43"/>
        <v>0</v>
      </c>
      <c r="K372" s="10">
        <f t="shared" si="38"/>
        <v>0</v>
      </c>
      <c r="L372" s="9" t="str">
        <f t="shared" si="39"/>
        <v/>
      </c>
      <c r="M372" s="8"/>
      <c r="N372" s="8"/>
      <c r="O372" s="8"/>
      <c r="P372" s="8"/>
      <c r="Q372" s="8"/>
      <c r="R372" s="8"/>
      <c r="S372" s="8"/>
      <c r="T372" s="8"/>
      <c r="U372" s="8"/>
      <c r="V372" s="7"/>
      <c r="W372" s="6" t="str">
        <f t="array" ref="W372">IF(NOT(ISBLANK(D372)),_xludf.XLOOKUP(D372,[1]CODE!$A$4:$A$100,[1]CODE!$D$4:$D$100),"")</f>
        <v/>
      </c>
      <c r="X372" s="5" t="str">
        <f t="array" ref="X372">IF(NOT(AND(ISBLANK(D372),ISBLANK(C372))),_xludf.XLOOKUP(D372,[1]CODE!$A$4:$A$100,[1]CODE!$E$4:$E$100),"")</f>
        <v/>
      </c>
      <c r="Y372" s="5" t="str">
        <f t="shared" si="40"/>
        <v/>
      </c>
      <c r="Z372" s="5" t="str">
        <f t="shared" si="41"/>
        <v/>
      </c>
      <c r="AA372" s="4">
        <f t="shared" si="42"/>
        <v>0</v>
      </c>
      <c r="AC372" s="2"/>
    </row>
    <row r="373" spans="1:29" ht="15.5">
      <c r="A373" s="13" t="str">
        <f>IF(OR(ISBLANK(C373),ISBLANK(D373),ISBLANK(F373),ISBLANK(G373)),"",COUNTIF($B$5:B373,"JAMBUTU"))</f>
        <v/>
      </c>
      <c r="B373" s="8" t="str">
        <f t="shared" si="44"/>
        <v/>
      </c>
      <c r="C373" s="8"/>
      <c r="D373" s="8"/>
      <c r="E373" s="13"/>
      <c r="F373" s="12"/>
      <c r="G373" s="11"/>
      <c r="H373" s="12"/>
      <c r="I373" s="11"/>
      <c r="J373" s="10">
        <f t="shared" si="43"/>
        <v>0</v>
      </c>
      <c r="K373" s="10">
        <f t="shared" si="38"/>
        <v>0</v>
      </c>
      <c r="L373" s="9" t="str">
        <f t="shared" si="39"/>
        <v/>
      </c>
      <c r="M373" s="8"/>
      <c r="N373" s="8"/>
      <c r="O373" s="8"/>
      <c r="P373" s="8"/>
      <c r="Q373" s="8"/>
      <c r="R373" s="8"/>
      <c r="S373" s="8"/>
      <c r="T373" s="8"/>
      <c r="U373" s="8"/>
      <c r="V373" s="7"/>
      <c r="W373" s="6" t="str">
        <f t="array" ref="W373">IF(NOT(ISBLANK(D373)),_xludf.XLOOKUP(D373,[1]CODE!$A$4:$A$100,[1]CODE!$D$4:$D$100),"")</f>
        <v/>
      </c>
      <c r="X373" s="5" t="str">
        <f t="array" ref="X373">IF(NOT(AND(ISBLANK(D373),ISBLANK(C373))),_xludf.XLOOKUP(D373,[1]CODE!$A$4:$A$100,[1]CODE!$E$4:$E$100),"")</f>
        <v/>
      </c>
      <c r="Y373" s="5" t="str">
        <f t="shared" si="40"/>
        <v/>
      </c>
      <c r="Z373" s="5" t="str">
        <f t="shared" si="41"/>
        <v/>
      </c>
      <c r="AA373" s="4">
        <f t="shared" si="42"/>
        <v>0</v>
      </c>
      <c r="AC373" s="2"/>
    </row>
    <row r="374" spans="1:29" ht="15.5">
      <c r="A374" s="13" t="str">
        <f>IF(OR(ISBLANK(C374),ISBLANK(D374),ISBLANK(F374),ISBLANK(G374)),"",COUNTIF($B$5:B374,"JAMBUTU"))</f>
        <v/>
      </c>
      <c r="B374" s="8" t="str">
        <f t="shared" si="44"/>
        <v/>
      </c>
      <c r="C374" s="8"/>
      <c r="D374" s="8"/>
      <c r="E374" s="13"/>
      <c r="F374" s="12"/>
      <c r="G374" s="11"/>
      <c r="H374" s="12"/>
      <c r="I374" s="11"/>
      <c r="J374" s="10">
        <f t="shared" si="43"/>
        <v>0</v>
      </c>
      <c r="K374" s="10">
        <f t="shared" si="38"/>
        <v>0</v>
      </c>
      <c r="L374" s="9" t="str">
        <f t="shared" si="39"/>
        <v/>
      </c>
      <c r="M374" s="8"/>
      <c r="N374" s="8"/>
      <c r="O374" s="8"/>
      <c r="P374" s="8"/>
      <c r="Q374" s="8"/>
      <c r="R374" s="8"/>
      <c r="S374" s="8"/>
      <c r="T374" s="8"/>
      <c r="U374" s="8"/>
      <c r="V374" s="7"/>
      <c r="W374" s="6" t="str">
        <f t="array" ref="W374">IF(NOT(ISBLANK(D374)),_xludf.XLOOKUP(D374,[1]CODE!$A$4:$A$100,[1]CODE!$D$4:$D$100),"")</f>
        <v/>
      </c>
      <c r="X374" s="5" t="str">
        <f t="array" ref="X374">IF(NOT(AND(ISBLANK(D374),ISBLANK(C374))),_xludf.XLOOKUP(D374,[1]CODE!$A$4:$A$100,[1]CODE!$E$4:$E$100),"")</f>
        <v/>
      </c>
      <c r="Y374" s="5" t="str">
        <f t="shared" si="40"/>
        <v/>
      </c>
      <c r="Z374" s="5" t="str">
        <f t="shared" si="41"/>
        <v/>
      </c>
      <c r="AA374" s="4">
        <f t="shared" si="42"/>
        <v>0</v>
      </c>
      <c r="AC374" s="2"/>
    </row>
    <row r="375" spans="1:29" ht="15.5">
      <c r="A375" s="13" t="str">
        <f>IF(OR(ISBLANK(C375),ISBLANK(D375),ISBLANK(F375),ISBLANK(G375)),"",COUNTIF($B$5:B375,"JAMBUTU"))</f>
        <v/>
      </c>
      <c r="B375" s="8" t="str">
        <f t="shared" si="44"/>
        <v/>
      </c>
      <c r="C375" s="8"/>
      <c r="D375" s="8"/>
      <c r="E375" s="13"/>
      <c r="F375" s="12"/>
      <c r="G375" s="11"/>
      <c r="H375" s="12"/>
      <c r="I375" s="11"/>
      <c r="J375" s="10">
        <f t="shared" si="43"/>
        <v>0</v>
      </c>
      <c r="K375" s="10">
        <f t="shared" si="38"/>
        <v>0</v>
      </c>
      <c r="L375" s="9" t="str">
        <f t="shared" si="39"/>
        <v/>
      </c>
      <c r="M375" s="8"/>
      <c r="N375" s="8"/>
      <c r="O375" s="8"/>
      <c r="P375" s="8"/>
      <c r="Q375" s="8"/>
      <c r="R375" s="8"/>
      <c r="S375" s="8"/>
      <c r="T375" s="8"/>
      <c r="U375" s="8"/>
      <c r="V375" s="7"/>
      <c r="W375" s="6" t="str">
        <f t="array" ref="W375">IF(NOT(ISBLANK(D375)),_xludf.XLOOKUP(D375,[1]CODE!$A$4:$A$100,[1]CODE!$D$4:$D$100),"")</f>
        <v/>
      </c>
      <c r="X375" s="5" t="str">
        <f t="array" ref="X375">IF(NOT(AND(ISBLANK(D375),ISBLANK(C375))),_xludf.XLOOKUP(D375,[1]CODE!$A$4:$A$100,[1]CODE!$E$4:$E$100),"")</f>
        <v/>
      </c>
      <c r="Y375" s="5" t="str">
        <f t="shared" si="40"/>
        <v/>
      </c>
      <c r="Z375" s="5" t="str">
        <f t="shared" si="41"/>
        <v/>
      </c>
      <c r="AA375" s="4">
        <f t="shared" si="42"/>
        <v>0</v>
      </c>
      <c r="AC375" s="2"/>
    </row>
    <row r="376" spans="1:29" ht="15.5">
      <c r="A376" s="13" t="str">
        <f>IF(OR(ISBLANK(C376),ISBLANK(D376),ISBLANK(F376),ISBLANK(G376)),"",COUNTIF($B$5:B376,"JAMBUTU"))</f>
        <v/>
      </c>
      <c r="B376" s="8" t="str">
        <f t="shared" si="44"/>
        <v/>
      </c>
      <c r="C376" s="8"/>
      <c r="D376" s="8"/>
      <c r="E376" s="13"/>
      <c r="F376" s="12"/>
      <c r="G376" s="11"/>
      <c r="H376" s="12"/>
      <c r="I376" s="11"/>
      <c r="J376" s="10">
        <f t="shared" si="43"/>
        <v>0</v>
      </c>
      <c r="K376" s="10">
        <f t="shared" si="38"/>
        <v>0</v>
      </c>
      <c r="L376" s="9" t="str">
        <f t="shared" si="39"/>
        <v/>
      </c>
      <c r="M376" s="8"/>
      <c r="N376" s="8"/>
      <c r="O376" s="8"/>
      <c r="P376" s="8"/>
      <c r="Q376" s="8"/>
      <c r="R376" s="8"/>
      <c r="S376" s="8"/>
      <c r="T376" s="8"/>
      <c r="U376" s="8"/>
      <c r="V376" s="7"/>
      <c r="W376" s="6" t="str">
        <f t="array" ref="W376">IF(NOT(ISBLANK(D376)),_xludf.XLOOKUP(D376,[1]CODE!$A$4:$A$100,[1]CODE!$D$4:$D$100),"")</f>
        <v/>
      </c>
      <c r="X376" s="5" t="str">
        <f t="array" ref="X376">IF(NOT(AND(ISBLANK(D376),ISBLANK(C376))),_xludf.XLOOKUP(D376,[1]CODE!$A$4:$A$100,[1]CODE!$E$4:$E$100),"")</f>
        <v/>
      </c>
      <c r="Y376" s="5" t="str">
        <f t="shared" si="40"/>
        <v/>
      </c>
      <c r="Z376" s="5" t="str">
        <f t="shared" si="41"/>
        <v/>
      </c>
      <c r="AA376" s="4">
        <f t="shared" si="42"/>
        <v>0</v>
      </c>
      <c r="AC376" s="2"/>
    </row>
    <row r="377" spans="1:29" ht="15.5">
      <c r="A377" s="13" t="str">
        <f>IF(OR(ISBLANK(C377),ISBLANK(D377),ISBLANK(F377),ISBLANK(G377)),"",COUNTIF($B$5:B377,"JAMBUTU"))</f>
        <v/>
      </c>
      <c r="B377" s="8" t="str">
        <f t="shared" si="44"/>
        <v/>
      </c>
      <c r="C377" s="8"/>
      <c r="D377" s="8"/>
      <c r="E377" s="13"/>
      <c r="F377" s="12"/>
      <c r="G377" s="11"/>
      <c r="H377" s="12"/>
      <c r="I377" s="11"/>
      <c r="J377" s="10">
        <f t="shared" si="43"/>
        <v>0</v>
      </c>
      <c r="K377" s="10">
        <f t="shared" si="38"/>
        <v>0</v>
      </c>
      <c r="L377" s="9" t="str">
        <f t="shared" si="39"/>
        <v/>
      </c>
      <c r="M377" s="8"/>
      <c r="N377" s="8"/>
      <c r="O377" s="8"/>
      <c r="P377" s="8"/>
      <c r="Q377" s="8"/>
      <c r="R377" s="8"/>
      <c r="S377" s="8"/>
      <c r="T377" s="8"/>
      <c r="U377" s="8"/>
      <c r="V377" s="7"/>
      <c r="W377" s="6" t="str">
        <f t="array" ref="W377">IF(NOT(ISBLANK(D377)),_xludf.XLOOKUP(D377,[1]CODE!$A$4:$A$100,[1]CODE!$D$4:$D$100),"")</f>
        <v/>
      </c>
      <c r="X377" s="5" t="str">
        <f t="array" ref="X377">IF(NOT(AND(ISBLANK(D377),ISBLANK(C377))),_xludf.XLOOKUP(D377,[1]CODE!$A$4:$A$100,[1]CODE!$E$4:$E$100),"")</f>
        <v/>
      </c>
      <c r="Y377" s="5" t="str">
        <f t="shared" si="40"/>
        <v/>
      </c>
      <c r="Z377" s="5" t="str">
        <f t="shared" si="41"/>
        <v/>
      </c>
      <c r="AA377" s="4">
        <f t="shared" si="42"/>
        <v>0</v>
      </c>
      <c r="AC377" s="2"/>
    </row>
    <row r="378" spans="1:29" ht="15.5">
      <c r="A378" s="13" t="str">
        <f>IF(OR(ISBLANK(C378),ISBLANK(D378),ISBLANK(F378),ISBLANK(G378)),"",COUNTIF($B$5:B378,"JAMBUTU"))</f>
        <v/>
      </c>
      <c r="B378" s="8" t="str">
        <f t="shared" si="44"/>
        <v/>
      </c>
      <c r="C378" s="8"/>
      <c r="D378" s="8"/>
      <c r="E378" s="13"/>
      <c r="F378" s="12"/>
      <c r="G378" s="11"/>
      <c r="H378" s="12"/>
      <c r="I378" s="11"/>
      <c r="J378" s="10">
        <f t="shared" si="43"/>
        <v>0</v>
      </c>
      <c r="K378" s="10">
        <f t="shared" si="38"/>
        <v>0</v>
      </c>
      <c r="L378" s="9" t="str">
        <f t="shared" si="39"/>
        <v/>
      </c>
      <c r="M378" s="8"/>
      <c r="N378" s="8"/>
      <c r="O378" s="8"/>
      <c r="P378" s="8"/>
      <c r="Q378" s="8"/>
      <c r="R378" s="8"/>
      <c r="S378" s="8"/>
      <c r="T378" s="8"/>
      <c r="U378" s="8"/>
      <c r="V378" s="7"/>
      <c r="W378" s="6" t="str">
        <f t="array" ref="W378">IF(NOT(ISBLANK(D378)),_xludf.XLOOKUP(D378,[1]CODE!$A$4:$A$100,[1]CODE!$D$4:$D$100),"")</f>
        <v/>
      </c>
      <c r="X378" s="5" t="str">
        <f t="array" ref="X378">IF(NOT(AND(ISBLANK(D378),ISBLANK(C378))),_xludf.XLOOKUP(D378,[1]CODE!$A$4:$A$100,[1]CODE!$E$4:$E$100),"")</f>
        <v/>
      </c>
      <c r="Y378" s="5" t="str">
        <f t="shared" si="40"/>
        <v/>
      </c>
      <c r="Z378" s="5" t="str">
        <f t="shared" si="41"/>
        <v/>
      </c>
      <c r="AA378" s="4">
        <f t="shared" si="42"/>
        <v>0</v>
      </c>
      <c r="AC378" s="2"/>
    </row>
    <row r="379" spans="1:29" ht="15.5">
      <c r="A379" s="13" t="str">
        <f>IF(OR(ISBLANK(C379),ISBLANK(D379),ISBLANK(F379),ISBLANK(G379)),"",COUNTIF($B$5:B379,"JAMBUTU"))</f>
        <v/>
      </c>
      <c r="B379" s="8" t="str">
        <f t="shared" si="44"/>
        <v/>
      </c>
      <c r="C379" s="8"/>
      <c r="D379" s="8"/>
      <c r="E379" s="13"/>
      <c r="F379" s="12"/>
      <c r="G379" s="11"/>
      <c r="H379" s="12"/>
      <c r="I379" s="11"/>
      <c r="J379" s="10">
        <f t="shared" si="43"/>
        <v>0</v>
      </c>
      <c r="K379" s="10">
        <f t="shared" si="38"/>
        <v>0</v>
      </c>
      <c r="L379" s="9" t="str">
        <f t="shared" si="39"/>
        <v/>
      </c>
      <c r="M379" s="8"/>
      <c r="N379" s="8"/>
      <c r="O379" s="8"/>
      <c r="P379" s="8"/>
      <c r="Q379" s="8"/>
      <c r="R379" s="8"/>
      <c r="S379" s="8"/>
      <c r="T379" s="8"/>
      <c r="U379" s="8"/>
      <c r="V379" s="7"/>
      <c r="W379" s="6" t="str">
        <f t="array" ref="W379">IF(NOT(ISBLANK(D379)),_xludf.XLOOKUP(D379,[1]CODE!$A$4:$A$100,[1]CODE!$D$4:$D$100),"")</f>
        <v/>
      </c>
      <c r="X379" s="5" t="str">
        <f t="array" ref="X379">IF(NOT(AND(ISBLANK(D379),ISBLANK(C379))),_xludf.XLOOKUP(D379,[1]CODE!$A$4:$A$100,[1]CODE!$E$4:$E$100),"")</f>
        <v/>
      </c>
      <c r="Y379" s="5" t="str">
        <f t="shared" si="40"/>
        <v/>
      </c>
      <c r="Z379" s="5" t="str">
        <f t="shared" si="41"/>
        <v/>
      </c>
      <c r="AA379" s="4">
        <f t="shared" si="42"/>
        <v>0</v>
      </c>
      <c r="AC379" s="2"/>
    </row>
    <row r="380" spans="1:29" ht="15.5">
      <c r="A380" s="13" t="str">
        <f>IF(OR(ISBLANK(C380),ISBLANK(D380),ISBLANK(F380),ISBLANK(G380)),"",COUNTIF($B$5:B380,"JAMBUTU"))</f>
        <v/>
      </c>
      <c r="B380" s="8" t="str">
        <f t="shared" si="44"/>
        <v/>
      </c>
      <c r="C380" s="8"/>
      <c r="D380" s="8"/>
      <c r="E380" s="13"/>
      <c r="F380" s="12"/>
      <c r="G380" s="11"/>
      <c r="H380" s="12"/>
      <c r="I380" s="11"/>
      <c r="J380" s="10">
        <f t="shared" si="43"/>
        <v>0</v>
      </c>
      <c r="K380" s="10">
        <f t="shared" si="38"/>
        <v>0</v>
      </c>
      <c r="L380" s="9" t="str">
        <f t="shared" si="39"/>
        <v/>
      </c>
      <c r="M380" s="8"/>
      <c r="N380" s="8"/>
      <c r="O380" s="8"/>
      <c r="P380" s="8"/>
      <c r="Q380" s="8"/>
      <c r="R380" s="8"/>
      <c r="S380" s="8"/>
      <c r="T380" s="8"/>
      <c r="U380" s="8"/>
      <c r="V380" s="7"/>
      <c r="W380" s="6" t="str">
        <f t="array" ref="W380">IF(NOT(ISBLANK(D380)),_xludf.XLOOKUP(D380,[1]CODE!$A$4:$A$100,[1]CODE!$D$4:$D$100),"")</f>
        <v/>
      </c>
      <c r="X380" s="5" t="str">
        <f t="array" ref="X380">IF(NOT(AND(ISBLANK(D380),ISBLANK(C380))),_xludf.XLOOKUP(D380,[1]CODE!$A$4:$A$100,[1]CODE!$E$4:$E$100),"")</f>
        <v/>
      </c>
      <c r="Y380" s="5" t="str">
        <f t="shared" si="40"/>
        <v/>
      </c>
      <c r="Z380" s="5" t="str">
        <f t="shared" si="41"/>
        <v/>
      </c>
      <c r="AA380" s="4">
        <f t="shared" si="42"/>
        <v>0</v>
      </c>
      <c r="AC380" s="2"/>
    </row>
    <row r="381" spans="1:29" ht="15.5">
      <c r="A381" s="13" t="str">
        <f>IF(OR(ISBLANK(C381),ISBLANK(D381),ISBLANK(F381),ISBLANK(G381)),"",COUNTIF($B$5:B381,"JAMBUTU"))</f>
        <v/>
      </c>
      <c r="B381" s="8" t="str">
        <f t="shared" si="44"/>
        <v/>
      </c>
      <c r="C381" s="8"/>
      <c r="D381" s="8"/>
      <c r="E381" s="13"/>
      <c r="F381" s="12"/>
      <c r="G381" s="11"/>
      <c r="H381" s="12"/>
      <c r="I381" s="11"/>
      <c r="J381" s="10">
        <f t="shared" si="43"/>
        <v>0</v>
      </c>
      <c r="K381" s="10">
        <f t="shared" si="38"/>
        <v>0</v>
      </c>
      <c r="L381" s="9" t="str">
        <f t="shared" si="39"/>
        <v/>
      </c>
      <c r="M381" s="8"/>
      <c r="N381" s="8"/>
      <c r="O381" s="8"/>
      <c r="P381" s="8"/>
      <c r="Q381" s="8"/>
      <c r="R381" s="8"/>
      <c r="S381" s="8"/>
      <c r="T381" s="8"/>
      <c r="U381" s="8"/>
      <c r="V381" s="7"/>
      <c r="W381" s="6" t="str">
        <f t="array" ref="W381">IF(NOT(ISBLANK(D381)),_xludf.XLOOKUP(D381,[1]CODE!$A$4:$A$100,[1]CODE!$D$4:$D$100),"")</f>
        <v/>
      </c>
      <c r="X381" s="5" t="str">
        <f t="array" ref="X381">IF(NOT(AND(ISBLANK(D381),ISBLANK(C381))),_xludf.XLOOKUP(D381,[1]CODE!$A$4:$A$100,[1]CODE!$E$4:$E$100),"")</f>
        <v/>
      </c>
      <c r="Y381" s="5" t="str">
        <f t="shared" si="40"/>
        <v/>
      </c>
      <c r="Z381" s="5" t="str">
        <f t="shared" si="41"/>
        <v/>
      </c>
      <c r="AA381" s="4">
        <f t="shared" si="42"/>
        <v>0</v>
      </c>
      <c r="AC381" s="2"/>
    </row>
    <row r="382" spans="1:29" ht="15.5">
      <c r="A382" s="13" t="str">
        <f>IF(OR(ISBLANK(C382),ISBLANK(D382),ISBLANK(F382),ISBLANK(G382)),"",COUNTIF($B$5:B382,"JAMBUTU"))</f>
        <v/>
      </c>
      <c r="B382" s="8" t="str">
        <f t="shared" si="44"/>
        <v/>
      </c>
      <c r="C382" s="8"/>
      <c r="D382" s="8"/>
      <c r="E382" s="13"/>
      <c r="F382" s="12"/>
      <c r="G382" s="11"/>
      <c r="H382" s="12"/>
      <c r="I382" s="11"/>
      <c r="J382" s="10">
        <f t="shared" si="43"/>
        <v>0</v>
      </c>
      <c r="K382" s="10">
        <f t="shared" si="38"/>
        <v>0</v>
      </c>
      <c r="L382" s="9" t="str">
        <f t="shared" si="39"/>
        <v/>
      </c>
      <c r="M382" s="8"/>
      <c r="N382" s="8"/>
      <c r="O382" s="8"/>
      <c r="P382" s="8"/>
      <c r="Q382" s="8"/>
      <c r="R382" s="8"/>
      <c r="S382" s="8"/>
      <c r="T382" s="8"/>
      <c r="U382" s="8"/>
      <c r="V382" s="7"/>
      <c r="W382" s="6" t="str">
        <f t="array" ref="W382">IF(NOT(ISBLANK(D382)),_xludf.XLOOKUP(D382,[1]CODE!$A$4:$A$100,[1]CODE!$D$4:$D$100),"")</f>
        <v/>
      </c>
      <c r="X382" s="5" t="str">
        <f t="array" ref="X382">IF(NOT(AND(ISBLANK(D382),ISBLANK(C382))),_xludf.XLOOKUP(D382,[1]CODE!$A$4:$A$100,[1]CODE!$E$4:$E$100),"")</f>
        <v/>
      </c>
      <c r="Y382" s="5" t="str">
        <f t="shared" si="40"/>
        <v/>
      </c>
      <c r="Z382" s="5" t="str">
        <f t="shared" si="41"/>
        <v/>
      </c>
      <c r="AA382" s="4">
        <f t="shared" si="42"/>
        <v>0</v>
      </c>
      <c r="AC382" s="2"/>
    </row>
    <row r="383" spans="1:29" ht="15.5">
      <c r="A383" s="13" t="str">
        <f>IF(OR(ISBLANK(C383),ISBLANK(D383),ISBLANK(F383),ISBLANK(G383)),"",COUNTIF($B$5:B383,"JAMBUTU"))</f>
        <v/>
      </c>
      <c r="B383" s="8" t="str">
        <f t="shared" si="44"/>
        <v/>
      </c>
      <c r="C383" s="8"/>
      <c r="D383" s="8"/>
      <c r="E383" s="13"/>
      <c r="F383" s="12"/>
      <c r="G383" s="11"/>
      <c r="H383" s="12"/>
      <c r="I383" s="11"/>
      <c r="J383" s="10">
        <f t="shared" si="43"/>
        <v>0</v>
      </c>
      <c r="K383" s="10">
        <f t="shared" si="38"/>
        <v>0</v>
      </c>
      <c r="L383" s="9" t="str">
        <f t="shared" si="39"/>
        <v/>
      </c>
      <c r="M383" s="8"/>
      <c r="N383" s="8"/>
      <c r="O383" s="8"/>
      <c r="P383" s="8"/>
      <c r="Q383" s="8"/>
      <c r="R383" s="8"/>
      <c r="S383" s="8"/>
      <c r="T383" s="8"/>
      <c r="U383" s="8"/>
      <c r="V383" s="7"/>
      <c r="W383" s="6" t="str">
        <f t="array" ref="W383">IF(NOT(ISBLANK(D383)),_xludf.XLOOKUP(D383,[1]CODE!$A$4:$A$100,[1]CODE!$D$4:$D$100),"")</f>
        <v/>
      </c>
      <c r="X383" s="5" t="str">
        <f t="array" ref="X383">IF(NOT(AND(ISBLANK(D383),ISBLANK(C383))),_xludf.XLOOKUP(D383,[1]CODE!$A$4:$A$100,[1]CODE!$E$4:$E$100),"")</f>
        <v/>
      </c>
      <c r="Y383" s="5" t="str">
        <f t="shared" si="40"/>
        <v/>
      </c>
      <c r="Z383" s="5" t="str">
        <f t="shared" si="41"/>
        <v/>
      </c>
      <c r="AA383" s="4">
        <f t="shared" si="42"/>
        <v>0</v>
      </c>
      <c r="AC383" s="2"/>
    </row>
    <row r="384" spans="1:29" ht="15.5">
      <c r="A384" s="13" t="str">
        <f>IF(OR(ISBLANK(C384),ISBLANK(D384),ISBLANK(F384),ISBLANK(G384)),"",COUNTIF($B$5:B384,"JAMBUTU"))</f>
        <v/>
      </c>
      <c r="B384" s="8" t="str">
        <f t="shared" si="44"/>
        <v/>
      </c>
      <c r="C384" s="8"/>
      <c r="D384" s="8"/>
      <c r="E384" s="13"/>
      <c r="F384" s="12"/>
      <c r="G384" s="11"/>
      <c r="H384" s="12"/>
      <c r="I384" s="11"/>
      <c r="J384" s="10">
        <f t="shared" si="43"/>
        <v>0</v>
      </c>
      <c r="K384" s="10">
        <f t="shared" si="38"/>
        <v>0</v>
      </c>
      <c r="L384" s="9" t="str">
        <f t="shared" si="39"/>
        <v/>
      </c>
      <c r="M384" s="8"/>
      <c r="N384" s="8"/>
      <c r="O384" s="8"/>
      <c r="P384" s="8"/>
      <c r="Q384" s="8"/>
      <c r="R384" s="8"/>
      <c r="S384" s="8"/>
      <c r="T384" s="8"/>
      <c r="U384" s="8"/>
      <c r="V384" s="7"/>
      <c r="W384" s="6" t="str">
        <f t="array" ref="W384">IF(NOT(ISBLANK(D384)),_xludf.XLOOKUP(D384,[1]CODE!$A$4:$A$100,[1]CODE!$D$4:$D$100),"")</f>
        <v/>
      </c>
      <c r="X384" s="5" t="str">
        <f t="array" ref="X384">IF(NOT(AND(ISBLANK(D384),ISBLANK(C384))),_xludf.XLOOKUP(D384,[1]CODE!$A$4:$A$100,[1]CODE!$E$4:$E$100),"")</f>
        <v/>
      </c>
      <c r="Y384" s="5" t="str">
        <f t="shared" si="40"/>
        <v/>
      </c>
      <c r="Z384" s="5" t="str">
        <f t="shared" si="41"/>
        <v/>
      </c>
      <c r="AA384" s="4">
        <f t="shared" si="42"/>
        <v>0</v>
      </c>
      <c r="AC384" s="2"/>
    </row>
    <row r="385" spans="1:29" ht="15.5">
      <c r="A385" s="13" t="str">
        <f>IF(OR(ISBLANK(C385),ISBLANK(D385),ISBLANK(F385),ISBLANK(G385)),"",COUNTIF($B$5:B385,"JAMBUTU"))</f>
        <v/>
      </c>
      <c r="B385" s="8" t="str">
        <f t="shared" si="44"/>
        <v/>
      </c>
      <c r="C385" s="8"/>
      <c r="D385" s="8"/>
      <c r="E385" s="13"/>
      <c r="F385" s="12"/>
      <c r="G385" s="11"/>
      <c r="H385" s="12"/>
      <c r="I385" s="11"/>
      <c r="J385" s="10">
        <f t="shared" si="43"/>
        <v>0</v>
      </c>
      <c r="K385" s="10">
        <f t="shared" si="38"/>
        <v>0</v>
      </c>
      <c r="L385" s="9" t="str">
        <f t="shared" si="39"/>
        <v/>
      </c>
      <c r="M385" s="8"/>
      <c r="N385" s="8"/>
      <c r="O385" s="8"/>
      <c r="P385" s="8"/>
      <c r="Q385" s="8"/>
      <c r="R385" s="8"/>
      <c r="S385" s="8"/>
      <c r="T385" s="8"/>
      <c r="U385" s="8"/>
      <c r="V385" s="7"/>
      <c r="W385" s="6" t="str">
        <f t="array" ref="W385">IF(NOT(ISBLANK(D385)),_xludf.XLOOKUP(D385,[1]CODE!$A$4:$A$100,[1]CODE!$D$4:$D$100),"")</f>
        <v/>
      </c>
      <c r="X385" s="5" t="str">
        <f t="array" ref="X385">IF(NOT(AND(ISBLANK(D385),ISBLANK(C385))),_xludf.XLOOKUP(D385,[1]CODE!$A$4:$A$100,[1]CODE!$E$4:$E$100),"")</f>
        <v/>
      </c>
      <c r="Y385" s="5" t="str">
        <f t="shared" si="40"/>
        <v/>
      </c>
      <c r="Z385" s="5" t="str">
        <f t="shared" si="41"/>
        <v/>
      </c>
      <c r="AA385" s="4">
        <f t="shared" si="42"/>
        <v>0</v>
      </c>
      <c r="AC385" s="2"/>
    </row>
    <row r="386" spans="1:29" ht="15.5">
      <c r="A386" s="13" t="str">
        <f>IF(OR(ISBLANK(C386),ISBLANK(D386),ISBLANK(F386),ISBLANK(G386)),"",COUNTIF($B$5:B386,"JAMBUTU"))</f>
        <v/>
      </c>
      <c r="B386" s="8" t="str">
        <f t="shared" si="44"/>
        <v/>
      </c>
      <c r="C386" s="8"/>
      <c r="D386" s="8"/>
      <c r="E386" s="13"/>
      <c r="F386" s="12"/>
      <c r="G386" s="11"/>
      <c r="H386" s="12"/>
      <c r="I386" s="11"/>
      <c r="J386" s="10">
        <f t="shared" si="43"/>
        <v>0</v>
      </c>
      <c r="K386" s="10">
        <f t="shared" si="38"/>
        <v>0</v>
      </c>
      <c r="L386" s="9" t="str">
        <f t="shared" si="39"/>
        <v/>
      </c>
      <c r="M386" s="8"/>
      <c r="N386" s="8"/>
      <c r="O386" s="8"/>
      <c r="P386" s="8"/>
      <c r="Q386" s="8"/>
      <c r="R386" s="8"/>
      <c r="S386" s="8"/>
      <c r="T386" s="8"/>
      <c r="U386" s="8"/>
      <c r="V386" s="7"/>
      <c r="W386" s="6" t="str">
        <f t="array" ref="W386">IF(NOT(ISBLANK(D386)),_xludf.XLOOKUP(D386,[1]CODE!$A$4:$A$100,[1]CODE!$D$4:$D$100),"")</f>
        <v/>
      </c>
      <c r="X386" s="5" t="str">
        <f t="array" ref="X386">IF(NOT(AND(ISBLANK(D386),ISBLANK(C386))),_xludf.XLOOKUP(D386,[1]CODE!$A$4:$A$100,[1]CODE!$E$4:$E$100),"")</f>
        <v/>
      </c>
      <c r="Y386" s="5" t="str">
        <f t="shared" si="40"/>
        <v/>
      </c>
      <c r="Z386" s="5" t="str">
        <f t="shared" si="41"/>
        <v/>
      </c>
      <c r="AA386" s="4">
        <f t="shared" si="42"/>
        <v>0</v>
      </c>
      <c r="AC386" s="2"/>
    </row>
    <row r="387" spans="1:29" ht="15.5">
      <c r="A387" s="13" t="str">
        <f>IF(OR(ISBLANK(C387),ISBLANK(D387),ISBLANK(F387),ISBLANK(G387)),"",COUNTIF($B$5:B387,"JAMBUTU"))</f>
        <v/>
      </c>
      <c r="B387" s="8" t="str">
        <f t="shared" si="44"/>
        <v/>
      </c>
      <c r="C387" s="8"/>
      <c r="D387" s="8"/>
      <c r="E387" s="13"/>
      <c r="F387" s="12"/>
      <c r="G387" s="11"/>
      <c r="H387" s="12"/>
      <c r="I387" s="11"/>
      <c r="J387" s="10">
        <f t="shared" si="43"/>
        <v>0</v>
      </c>
      <c r="K387" s="10">
        <f t="shared" si="38"/>
        <v>0</v>
      </c>
      <c r="L387" s="9" t="str">
        <f t="shared" si="39"/>
        <v/>
      </c>
      <c r="M387" s="8"/>
      <c r="N387" s="8"/>
      <c r="O387" s="8"/>
      <c r="P387" s="8"/>
      <c r="Q387" s="8"/>
      <c r="R387" s="8"/>
      <c r="S387" s="8"/>
      <c r="T387" s="8"/>
      <c r="U387" s="8"/>
      <c r="V387" s="7"/>
      <c r="W387" s="6" t="str">
        <f t="array" ref="W387">IF(NOT(ISBLANK(D387)),_xludf.XLOOKUP(D387,[1]CODE!$A$4:$A$100,[1]CODE!$D$4:$D$100),"")</f>
        <v/>
      </c>
      <c r="X387" s="5" t="str">
        <f t="array" ref="X387">IF(NOT(AND(ISBLANK(D387),ISBLANK(C387))),_xludf.XLOOKUP(D387,[1]CODE!$A$4:$A$100,[1]CODE!$E$4:$E$100),"")</f>
        <v/>
      </c>
      <c r="Y387" s="5" t="str">
        <f t="shared" si="40"/>
        <v/>
      </c>
      <c r="Z387" s="5" t="str">
        <f t="shared" si="41"/>
        <v/>
      </c>
      <c r="AA387" s="4">
        <f t="shared" si="42"/>
        <v>0</v>
      </c>
      <c r="AC387" s="2"/>
    </row>
    <row r="388" spans="1:29" ht="15.5">
      <c r="A388" s="13" t="str">
        <f>IF(OR(ISBLANK(C388),ISBLANK(D388),ISBLANK(F388),ISBLANK(G388)),"",COUNTIF($B$5:B388,"JAMBUTU"))</f>
        <v/>
      </c>
      <c r="B388" s="8" t="str">
        <f t="shared" si="44"/>
        <v/>
      </c>
      <c r="C388" s="8"/>
      <c r="D388" s="8"/>
      <c r="E388" s="13"/>
      <c r="F388" s="12"/>
      <c r="G388" s="11"/>
      <c r="H388" s="12"/>
      <c r="I388" s="11"/>
      <c r="J388" s="10">
        <f t="shared" si="43"/>
        <v>0</v>
      </c>
      <c r="K388" s="10">
        <f t="shared" si="38"/>
        <v>0</v>
      </c>
      <c r="L388" s="9" t="str">
        <f t="shared" si="39"/>
        <v/>
      </c>
      <c r="M388" s="8"/>
      <c r="N388" s="8"/>
      <c r="O388" s="8"/>
      <c r="P388" s="8"/>
      <c r="Q388" s="8"/>
      <c r="R388" s="8"/>
      <c r="S388" s="8"/>
      <c r="T388" s="8"/>
      <c r="U388" s="8"/>
      <c r="V388" s="7"/>
      <c r="W388" s="6" t="str">
        <f t="array" ref="W388">IF(NOT(ISBLANK(D388)),_xludf.XLOOKUP(D388,[1]CODE!$A$4:$A$100,[1]CODE!$D$4:$D$100),"")</f>
        <v/>
      </c>
      <c r="X388" s="5" t="str">
        <f t="array" ref="X388">IF(NOT(AND(ISBLANK(D388),ISBLANK(C388))),_xludf.XLOOKUP(D388,[1]CODE!$A$4:$A$100,[1]CODE!$E$4:$E$100),"")</f>
        <v/>
      </c>
      <c r="Y388" s="5" t="str">
        <f t="shared" si="40"/>
        <v/>
      </c>
      <c r="Z388" s="5" t="str">
        <f t="shared" si="41"/>
        <v/>
      </c>
      <c r="AA388" s="4">
        <f t="shared" si="42"/>
        <v>0</v>
      </c>
      <c r="AC388" s="2"/>
    </row>
    <row r="389" spans="1:29" ht="15.5">
      <c r="A389" s="13" t="str">
        <f>IF(OR(ISBLANK(C389),ISBLANK(D389),ISBLANK(F389),ISBLANK(G389)),"",COUNTIF($B$5:B389,"JAMBUTU"))</f>
        <v/>
      </c>
      <c r="B389" s="8" t="str">
        <f t="shared" si="44"/>
        <v/>
      </c>
      <c r="C389" s="8"/>
      <c r="D389" s="8"/>
      <c r="E389" s="13"/>
      <c r="F389" s="12"/>
      <c r="G389" s="11"/>
      <c r="H389" s="12"/>
      <c r="I389" s="11"/>
      <c r="J389" s="10">
        <f t="shared" si="43"/>
        <v>0</v>
      </c>
      <c r="K389" s="10">
        <f t="shared" ref="K389:K452" si="45">DATE(YEAR(H389),MONTH(H389),DAY(H389))+TIME(HOUR(I389),MINUTE(I389), SECOND(I389))</f>
        <v>0</v>
      </c>
      <c r="L389" s="9" t="str">
        <f t="shared" ref="L389:L452" si="46">IF(ISBLANK(I389),"",IF(J389&gt;K389,(K389+1)-J389,K389-J389))</f>
        <v/>
      </c>
      <c r="M389" s="8"/>
      <c r="N389" s="8"/>
      <c r="O389" s="8"/>
      <c r="P389" s="8"/>
      <c r="Q389" s="8"/>
      <c r="R389" s="8"/>
      <c r="S389" s="8"/>
      <c r="T389" s="8"/>
      <c r="U389" s="8"/>
      <c r="V389" s="7"/>
      <c r="W389" s="6" t="str">
        <f t="array" ref="W389">IF(NOT(ISBLANK(D389)),_xludf.XLOOKUP(D389,[1]CODE!$A$4:$A$100,[1]CODE!$D$4:$D$100),"")</f>
        <v/>
      </c>
      <c r="X389" s="5" t="str">
        <f t="array" ref="X389">IF(NOT(AND(ISBLANK(D389),ISBLANK(C389))),_xludf.XLOOKUP(D389,[1]CODE!$A$4:$A$100,[1]CODE!$E$4:$E$100),"")</f>
        <v/>
      </c>
      <c r="Y389" s="5" t="str">
        <f t="shared" ref="Y389:Y452" si="47">LEFT(C389,4)</f>
        <v/>
      </c>
      <c r="Z389" s="5" t="str">
        <f t="shared" ref="Z389:Z452" si="48">IF(NOT(ISBLANK(C389)), IF(K389&gt;J389,"YES","NO"),"")</f>
        <v/>
      </c>
      <c r="AA389" s="4">
        <f t="shared" ref="AA389:AA452" si="49">IF(AND(F389=H389,Z389="NO"),1+H389,H389)</f>
        <v>0</v>
      </c>
      <c r="AC389" s="2"/>
    </row>
    <row r="390" spans="1:29" ht="15.5">
      <c r="A390" s="13" t="str">
        <f>IF(OR(ISBLANK(C390),ISBLANK(D390),ISBLANK(F390),ISBLANK(G390)),"",COUNTIF($B$5:B390,"JAMBUTU"))</f>
        <v/>
      </c>
      <c r="B390" s="8" t="str">
        <f t="shared" si="44"/>
        <v/>
      </c>
      <c r="C390" s="8"/>
      <c r="D390" s="8"/>
      <c r="E390" s="13"/>
      <c r="F390" s="12"/>
      <c r="G390" s="11"/>
      <c r="H390" s="12"/>
      <c r="I390" s="11"/>
      <c r="J390" s="10">
        <f t="shared" si="43"/>
        <v>0</v>
      </c>
      <c r="K390" s="10">
        <f t="shared" si="45"/>
        <v>0</v>
      </c>
      <c r="L390" s="9" t="str">
        <f t="shared" si="46"/>
        <v/>
      </c>
      <c r="M390" s="8"/>
      <c r="N390" s="8"/>
      <c r="O390" s="8"/>
      <c r="P390" s="8"/>
      <c r="Q390" s="8"/>
      <c r="R390" s="8"/>
      <c r="S390" s="8"/>
      <c r="T390" s="8"/>
      <c r="U390" s="8"/>
      <c r="V390" s="7"/>
      <c r="W390" s="6" t="str">
        <f t="array" ref="W390">IF(NOT(ISBLANK(D390)),_xludf.XLOOKUP(D390,[1]CODE!$A$4:$A$100,[1]CODE!$D$4:$D$100),"")</f>
        <v/>
      </c>
      <c r="X390" s="5" t="str">
        <f t="array" ref="X390">IF(NOT(AND(ISBLANK(D390),ISBLANK(C390))),_xludf.XLOOKUP(D390,[1]CODE!$A$4:$A$100,[1]CODE!$E$4:$E$100),"")</f>
        <v/>
      </c>
      <c r="Y390" s="5" t="str">
        <f t="shared" si="47"/>
        <v/>
      </c>
      <c r="Z390" s="5" t="str">
        <f t="shared" si="48"/>
        <v/>
      </c>
      <c r="AA390" s="4">
        <f t="shared" si="49"/>
        <v>0</v>
      </c>
      <c r="AC390" s="2"/>
    </row>
    <row r="391" spans="1:29" ht="15.5">
      <c r="A391" s="13" t="str">
        <f>IF(OR(ISBLANK(C391),ISBLANK(D391),ISBLANK(F391),ISBLANK(G391)),"",COUNTIF($B$5:B391,"JAMBUTU"))</f>
        <v/>
      </c>
      <c r="B391" s="8" t="str">
        <f t="shared" si="44"/>
        <v/>
      </c>
      <c r="C391" s="8"/>
      <c r="D391" s="8"/>
      <c r="E391" s="13"/>
      <c r="F391" s="12"/>
      <c r="G391" s="11"/>
      <c r="H391" s="12"/>
      <c r="I391" s="11"/>
      <c r="J391" s="10">
        <f t="shared" si="43"/>
        <v>0</v>
      </c>
      <c r="K391" s="10">
        <f t="shared" si="45"/>
        <v>0</v>
      </c>
      <c r="L391" s="9" t="str">
        <f t="shared" si="46"/>
        <v/>
      </c>
      <c r="M391" s="8"/>
      <c r="N391" s="8"/>
      <c r="O391" s="8"/>
      <c r="P391" s="8"/>
      <c r="Q391" s="8"/>
      <c r="R391" s="8"/>
      <c r="S391" s="8"/>
      <c r="T391" s="8"/>
      <c r="U391" s="8"/>
      <c r="V391" s="7"/>
      <c r="W391" s="6" t="str">
        <f t="array" ref="W391">IF(NOT(ISBLANK(D391)),_xludf.XLOOKUP(D391,[1]CODE!$A$4:$A$100,[1]CODE!$D$4:$D$100),"")</f>
        <v/>
      </c>
      <c r="X391" s="5" t="str">
        <f t="array" ref="X391">IF(NOT(AND(ISBLANK(D391),ISBLANK(C391))),_xludf.XLOOKUP(D391,[1]CODE!$A$4:$A$100,[1]CODE!$E$4:$E$100),"")</f>
        <v/>
      </c>
      <c r="Y391" s="5" t="str">
        <f t="shared" si="47"/>
        <v/>
      </c>
      <c r="Z391" s="5" t="str">
        <f t="shared" si="48"/>
        <v/>
      </c>
      <c r="AA391" s="4">
        <f t="shared" si="49"/>
        <v>0</v>
      </c>
      <c r="AC391" s="2"/>
    </row>
    <row r="392" spans="1:29" ht="15.5">
      <c r="A392" s="13" t="str">
        <f>IF(OR(ISBLANK(C392),ISBLANK(D392),ISBLANK(F392),ISBLANK(G392)),"",COUNTIF($B$5:B392,"JAMBUTU"))</f>
        <v/>
      </c>
      <c r="B392" s="8" t="str">
        <f t="shared" si="44"/>
        <v/>
      </c>
      <c r="C392" s="8"/>
      <c r="D392" s="8"/>
      <c r="E392" s="13"/>
      <c r="F392" s="12"/>
      <c r="G392" s="11"/>
      <c r="H392" s="12"/>
      <c r="I392" s="11"/>
      <c r="J392" s="10">
        <f t="shared" si="43"/>
        <v>0</v>
      </c>
      <c r="K392" s="10">
        <f t="shared" si="45"/>
        <v>0</v>
      </c>
      <c r="L392" s="9" t="str">
        <f t="shared" si="46"/>
        <v/>
      </c>
      <c r="M392" s="8"/>
      <c r="N392" s="8"/>
      <c r="O392" s="8"/>
      <c r="P392" s="8"/>
      <c r="Q392" s="8"/>
      <c r="R392" s="8"/>
      <c r="S392" s="8"/>
      <c r="T392" s="8"/>
      <c r="U392" s="8"/>
      <c r="V392" s="7"/>
      <c r="W392" s="6" t="str">
        <f t="array" ref="W392">IF(NOT(ISBLANK(D392)),_xludf.XLOOKUP(D392,[1]CODE!$A$4:$A$100,[1]CODE!$D$4:$D$100),"")</f>
        <v/>
      </c>
      <c r="X392" s="5" t="str">
        <f t="array" ref="X392">IF(NOT(AND(ISBLANK(D392),ISBLANK(C392))),_xludf.XLOOKUP(D392,[1]CODE!$A$4:$A$100,[1]CODE!$E$4:$E$100),"")</f>
        <v/>
      </c>
      <c r="Y392" s="5" t="str">
        <f t="shared" si="47"/>
        <v/>
      </c>
      <c r="Z392" s="5" t="str">
        <f t="shared" si="48"/>
        <v/>
      </c>
      <c r="AA392" s="4">
        <f t="shared" si="49"/>
        <v>0</v>
      </c>
      <c r="AC392" s="2"/>
    </row>
    <row r="393" spans="1:29" ht="15.5">
      <c r="A393" s="13" t="str">
        <f>IF(OR(ISBLANK(C393),ISBLANK(D393),ISBLANK(F393),ISBLANK(G393)),"",COUNTIF($B$5:B393,"JAMBUTU"))</f>
        <v/>
      </c>
      <c r="B393" s="8" t="str">
        <f t="shared" si="44"/>
        <v/>
      </c>
      <c r="C393" s="8"/>
      <c r="D393" s="8"/>
      <c r="E393" s="13"/>
      <c r="F393" s="12"/>
      <c r="G393" s="11"/>
      <c r="H393" s="12"/>
      <c r="I393" s="11"/>
      <c r="J393" s="10">
        <f t="shared" si="43"/>
        <v>0</v>
      </c>
      <c r="K393" s="10">
        <f t="shared" si="45"/>
        <v>0</v>
      </c>
      <c r="L393" s="9" t="str">
        <f t="shared" si="46"/>
        <v/>
      </c>
      <c r="M393" s="8"/>
      <c r="N393" s="8"/>
      <c r="O393" s="8"/>
      <c r="P393" s="8"/>
      <c r="Q393" s="8"/>
      <c r="R393" s="8"/>
      <c r="S393" s="8"/>
      <c r="T393" s="8"/>
      <c r="U393" s="8"/>
      <c r="V393" s="7"/>
      <c r="W393" s="6" t="str">
        <f t="array" ref="W393">IF(NOT(ISBLANK(D393)),_xludf.XLOOKUP(D393,[1]CODE!$A$4:$A$100,[1]CODE!$D$4:$D$100),"")</f>
        <v/>
      </c>
      <c r="X393" s="5" t="str">
        <f t="array" ref="X393">IF(NOT(AND(ISBLANK(D393),ISBLANK(C393))),_xludf.XLOOKUP(D393,[1]CODE!$A$4:$A$100,[1]CODE!$E$4:$E$100),"")</f>
        <v/>
      </c>
      <c r="Y393" s="5" t="str">
        <f t="shared" si="47"/>
        <v/>
      </c>
      <c r="Z393" s="5" t="str">
        <f t="shared" si="48"/>
        <v/>
      </c>
      <c r="AA393" s="4">
        <f t="shared" si="49"/>
        <v>0</v>
      </c>
      <c r="AC393" s="2"/>
    </row>
    <row r="394" spans="1:29" ht="15.5">
      <c r="A394" s="13" t="str">
        <f>IF(OR(ISBLANK(C394),ISBLANK(D394),ISBLANK(F394),ISBLANK(G394)),"",COUNTIF($B$5:B394,"JAMBUTU"))</f>
        <v/>
      </c>
      <c r="B394" s="8" t="str">
        <f t="shared" si="44"/>
        <v/>
      </c>
      <c r="C394" s="8"/>
      <c r="D394" s="8"/>
      <c r="E394" s="13"/>
      <c r="F394" s="12"/>
      <c r="G394" s="11"/>
      <c r="H394" s="12"/>
      <c r="I394" s="11"/>
      <c r="J394" s="10">
        <f t="shared" si="43"/>
        <v>0</v>
      </c>
      <c r="K394" s="10">
        <f t="shared" si="45"/>
        <v>0</v>
      </c>
      <c r="L394" s="9" t="str">
        <f t="shared" si="46"/>
        <v/>
      </c>
      <c r="M394" s="8"/>
      <c r="N394" s="8"/>
      <c r="O394" s="8"/>
      <c r="P394" s="8"/>
      <c r="Q394" s="8"/>
      <c r="R394" s="8"/>
      <c r="S394" s="8"/>
      <c r="T394" s="8"/>
      <c r="U394" s="8"/>
      <c r="V394" s="7"/>
      <c r="W394" s="6" t="str">
        <f t="array" ref="W394">IF(NOT(ISBLANK(D394)),_xludf.XLOOKUP(D394,[1]CODE!$A$4:$A$100,[1]CODE!$D$4:$D$100),"")</f>
        <v/>
      </c>
      <c r="X394" s="5" t="str">
        <f t="array" ref="X394">IF(NOT(AND(ISBLANK(D394),ISBLANK(C394))),_xludf.XLOOKUP(D394,[1]CODE!$A$4:$A$100,[1]CODE!$E$4:$E$100),"")</f>
        <v/>
      </c>
      <c r="Y394" s="5" t="str">
        <f t="shared" si="47"/>
        <v/>
      </c>
      <c r="Z394" s="5" t="str">
        <f t="shared" si="48"/>
        <v/>
      </c>
      <c r="AA394" s="4">
        <f t="shared" si="49"/>
        <v>0</v>
      </c>
      <c r="AC394" s="2"/>
    </row>
    <row r="395" spans="1:29" ht="15.5">
      <c r="A395" s="13" t="str">
        <f>IF(OR(ISBLANK(C395),ISBLANK(D395),ISBLANK(F395),ISBLANK(G395)),"",COUNTIF($B$5:B395,"JAMBUTU"))</f>
        <v/>
      </c>
      <c r="B395" s="8" t="str">
        <f t="shared" si="44"/>
        <v/>
      </c>
      <c r="C395" s="8"/>
      <c r="D395" s="8"/>
      <c r="E395" s="13"/>
      <c r="F395" s="12"/>
      <c r="G395" s="11"/>
      <c r="H395" s="12"/>
      <c r="I395" s="11"/>
      <c r="J395" s="10">
        <f t="shared" si="43"/>
        <v>0</v>
      </c>
      <c r="K395" s="10">
        <f t="shared" si="45"/>
        <v>0</v>
      </c>
      <c r="L395" s="9" t="str">
        <f t="shared" si="46"/>
        <v/>
      </c>
      <c r="M395" s="8"/>
      <c r="N395" s="8"/>
      <c r="O395" s="8"/>
      <c r="P395" s="8"/>
      <c r="Q395" s="8"/>
      <c r="R395" s="8"/>
      <c r="S395" s="8"/>
      <c r="T395" s="8"/>
      <c r="U395" s="8"/>
      <c r="V395" s="7"/>
      <c r="W395" s="6" t="str">
        <f t="array" ref="W395">IF(NOT(ISBLANK(D395)),_xludf.XLOOKUP(D395,[1]CODE!$A$4:$A$100,[1]CODE!$D$4:$D$100),"")</f>
        <v/>
      </c>
      <c r="X395" s="5" t="str">
        <f t="array" ref="X395">IF(NOT(AND(ISBLANK(D395),ISBLANK(C395))),_xludf.XLOOKUP(D395,[1]CODE!$A$4:$A$100,[1]CODE!$E$4:$E$100),"")</f>
        <v/>
      </c>
      <c r="Y395" s="5" t="str">
        <f t="shared" si="47"/>
        <v/>
      </c>
      <c r="Z395" s="5" t="str">
        <f t="shared" si="48"/>
        <v/>
      </c>
      <c r="AA395" s="4">
        <f t="shared" si="49"/>
        <v>0</v>
      </c>
      <c r="AC395" s="2"/>
    </row>
    <row r="396" spans="1:29" ht="15.5">
      <c r="A396" s="13" t="str">
        <f>IF(OR(ISBLANK(C396),ISBLANK(D396),ISBLANK(F396),ISBLANK(G396)),"",COUNTIF($B$5:B396,"JAMBUTU"))</f>
        <v/>
      </c>
      <c r="B396" s="8" t="str">
        <f t="shared" si="44"/>
        <v/>
      </c>
      <c r="C396" s="8"/>
      <c r="D396" s="8"/>
      <c r="E396" s="13"/>
      <c r="F396" s="12"/>
      <c r="G396" s="11"/>
      <c r="H396" s="12"/>
      <c r="I396" s="11"/>
      <c r="J396" s="10">
        <f t="shared" si="43"/>
        <v>0</v>
      </c>
      <c r="K396" s="10">
        <f t="shared" si="45"/>
        <v>0</v>
      </c>
      <c r="L396" s="9" t="str">
        <f t="shared" si="46"/>
        <v/>
      </c>
      <c r="M396" s="8"/>
      <c r="N396" s="8"/>
      <c r="O396" s="8"/>
      <c r="P396" s="8"/>
      <c r="Q396" s="8"/>
      <c r="R396" s="8"/>
      <c r="S396" s="8"/>
      <c r="T396" s="8"/>
      <c r="U396" s="8"/>
      <c r="V396" s="7"/>
      <c r="W396" s="6" t="str">
        <f t="array" ref="W396">IF(NOT(ISBLANK(D396)),_xludf.XLOOKUP(D396,[1]CODE!$A$4:$A$100,[1]CODE!$D$4:$D$100),"")</f>
        <v/>
      </c>
      <c r="X396" s="5" t="str">
        <f t="array" ref="X396">IF(NOT(AND(ISBLANK(D396),ISBLANK(C396))),_xludf.XLOOKUP(D396,[1]CODE!$A$4:$A$100,[1]CODE!$E$4:$E$100),"")</f>
        <v/>
      </c>
      <c r="Y396" s="5" t="str">
        <f t="shared" si="47"/>
        <v/>
      </c>
      <c r="Z396" s="5" t="str">
        <f t="shared" si="48"/>
        <v/>
      </c>
      <c r="AA396" s="4">
        <f t="shared" si="49"/>
        <v>0</v>
      </c>
      <c r="AC396" s="2"/>
    </row>
    <row r="397" spans="1:29" ht="15.5">
      <c r="A397" s="13" t="str">
        <f>IF(OR(ISBLANK(C397),ISBLANK(D397),ISBLANK(F397),ISBLANK(G397)),"",COUNTIF($B$5:B397,"JAMBUTU"))</f>
        <v/>
      </c>
      <c r="B397" s="8" t="str">
        <f t="shared" si="44"/>
        <v/>
      </c>
      <c r="C397" s="8"/>
      <c r="D397" s="8"/>
      <c r="E397" s="13"/>
      <c r="F397" s="12"/>
      <c r="G397" s="11"/>
      <c r="H397" s="12"/>
      <c r="I397" s="11"/>
      <c r="J397" s="10">
        <f t="shared" si="43"/>
        <v>0</v>
      </c>
      <c r="K397" s="10">
        <f t="shared" si="45"/>
        <v>0</v>
      </c>
      <c r="L397" s="9" t="str">
        <f t="shared" si="46"/>
        <v/>
      </c>
      <c r="M397" s="8"/>
      <c r="N397" s="8"/>
      <c r="O397" s="8"/>
      <c r="P397" s="8"/>
      <c r="Q397" s="8"/>
      <c r="R397" s="8"/>
      <c r="S397" s="8"/>
      <c r="T397" s="8"/>
      <c r="U397" s="8"/>
      <c r="V397" s="7"/>
      <c r="W397" s="6" t="str">
        <f t="array" ref="W397">IF(NOT(ISBLANK(D397)),_xludf.XLOOKUP(D397,[1]CODE!$A$4:$A$100,[1]CODE!$D$4:$D$100),"")</f>
        <v/>
      </c>
      <c r="X397" s="5" t="str">
        <f t="array" ref="X397">IF(NOT(AND(ISBLANK(D397),ISBLANK(C397))),_xludf.XLOOKUP(D397,[1]CODE!$A$4:$A$100,[1]CODE!$E$4:$E$100),"")</f>
        <v/>
      </c>
      <c r="Y397" s="5" t="str">
        <f t="shared" si="47"/>
        <v/>
      </c>
      <c r="Z397" s="5" t="str">
        <f t="shared" si="48"/>
        <v/>
      </c>
      <c r="AA397" s="4">
        <f t="shared" si="49"/>
        <v>0</v>
      </c>
      <c r="AC397" s="2"/>
    </row>
    <row r="398" spans="1:29" ht="15.5">
      <c r="A398" s="13" t="str">
        <f>IF(OR(ISBLANK(C398),ISBLANK(D398),ISBLANK(F398),ISBLANK(G398)),"",COUNTIF($B$5:B398,"JAMBUTU"))</f>
        <v/>
      </c>
      <c r="B398" s="8" t="str">
        <f t="shared" si="44"/>
        <v/>
      </c>
      <c r="C398" s="8"/>
      <c r="D398" s="8"/>
      <c r="E398" s="13"/>
      <c r="F398" s="12"/>
      <c r="G398" s="11"/>
      <c r="H398" s="12"/>
      <c r="I398" s="11"/>
      <c r="J398" s="10">
        <f t="shared" si="43"/>
        <v>0</v>
      </c>
      <c r="K398" s="10">
        <f t="shared" si="45"/>
        <v>0</v>
      </c>
      <c r="L398" s="9" t="str">
        <f t="shared" si="46"/>
        <v/>
      </c>
      <c r="M398" s="8"/>
      <c r="N398" s="8"/>
      <c r="O398" s="8"/>
      <c r="P398" s="8"/>
      <c r="Q398" s="8"/>
      <c r="R398" s="8"/>
      <c r="S398" s="8"/>
      <c r="T398" s="8"/>
      <c r="U398" s="8"/>
      <c r="V398" s="7"/>
      <c r="W398" s="6" t="str">
        <f t="array" ref="W398">IF(NOT(ISBLANK(D398)),_xludf.XLOOKUP(D398,[1]CODE!$A$4:$A$100,[1]CODE!$D$4:$D$100),"")</f>
        <v/>
      </c>
      <c r="X398" s="5" t="str">
        <f t="array" ref="X398">IF(NOT(AND(ISBLANK(D398),ISBLANK(C398))),_xludf.XLOOKUP(D398,[1]CODE!$A$4:$A$100,[1]CODE!$E$4:$E$100),"")</f>
        <v/>
      </c>
      <c r="Y398" s="5" t="str">
        <f t="shared" si="47"/>
        <v/>
      </c>
      <c r="Z398" s="5" t="str">
        <f t="shared" si="48"/>
        <v/>
      </c>
      <c r="AA398" s="4">
        <f t="shared" si="49"/>
        <v>0</v>
      </c>
      <c r="AC398" s="2"/>
    </row>
    <row r="399" spans="1:29" ht="15.5">
      <c r="A399" s="13" t="str">
        <f>IF(OR(ISBLANK(C399),ISBLANK(D399),ISBLANK(F399),ISBLANK(G399)),"",COUNTIF($B$5:B399,"JAMBUTU"))</f>
        <v/>
      </c>
      <c r="B399" s="8" t="str">
        <f t="shared" si="44"/>
        <v/>
      </c>
      <c r="C399" s="8"/>
      <c r="D399" s="8"/>
      <c r="E399" s="13"/>
      <c r="F399" s="12"/>
      <c r="G399" s="11"/>
      <c r="H399" s="12"/>
      <c r="I399" s="11"/>
      <c r="J399" s="10">
        <f t="shared" si="43"/>
        <v>0</v>
      </c>
      <c r="K399" s="10">
        <f t="shared" si="45"/>
        <v>0</v>
      </c>
      <c r="L399" s="9" t="str">
        <f t="shared" si="46"/>
        <v/>
      </c>
      <c r="M399" s="8"/>
      <c r="N399" s="8"/>
      <c r="O399" s="8"/>
      <c r="P399" s="8"/>
      <c r="Q399" s="8"/>
      <c r="R399" s="8"/>
      <c r="S399" s="8"/>
      <c r="T399" s="8"/>
      <c r="U399" s="8"/>
      <c r="V399" s="7"/>
      <c r="W399" s="6" t="str">
        <f t="array" ref="W399">IF(NOT(ISBLANK(D399)),_xludf.XLOOKUP(D399,[1]CODE!$A$4:$A$100,[1]CODE!$D$4:$D$100),"")</f>
        <v/>
      </c>
      <c r="X399" s="5" t="str">
        <f t="array" ref="X399">IF(NOT(AND(ISBLANK(D399),ISBLANK(C399))),_xludf.XLOOKUP(D399,[1]CODE!$A$4:$A$100,[1]CODE!$E$4:$E$100),"")</f>
        <v/>
      </c>
      <c r="Y399" s="5" t="str">
        <f t="shared" si="47"/>
        <v/>
      </c>
      <c r="Z399" s="5" t="str">
        <f t="shared" si="48"/>
        <v/>
      </c>
      <c r="AA399" s="4">
        <f t="shared" si="49"/>
        <v>0</v>
      </c>
      <c r="AC399" s="2"/>
    </row>
    <row r="400" spans="1:29" ht="15.5">
      <c r="A400" s="13" t="str">
        <f>IF(OR(ISBLANK(C400),ISBLANK(D400),ISBLANK(F400),ISBLANK(G400)),"",COUNTIF($B$5:B400,"JAMBUTU"))</f>
        <v/>
      </c>
      <c r="B400" s="8" t="str">
        <f t="shared" si="44"/>
        <v/>
      </c>
      <c r="C400" s="8"/>
      <c r="D400" s="8"/>
      <c r="E400" s="13"/>
      <c r="F400" s="12"/>
      <c r="G400" s="11"/>
      <c r="H400" s="12"/>
      <c r="I400" s="11"/>
      <c r="J400" s="10">
        <f t="shared" si="43"/>
        <v>0</v>
      </c>
      <c r="K400" s="10">
        <f t="shared" si="45"/>
        <v>0</v>
      </c>
      <c r="L400" s="9" t="str">
        <f t="shared" si="46"/>
        <v/>
      </c>
      <c r="M400" s="8"/>
      <c r="N400" s="8"/>
      <c r="O400" s="8"/>
      <c r="P400" s="8"/>
      <c r="Q400" s="8"/>
      <c r="R400" s="8"/>
      <c r="S400" s="8"/>
      <c r="T400" s="8"/>
      <c r="U400" s="8"/>
      <c r="V400" s="7"/>
      <c r="W400" s="6" t="str">
        <f t="array" ref="W400">IF(NOT(ISBLANK(D400)),_xludf.XLOOKUP(D400,[1]CODE!$A$4:$A$100,[1]CODE!$D$4:$D$100),"")</f>
        <v/>
      </c>
      <c r="X400" s="5" t="str">
        <f t="array" ref="X400">IF(NOT(AND(ISBLANK(D400),ISBLANK(C400))),_xludf.XLOOKUP(D400,[1]CODE!$A$4:$A$100,[1]CODE!$E$4:$E$100),"")</f>
        <v/>
      </c>
      <c r="Y400" s="5" t="str">
        <f t="shared" si="47"/>
        <v/>
      </c>
      <c r="Z400" s="5" t="str">
        <f t="shared" si="48"/>
        <v/>
      </c>
      <c r="AA400" s="4">
        <f t="shared" si="49"/>
        <v>0</v>
      </c>
      <c r="AC400" s="2"/>
    </row>
    <row r="401" spans="1:29" ht="15.5">
      <c r="A401" s="13" t="str">
        <f>IF(OR(ISBLANK(C401),ISBLANK(D401),ISBLANK(F401),ISBLANK(G401)),"",COUNTIF($B$5:B401,"JAMBUTU"))</f>
        <v/>
      </c>
      <c r="B401" s="8" t="str">
        <f t="shared" si="44"/>
        <v/>
      </c>
      <c r="C401" s="8"/>
      <c r="D401" s="8"/>
      <c r="E401" s="13"/>
      <c r="F401" s="12"/>
      <c r="G401" s="11"/>
      <c r="H401" s="12"/>
      <c r="I401" s="11"/>
      <c r="J401" s="10">
        <f t="shared" si="43"/>
        <v>0</v>
      </c>
      <c r="K401" s="10">
        <f t="shared" si="45"/>
        <v>0</v>
      </c>
      <c r="L401" s="9" t="str">
        <f t="shared" si="46"/>
        <v/>
      </c>
      <c r="M401" s="8"/>
      <c r="N401" s="8"/>
      <c r="O401" s="8"/>
      <c r="P401" s="8"/>
      <c r="Q401" s="8"/>
      <c r="R401" s="8"/>
      <c r="S401" s="8"/>
      <c r="T401" s="8"/>
      <c r="U401" s="8"/>
      <c r="V401" s="7"/>
      <c r="W401" s="6" t="str">
        <f t="array" ref="W401">IF(NOT(ISBLANK(D401)),_xludf.XLOOKUP(D401,[1]CODE!$A$4:$A$100,[1]CODE!$D$4:$D$100),"")</f>
        <v/>
      </c>
      <c r="X401" s="5" t="str">
        <f t="array" ref="X401">IF(NOT(AND(ISBLANK(D401),ISBLANK(C401))),_xludf.XLOOKUP(D401,[1]CODE!$A$4:$A$100,[1]CODE!$E$4:$E$100),"")</f>
        <v/>
      </c>
      <c r="Y401" s="5" t="str">
        <f t="shared" si="47"/>
        <v/>
      </c>
      <c r="Z401" s="5" t="str">
        <f t="shared" si="48"/>
        <v/>
      </c>
      <c r="AA401" s="4">
        <f t="shared" si="49"/>
        <v>0</v>
      </c>
      <c r="AC401" s="2"/>
    </row>
    <row r="402" spans="1:29" ht="15.5">
      <c r="A402" s="13" t="str">
        <f>IF(OR(ISBLANK(C402),ISBLANK(D402),ISBLANK(F402),ISBLANK(G402)),"",COUNTIF($B$5:B402,"JAMBUTU"))</f>
        <v/>
      </c>
      <c r="B402" s="8" t="str">
        <f t="shared" si="44"/>
        <v/>
      </c>
      <c r="C402" s="8"/>
      <c r="D402" s="8"/>
      <c r="E402" s="13"/>
      <c r="F402" s="12"/>
      <c r="G402" s="11"/>
      <c r="H402" s="12"/>
      <c r="I402" s="11"/>
      <c r="J402" s="10">
        <f t="shared" si="43"/>
        <v>0</v>
      </c>
      <c r="K402" s="10">
        <f t="shared" si="45"/>
        <v>0</v>
      </c>
      <c r="L402" s="9" t="str">
        <f t="shared" si="46"/>
        <v/>
      </c>
      <c r="M402" s="8"/>
      <c r="N402" s="8"/>
      <c r="O402" s="8"/>
      <c r="P402" s="8"/>
      <c r="Q402" s="8"/>
      <c r="R402" s="8"/>
      <c r="S402" s="8"/>
      <c r="T402" s="8"/>
      <c r="U402" s="8"/>
      <c r="V402" s="7"/>
      <c r="W402" s="6" t="str">
        <f t="array" ref="W402">IF(NOT(ISBLANK(D402)),_xludf.XLOOKUP(D402,[1]CODE!$A$4:$A$100,[1]CODE!$D$4:$D$100),"")</f>
        <v/>
      </c>
      <c r="X402" s="5" t="str">
        <f t="array" ref="X402">IF(NOT(AND(ISBLANK(D402),ISBLANK(C402))),_xludf.XLOOKUP(D402,[1]CODE!$A$4:$A$100,[1]CODE!$E$4:$E$100),"")</f>
        <v/>
      </c>
      <c r="Y402" s="5" t="str">
        <f t="shared" si="47"/>
        <v/>
      </c>
      <c r="Z402" s="5" t="str">
        <f t="shared" si="48"/>
        <v/>
      </c>
      <c r="AA402" s="4">
        <f t="shared" si="49"/>
        <v>0</v>
      </c>
      <c r="AC402" s="2"/>
    </row>
    <row r="403" spans="1:29" ht="15.5">
      <c r="A403" s="13" t="str">
        <f>IF(OR(ISBLANK(C403),ISBLANK(D403),ISBLANK(F403),ISBLANK(G403)),"",COUNTIF($B$5:B403,"JAMBUTU"))</f>
        <v/>
      </c>
      <c r="B403" s="8" t="str">
        <f t="shared" si="44"/>
        <v/>
      </c>
      <c r="C403" s="8"/>
      <c r="D403" s="8"/>
      <c r="E403" s="13"/>
      <c r="F403" s="12"/>
      <c r="G403" s="17"/>
      <c r="H403" s="12"/>
      <c r="I403" s="17"/>
      <c r="J403" s="10">
        <f t="shared" si="43"/>
        <v>0</v>
      </c>
      <c r="K403" s="10">
        <f t="shared" si="45"/>
        <v>0</v>
      </c>
      <c r="L403" s="9" t="str">
        <f t="shared" si="46"/>
        <v/>
      </c>
      <c r="M403" s="8"/>
      <c r="N403" s="8"/>
      <c r="O403" s="8"/>
      <c r="P403" s="8"/>
      <c r="Q403" s="8"/>
      <c r="R403" s="8"/>
      <c r="S403" s="8"/>
      <c r="T403" s="8"/>
      <c r="U403" s="8"/>
      <c r="V403" s="7"/>
      <c r="W403" s="6" t="str">
        <f t="array" ref="W403">IF(NOT(ISBLANK(D403)),_xludf.XLOOKUP(D403,[1]CODE!$A$4:$A$100,[1]CODE!$D$4:$D$100),"")</f>
        <v/>
      </c>
      <c r="X403" s="5" t="str">
        <f t="array" ref="X403">IF(NOT(AND(ISBLANK(D403),ISBLANK(C403))),_xludf.XLOOKUP(D403,[1]CODE!$A$4:$A$100,[1]CODE!$E$4:$E$100),"")</f>
        <v/>
      </c>
      <c r="Y403" s="5" t="str">
        <f t="shared" si="47"/>
        <v/>
      </c>
      <c r="Z403" s="5" t="str">
        <f t="shared" si="48"/>
        <v/>
      </c>
      <c r="AA403" s="4">
        <f t="shared" si="49"/>
        <v>0</v>
      </c>
      <c r="AC403" s="2"/>
    </row>
    <row r="404" spans="1:29" ht="15.5">
      <c r="A404" s="13" t="str">
        <f>IF(OR(ISBLANK(C404),ISBLANK(D404),ISBLANK(F404),ISBLANK(G404)),"",COUNTIF($B$5:B404,"JAMBUTU"))</f>
        <v/>
      </c>
      <c r="B404" s="8" t="str">
        <f t="shared" si="44"/>
        <v/>
      </c>
      <c r="C404" s="8"/>
      <c r="D404" s="8"/>
      <c r="E404" s="13"/>
      <c r="F404" s="12"/>
      <c r="G404" s="19"/>
      <c r="H404" s="12"/>
      <c r="I404" s="19"/>
      <c r="J404" s="10">
        <f t="shared" si="43"/>
        <v>0</v>
      </c>
      <c r="K404" s="10">
        <f t="shared" si="45"/>
        <v>0</v>
      </c>
      <c r="L404" s="9" t="str">
        <f t="shared" si="46"/>
        <v/>
      </c>
      <c r="M404" s="8"/>
      <c r="N404" s="8"/>
      <c r="O404" s="8"/>
      <c r="P404" s="8"/>
      <c r="Q404" s="8"/>
      <c r="R404" s="8"/>
      <c r="S404" s="8"/>
      <c r="T404" s="8"/>
      <c r="U404" s="8"/>
      <c r="V404" s="7"/>
      <c r="W404" s="6" t="str">
        <f t="array" ref="W404">IF(NOT(ISBLANK(D404)),_xludf.XLOOKUP(D404,[1]CODE!$A$4:$A$100,[1]CODE!$D$4:$D$100),"")</f>
        <v/>
      </c>
      <c r="X404" s="5" t="str">
        <f t="array" ref="X404">IF(NOT(AND(ISBLANK(D404),ISBLANK(C404))),_xludf.XLOOKUP(D404,[1]CODE!$A$4:$A$100,[1]CODE!$E$4:$E$100),"")</f>
        <v/>
      </c>
      <c r="Y404" s="5" t="str">
        <f t="shared" si="47"/>
        <v/>
      </c>
      <c r="Z404" s="5" t="str">
        <f t="shared" si="48"/>
        <v/>
      </c>
      <c r="AA404" s="4">
        <f t="shared" si="49"/>
        <v>0</v>
      </c>
      <c r="AC404" s="2"/>
    </row>
    <row r="405" spans="1:29" ht="15.5">
      <c r="A405" s="13" t="str">
        <f>IF(OR(ISBLANK(C405),ISBLANK(D405),ISBLANK(F405),ISBLANK(G405)),"",COUNTIF($B$5:B405,"JAMBUTU"))</f>
        <v/>
      </c>
      <c r="B405" s="8" t="str">
        <f t="shared" si="44"/>
        <v/>
      </c>
      <c r="C405" s="8"/>
      <c r="D405" s="8"/>
      <c r="E405" s="13"/>
      <c r="F405" s="12"/>
      <c r="G405" s="17"/>
      <c r="H405" s="12"/>
      <c r="I405" s="17"/>
      <c r="J405" s="10">
        <f t="shared" si="43"/>
        <v>0</v>
      </c>
      <c r="K405" s="10">
        <f t="shared" si="45"/>
        <v>0</v>
      </c>
      <c r="L405" s="9" t="str">
        <f t="shared" si="46"/>
        <v/>
      </c>
      <c r="M405" s="8"/>
      <c r="N405" s="8"/>
      <c r="O405" s="8"/>
      <c r="P405" s="8"/>
      <c r="Q405" s="8"/>
      <c r="R405" s="8"/>
      <c r="S405" s="8"/>
      <c r="T405" s="8"/>
      <c r="U405" s="8"/>
      <c r="V405" s="7"/>
      <c r="W405" s="6" t="str">
        <f t="array" ref="W405">IF(NOT(ISBLANK(D405)),_xludf.XLOOKUP(D405,[1]CODE!$A$4:$A$100,[1]CODE!$D$4:$D$100),"")</f>
        <v/>
      </c>
      <c r="X405" s="5" t="str">
        <f t="array" ref="X405">IF(NOT(AND(ISBLANK(D405),ISBLANK(C405))),_xludf.XLOOKUP(D405,[1]CODE!$A$4:$A$100,[1]CODE!$E$4:$E$100),"")</f>
        <v/>
      </c>
      <c r="Y405" s="5" t="str">
        <f t="shared" si="47"/>
        <v/>
      </c>
      <c r="Z405" s="5" t="str">
        <f t="shared" si="48"/>
        <v/>
      </c>
      <c r="AA405" s="4">
        <f t="shared" si="49"/>
        <v>0</v>
      </c>
      <c r="AC405" s="2"/>
    </row>
    <row r="406" spans="1:29" ht="15.5">
      <c r="A406" s="13" t="str">
        <f>IF(OR(ISBLANK(C406),ISBLANK(D406),ISBLANK(F406),ISBLANK(G406)),"",COUNTIF($B$5:B406,"JAMBUTU"))</f>
        <v/>
      </c>
      <c r="B406" s="8" t="str">
        <f t="shared" si="44"/>
        <v/>
      </c>
      <c r="C406" s="8"/>
      <c r="D406" s="8"/>
      <c r="E406" s="13"/>
      <c r="F406" s="12"/>
      <c r="G406" s="17"/>
      <c r="H406" s="12"/>
      <c r="I406" s="17"/>
      <c r="J406" s="10">
        <f t="shared" si="43"/>
        <v>0</v>
      </c>
      <c r="K406" s="10">
        <f t="shared" si="45"/>
        <v>0</v>
      </c>
      <c r="L406" s="9" t="str">
        <f t="shared" si="46"/>
        <v/>
      </c>
      <c r="M406" s="8"/>
      <c r="N406" s="8"/>
      <c r="O406" s="8"/>
      <c r="P406" s="8"/>
      <c r="Q406" s="8"/>
      <c r="R406" s="8"/>
      <c r="S406" s="8"/>
      <c r="T406" s="8"/>
      <c r="U406" s="8"/>
      <c r="V406" s="7"/>
      <c r="W406" s="6" t="str">
        <f t="array" ref="W406">IF(NOT(ISBLANK(D406)),_xludf.XLOOKUP(D406,[1]CODE!$A$4:$A$100,[1]CODE!$D$4:$D$100),"")</f>
        <v/>
      </c>
      <c r="X406" s="5" t="str">
        <f t="array" ref="X406">IF(NOT(AND(ISBLANK(D406),ISBLANK(C406))),_xludf.XLOOKUP(D406,[1]CODE!$A$4:$A$100,[1]CODE!$E$4:$E$100),"")</f>
        <v/>
      </c>
      <c r="Y406" s="5" t="str">
        <f t="shared" si="47"/>
        <v/>
      </c>
      <c r="Z406" s="5" t="str">
        <f t="shared" si="48"/>
        <v/>
      </c>
      <c r="AA406" s="4">
        <f t="shared" si="49"/>
        <v>0</v>
      </c>
      <c r="AC406" s="2"/>
    </row>
    <row r="407" spans="1:29" ht="15.5">
      <c r="A407" s="13" t="str">
        <f>IF(OR(ISBLANK(C407),ISBLANK(D407),ISBLANK(F407),ISBLANK(G407)),"",COUNTIF($B$5:B407,"JAMBUTU"))</f>
        <v/>
      </c>
      <c r="B407" s="8" t="str">
        <f t="shared" si="44"/>
        <v/>
      </c>
      <c r="C407" s="8"/>
      <c r="D407" s="8"/>
      <c r="E407" s="13"/>
      <c r="F407" s="12"/>
      <c r="G407" s="17"/>
      <c r="H407" s="12"/>
      <c r="I407" s="17"/>
      <c r="J407" s="10">
        <f t="shared" si="43"/>
        <v>0</v>
      </c>
      <c r="K407" s="10">
        <f t="shared" si="45"/>
        <v>0</v>
      </c>
      <c r="L407" s="9" t="str">
        <f t="shared" si="46"/>
        <v/>
      </c>
      <c r="M407" s="8"/>
      <c r="N407" s="8"/>
      <c r="O407" s="8"/>
      <c r="P407" s="8"/>
      <c r="Q407" s="8"/>
      <c r="R407" s="8"/>
      <c r="S407" s="8"/>
      <c r="T407" s="8"/>
      <c r="U407" s="8"/>
      <c r="V407" s="7"/>
      <c r="W407" s="6" t="str">
        <f t="array" ref="W407">IF(NOT(ISBLANK(D407)),_xludf.XLOOKUP(D407,[1]CODE!$A$4:$A$100,[1]CODE!$D$4:$D$100),"")</f>
        <v/>
      </c>
      <c r="X407" s="5" t="str">
        <f t="array" ref="X407">IF(NOT(AND(ISBLANK(D407),ISBLANK(C407))),_xludf.XLOOKUP(D407,[1]CODE!$A$4:$A$100,[1]CODE!$E$4:$E$100),"")</f>
        <v/>
      </c>
      <c r="Y407" s="5" t="str">
        <f t="shared" si="47"/>
        <v/>
      </c>
      <c r="Z407" s="5" t="str">
        <f t="shared" si="48"/>
        <v/>
      </c>
      <c r="AA407" s="4">
        <f t="shared" si="49"/>
        <v>0</v>
      </c>
      <c r="AC407" s="2"/>
    </row>
    <row r="408" spans="1:29" ht="15.5">
      <c r="A408" s="13" t="str">
        <f>IF(OR(ISBLANK(C408),ISBLANK(D408),ISBLANK(F408),ISBLANK(G408)),"",COUNTIF($B$5:B408,"JAMBUTU"))</f>
        <v/>
      </c>
      <c r="B408" s="8" t="str">
        <f t="shared" si="44"/>
        <v/>
      </c>
      <c r="C408" s="8"/>
      <c r="D408" s="8"/>
      <c r="E408" s="18"/>
      <c r="F408" s="12"/>
      <c r="G408" s="17"/>
      <c r="H408" s="12"/>
      <c r="I408" s="17"/>
      <c r="J408" s="10">
        <f t="shared" si="43"/>
        <v>0</v>
      </c>
      <c r="K408" s="10">
        <f t="shared" si="45"/>
        <v>0</v>
      </c>
      <c r="L408" s="9" t="str">
        <f t="shared" si="46"/>
        <v/>
      </c>
      <c r="M408" s="8"/>
      <c r="N408" s="8"/>
      <c r="O408" s="8"/>
      <c r="P408" s="8"/>
      <c r="Q408" s="8"/>
      <c r="R408" s="8"/>
      <c r="S408" s="8"/>
      <c r="T408" s="8"/>
      <c r="U408" s="8"/>
      <c r="V408" s="7"/>
      <c r="W408" s="6" t="str">
        <f t="array" ref="W408">IF(NOT(ISBLANK(D408)),_xludf.XLOOKUP(D408,[1]CODE!$A$4:$A$100,[1]CODE!$D$4:$D$100),"")</f>
        <v/>
      </c>
      <c r="X408" s="5" t="str">
        <f t="array" ref="X408">IF(NOT(AND(ISBLANK(D408),ISBLANK(C408))),_xludf.XLOOKUP(D408,[1]CODE!$A$4:$A$100,[1]CODE!$E$4:$E$100),"")</f>
        <v/>
      </c>
      <c r="Y408" s="5" t="str">
        <f t="shared" si="47"/>
        <v/>
      </c>
      <c r="Z408" s="5" t="str">
        <f t="shared" si="48"/>
        <v/>
      </c>
      <c r="AA408" s="4">
        <f t="shared" si="49"/>
        <v>0</v>
      </c>
      <c r="AC408" s="2"/>
    </row>
    <row r="409" spans="1:29" ht="15.5">
      <c r="A409" s="13" t="str">
        <f>IF(OR(ISBLANK(C409),ISBLANK(D409),ISBLANK(F409),ISBLANK(G409)),"",COUNTIF($B$5:B409,"JAMBUTU"))</f>
        <v/>
      </c>
      <c r="B409" s="8" t="str">
        <f t="shared" si="44"/>
        <v/>
      </c>
      <c r="C409" s="8"/>
      <c r="D409" s="8"/>
      <c r="E409" s="18"/>
      <c r="F409" s="12"/>
      <c r="G409" s="17"/>
      <c r="H409" s="12"/>
      <c r="I409" s="17"/>
      <c r="J409" s="10">
        <f t="shared" si="43"/>
        <v>0</v>
      </c>
      <c r="K409" s="10">
        <f t="shared" si="45"/>
        <v>0</v>
      </c>
      <c r="L409" s="9" t="str">
        <f t="shared" si="46"/>
        <v/>
      </c>
      <c r="M409" s="8"/>
      <c r="N409" s="8"/>
      <c r="O409" s="8"/>
      <c r="P409" s="8"/>
      <c r="Q409" s="8"/>
      <c r="R409" s="8"/>
      <c r="S409" s="8"/>
      <c r="T409" s="8"/>
      <c r="U409" s="8"/>
      <c r="V409" s="7"/>
      <c r="W409" s="6" t="str">
        <f t="array" ref="W409">IF(NOT(ISBLANK(D409)),_xludf.XLOOKUP(D409,[1]CODE!$A$4:$A$100,[1]CODE!$D$4:$D$100),"")</f>
        <v/>
      </c>
      <c r="X409" s="5" t="str">
        <f t="array" ref="X409">IF(NOT(AND(ISBLANK(D409),ISBLANK(C409))),_xludf.XLOOKUP(D409,[1]CODE!$A$4:$A$100,[1]CODE!$E$4:$E$100),"")</f>
        <v/>
      </c>
      <c r="Y409" s="5" t="str">
        <f t="shared" si="47"/>
        <v/>
      </c>
      <c r="Z409" s="5" t="str">
        <f t="shared" si="48"/>
        <v/>
      </c>
      <c r="AA409" s="4">
        <f t="shared" si="49"/>
        <v>0</v>
      </c>
      <c r="AC409" s="2"/>
    </row>
    <row r="410" spans="1:29" ht="15.5">
      <c r="A410" s="13" t="str">
        <f>IF(OR(ISBLANK(C410),ISBLANK(D410),ISBLANK(F410),ISBLANK(G410)),"",COUNTIF($B$5:B410,"JAMBUTU"))</f>
        <v/>
      </c>
      <c r="B410" s="8" t="str">
        <f t="shared" si="44"/>
        <v/>
      </c>
      <c r="C410" s="8"/>
      <c r="D410" s="8"/>
      <c r="E410" s="18"/>
      <c r="F410" s="12"/>
      <c r="G410" s="17"/>
      <c r="H410" s="12"/>
      <c r="I410" s="17"/>
      <c r="J410" s="10">
        <f t="shared" si="43"/>
        <v>0</v>
      </c>
      <c r="K410" s="10">
        <f t="shared" si="45"/>
        <v>0</v>
      </c>
      <c r="L410" s="9" t="str">
        <f t="shared" si="46"/>
        <v/>
      </c>
      <c r="M410" s="8"/>
      <c r="N410" s="8"/>
      <c r="O410" s="8"/>
      <c r="P410" s="8"/>
      <c r="Q410" s="8"/>
      <c r="R410" s="8"/>
      <c r="S410" s="8"/>
      <c r="T410" s="8"/>
      <c r="U410" s="8"/>
      <c r="V410" s="7"/>
      <c r="W410" s="6" t="str">
        <f t="array" ref="W410">IF(NOT(ISBLANK(D410)),_xludf.XLOOKUP(D410,[1]CODE!$A$4:$A$100,[1]CODE!$D$4:$D$100),"")</f>
        <v/>
      </c>
      <c r="X410" s="5" t="str">
        <f t="array" ref="X410">IF(NOT(AND(ISBLANK(D410),ISBLANK(C410))),_xludf.XLOOKUP(D410,[1]CODE!$A$4:$A$100,[1]CODE!$E$4:$E$100),"")</f>
        <v/>
      </c>
      <c r="Y410" s="5" t="str">
        <f t="shared" si="47"/>
        <v/>
      </c>
      <c r="Z410" s="5" t="str">
        <f t="shared" si="48"/>
        <v/>
      </c>
      <c r="AA410" s="4">
        <f t="shared" si="49"/>
        <v>0</v>
      </c>
      <c r="AC410" s="2"/>
    </row>
    <row r="411" spans="1:29" ht="15.5">
      <c r="A411" s="13" t="str">
        <f>IF(OR(ISBLANK(C411),ISBLANK(D411),ISBLANK(F411),ISBLANK(G411)),"",COUNTIF($B$5:B411,"JAMBUTU"))</f>
        <v/>
      </c>
      <c r="B411" s="8" t="str">
        <f t="shared" si="44"/>
        <v/>
      </c>
      <c r="C411" s="8"/>
      <c r="D411" s="8"/>
      <c r="E411" s="18"/>
      <c r="F411" s="12"/>
      <c r="G411" s="17"/>
      <c r="H411" s="12"/>
      <c r="I411" s="17"/>
      <c r="J411" s="10">
        <f t="shared" si="43"/>
        <v>0</v>
      </c>
      <c r="K411" s="10">
        <f t="shared" si="45"/>
        <v>0</v>
      </c>
      <c r="L411" s="9" t="str">
        <f t="shared" si="46"/>
        <v/>
      </c>
      <c r="M411" s="8"/>
      <c r="N411" s="8"/>
      <c r="O411" s="8"/>
      <c r="P411" s="8"/>
      <c r="Q411" s="8"/>
      <c r="R411" s="8"/>
      <c r="S411" s="8"/>
      <c r="T411" s="8"/>
      <c r="U411" s="8"/>
      <c r="V411" s="7"/>
      <c r="W411" s="6" t="str">
        <f t="array" ref="W411">IF(NOT(ISBLANK(D411)),_xludf.XLOOKUP(D411,[1]CODE!$A$4:$A$100,[1]CODE!$D$4:$D$100),"")</f>
        <v/>
      </c>
      <c r="X411" s="5" t="str">
        <f t="array" ref="X411">IF(NOT(AND(ISBLANK(D411),ISBLANK(C411))),_xludf.XLOOKUP(D411,[1]CODE!$A$4:$A$100,[1]CODE!$E$4:$E$100),"")</f>
        <v/>
      </c>
      <c r="Y411" s="5" t="str">
        <f t="shared" si="47"/>
        <v/>
      </c>
      <c r="Z411" s="5" t="str">
        <f t="shared" si="48"/>
        <v/>
      </c>
      <c r="AA411" s="4">
        <f t="shared" si="49"/>
        <v>0</v>
      </c>
      <c r="AC411" s="2"/>
    </row>
    <row r="412" spans="1:29" ht="15.5">
      <c r="A412" s="13" t="str">
        <f>IF(OR(ISBLANK(C412),ISBLANK(D412),ISBLANK(F412),ISBLANK(G412)),"",COUNTIF($B$5:B412,"JAMBUTU"))</f>
        <v/>
      </c>
      <c r="B412" s="8" t="str">
        <f t="shared" si="44"/>
        <v/>
      </c>
      <c r="C412" s="8"/>
      <c r="D412" s="8"/>
      <c r="E412" s="18"/>
      <c r="F412" s="12"/>
      <c r="G412" s="17"/>
      <c r="H412" s="12"/>
      <c r="I412" s="17"/>
      <c r="J412" s="10">
        <f t="shared" si="43"/>
        <v>0</v>
      </c>
      <c r="K412" s="10">
        <f t="shared" si="45"/>
        <v>0</v>
      </c>
      <c r="L412" s="9" t="str">
        <f t="shared" si="46"/>
        <v/>
      </c>
      <c r="M412" s="8"/>
      <c r="N412" s="8"/>
      <c r="O412" s="8"/>
      <c r="P412" s="8"/>
      <c r="Q412" s="8"/>
      <c r="R412" s="8"/>
      <c r="S412" s="8"/>
      <c r="T412" s="8"/>
      <c r="U412" s="8"/>
      <c r="V412" s="7"/>
      <c r="W412" s="6" t="str">
        <f t="array" ref="W412">IF(NOT(ISBLANK(D412)),_xludf.XLOOKUP(D412,[1]CODE!$A$4:$A$100,[1]CODE!$D$4:$D$100),"")</f>
        <v/>
      </c>
      <c r="X412" s="5" t="str">
        <f t="array" ref="X412">IF(NOT(AND(ISBLANK(D412),ISBLANK(C412))),_xludf.XLOOKUP(D412,[1]CODE!$A$4:$A$100,[1]CODE!$E$4:$E$100),"")</f>
        <v/>
      </c>
      <c r="Y412" s="5" t="str">
        <f t="shared" si="47"/>
        <v/>
      </c>
      <c r="Z412" s="5" t="str">
        <f t="shared" si="48"/>
        <v/>
      </c>
      <c r="AA412" s="4">
        <f t="shared" si="49"/>
        <v>0</v>
      </c>
      <c r="AC412" s="2"/>
    </row>
    <row r="413" spans="1:29" ht="15.5">
      <c r="A413" s="13" t="str">
        <f>IF(OR(ISBLANK(C413),ISBLANK(D413),ISBLANK(F413),ISBLANK(G413)),"",COUNTIF($B$5:B413,"JAMBUTU"))</f>
        <v/>
      </c>
      <c r="B413" s="8" t="str">
        <f t="shared" si="44"/>
        <v/>
      </c>
      <c r="C413" s="8"/>
      <c r="D413" s="8"/>
      <c r="E413" s="18"/>
      <c r="F413" s="12"/>
      <c r="G413" s="17"/>
      <c r="H413" s="12"/>
      <c r="I413" s="17"/>
      <c r="J413" s="10">
        <f t="shared" ref="J413:J476" si="50">DATE(YEAR(F413),MONTH(F413),DAY(F413))+TIME(HOUR(G413),MINUTE(G413), SECOND(G413))</f>
        <v>0</v>
      </c>
      <c r="K413" s="10">
        <f t="shared" si="45"/>
        <v>0</v>
      </c>
      <c r="L413" s="9" t="str">
        <f t="shared" si="46"/>
        <v/>
      </c>
      <c r="M413" s="8"/>
      <c r="N413" s="8"/>
      <c r="O413" s="8"/>
      <c r="P413" s="8"/>
      <c r="Q413" s="8"/>
      <c r="R413" s="8"/>
      <c r="S413" s="8"/>
      <c r="T413" s="8"/>
      <c r="U413" s="8"/>
      <c r="V413" s="7"/>
      <c r="W413" s="6" t="str">
        <f t="array" ref="W413">IF(NOT(ISBLANK(D413)),_xludf.XLOOKUP(D413,[1]CODE!$A$4:$A$100,[1]CODE!$D$4:$D$100),"")</f>
        <v/>
      </c>
      <c r="X413" s="5" t="str">
        <f t="array" ref="X413">IF(NOT(AND(ISBLANK(D413),ISBLANK(C413))),_xludf.XLOOKUP(D413,[1]CODE!$A$4:$A$100,[1]CODE!$E$4:$E$100),"")</f>
        <v/>
      </c>
      <c r="Y413" s="5" t="str">
        <f t="shared" si="47"/>
        <v/>
      </c>
      <c r="Z413" s="5" t="str">
        <f t="shared" si="48"/>
        <v/>
      </c>
      <c r="AA413" s="4">
        <f t="shared" si="49"/>
        <v>0</v>
      </c>
      <c r="AC413" s="2"/>
    </row>
    <row r="414" spans="1:29" ht="15.5">
      <c r="A414" s="13" t="str">
        <f>IF(OR(ISBLANK(C414),ISBLANK(D414),ISBLANK(F414),ISBLANK(G414)),"",COUNTIF($B$5:B414,"JAMBUTU"))</f>
        <v/>
      </c>
      <c r="B414" s="8" t="str">
        <f t="shared" si="44"/>
        <v/>
      </c>
      <c r="C414" s="8"/>
      <c r="D414" s="8"/>
      <c r="E414" s="18"/>
      <c r="F414" s="12"/>
      <c r="G414" s="17"/>
      <c r="H414" s="12"/>
      <c r="I414" s="17"/>
      <c r="J414" s="10">
        <f t="shared" si="50"/>
        <v>0</v>
      </c>
      <c r="K414" s="10">
        <f t="shared" si="45"/>
        <v>0</v>
      </c>
      <c r="L414" s="9" t="str">
        <f t="shared" si="46"/>
        <v/>
      </c>
      <c r="M414" s="8"/>
      <c r="N414" s="8"/>
      <c r="O414" s="8"/>
      <c r="P414" s="8"/>
      <c r="Q414" s="8"/>
      <c r="R414" s="8"/>
      <c r="S414" s="8"/>
      <c r="T414" s="8"/>
      <c r="U414" s="8"/>
      <c r="V414" s="7"/>
      <c r="W414" s="6" t="str">
        <f t="array" ref="W414">IF(NOT(ISBLANK(D414)),_xludf.XLOOKUP(D414,[1]CODE!$A$4:$A$100,[1]CODE!$D$4:$D$100),"")</f>
        <v/>
      </c>
      <c r="X414" s="5" t="str">
        <f t="array" ref="X414">IF(NOT(AND(ISBLANK(D414),ISBLANK(C414))),_xludf.XLOOKUP(D414,[1]CODE!$A$4:$A$100,[1]CODE!$E$4:$E$100),"")</f>
        <v/>
      </c>
      <c r="Y414" s="5" t="str">
        <f t="shared" si="47"/>
        <v/>
      </c>
      <c r="Z414" s="5" t="str">
        <f t="shared" si="48"/>
        <v/>
      </c>
      <c r="AA414" s="4">
        <f t="shared" si="49"/>
        <v>0</v>
      </c>
      <c r="AC414" s="2"/>
    </row>
    <row r="415" spans="1:29" ht="15.5">
      <c r="A415" s="13" t="str">
        <f>IF(OR(ISBLANK(C415),ISBLANK(D415),ISBLANK(F415),ISBLANK(G415)),"",COUNTIF($B$5:B415,"JAMBUTU"))</f>
        <v/>
      </c>
      <c r="B415" s="8" t="str">
        <f t="shared" si="44"/>
        <v/>
      </c>
      <c r="C415" s="8"/>
      <c r="D415" s="8"/>
      <c r="E415" s="18"/>
      <c r="F415" s="12"/>
      <c r="G415" s="17"/>
      <c r="H415" s="12"/>
      <c r="I415" s="17"/>
      <c r="J415" s="10">
        <f t="shared" si="50"/>
        <v>0</v>
      </c>
      <c r="K415" s="10">
        <f t="shared" si="45"/>
        <v>0</v>
      </c>
      <c r="L415" s="9" t="str">
        <f t="shared" si="46"/>
        <v/>
      </c>
      <c r="M415" s="8"/>
      <c r="N415" s="8"/>
      <c r="O415" s="8"/>
      <c r="P415" s="8"/>
      <c r="Q415" s="8"/>
      <c r="R415" s="8"/>
      <c r="S415" s="8"/>
      <c r="T415" s="8"/>
      <c r="U415" s="8"/>
      <c r="V415" s="7"/>
      <c r="W415" s="6" t="str">
        <f t="array" ref="W415">IF(NOT(ISBLANK(D415)),_xludf.XLOOKUP(D415,[1]CODE!$A$4:$A$100,[1]CODE!$D$4:$D$100),"")</f>
        <v/>
      </c>
      <c r="X415" s="5" t="str">
        <f t="array" ref="X415">IF(NOT(AND(ISBLANK(D415),ISBLANK(C415))),_xludf.XLOOKUP(D415,[1]CODE!$A$4:$A$100,[1]CODE!$E$4:$E$100),"")</f>
        <v/>
      </c>
      <c r="Y415" s="5" t="str">
        <f t="shared" si="47"/>
        <v/>
      </c>
      <c r="Z415" s="5" t="str">
        <f t="shared" si="48"/>
        <v/>
      </c>
      <c r="AA415" s="4">
        <f t="shared" si="49"/>
        <v>0</v>
      </c>
      <c r="AC415" s="2"/>
    </row>
    <row r="416" spans="1:29" ht="15.5">
      <c r="A416" s="13" t="str">
        <f>IF(OR(ISBLANK(C416),ISBLANK(D416),ISBLANK(F416),ISBLANK(G416)),"",COUNTIF($B$5:B416,"JAMBUTU"))</f>
        <v/>
      </c>
      <c r="B416" s="8" t="str">
        <f t="shared" si="44"/>
        <v/>
      </c>
      <c r="C416" s="8"/>
      <c r="D416" s="8"/>
      <c r="E416" s="18"/>
      <c r="F416" s="12"/>
      <c r="G416" s="17"/>
      <c r="H416" s="12"/>
      <c r="I416" s="17"/>
      <c r="J416" s="10">
        <f t="shared" si="50"/>
        <v>0</v>
      </c>
      <c r="K416" s="10">
        <f t="shared" si="45"/>
        <v>0</v>
      </c>
      <c r="L416" s="9" t="str">
        <f t="shared" si="46"/>
        <v/>
      </c>
      <c r="M416" s="8"/>
      <c r="N416" s="8"/>
      <c r="O416" s="8"/>
      <c r="P416" s="8"/>
      <c r="Q416" s="8"/>
      <c r="R416" s="8"/>
      <c r="S416" s="8"/>
      <c r="T416" s="8"/>
      <c r="U416" s="8"/>
      <c r="V416" s="7"/>
      <c r="W416" s="6" t="str">
        <f t="array" ref="W416">IF(NOT(ISBLANK(D416)),_xludf.XLOOKUP(D416,[1]CODE!$A$4:$A$100,[1]CODE!$D$4:$D$100),"")</f>
        <v/>
      </c>
      <c r="X416" s="5" t="str">
        <f t="array" ref="X416">IF(NOT(AND(ISBLANK(D416),ISBLANK(C416))),_xludf.XLOOKUP(D416,[1]CODE!$A$4:$A$100,[1]CODE!$E$4:$E$100),"")</f>
        <v/>
      </c>
      <c r="Y416" s="5" t="str">
        <f t="shared" si="47"/>
        <v/>
      </c>
      <c r="Z416" s="5" t="str">
        <f t="shared" si="48"/>
        <v/>
      </c>
      <c r="AA416" s="4">
        <f t="shared" si="49"/>
        <v>0</v>
      </c>
      <c r="AC416" s="2"/>
    </row>
    <row r="417" spans="1:29" ht="15.5">
      <c r="A417" s="13" t="str">
        <f>IF(OR(ISBLANK(C417),ISBLANK(D417),ISBLANK(F417),ISBLANK(G417)),"",COUNTIF($B$5:B417,"JAMBUTU"))</f>
        <v/>
      </c>
      <c r="B417" s="8" t="str">
        <f t="shared" si="44"/>
        <v/>
      </c>
      <c r="C417" s="8"/>
      <c r="D417" s="8"/>
      <c r="E417" s="18"/>
      <c r="F417" s="12"/>
      <c r="G417" s="17"/>
      <c r="H417" s="12"/>
      <c r="I417" s="19"/>
      <c r="J417" s="10">
        <f t="shared" si="50"/>
        <v>0</v>
      </c>
      <c r="K417" s="10">
        <f t="shared" si="45"/>
        <v>0</v>
      </c>
      <c r="L417" s="9" t="str">
        <f t="shared" si="46"/>
        <v/>
      </c>
      <c r="M417" s="8"/>
      <c r="N417" s="8"/>
      <c r="O417" s="8"/>
      <c r="P417" s="8"/>
      <c r="Q417" s="8"/>
      <c r="R417" s="8"/>
      <c r="S417" s="16"/>
      <c r="T417" s="8"/>
      <c r="U417" s="8"/>
      <c r="V417" s="7"/>
      <c r="W417" s="6" t="str">
        <f t="array" ref="W417">IF(NOT(ISBLANK(D417)),_xludf.XLOOKUP(D417,[1]CODE!$A$4:$A$100,[1]CODE!$D$4:$D$100),"")</f>
        <v/>
      </c>
      <c r="X417" s="5" t="str">
        <f t="array" ref="X417">IF(NOT(AND(ISBLANK(D417),ISBLANK(C417))),_xludf.XLOOKUP(D417,[1]CODE!$A$4:$A$100,[1]CODE!$E$4:$E$100),"")</f>
        <v/>
      </c>
      <c r="Y417" s="5" t="str">
        <f t="shared" si="47"/>
        <v/>
      </c>
      <c r="Z417" s="5" t="str">
        <f t="shared" si="48"/>
        <v/>
      </c>
      <c r="AA417" s="4">
        <f t="shared" si="49"/>
        <v>0</v>
      </c>
      <c r="AC417" s="2"/>
    </row>
    <row r="418" spans="1:29" ht="15.5">
      <c r="A418" s="13" t="str">
        <f>IF(OR(ISBLANK(C418),ISBLANK(D418),ISBLANK(F418),ISBLANK(G418)),"",COUNTIF($B$5:B418,"JAMBUTU"))</f>
        <v/>
      </c>
      <c r="B418" s="8" t="str">
        <f t="shared" si="44"/>
        <v/>
      </c>
      <c r="C418" s="8"/>
      <c r="D418" s="8"/>
      <c r="E418" s="18"/>
      <c r="F418" s="12"/>
      <c r="G418" s="17"/>
      <c r="H418" s="12"/>
      <c r="I418" s="17"/>
      <c r="J418" s="10">
        <f t="shared" si="50"/>
        <v>0</v>
      </c>
      <c r="K418" s="10">
        <f t="shared" si="45"/>
        <v>0</v>
      </c>
      <c r="L418" s="9" t="str">
        <f t="shared" si="46"/>
        <v/>
      </c>
      <c r="M418" s="8"/>
      <c r="N418" s="8"/>
      <c r="O418" s="8"/>
      <c r="P418" s="8"/>
      <c r="Q418" s="8"/>
      <c r="R418" s="8"/>
      <c r="S418" s="16"/>
      <c r="T418" s="8"/>
      <c r="U418" s="8"/>
      <c r="V418" s="7"/>
      <c r="W418" s="6" t="str">
        <f t="array" ref="W418">IF(NOT(ISBLANK(D418)),_xludf.XLOOKUP(D418,[1]CODE!$A$4:$A$100,[1]CODE!$D$4:$D$100),"")</f>
        <v/>
      </c>
      <c r="X418" s="5" t="str">
        <f t="array" ref="X418">IF(NOT(AND(ISBLANK(D418),ISBLANK(C418))),_xludf.XLOOKUP(D418,[1]CODE!$A$4:$A$100,[1]CODE!$E$4:$E$100),"")</f>
        <v/>
      </c>
      <c r="Y418" s="5" t="str">
        <f t="shared" si="47"/>
        <v/>
      </c>
      <c r="Z418" s="5" t="str">
        <f t="shared" si="48"/>
        <v/>
      </c>
      <c r="AA418" s="4">
        <f t="shared" si="49"/>
        <v>0</v>
      </c>
      <c r="AC418" s="2"/>
    </row>
    <row r="419" spans="1:29" ht="15.5">
      <c r="A419" s="13" t="str">
        <f>IF(OR(ISBLANK(C419),ISBLANK(D419),ISBLANK(F419),ISBLANK(G419)),"",COUNTIF($B$5:B419,"JAMBUTU"))</f>
        <v/>
      </c>
      <c r="B419" s="8" t="str">
        <f t="shared" si="44"/>
        <v/>
      </c>
      <c r="C419" s="8"/>
      <c r="D419" s="8"/>
      <c r="E419" s="18"/>
      <c r="F419" s="12"/>
      <c r="G419" s="17"/>
      <c r="H419" s="12"/>
      <c r="I419" s="17"/>
      <c r="J419" s="10">
        <f t="shared" si="50"/>
        <v>0</v>
      </c>
      <c r="K419" s="10">
        <f t="shared" si="45"/>
        <v>0</v>
      </c>
      <c r="L419" s="9" t="str">
        <f t="shared" si="46"/>
        <v/>
      </c>
      <c r="M419" s="8"/>
      <c r="N419" s="8"/>
      <c r="O419" s="8"/>
      <c r="P419" s="8"/>
      <c r="Q419" s="8"/>
      <c r="R419" s="8"/>
      <c r="S419" s="16"/>
      <c r="T419" s="8"/>
      <c r="U419" s="8"/>
      <c r="V419" s="7"/>
      <c r="W419" s="6" t="str">
        <f t="array" ref="W419">IF(NOT(ISBLANK(D419)),_xludf.XLOOKUP(D419,[1]CODE!$A$4:$A$100,[1]CODE!$D$4:$D$100),"")</f>
        <v/>
      </c>
      <c r="X419" s="5" t="str">
        <f t="array" ref="X419">IF(NOT(AND(ISBLANK(D419),ISBLANK(C419))),_xludf.XLOOKUP(D419,[1]CODE!$A$4:$A$100,[1]CODE!$E$4:$E$100),"")</f>
        <v/>
      </c>
      <c r="Y419" s="5" t="str">
        <f t="shared" si="47"/>
        <v/>
      </c>
      <c r="Z419" s="5" t="str">
        <f t="shared" si="48"/>
        <v/>
      </c>
      <c r="AA419" s="4">
        <f t="shared" si="49"/>
        <v>0</v>
      </c>
      <c r="AC419" s="2"/>
    </row>
    <row r="420" spans="1:29" ht="15.5">
      <c r="A420" s="13" t="str">
        <f>IF(OR(ISBLANK(C420),ISBLANK(D420),ISBLANK(F420),ISBLANK(G420)),"",COUNTIF($B$5:B420,"JAMBUTU"))</f>
        <v/>
      </c>
      <c r="B420" s="8" t="str">
        <f t="shared" si="44"/>
        <v/>
      </c>
      <c r="C420" s="8"/>
      <c r="D420" s="8"/>
      <c r="E420" s="18"/>
      <c r="F420" s="12"/>
      <c r="G420" s="17"/>
      <c r="H420" s="12"/>
      <c r="I420" s="19"/>
      <c r="J420" s="10">
        <f t="shared" si="50"/>
        <v>0</v>
      </c>
      <c r="K420" s="10">
        <f t="shared" si="45"/>
        <v>0</v>
      </c>
      <c r="L420" s="9" t="str">
        <f t="shared" si="46"/>
        <v/>
      </c>
      <c r="M420" s="8"/>
      <c r="N420" s="8"/>
      <c r="O420" s="8"/>
      <c r="P420" s="8"/>
      <c r="Q420" s="8"/>
      <c r="R420" s="8"/>
      <c r="S420" s="8"/>
      <c r="T420" s="8"/>
      <c r="U420" s="8"/>
      <c r="V420" s="7"/>
      <c r="W420" s="6" t="str">
        <f t="array" ref="W420">IF(NOT(ISBLANK(D420)),_xludf.XLOOKUP(D420,[1]CODE!$A$4:$A$100,[1]CODE!$D$4:$D$100),"")</f>
        <v/>
      </c>
      <c r="X420" s="5" t="str">
        <f t="array" ref="X420">IF(NOT(AND(ISBLANK(D420),ISBLANK(C420))),_xludf.XLOOKUP(D420,[1]CODE!$A$4:$A$100,[1]CODE!$E$4:$E$100),"")</f>
        <v/>
      </c>
      <c r="Y420" s="5" t="str">
        <f t="shared" si="47"/>
        <v/>
      </c>
      <c r="Z420" s="5" t="str">
        <f t="shared" si="48"/>
        <v/>
      </c>
      <c r="AA420" s="4">
        <f t="shared" si="49"/>
        <v>0</v>
      </c>
      <c r="AC420" s="2"/>
    </row>
    <row r="421" spans="1:29" ht="15.5">
      <c r="A421" s="13" t="str">
        <f>IF(OR(ISBLANK(C421),ISBLANK(D421),ISBLANK(F421),ISBLANK(G421)),"",COUNTIF($B$5:B421,"JAMBUTU"))</f>
        <v/>
      </c>
      <c r="B421" s="8" t="str">
        <f t="shared" ref="B421:B484" si="51">IF(C421&lt;&gt;"","Jambutu","")</f>
        <v/>
      </c>
      <c r="C421" s="8"/>
      <c r="D421" s="8"/>
      <c r="E421" s="18"/>
      <c r="F421" s="12"/>
      <c r="G421" s="17"/>
      <c r="H421" s="12"/>
      <c r="I421" s="17"/>
      <c r="J421" s="10">
        <f t="shared" si="50"/>
        <v>0</v>
      </c>
      <c r="K421" s="10">
        <f t="shared" si="45"/>
        <v>0</v>
      </c>
      <c r="L421" s="9" t="str">
        <f t="shared" si="46"/>
        <v/>
      </c>
      <c r="M421" s="8"/>
      <c r="N421" s="8"/>
      <c r="O421" s="8"/>
      <c r="P421" s="8"/>
      <c r="Q421" s="8"/>
      <c r="R421" s="8"/>
      <c r="S421" s="16"/>
      <c r="T421" s="8"/>
      <c r="U421" s="8"/>
      <c r="V421" s="7"/>
      <c r="W421" s="6" t="str">
        <f t="array" ref="W421">IF(NOT(ISBLANK(D421)),_xludf.XLOOKUP(D421,[1]CODE!$A$4:$A$100,[1]CODE!$D$4:$D$100),"")</f>
        <v/>
      </c>
      <c r="X421" s="5" t="str">
        <f t="array" ref="X421">IF(NOT(AND(ISBLANK(D421),ISBLANK(C421))),_xludf.XLOOKUP(D421,[1]CODE!$A$4:$A$100,[1]CODE!$E$4:$E$100),"")</f>
        <v/>
      </c>
      <c r="Y421" s="5" t="str">
        <f t="shared" si="47"/>
        <v/>
      </c>
      <c r="Z421" s="5" t="str">
        <f t="shared" si="48"/>
        <v/>
      </c>
      <c r="AA421" s="4">
        <f t="shared" si="49"/>
        <v>0</v>
      </c>
      <c r="AC421" s="2"/>
    </row>
    <row r="422" spans="1:29" ht="15.5">
      <c r="A422" s="13" t="str">
        <f>IF(OR(ISBLANK(C422),ISBLANK(D422),ISBLANK(F422),ISBLANK(G422)),"",COUNTIF($B$5:B422,"JAMBUTU"))</f>
        <v/>
      </c>
      <c r="B422" s="8" t="str">
        <f t="shared" si="51"/>
        <v/>
      </c>
      <c r="C422" s="8"/>
      <c r="D422" s="8"/>
      <c r="E422" s="18"/>
      <c r="F422" s="12"/>
      <c r="G422" s="17"/>
      <c r="H422" s="12"/>
      <c r="I422" s="19"/>
      <c r="J422" s="10">
        <f t="shared" si="50"/>
        <v>0</v>
      </c>
      <c r="K422" s="10">
        <f t="shared" si="45"/>
        <v>0</v>
      </c>
      <c r="L422" s="9" t="str">
        <f t="shared" si="46"/>
        <v/>
      </c>
      <c r="M422" s="8"/>
      <c r="N422" s="8"/>
      <c r="O422" s="8"/>
      <c r="P422" s="8"/>
      <c r="Q422" s="8"/>
      <c r="R422" s="8"/>
      <c r="S422" s="16"/>
      <c r="T422" s="8"/>
      <c r="U422" s="8"/>
      <c r="V422" s="7"/>
      <c r="W422" s="6" t="str">
        <f t="array" ref="W422">IF(NOT(ISBLANK(D422)),_xludf.XLOOKUP(D422,[1]CODE!$A$4:$A$100,[1]CODE!$D$4:$D$100),"")</f>
        <v/>
      </c>
      <c r="X422" s="5" t="str">
        <f t="array" ref="X422">IF(NOT(AND(ISBLANK(D422),ISBLANK(C422))),_xludf.XLOOKUP(D422,[1]CODE!$A$4:$A$100,[1]CODE!$E$4:$E$100),"")</f>
        <v/>
      </c>
      <c r="Y422" s="5" t="str">
        <f t="shared" si="47"/>
        <v/>
      </c>
      <c r="Z422" s="5" t="str">
        <f t="shared" si="48"/>
        <v/>
      </c>
      <c r="AA422" s="4">
        <f t="shared" si="49"/>
        <v>0</v>
      </c>
      <c r="AC422" s="2"/>
    </row>
    <row r="423" spans="1:29" ht="15.5">
      <c r="A423" s="13" t="str">
        <f>IF(OR(ISBLANK(C423),ISBLANK(D423),ISBLANK(F423),ISBLANK(G423)),"",COUNTIF($B$5:B423,"JAMBUTU"))</f>
        <v/>
      </c>
      <c r="B423" s="8" t="str">
        <f t="shared" si="51"/>
        <v/>
      </c>
      <c r="C423" s="8"/>
      <c r="D423" s="8"/>
      <c r="E423" s="18"/>
      <c r="F423" s="12"/>
      <c r="G423" s="17"/>
      <c r="H423" s="12"/>
      <c r="I423" s="17"/>
      <c r="J423" s="10">
        <f t="shared" si="50"/>
        <v>0</v>
      </c>
      <c r="K423" s="10">
        <f t="shared" si="45"/>
        <v>0</v>
      </c>
      <c r="L423" s="9" t="str">
        <f t="shared" si="46"/>
        <v/>
      </c>
      <c r="M423" s="8"/>
      <c r="N423" s="8"/>
      <c r="O423" s="8"/>
      <c r="P423" s="8"/>
      <c r="Q423" s="8"/>
      <c r="R423" s="8"/>
      <c r="S423" s="16"/>
      <c r="T423" s="8"/>
      <c r="U423" s="8"/>
      <c r="V423" s="7"/>
      <c r="W423" s="6" t="str">
        <f t="array" ref="W423">IF(NOT(ISBLANK(D423)),_xludf.XLOOKUP(D423,[1]CODE!$A$4:$A$100,[1]CODE!$D$4:$D$100),"")</f>
        <v/>
      </c>
      <c r="X423" s="5" t="str">
        <f t="array" ref="X423">IF(NOT(AND(ISBLANK(D423),ISBLANK(C423))),_xludf.XLOOKUP(D423,[1]CODE!$A$4:$A$100,[1]CODE!$E$4:$E$100),"")</f>
        <v/>
      </c>
      <c r="Y423" s="5" t="str">
        <f t="shared" si="47"/>
        <v/>
      </c>
      <c r="Z423" s="5" t="str">
        <f t="shared" si="48"/>
        <v/>
      </c>
      <c r="AA423" s="4">
        <f t="shared" si="49"/>
        <v>0</v>
      </c>
      <c r="AC423" s="2"/>
    </row>
    <row r="424" spans="1:29" ht="15.5">
      <c r="A424" s="13" t="str">
        <f>IF(OR(ISBLANK(C424),ISBLANK(D424),ISBLANK(F424),ISBLANK(G424)),"",COUNTIF($B$5:B424,"JAMBUTU"))</f>
        <v/>
      </c>
      <c r="B424" s="8" t="str">
        <f t="shared" si="51"/>
        <v/>
      </c>
      <c r="C424" s="8"/>
      <c r="D424" s="8"/>
      <c r="E424" s="18"/>
      <c r="F424" s="12"/>
      <c r="G424" s="17"/>
      <c r="H424" s="12"/>
      <c r="I424" s="17"/>
      <c r="J424" s="10">
        <f t="shared" si="50"/>
        <v>0</v>
      </c>
      <c r="K424" s="10">
        <f t="shared" si="45"/>
        <v>0</v>
      </c>
      <c r="L424" s="9" t="str">
        <f t="shared" si="46"/>
        <v/>
      </c>
      <c r="M424" s="8"/>
      <c r="N424" s="8"/>
      <c r="O424" s="8"/>
      <c r="P424" s="8"/>
      <c r="Q424" s="8"/>
      <c r="R424" s="8"/>
      <c r="S424" s="16"/>
      <c r="T424" s="8"/>
      <c r="U424" s="8"/>
      <c r="V424" s="7"/>
      <c r="W424" s="6" t="str">
        <f t="array" ref="W424">IF(NOT(ISBLANK(D424)),_xludf.XLOOKUP(D424,[1]CODE!$A$4:$A$100,[1]CODE!$D$4:$D$100),"")</f>
        <v/>
      </c>
      <c r="X424" s="5" t="str">
        <f t="array" ref="X424">IF(NOT(AND(ISBLANK(D424),ISBLANK(C424))),_xludf.XLOOKUP(D424,[1]CODE!$A$4:$A$100,[1]CODE!$E$4:$E$100),"")</f>
        <v/>
      </c>
      <c r="Y424" s="5" t="str">
        <f t="shared" si="47"/>
        <v/>
      </c>
      <c r="Z424" s="5" t="str">
        <f t="shared" si="48"/>
        <v/>
      </c>
      <c r="AA424" s="4">
        <f t="shared" si="49"/>
        <v>0</v>
      </c>
      <c r="AC424" s="2"/>
    </row>
    <row r="425" spans="1:29" ht="15.5">
      <c r="A425" s="13" t="str">
        <f>IF(OR(ISBLANK(C425),ISBLANK(D425),ISBLANK(F425),ISBLANK(G425)),"",COUNTIF($B$5:B425,"JAMBUTU"))</f>
        <v/>
      </c>
      <c r="B425" s="8" t="str">
        <f t="shared" si="51"/>
        <v/>
      </c>
      <c r="C425" s="8"/>
      <c r="D425" s="8"/>
      <c r="E425" s="18"/>
      <c r="F425" s="12"/>
      <c r="G425" s="17"/>
      <c r="H425" s="12"/>
      <c r="I425" s="17"/>
      <c r="J425" s="10">
        <f t="shared" si="50"/>
        <v>0</v>
      </c>
      <c r="K425" s="10">
        <f t="shared" si="45"/>
        <v>0</v>
      </c>
      <c r="L425" s="9" t="str">
        <f t="shared" si="46"/>
        <v/>
      </c>
      <c r="M425" s="8"/>
      <c r="N425" s="8"/>
      <c r="O425" s="8"/>
      <c r="P425" s="8"/>
      <c r="Q425" s="8"/>
      <c r="R425" s="8"/>
      <c r="S425" s="8"/>
      <c r="T425" s="8"/>
      <c r="U425" s="8"/>
      <c r="V425" s="7"/>
      <c r="W425" s="6" t="str">
        <f t="array" ref="W425">IF(NOT(ISBLANK(D425)),_xludf.XLOOKUP(D425,[1]CODE!$A$4:$A$100,[1]CODE!$D$4:$D$100),"")</f>
        <v/>
      </c>
      <c r="X425" s="5" t="str">
        <f t="array" ref="X425">IF(NOT(AND(ISBLANK(D425),ISBLANK(C425))),_xludf.XLOOKUP(D425,[1]CODE!$A$4:$A$100,[1]CODE!$E$4:$E$100),"")</f>
        <v/>
      </c>
      <c r="Y425" s="5" t="str">
        <f t="shared" si="47"/>
        <v/>
      </c>
      <c r="Z425" s="5" t="str">
        <f t="shared" si="48"/>
        <v/>
      </c>
      <c r="AA425" s="4">
        <f t="shared" si="49"/>
        <v>0</v>
      </c>
      <c r="AC425" s="2"/>
    </row>
    <row r="426" spans="1:29" ht="15.5">
      <c r="A426" s="13" t="str">
        <f>IF(OR(ISBLANK(C426),ISBLANK(D426),ISBLANK(F426),ISBLANK(G426)),"",COUNTIF($B$5:B426,"JAMBUTU"))</f>
        <v/>
      </c>
      <c r="B426" s="8" t="str">
        <f t="shared" si="51"/>
        <v/>
      </c>
      <c r="C426" s="8"/>
      <c r="D426" s="8"/>
      <c r="E426" s="18"/>
      <c r="F426" s="12"/>
      <c r="G426" s="17"/>
      <c r="H426" s="12"/>
      <c r="I426" s="17"/>
      <c r="J426" s="10">
        <f t="shared" si="50"/>
        <v>0</v>
      </c>
      <c r="K426" s="10">
        <f t="shared" si="45"/>
        <v>0</v>
      </c>
      <c r="L426" s="9" t="str">
        <f t="shared" si="46"/>
        <v/>
      </c>
      <c r="M426" s="8"/>
      <c r="N426" s="8"/>
      <c r="O426" s="8"/>
      <c r="P426" s="8"/>
      <c r="Q426" s="8"/>
      <c r="R426" s="8"/>
      <c r="S426" s="8"/>
      <c r="T426" s="8"/>
      <c r="U426" s="8"/>
      <c r="V426" s="7"/>
      <c r="W426" s="6" t="str">
        <f t="array" ref="W426">IF(NOT(ISBLANK(D426)),_xludf.XLOOKUP(D426,[1]CODE!$A$4:$A$100,[1]CODE!$D$4:$D$100),"")</f>
        <v/>
      </c>
      <c r="X426" s="5" t="str">
        <f t="array" ref="X426">IF(NOT(AND(ISBLANK(D426),ISBLANK(C426))),_xludf.XLOOKUP(D426,[1]CODE!$A$4:$A$100,[1]CODE!$E$4:$E$100),"")</f>
        <v/>
      </c>
      <c r="Y426" s="5" t="str">
        <f t="shared" si="47"/>
        <v/>
      </c>
      <c r="Z426" s="5" t="str">
        <f t="shared" si="48"/>
        <v/>
      </c>
      <c r="AA426" s="4">
        <f t="shared" si="49"/>
        <v>0</v>
      </c>
      <c r="AC426" s="2"/>
    </row>
    <row r="427" spans="1:29" ht="15.5">
      <c r="A427" s="13" t="str">
        <f>IF(OR(ISBLANK(C427),ISBLANK(D427),ISBLANK(F427),ISBLANK(G427)),"",COUNTIF($B$5:B427,"JAMBUTU"))</f>
        <v/>
      </c>
      <c r="B427" s="8" t="str">
        <f t="shared" si="51"/>
        <v/>
      </c>
      <c r="C427" s="8"/>
      <c r="D427" s="8"/>
      <c r="E427" s="18"/>
      <c r="F427" s="12"/>
      <c r="G427" s="17"/>
      <c r="H427" s="12"/>
      <c r="I427" s="17"/>
      <c r="J427" s="10">
        <f t="shared" si="50"/>
        <v>0</v>
      </c>
      <c r="K427" s="10">
        <f t="shared" si="45"/>
        <v>0</v>
      </c>
      <c r="L427" s="9" t="str">
        <f t="shared" si="46"/>
        <v/>
      </c>
      <c r="M427" s="8"/>
      <c r="N427" s="8"/>
      <c r="O427" s="8"/>
      <c r="P427" s="8"/>
      <c r="Q427" s="8"/>
      <c r="R427" s="8"/>
      <c r="S427" s="16"/>
      <c r="T427" s="8"/>
      <c r="U427" s="8"/>
      <c r="V427" s="7"/>
      <c r="W427" s="6" t="str">
        <f t="array" ref="W427">IF(NOT(ISBLANK(D427)),_xludf.XLOOKUP(D427,[1]CODE!$A$4:$A$100,[1]CODE!$D$4:$D$100),"")</f>
        <v/>
      </c>
      <c r="X427" s="5" t="str">
        <f t="array" ref="X427">IF(NOT(AND(ISBLANK(D427),ISBLANK(C427))),_xludf.XLOOKUP(D427,[1]CODE!$A$4:$A$100,[1]CODE!$E$4:$E$100),"")</f>
        <v/>
      </c>
      <c r="Y427" s="5" t="str">
        <f t="shared" si="47"/>
        <v/>
      </c>
      <c r="Z427" s="5" t="str">
        <f t="shared" si="48"/>
        <v/>
      </c>
      <c r="AA427" s="4">
        <f t="shared" si="49"/>
        <v>0</v>
      </c>
      <c r="AC427" s="2"/>
    </row>
    <row r="428" spans="1:29" ht="15.5">
      <c r="A428" s="13" t="str">
        <f>IF(OR(ISBLANK(C428),ISBLANK(D428),ISBLANK(F428),ISBLANK(G428)),"",COUNTIF($B$5:B428,"JAMBUTU"))</f>
        <v/>
      </c>
      <c r="B428" s="8" t="str">
        <f t="shared" si="51"/>
        <v/>
      </c>
      <c r="C428" s="8"/>
      <c r="D428" s="8"/>
      <c r="E428" s="18"/>
      <c r="F428" s="12"/>
      <c r="G428" s="17"/>
      <c r="H428" s="12"/>
      <c r="I428" s="17"/>
      <c r="J428" s="10">
        <f t="shared" si="50"/>
        <v>0</v>
      </c>
      <c r="K428" s="10">
        <f t="shared" si="45"/>
        <v>0</v>
      </c>
      <c r="L428" s="9" t="str">
        <f t="shared" si="46"/>
        <v/>
      </c>
      <c r="M428" s="8"/>
      <c r="N428" s="8"/>
      <c r="O428" s="8"/>
      <c r="P428" s="8"/>
      <c r="Q428" s="8"/>
      <c r="R428" s="8"/>
      <c r="S428" s="16"/>
      <c r="T428" s="8"/>
      <c r="U428" s="8"/>
      <c r="V428" s="7"/>
      <c r="W428" s="6" t="str">
        <f t="array" ref="W428">IF(NOT(ISBLANK(D428)),_xludf.XLOOKUP(D428,[1]CODE!$A$4:$A$100,[1]CODE!$D$4:$D$100),"")</f>
        <v/>
      </c>
      <c r="X428" s="5" t="str">
        <f t="array" ref="X428">IF(NOT(AND(ISBLANK(D428),ISBLANK(C428))),_xludf.XLOOKUP(D428,[1]CODE!$A$4:$A$100,[1]CODE!$E$4:$E$100),"")</f>
        <v/>
      </c>
      <c r="Y428" s="5" t="str">
        <f t="shared" si="47"/>
        <v/>
      </c>
      <c r="Z428" s="5" t="str">
        <f t="shared" si="48"/>
        <v/>
      </c>
      <c r="AA428" s="4">
        <f t="shared" si="49"/>
        <v>0</v>
      </c>
      <c r="AC428" s="2"/>
    </row>
    <row r="429" spans="1:29" ht="15.5">
      <c r="A429" s="13" t="str">
        <f>IF(OR(ISBLANK(C429),ISBLANK(D429),ISBLANK(F429),ISBLANK(G429)),"",COUNTIF($B$5:B429,"JAMBUTU"))</f>
        <v/>
      </c>
      <c r="B429" s="8" t="str">
        <f t="shared" si="51"/>
        <v/>
      </c>
      <c r="C429" s="8"/>
      <c r="D429" s="8"/>
      <c r="E429" s="18"/>
      <c r="F429" s="12"/>
      <c r="G429" s="17"/>
      <c r="H429" s="12"/>
      <c r="I429" s="17"/>
      <c r="J429" s="10">
        <f t="shared" si="50"/>
        <v>0</v>
      </c>
      <c r="K429" s="10">
        <f t="shared" si="45"/>
        <v>0</v>
      </c>
      <c r="L429" s="9" t="str">
        <f t="shared" si="46"/>
        <v/>
      </c>
      <c r="M429" s="8"/>
      <c r="N429" s="8"/>
      <c r="O429" s="8"/>
      <c r="P429" s="8"/>
      <c r="Q429" s="8"/>
      <c r="R429" s="8"/>
      <c r="S429" s="16"/>
      <c r="T429" s="8"/>
      <c r="U429" s="8"/>
      <c r="V429" s="7"/>
      <c r="W429" s="6" t="str">
        <f t="array" ref="W429">IF(NOT(ISBLANK(D429)),_xludf.XLOOKUP(D429,[1]CODE!$A$4:$A$100,[1]CODE!$D$4:$D$100),"")</f>
        <v/>
      </c>
      <c r="X429" s="5" t="str">
        <f t="array" ref="X429">IF(NOT(AND(ISBLANK(D429),ISBLANK(C429))),_xludf.XLOOKUP(D429,[1]CODE!$A$4:$A$100,[1]CODE!$E$4:$E$100),"")</f>
        <v/>
      </c>
      <c r="Y429" s="5" t="str">
        <f t="shared" si="47"/>
        <v/>
      </c>
      <c r="Z429" s="5" t="str">
        <f t="shared" si="48"/>
        <v/>
      </c>
      <c r="AA429" s="4">
        <f t="shared" si="49"/>
        <v>0</v>
      </c>
      <c r="AC429" s="2"/>
    </row>
    <row r="430" spans="1:29" ht="15.5">
      <c r="A430" s="13" t="str">
        <f>IF(OR(ISBLANK(C430),ISBLANK(D430),ISBLANK(F430),ISBLANK(G430)),"",COUNTIF($B$5:B430,"JAMBUTU"))</f>
        <v/>
      </c>
      <c r="B430" s="8" t="str">
        <f t="shared" si="51"/>
        <v/>
      </c>
      <c r="C430" s="8"/>
      <c r="D430" s="8"/>
      <c r="E430" s="18"/>
      <c r="F430" s="12"/>
      <c r="G430" s="17"/>
      <c r="H430" s="12"/>
      <c r="I430" s="17"/>
      <c r="J430" s="10">
        <f t="shared" si="50"/>
        <v>0</v>
      </c>
      <c r="K430" s="10">
        <f t="shared" si="45"/>
        <v>0</v>
      </c>
      <c r="L430" s="9" t="str">
        <f t="shared" si="46"/>
        <v/>
      </c>
      <c r="M430" s="8"/>
      <c r="N430" s="8"/>
      <c r="O430" s="8"/>
      <c r="P430" s="8"/>
      <c r="Q430" s="8"/>
      <c r="R430" s="16"/>
      <c r="S430" s="8"/>
      <c r="T430" s="8"/>
      <c r="U430" s="8"/>
      <c r="V430" s="7"/>
      <c r="W430" s="6" t="str">
        <f t="array" ref="W430">IF(NOT(ISBLANK(D430)),_xludf.XLOOKUP(D430,[1]CODE!$A$4:$A$100,[1]CODE!$D$4:$D$100),"")</f>
        <v/>
      </c>
      <c r="X430" s="5" t="str">
        <f t="array" ref="X430">IF(NOT(AND(ISBLANK(D430),ISBLANK(C430))),_xludf.XLOOKUP(D430,[1]CODE!$A$4:$A$100,[1]CODE!$E$4:$E$100),"")</f>
        <v/>
      </c>
      <c r="Y430" s="5" t="str">
        <f t="shared" si="47"/>
        <v/>
      </c>
      <c r="Z430" s="5" t="str">
        <f t="shared" si="48"/>
        <v/>
      </c>
      <c r="AA430" s="4">
        <f t="shared" si="49"/>
        <v>0</v>
      </c>
      <c r="AC430" s="2"/>
    </row>
    <row r="431" spans="1:29" ht="15.5">
      <c r="A431" s="13" t="str">
        <f>IF(OR(ISBLANK(C431),ISBLANK(D431),ISBLANK(F431),ISBLANK(G431)),"",COUNTIF($B$5:B431,"JAMBUTU"))</f>
        <v/>
      </c>
      <c r="B431" s="8" t="str">
        <f t="shared" si="51"/>
        <v/>
      </c>
      <c r="C431" s="8"/>
      <c r="D431" s="8"/>
      <c r="E431" s="18"/>
      <c r="F431" s="12"/>
      <c r="G431" s="17"/>
      <c r="H431" s="12"/>
      <c r="I431" s="17"/>
      <c r="J431" s="10">
        <f t="shared" si="50"/>
        <v>0</v>
      </c>
      <c r="K431" s="10">
        <f t="shared" si="45"/>
        <v>0</v>
      </c>
      <c r="L431" s="9" t="str">
        <f t="shared" si="46"/>
        <v/>
      </c>
      <c r="M431" s="8"/>
      <c r="N431" s="8"/>
      <c r="O431" s="8"/>
      <c r="P431" s="8"/>
      <c r="Q431" s="8"/>
      <c r="R431" s="8"/>
      <c r="S431" s="16"/>
      <c r="T431" s="8"/>
      <c r="U431" s="8"/>
      <c r="V431" s="7"/>
      <c r="W431" s="6" t="str">
        <f t="array" ref="W431">IF(NOT(ISBLANK(D431)),_xludf.XLOOKUP(D431,[1]CODE!$A$4:$A$100,[1]CODE!$D$4:$D$100),"")</f>
        <v/>
      </c>
      <c r="X431" s="5" t="str">
        <f t="array" ref="X431">IF(NOT(AND(ISBLANK(D431),ISBLANK(C431))),_xludf.XLOOKUP(D431,[1]CODE!$A$4:$A$100,[1]CODE!$E$4:$E$100),"")</f>
        <v/>
      </c>
      <c r="Y431" s="5" t="str">
        <f t="shared" si="47"/>
        <v/>
      </c>
      <c r="Z431" s="5" t="str">
        <f t="shared" si="48"/>
        <v/>
      </c>
      <c r="AA431" s="4">
        <f t="shared" si="49"/>
        <v>0</v>
      </c>
      <c r="AC431" s="2"/>
    </row>
    <row r="432" spans="1:29" ht="15.5">
      <c r="A432" s="13" t="str">
        <f>IF(OR(ISBLANK(C432),ISBLANK(D432),ISBLANK(F432),ISBLANK(G432)),"",COUNTIF($B$5:B432,"JAMBUTU"))</f>
        <v/>
      </c>
      <c r="B432" s="8" t="str">
        <f t="shared" si="51"/>
        <v/>
      </c>
      <c r="C432" s="8"/>
      <c r="D432" s="8"/>
      <c r="E432" s="18"/>
      <c r="F432" s="12"/>
      <c r="G432" s="17"/>
      <c r="H432" s="12"/>
      <c r="I432" s="17"/>
      <c r="J432" s="10">
        <f t="shared" si="50"/>
        <v>0</v>
      </c>
      <c r="K432" s="10">
        <f t="shared" si="45"/>
        <v>0</v>
      </c>
      <c r="L432" s="9" t="str">
        <f t="shared" si="46"/>
        <v/>
      </c>
      <c r="M432" s="8"/>
      <c r="N432" s="8"/>
      <c r="O432" s="8"/>
      <c r="P432" s="8"/>
      <c r="Q432" s="8"/>
      <c r="R432" s="16"/>
      <c r="S432" s="8"/>
      <c r="T432" s="8"/>
      <c r="U432" s="8"/>
      <c r="V432" s="7"/>
      <c r="W432" s="6" t="str">
        <f t="array" ref="W432">IF(NOT(ISBLANK(D432)),_xludf.XLOOKUP(D432,[1]CODE!$A$4:$A$100,[1]CODE!$D$4:$D$100),"")</f>
        <v/>
      </c>
      <c r="X432" s="5" t="str">
        <f t="array" ref="X432">IF(NOT(AND(ISBLANK(D432),ISBLANK(C432))),_xludf.XLOOKUP(D432,[1]CODE!$A$4:$A$100,[1]CODE!$E$4:$E$100),"")</f>
        <v/>
      </c>
      <c r="Y432" s="5" t="str">
        <f t="shared" si="47"/>
        <v/>
      </c>
      <c r="Z432" s="5" t="str">
        <f t="shared" si="48"/>
        <v/>
      </c>
      <c r="AA432" s="4">
        <f t="shared" si="49"/>
        <v>0</v>
      </c>
      <c r="AC432" s="2"/>
    </row>
    <row r="433" spans="1:29" ht="15.5">
      <c r="A433" s="13" t="str">
        <f>IF(OR(ISBLANK(C433),ISBLANK(D433),ISBLANK(F433),ISBLANK(G433)),"",COUNTIF($B$5:B433,"JAMBUTU"))</f>
        <v/>
      </c>
      <c r="B433" s="8" t="str">
        <f t="shared" si="51"/>
        <v/>
      </c>
      <c r="C433" s="8"/>
      <c r="D433" s="8"/>
      <c r="E433" s="18"/>
      <c r="F433" s="12"/>
      <c r="G433" s="17"/>
      <c r="H433" s="12"/>
      <c r="I433" s="17"/>
      <c r="J433" s="10">
        <f t="shared" si="50"/>
        <v>0</v>
      </c>
      <c r="K433" s="10">
        <f t="shared" si="45"/>
        <v>0</v>
      </c>
      <c r="L433" s="9" t="str">
        <f t="shared" si="46"/>
        <v/>
      </c>
      <c r="M433" s="8"/>
      <c r="N433" s="8"/>
      <c r="O433" s="8"/>
      <c r="P433" s="8"/>
      <c r="Q433" s="8"/>
      <c r="R433" s="8"/>
      <c r="S433" s="8"/>
      <c r="T433" s="8"/>
      <c r="U433" s="8"/>
      <c r="V433" s="7"/>
      <c r="W433" s="6" t="str">
        <f t="array" ref="W433">IF(NOT(ISBLANK(D433)),_xludf.XLOOKUP(D433,[1]CODE!$A$4:$A$100,[1]CODE!$D$4:$D$100),"")</f>
        <v/>
      </c>
      <c r="X433" s="5" t="str">
        <f t="array" ref="X433">IF(NOT(AND(ISBLANK(D433),ISBLANK(C433))),_xludf.XLOOKUP(D433,[1]CODE!$A$4:$A$100,[1]CODE!$E$4:$E$100),"")</f>
        <v/>
      </c>
      <c r="Y433" s="5" t="str">
        <f t="shared" si="47"/>
        <v/>
      </c>
      <c r="Z433" s="5" t="str">
        <f t="shared" si="48"/>
        <v/>
      </c>
      <c r="AA433" s="4">
        <f t="shared" si="49"/>
        <v>0</v>
      </c>
      <c r="AC433" s="2"/>
    </row>
    <row r="434" spans="1:29" ht="15.5">
      <c r="A434" s="13" t="str">
        <f>IF(OR(ISBLANK(C434),ISBLANK(D434),ISBLANK(F434),ISBLANK(G434)),"",COUNTIF($B$5:B434,"JAMBUTU"))</f>
        <v/>
      </c>
      <c r="B434" s="8" t="str">
        <f t="shared" si="51"/>
        <v/>
      </c>
      <c r="C434" s="8"/>
      <c r="D434" s="8"/>
      <c r="E434" s="18"/>
      <c r="F434" s="12"/>
      <c r="G434" s="17"/>
      <c r="H434" s="12"/>
      <c r="I434" s="17"/>
      <c r="J434" s="10">
        <f t="shared" si="50"/>
        <v>0</v>
      </c>
      <c r="K434" s="10">
        <f t="shared" si="45"/>
        <v>0</v>
      </c>
      <c r="L434" s="9" t="str">
        <f t="shared" si="46"/>
        <v/>
      </c>
      <c r="M434" s="8"/>
      <c r="N434" s="8"/>
      <c r="O434" s="8"/>
      <c r="P434" s="8"/>
      <c r="Q434" s="8"/>
      <c r="R434" s="8"/>
      <c r="S434" s="8"/>
      <c r="T434" s="8"/>
      <c r="U434" s="8"/>
      <c r="V434" s="7"/>
      <c r="W434" s="6" t="str">
        <f t="array" ref="W434">IF(NOT(ISBLANK(D434)),_xludf.XLOOKUP(D434,[1]CODE!$A$4:$A$100,[1]CODE!$D$4:$D$100),"")</f>
        <v/>
      </c>
      <c r="X434" s="5" t="str">
        <f t="array" ref="X434">IF(NOT(AND(ISBLANK(D434),ISBLANK(C434))),_xludf.XLOOKUP(D434,[1]CODE!$A$4:$A$100,[1]CODE!$E$4:$E$100),"")</f>
        <v/>
      </c>
      <c r="Y434" s="5" t="str">
        <f t="shared" si="47"/>
        <v/>
      </c>
      <c r="Z434" s="5" t="str">
        <f t="shared" si="48"/>
        <v/>
      </c>
      <c r="AA434" s="4">
        <f t="shared" si="49"/>
        <v>0</v>
      </c>
      <c r="AC434" s="2"/>
    </row>
    <row r="435" spans="1:29" ht="15.5">
      <c r="A435" s="13" t="str">
        <f>IF(OR(ISBLANK(C435),ISBLANK(D435),ISBLANK(F435),ISBLANK(G435)),"",COUNTIF($B$5:B435,"JAMBUTU"))</f>
        <v/>
      </c>
      <c r="B435" s="8" t="str">
        <f t="shared" si="51"/>
        <v/>
      </c>
      <c r="C435" s="8"/>
      <c r="D435" s="8"/>
      <c r="E435" s="18"/>
      <c r="F435" s="12"/>
      <c r="G435" s="17"/>
      <c r="H435" s="12"/>
      <c r="I435" s="17"/>
      <c r="J435" s="10">
        <f t="shared" si="50"/>
        <v>0</v>
      </c>
      <c r="K435" s="10">
        <f t="shared" si="45"/>
        <v>0</v>
      </c>
      <c r="L435" s="9" t="str">
        <f t="shared" si="46"/>
        <v/>
      </c>
      <c r="M435" s="8"/>
      <c r="N435" s="8"/>
      <c r="O435" s="8"/>
      <c r="P435" s="8"/>
      <c r="Q435" s="8"/>
      <c r="R435" s="8"/>
      <c r="S435" s="16"/>
      <c r="T435" s="8"/>
      <c r="U435" s="8"/>
      <c r="V435" s="7"/>
      <c r="W435" s="6" t="str">
        <f t="array" ref="W435">IF(NOT(ISBLANK(D435)),_xludf.XLOOKUP(D435,[1]CODE!$A$4:$A$100,[1]CODE!$D$4:$D$100),"")</f>
        <v/>
      </c>
      <c r="X435" s="5" t="str">
        <f t="array" ref="X435">IF(NOT(AND(ISBLANK(D435),ISBLANK(C435))),_xludf.XLOOKUP(D435,[1]CODE!$A$4:$A$100,[1]CODE!$E$4:$E$100),"")</f>
        <v/>
      </c>
      <c r="Y435" s="5" t="str">
        <f t="shared" si="47"/>
        <v/>
      </c>
      <c r="Z435" s="5" t="str">
        <f t="shared" si="48"/>
        <v/>
      </c>
      <c r="AA435" s="4">
        <f t="shared" si="49"/>
        <v>0</v>
      </c>
      <c r="AC435" s="2"/>
    </row>
    <row r="436" spans="1:29" ht="15.5">
      <c r="A436" s="13" t="str">
        <f>IF(OR(ISBLANK(C436),ISBLANK(D436),ISBLANK(F436),ISBLANK(G436)),"",COUNTIF($B$5:B436,"JAMBUTU"))</f>
        <v/>
      </c>
      <c r="B436" s="8" t="str">
        <f t="shared" si="51"/>
        <v/>
      </c>
      <c r="C436" s="8"/>
      <c r="D436" s="8"/>
      <c r="E436" s="18"/>
      <c r="F436" s="12"/>
      <c r="G436" s="17"/>
      <c r="H436" s="12"/>
      <c r="I436" s="17"/>
      <c r="J436" s="10">
        <f t="shared" si="50"/>
        <v>0</v>
      </c>
      <c r="K436" s="10">
        <f t="shared" si="45"/>
        <v>0</v>
      </c>
      <c r="L436" s="9" t="str">
        <f t="shared" si="46"/>
        <v/>
      </c>
      <c r="M436" s="8"/>
      <c r="N436" s="8"/>
      <c r="O436" s="8"/>
      <c r="P436" s="8"/>
      <c r="Q436" s="8"/>
      <c r="R436" s="8"/>
      <c r="S436" s="16"/>
      <c r="T436" s="8"/>
      <c r="U436" s="8"/>
      <c r="V436" s="7"/>
      <c r="W436" s="6" t="str">
        <f t="array" ref="W436">IF(NOT(ISBLANK(D436)),_xludf.XLOOKUP(D436,[1]CODE!$A$4:$A$100,[1]CODE!$D$4:$D$100),"")</f>
        <v/>
      </c>
      <c r="X436" s="5" t="str">
        <f t="array" ref="X436">IF(NOT(AND(ISBLANK(D436),ISBLANK(C436))),_xludf.XLOOKUP(D436,[1]CODE!$A$4:$A$100,[1]CODE!$E$4:$E$100),"")</f>
        <v/>
      </c>
      <c r="Y436" s="5" t="str">
        <f t="shared" si="47"/>
        <v/>
      </c>
      <c r="Z436" s="5" t="str">
        <f t="shared" si="48"/>
        <v/>
      </c>
      <c r="AA436" s="4">
        <f t="shared" si="49"/>
        <v>0</v>
      </c>
      <c r="AC436" s="2"/>
    </row>
    <row r="437" spans="1:29" ht="15.5">
      <c r="A437" s="13" t="str">
        <f>IF(OR(ISBLANK(C437),ISBLANK(D437),ISBLANK(F437),ISBLANK(G437)),"",COUNTIF($B$5:B437,"JAMBUTU"))</f>
        <v/>
      </c>
      <c r="B437" s="8" t="str">
        <f t="shared" si="51"/>
        <v/>
      </c>
      <c r="C437" s="8"/>
      <c r="D437" s="8"/>
      <c r="E437" s="18"/>
      <c r="F437" s="12"/>
      <c r="G437" s="17"/>
      <c r="H437" s="12"/>
      <c r="I437" s="17"/>
      <c r="J437" s="10">
        <f t="shared" si="50"/>
        <v>0</v>
      </c>
      <c r="K437" s="10">
        <f t="shared" si="45"/>
        <v>0</v>
      </c>
      <c r="L437" s="9" t="str">
        <f t="shared" si="46"/>
        <v/>
      </c>
      <c r="M437" s="8"/>
      <c r="N437" s="8"/>
      <c r="O437" s="8"/>
      <c r="P437" s="8"/>
      <c r="Q437" s="8"/>
      <c r="R437" s="8"/>
      <c r="S437" s="8"/>
      <c r="T437" s="8"/>
      <c r="U437" s="8"/>
      <c r="V437" s="7"/>
      <c r="W437" s="6" t="str">
        <f t="array" ref="W437">IF(NOT(ISBLANK(D437)),_xludf.XLOOKUP(D437,[1]CODE!$A$4:$A$100,[1]CODE!$D$4:$D$100),"")</f>
        <v/>
      </c>
      <c r="X437" s="5" t="str">
        <f t="array" ref="X437">IF(NOT(AND(ISBLANK(D437),ISBLANK(C437))),_xludf.XLOOKUP(D437,[1]CODE!$A$4:$A$100,[1]CODE!$E$4:$E$100),"")</f>
        <v/>
      </c>
      <c r="Y437" s="5" t="str">
        <f t="shared" si="47"/>
        <v/>
      </c>
      <c r="Z437" s="5" t="str">
        <f t="shared" si="48"/>
        <v/>
      </c>
      <c r="AA437" s="4">
        <f t="shared" si="49"/>
        <v>0</v>
      </c>
      <c r="AC437" s="2"/>
    </row>
    <row r="438" spans="1:29" ht="15.5">
      <c r="A438" s="13" t="str">
        <f>IF(OR(ISBLANK(C438),ISBLANK(D438),ISBLANK(F438),ISBLANK(G438)),"",COUNTIF($B$5:B438,"JAMBUTU"))</f>
        <v/>
      </c>
      <c r="B438" s="8" t="str">
        <f t="shared" si="51"/>
        <v/>
      </c>
      <c r="C438" s="8"/>
      <c r="D438" s="8"/>
      <c r="E438" s="18"/>
      <c r="F438" s="12"/>
      <c r="G438" s="17"/>
      <c r="H438" s="12"/>
      <c r="I438" s="17"/>
      <c r="J438" s="10">
        <f t="shared" si="50"/>
        <v>0</v>
      </c>
      <c r="K438" s="10">
        <f t="shared" si="45"/>
        <v>0</v>
      </c>
      <c r="L438" s="9" t="str">
        <f t="shared" si="46"/>
        <v/>
      </c>
      <c r="M438" s="8"/>
      <c r="N438" s="8"/>
      <c r="O438" s="8"/>
      <c r="P438" s="8"/>
      <c r="Q438" s="8"/>
      <c r="R438" s="8"/>
      <c r="S438" s="8"/>
      <c r="T438" s="8"/>
      <c r="U438" s="8"/>
      <c r="V438" s="7"/>
      <c r="W438" s="6" t="str">
        <f t="array" ref="W438">IF(NOT(ISBLANK(D438)),_xludf.XLOOKUP(D438,[1]CODE!$A$4:$A$100,[1]CODE!$D$4:$D$100),"")</f>
        <v/>
      </c>
      <c r="X438" s="5" t="str">
        <f t="array" ref="X438">IF(NOT(AND(ISBLANK(D438),ISBLANK(C438))),_xludf.XLOOKUP(D438,[1]CODE!$A$4:$A$100,[1]CODE!$E$4:$E$100),"")</f>
        <v/>
      </c>
      <c r="Y438" s="5" t="str">
        <f t="shared" si="47"/>
        <v/>
      </c>
      <c r="Z438" s="5" t="str">
        <f t="shared" si="48"/>
        <v/>
      </c>
      <c r="AA438" s="4">
        <f t="shared" si="49"/>
        <v>0</v>
      </c>
      <c r="AC438" s="2"/>
    </row>
    <row r="439" spans="1:29" ht="15.5">
      <c r="A439" s="13" t="str">
        <f>IF(OR(ISBLANK(C439),ISBLANK(D439),ISBLANK(F439),ISBLANK(G439)),"",COUNTIF($B$5:B439,"JAMBUTU"))</f>
        <v/>
      </c>
      <c r="B439" s="8" t="str">
        <f t="shared" si="51"/>
        <v/>
      </c>
      <c r="C439" s="8"/>
      <c r="D439" s="8"/>
      <c r="E439" s="18"/>
      <c r="F439" s="12"/>
      <c r="G439" s="17"/>
      <c r="H439" s="12"/>
      <c r="I439" s="17"/>
      <c r="J439" s="10">
        <f t="shared" si="50"/>
        <v>0</v>
      </c>
      <c r="K439" s="10">
        <f t="shared" si="45"/>
        <v>0</v>
      </c>
      <c r="L439" s="9" t="str">
        <f t="shared" si="46"/>
        <v/>
      </c>
      <c r="M439" s="8"/>
      <c r="N439" s="8"/>
      <c r="O439" s="8"/>
      <c r="P439" s="8"/>
      <c r="Q439" s="8"/>
      <c r="R439" s="8"/>
      <c r="S439" s="8"/>
      <c r="T439" s="8"/>
      <c r="U439" s="8"/>
      <c r="V439" s="7"/>
      <c r="W439" s="6" t="str">
        <f t="array" ref="W439">IF(NOT(ISBLANK(D439)),_xludf.XLOOKUP(D439,[1]CODE!$A$4:$A$100,[1]CODE!$D$4:$D$100),"")</f>
        <v/>
      </c>
      <c r="X439" s="5" t="str">
        <f t="array" ref="X439">IF(NOT(AND(ISBLANK(D439),ISBLANK(C439))),_xludf.XLOOKUP(D439,[1]CODE!$A$4:$A$100,[1]CODE!$E$4:$E$100),"")</f>
        <v/>
      </c>
      <c r="Y439" s="5" t="str">
        <f t="shared" si="47"/>
        <v/>
      </c>
      <c r="Z439" s="5" t="str">
        <f t="shared" si="48"/>
        <v/>
      </c>
      <c r="AA439" s="4">
        <f t="shared" si="49"/>
        <v>0</v>
      </c>
      <c r="AC439" s="2"/>
    </row>
    <row r="440" spans="1:29" ht="15.5">
      <c r="A440" s="13" t="str">
        <f>IF(OR(ISBLANK(C440),ISBLANK(D440),ISBLANK(F440),ISBLANK(G440)),"",COUNTIF($B$5:B440,"JAMBUTU"))</f>
        <v/>
      </c>
      <c r="B440" s="8" t="str">
        <f t="shared" si="51"/>
        <v/>
      </c>
      <c r="C440" s="8"/>
      <c r="D440" s="8"/>
      <c r="E440" s="18"/>
      <c r="F440" s="12"/>
      <c r="G440" s="17"/>
      <c r="H440" s="12"/>
      <c r="I440" s="17"/>
      <c r="J440" s="10">
        <f t="shared" si="50"/>
        <v>0</v>
      </c>
      <c r="K440" s="10">
        <f t="shared" si="45"/>
        <v>0</v>
      </c>
      <c r="L440" s="9" t="str">
        <f t="shared" si="46"/>
        <v/>
      </c>
      <c r="M440" s="8"/>
      <c r="N440" s="8"/>
      <c r="O440" s="8"/>
      <c r="P440" s="8"/>
      <c r="Q440" s="8"/>
      <c r="R440" s="8"/>
      <c r="S440" s="8"/>
      <c r="T440" s="8"/>
      <c r="U440" s="8"/>
      <c r="V440" s="7"/>
      <c r="W440" s="6" t="str">
        <f t="array" ref="W440">IF(NOT(ISBLANK(D440)),_xludf.XLOOKUP(D440,[1]CODE!$A$4:$A$100,[1]CODE!$D$4:$D$100),"")</f>
        <v/>
      </c>
      <c r="X440" s="5" t="str">
        <f t="array" ref="X440">IF(NOT(AND(ISBLANK(D440),ISBLANK(C440))),_xludf.XLOOKUP(D440,[1]CODE!$A$4:$A$100,[1]CODE!$E$4:$E$100),"")</f>
        <v/>
      </c>
      <c r="Y440" s="5" t="str">
        <f t="shared" si="47"/>
        <v/>
      </c>
      <c r="Z440" s="5" t="str">
        <f t="shared" si="48"/>
        <v/>
      </c>
      <c r="AA440" s="4">
        <f t="shared" si="49"/>
        <v>0</v>
      </c>
      <c r="AC440" s="2"/>
    </row>
    <row r="441" spans="1:29" ht="15.5">
      <c r="A441" s="13" t="str">
        <f>IF(OR(ISBLANK(C441),ISBLANK(D441),ISBLANK(F441),ISBLANK(G441)),"",COUNTIF($B$5:B441,"JAMBUTU"))</f>
        <v/>
      </c>
      <c r="B441" s="8" t="str">
        <f t="shared" si="51"/>
        <v/>
      </c>
      <c r="C441" s="8"/>
      <c r="D441" s="8"/>
      <c r="E441" s="18"/>
      <c r="F441" s="12"/>
      <c r="G441" s="17"/>
      <c r="H441" s="12"/>
      <c r="I441" s="17"/>
      <c r="J441" s="10">
        <f t="shared" si="50"/>
        <v>0</v>
      </c>
      <c r="K441" s="10">
        <f t="shared" si="45"/>
        <v>0</v>
      </c>
      <c r="L441" s="9" t="str">
        <f t="shared" si="46"/>
        <v/>
      </c>
      <c r="M441" s="8"/>
      <c r="N441" s="8"/>
      <c r="O441" s="8"/>
      <c r="P441" s="8"/>
      <c r="Q441" s="8"/>
      <c r="R441" s="8"/>
      <c r="S441" s="8"/>
      <c r="T441" s="8"/>
      <c r="U441" s="8"/>
      <c r="V441" s="7"/>
      <c r="W441" s="6" t="str">
        <f t="array" ref="W441">IF(NOT(ISBLANK(D441)),_xludf.XLOOKUP(D441,[1]CODE!$A$4:$A$100,[1]CODE!$D$4:$D$100),"")</f>
        <v/>
      </c>
      <c r="X441" s="5" t="str">
        <f t="array" ref="X441">IF(NOT(AND(ISBLANK(D441),ISBLANK(C441))),_xludf.XLOOKUP(D441,[1]CODE!$A$4:$A$100,[1]CODE!$E$4:$E$100),"")</f>
        <v/>
      </c>
      <c r="Y441" s="5" t="str">
        <f t="shared" si="47"/>
        <v/>
      </c>
      <c r="Z441" s="5" t="str">
        <f t="shared" si="48"/>
        <v/>
      </c>
      <c r="AA441" s="4">
        <f t="shared" si="49"/>
        <v>0</v>
      </c>
      <c r="AC441" s="2"/>
    </row>
    <row r="442" spans="1:29" ht="15.5">
      <c r="A442" s="13" t="str">
        <f>IF(OR(ISBLANK(C442),ISBLANK(D442),ISBLANK(F442),ISBLANK(G442)),"",COUNTIF($B$5:B442,"JAMBUTU"))</f>
        <v/>
      </c>
      <c r="B442" s="8" t="str">
        <f t="shared" si="51"/>
        <v/>
      </c>
      <c r="C442" s="8"/>
      <c r="D442" s="8"/>
      <c r="E442" s="18"/>
      <c r="F442" s="12"/>
      <c r="G442" s="17"/>
      <c r="H442" s="12"/>
      <c r="I442" s="17"/>
      <c r="J442" s="10">
        <f t="shared" si="50"/>
        <v>0</v>
      </c>
      <c r="K442" s="10">
        <f t="shared" si="45"/>
        <v>0</v>
      </c>
      <c r="L442" s="9" t="str">
        <f t="shared" si="46"/>
        <v/>
      </c>
      <c r="M442" s="8"/>
      <c r="N442" s="8"/>
      <c r="O442" s="8"/>
      <c r="P442" s="8"/>
      <c r="Q442" s="8"/>
      <c r="R442" s="8"/>
      <c r="S442" s="8"/>
      <c r="T442" s="8"/>
      <c r="U442" s="8"/>
      <c r="V442" s="7"/>
      <c r="W442" s="6" t="str">
        <f t="array" ref="W442">IF(NOT(ISBLANK(D442)),_xludf.XLOOKUP(D442,[1]CODE!$A$4:$A$100,[1]CODE!$D$4:$D$100),"")</f>
        <v/>
      </c>
      <c r="X442" s="5" t="str">
        <f t="array" ref="X442">IF(NOT(AND(ISBLANK(D442),ISBLANK(C442))),_xludf.XLOOKUP(D442,[1]CODE!$A$4:$A$100,[1]CODE!$E$4:$E$100),"")</f>
        <v/>
      </c>
      <c r="Y442" s="5" t="str">
        <f t="shared" si="47"/>
        <v/>
      </c>
      <c r="Z442" s="5" t="str">
        <f t="shared" si="48"/>
        <v/>
      </c>
      <c r="AA442" s="4">
        <f t="shared" si="49"/>
        <v>0</v>
      </c>
      <c r="AC442" s="2"/>
    </row>
    <row r="443" spans="1:29" ht="15.5">
      <c r="A443" s="13" t="str">
        <f>IF(OR(ISBLANK(C443),ISBLANK(D443),ISBLANK(F443),ISBLANK(G443)),"",COUNTIF($B$5:B443,"JAMBUTU"))</f>
        <v/>
      </c>
      <c r="B443" s="8" t="str">
        <f t="shared" si="51"/>
        <v/>
      </c>
      <c r="C443" s="8"/>
      <c r="D443" s="8"/>
      <c r="E443" s="18"/>
      <c r="F443" s="12"/>
      <c r="G443" s="17"/>
      <c r="H443" s="12"/>
      <c r="I443" s="17"/>
      <c r="J443" s="10">
        <f t="shared" si="50"/>
        <v>0</v>
      </c>
      <c r="K443" s="10">
        <f t="shared" si="45"/>
        <v>0</v>
      </c>
      <c r="L443" s="9" t="str">
        <f t="shared" si="46"/>
        <v/>
      </c>
      <c r="M443" s="8"/>
      <c r="N443" s="8"/>
      <c r="O443" s="8"/>
      <c r="P443" s="8"/>
      <c r="Q443" s="8"/>
      <c r="R443" s="8"/>
      <c r="S443" s="8"/>
      <c r="T443" s="8"/>
      <c r="U443" s="8"/>
      <c r="V443" s="7"/>
      <c r="W443" s="6" t="str">
        <f t="array" ref="W443">IF(NOT(ISBLANK(D443)),_xludf.XLOOKUP(D443,[1]CODE!$A$4:$A$100,[1]CODE!$D$4:$D$100),"")</f>
        <v/>
      </c>
      <c r="X443" s="5" t="str">
        <f t="array" ref="X443">IF(NOT(AND(ISBLANK(D443),ISBLANK(C443))),_xludf.XLOOKUP(D443,[1]CODE!$A$4:$A$100,[1]CODE!$E$4:$E$100),"")</f>
        <v/>
      </c>
      <c r="Y443" s="5" t="str">
        <f t="shared" si="47"/>
        <v/>
      </c>
      <c r="Z443" s="5" t="str">
        <f t="shared" si="48"/>
        <v/>
      </c>
      <c r="AA443" s="4">
        <f t="shared" si="49"/>
        <v>0</v>
      </c>
      <c r="AC443" s="2"/>
    </row>
    <row r="444" spans="1:29" ht="15.5">
      <c r="A444" s="13" t="str">
        <f>IF(OR(ISBLANK(C444),ISBLANK(D444),ISBLANK(F444),ISBLANK(G444)),"",COUNTIF($B$5:B444,"JAMBUTU"))</f>
        <v/>
      </c>
      <c r="B444" s="8" t="str">
        <f t="shared" si="51"/>
        <v/>
      </c>
      <c r="C444" s="8"/>
      <c r="D444" s="8"/>
      <c r="E444" s="18"/>
      <c r="F444" s="12"/>
      <c r="G444" s="17"/>
      <c r="H444" s="12"/>
      <c r="I444" s="17"/>
      <c r="J444" s="10">
        <f t="shared" si="50"/>
        <v>0</v>
      </c>
      <c r="K444" s="10">
        <f t="shared" si="45"/>
        <v>0</v>
      </c>
      <c r="L444" s="9" t="str">
        <f t="shared" si="46"/>
        <v/>
      </c>
      <c r="M444" s="8"/>
      <c r="N444" s="8"/>
      <c r="O444" s="8"/>
      <c r="P444" s="8"/>
      <c r="Q444" s="8"/>
      <c r="R444" s="8"/>
      <c r="S444" s="8"/>
      <c r="T444" s="8"/>
      <c r="U444" s="8"/>
      <c r="V444" s="7"/>
      <c r="W444" s="6" t="str">
        <f t="array" ref="W444">IF(NOT(ISBLANK(D444)),_xludf.XLOOKUP(D444,[1]CODE!$A$4:$A$100,[1]CODE!$D$4:$D$100),"")</f>
        <v/>
      </c>
      <c r="X444" s="5" t="str">
        <f t="array" ref="X444">IF(NOT(AND(ISBLANK(D444),ISBLANK(C444))),_xludf.XLOOKUP(D444,[1]CODE!$A$4:$A$100,[1]CODE!$E$4:$E$100),"")</f>
        <v/>
      </c>
      <c r="Y444" s="5" t="str">
        <f t="shared" si="47"/>
        <v/>
      </c>
      <c r="Z444" s="5" t="str">
        <f t="shared" si="48"/>
        <v/>
      </c>
      <c r="AA444" s="4">
        <f t="shared" si="49"/>
        <v>0</v>
      </c>
      <c r="AC444" s="2"/>
    </row>
    <row r="445" spans="1:29" ht="15.5">
      <c r="A445" s="13" t="str">
        <f>IF(OR(ISBLANK(C445),ISBLANK(D445),ISBLANK(F445),ISBLANK(G445)),"",COUNTIF($B$5:B445,"JAMBUTU"))</f>
        <v/>
      </c>
      <c r="B445" s="8" t="str">
        <f t="shared" si="51"/>
        <v/>
      </c>
      <c r="C445" s="8"/>
      <c r="D445" s="8"/>
      <c r="E445" s="18"/>
      <c r="F445" s="12"/>
      <c r="G445" s="17"/>
      <c r="H445" s="12"/>
      <c r="I445" s="17"/>
      <c r="J445" s="10">
        <f t="shared" si="50"/>
        <v>0</v>
      </c>
      <c r="K445" s="10">
        <f t="shared" si="45"/>
        <v>0</v>
      </c>
      <c r="L445" s="9" t="str">
        <f t="shared" si="46"/>
        <v/>
      </c>
      <c r="M445" s="8"/>
      <c r="N445" s="8"/>
      <c r="O445" s="8"/>
      <c r="P445" s="8"/>
      <c r="Q445" s="8"/>
      <c r="R445" s="8"/>
      <c r="S445" s="8"/>
      <c r="T445" s="8"/>
      <c r="U445" s="8"/>
      <c r="V445" s="7"/>
      <c r="W445" s="6" t="str">
        <f t="array" ref="W445">IF(NOT(ISBLANK(D445)),_xludf.XLOOKUP(D445,[1]CODE!$A$4:$A$100,[1]CODE!$D$4:$D$100),"")</f>
        <v/>
      </c>
      <c r="X445" s="5" t="str">
        <f t="array" ref="X445">IF(NOT(AND(ISBLANK(D445),ISBLANK(C445))),_xludf.XLOOKUP(D445,[1]CODE!$A$4:$A$100,[1]CODE!$E$4:$E$100),"")</f>
        <v/>
      </c>
      <c r="Y445" s="5" t="str">
        <f t="shared" si="47"/>
        <v/>
      </c>
      <c r="Z445" s="5" t="str">
        <f t="shared" si="48"/>
        <v/>
      </c>
      <c r="AA445" s="4">
        <f t="shared" si="49"/>
        <v>0</v>
      </c>
      <c r="AC445" s="2"/>
    </row>
    <row r="446" spans="1:29" ht="15.5">
      <c r="A446" s="13" t="str">
        <f>IF(OR(ISBLANK(C446),ISBLANK(D446),ISBLANK(F446),ISBLANK(G446)),"",COUNTIF($B$5:B446,"JAMBUTU"))</f>
        <v/>
      </c>
      <c r="B446" s="8" t="str">
        <f t="shared" si="51"/>
        <v/>
      </c>
      <c r="C446" s="8"/>
      <c r="D446" s="8"/>
      <c r="E446" s="18"/>
      <c r="F446" s="12"/>
      <c r="G446" s="17"/>
      <c r="H446" s="12"/>
      <c r="I446" s="17"/>
      <c r="J446" s="10">
        <f t="shared" si="50"/>
        <v>0</v>
      </c>
      <c r="K446" s="10">
        <f t="shared" si="45"/>
        <v>0</v>
      </c>
      <c r="L446" s="9" t="str">
        <f t="shared" si="46"/>
        <v/>
      </c>
      <c r="M446" s="8"/>
      <c r="N446" s="8"/>
      <c r="O446" s="8"/>
      <c r="P446" s="8"/>
      <c r="Q446" s="8"/>
      <c r="R446" s="8"/>
      <c r="S446" s="8"/>
      <c r="T446" s="8"/>
      <c r="U446" s="8"/>
      <c r="V446" s="7"/>
      <c r="W446" s="6" t="str">
        <f t="array" ref="W446">IF(NOT(ISBLANK(D446)),_xludf.XLOOKUP(D446,[1]CODE!$A$4:$A$100,[1]CODE!$D$4:$D$100),"")</f>
        <v/>
      </c>
      <c r="X446" s="5" t="str">
        <f t="array" ref="X446">IF(NOT(AND(ISBLANK(D446),ISBLANK(C446))),_xludf.XLOOKUP(D446,[1]CODE!$A$4:$A$100,[1]CODE!$E$4:$E$100),"")</f>
        <v/>
      </c>
      <c r="Y446" s="5" t="str">
        <f t="shared" si="47"/>
        <v/>
      </c>
      <c r="Z446" s="5" t="str">
        <f t="shared" si="48"/>
        <v/>
      </c>
      <c r="AA446" s="4">
        <f t="shared" si="49"/>
        <v>0</v>
      </c>
      <c r="AC446" s="2"/>
    </row>
    <row r="447" spans="1:29" ht="15.5">
      <c r="A447" s="13" t="str">
        <f>IF(OR(ISBLANK(C447),ISBLANK(D447),ISBLANK(F447),ISBLANK(G447)),"",COUNTIF($B$5:B447,"JAMBUTU"))</f>
        <v/>
      </c>
      <c r="B447" s="8" t="str">
        <f t="shared" si="51"/>
        <v/>
      </c>
      <c r="C447" s="8"/>
      <c r="D447" s="8"/>
      <c r="E447" s="18"/>
      <c r="F447" s="12"/>
      <c r="G447" s="17"/>
      <c r="H447" s="12"/>
      <c r="I447" s="17"/>
      <c r="J447" s="10">
        <f t="shared" si="50"/>
        <v>0</v>
      </c>
      <c r="K447" s="10">
        <f t="shared" si="45"/>
        <v>0</v>
      </c>
      <c r="L447" s="9" t="str">
        <f t="shared" si="46"/>
        <v/>
      </c>
      <c r="M447" s="8"/>
      <c r="N447" s="8"/>
      <c r="O447" s="8"/>
      <c r="P447" s="8"/>
      <c r="Q447" s="8"/>
      <c r="R447" s="8"/>
      <c r="S447" s="8"/>
      <c r="T447" s="8"/>
      <c r="U447" s="8"/>
      <c r="V447" s="7"/>
      <c r="W447" s="6" t="str">
        <f t="array" ref="W447">IF(NOT(ISBLANK(D447)),_xludf.XLOOKUP(D447,[1]CODE!$A$4:$A$100,[1]CODE!$D$4:$D$100),"")</f>
        <v/>
      </c>
      <c r="X447" s="5" t="str">
        <f t="array" ref="X447">IF(NOT(AND(ISBLANK(D447),ISBLANK(C447))),_xludf.XLOOKUP(D447,[1]CODE!$A$4:$A$100,[1]CODE!$E$4:$E$100),"")</f>
        <v/>
      </c>
      <c r="Y447" s="5" t="str">
        <f t="shared" si="47"/>
        <v/>
      </c>
      <c r="Z447" s="5" t="str">
        <f t="shared" si="48"/>
        <v/>
      </c>
      <c r="AA447" s="4">
        <f t="shared" si="49"/>
        <v>0</v>
      </c>
      <c r="AC447" s="2"/>
    </row>
    <row r="448" spans="1:29" ht="15.5">
      <c r="A448" s="13" t="str">
        <f>IF(OR(ISBLANK(C448),ISBLANK(D448),ISBLANK(F448),ISBLANK(G448)),"",COUNTIF($B$5:B448,"JAMBUTU"))</f>
        <v/>
      </c>
      <c r="B448" s="8" t="str">
        <f t="shared" si="51"/>
        <v/>
      </c>
      <c r="C448" s="8"/>
      <c r="D448" s="8"/>
      <c r="E448" s="18"/>
      <c r="F448" s="12"/>
      <c r="G448" s="17"/>
      <c r="H448" s="12"/>
      <c r="I448" s="17"/>
      <c r="J448" s="10">
        <f t="shared" si="50"/>
        <v>0</v>
      </c>
      <c r="K448" s="10">
        <f t="shared" si="45"/>
        <v>0</v>
      </c>
      <c r="L448" s="9" t="str">
        <f t="shared" si="46"/>
        <v/>
      </c>
      <c r="M448" s="8"/>
      <c r="N448" s="8"/>
      <c r="O448" s="8"/>
      <c r="P448" s="8"/>
      <c r="Q448" s="8"/>
      <c r="R448" s="8"/>
      <c r="S448" s="8"/>
      <c r="T448" s="8"/>
      <c r="U448" s="8"/>
      <c r="V448" s="7"/>
      <c r="W448" s="6" t="str">
        <f t="array" ref="W448">IF(NOT(ISBLANK(D448)),_xludf.XLOOKUP(D448,[1]CODE!$A$4:$A$100,[1]CODE!$D$4:$D$100),"")</f>
        <v/>
      </c>
      <c r="X448" s="5" t="str">
        <f t="array" ref="X448">IF(NOT(AND(ISBLANK(D448),ISBLANK(C448))),_xludf.XLOOKUP(D448,[1]CODE!$A$4:$A$100,[1]CODE!$E$4:$E$100),"")</f>
        <v/>
      </c>
      <c r="Y448" s="5" t="str">
        <f t="shared" si="47"/>
        <v/>
      </c>
      <c r="Z448" s="5" t="str">
        <f t="shared" si="48"/>
        <v/>
      </c>
      <c r="AA448" s="4">
        <f t="shared" si="49"/>
        <v>0</v>
      </c>
      <c r="AC448" s="2"/>
    </row>
    <row r="449" spans="1:29" ht="15.5">
      <c r="A449" s="13" t="str">
        <f>IF(OR(ISBLANK(C449),ISBLANK(D449),ISBLANK(F449),ISBLANK(G449)),"",COUNTIF($B$5:B449,"JAMBUTU"))</f>
        <v/>
      </c>
      <c r="B449" s="8" t="str">
        <f t="shared" si="51"/>
        <v/>
      </c>
      <c r="C449" s="8"/>
      <c r="D449" s="8"/>
      <c r="E449" s="18"/>
      <c r="F449" s="12"/>
      <c r="G449" s="17"/>
      <c r="H449" s="12"/>
      <c r="I449" s="17"/>
      <c r="J449" s="10">
        <f t="shared" si="50"/>
        <v>0</v>
      </c>
      <c r="K449" s="10">
        <f t="shared" si="45"/>
        <v>0</v>
      </c>
      <c r="L449" s="9" t="str">
        <f t="shared" si="46"/>
        <v/>
      </c>
      <c r="M449" s="8"/>
      <c r="N449" s="8"/>
      <c r="O449" s="8"/>
      <c r="P449" s="8"/>
      <c r="Q449" s="8"/>
      <c r="R449" s="8"/>
      <c r="S449" s="8"/>
      <c r="T449" s="8"/>
      <c r="U449" s="8"/>
      <c r="V449" s="7"/>
      <c r="W449" s="6" t="str">
        <f t="array" ref="W449">IF(NOT(ISBLANK(D449)),_xludf.XLOOKUP(D449,[1]CODE!$A$4:$A$100,[1]CODE!$D$4:$D$100),"")</f>
        <v/>
      </c>
      <c r="X449" s="5" t="str">
        <f t="array" ref="X449">IF(NOT(AND(ISBLANK(D449),ISBLANK(C449))),_xludf.XLOOKUP(D449,[1]CODE!$A$4:$A$100,[1]CODE!$E$4:$E$100),"")</f>
        <v/>
      </c>
      <c r="Y449" s="5" t="str">
        <f t="shared" si="47"/>
        <v/>
      </c>
      <c r="Z449" s="5" t="str">
        <f t="shared" si="48"/>
        <v/>
      </c>
      <c r="AA449" s="4">
        <f t="shared" si="49"/>
        <v>0</v>
      </c>
      <c r="AC449" s="2"/>
    </row>
    <row r="450" spans="1:29" ht="15.5">
      <c r="A450" s="13" t="str">
        <f>IF(OR(ISBLANK(C450),ISBLANK(D450),ISBLANK(F450),ISBLANK(G450)),"",COUNTIF($B$5:B450,"JAMBUTU"))</f>
        <v/>
      </c>
      <c r="B450" s="8" t="str">
        <f t="shared" si="51"/>
        <v/>
      </c>
      <c r="C450" s="8"/>
      <c r="D450" s="8"/>
      <c r="E450" s="18"/>
      <c r="F450" s="12"/>
      <c r="G450" s="17"/>
      <c r="H450" s="12"/>
      <c r="I450" s="17"/>
      <c r="J450" s="10">
        <f t="shared" si="50"/>
        <v>0</v>
      </c>
      <c r="K450" s="10">
        <f t="shared" si="45"/>
        <v>0</v>
      </c>
      <c r="L450" s="9" t="str">
        <f t="shared" si="46"/>
        <v/>
      </c>
      <c r="M450" s="8"/>
      <c r="N450" s="8"/>
      <c r="O450" s="8"/>
      <c r="P450" s="8"/>
      <c r="Q450" s="8"/>
      <c r="R450" s="8"/>
      <c r="S450" s="8"/>
      <c r="T450" s="8"/>
      <c r="U450" s="8"/>
      <c r="V450" s="7"/>
      <c r="W450" s="6" t="str">
        <f t="array" ref="W450">IF(NOT(ISBLANK(D450)),_xludf.XLOOKUP(D450,[1]CODE!$A$4:$A$100,[1]CODE!$D$4:$D$100),"")</f>
        <v/>
      </c>
      <c r="X450" s="5" t="str">
        <f t="array" ref="X450">IF(NOT(AND(ISBLANK(D450),ISBLANK(C450))),_xludf.XLOOKUP(D450,[1]CODE!$A$4:$A$100,[1]CODE!$E$4:$E$100),"")</f>
        <v/>
      </c>
      <c r="Y450" s="5" t="str">
        <f t="shared" si="47"/>
        <v/>
      </c>
      <c r="Z450" s="5" t="str">
        <f t="shared" si="48"/>
        <v/>
      </c>
      <c r="AA450" s="4">
        <f t="shared" si="49"/>
        <v>0</v>
      </c>
      <c r="AC450" s="2"/>
    </row>
    <row r="451" spans="1:29" ht="15.5">
      <c r="A451" s="13" t="str">
        <f>IF(OR(ISBLANK(C451),ISBLANK(D451),ISBLANK(F451),ISBLANK(G451)),"",COUNTIF($B$5:B451,"JAMBUTU"))</f>
        <v/>
      </c>
      <c r="B451" s="8" t="str">
        <f t="shared" si="51"/>
        <v/>
      </c>
      <c r="C451" s="8"/>
      <c r="D451" s="8"/>
      <c r="E451" s="18"/>
      <c r="F451" s="12"/>
      <c r="G451" s="17"/>
      <c r="H451" s="12"/>
      <c r="I451" s="17"/>
      <c r="J451" s="10">
        <f t="shared" si="50"/>
        <v>0</v>
      </c>
      <c r="K451" s="10">
        <f t="shared" si="45"/>
        <v>0</v>
      </c>
      <c r="L451" s="9" t="str">
        <f t="shared" si="46"/>
        <v/>
      </c>
      <c r="M451" s="8"/>
      <c r="N451" s="8"/>
      <c r="O451" s="8"/>
      <c r="P451" s="8"/>
      <c r="Q451" s="8"/>
      <c r="R451" s="8"/>
      <c r="S451" s="8"/>
      <c r="T451" s="8"/>
      <c r="U451" s="8"/>
      <c r="V451" s="7"/>
      <c r="W451" s="6" t="str">
        <f t="array" ref="W451">IF(NOT(ISBLANK(D451)),_xludf.XLOOKUP(D451,[1]CODE!$A$4:$A$100,[1]CODE!$D$4:$D$100),"")</f>
        <v/>
      </c>
      <c r="X451" s="5" t="str">
        <f t="array" ref="X451">IF(NOT(AND(ISBLANK(D451),ISBLANK(C451))),_xludf.XLOOKUP(D451,[1]CODE!$A$4:$A$100,[1]CODE!$E$4:$E$100),"")</f>
        <v/>
      </c>
      <c r="Y451" s="5" t="str">
        <f t="shared" si="47"/>
        <v/>
      </c>
      <c r="Z451" s="5" t="str">
        <f t="shared" si="48"/>
        <v/>
      </c>
      <c r="AA451" s="4">
        <f t="shared" si="49"/>
        <v>0</v>
      </c>
      <c r="AC451" s="2"/>
    </row>
    <row r="452" spans="1:29" ht="15.5">
      <c r="A452" s="13" t="str">
        <f>IF(OR(ISBLANK(C452),ISBLANK(D452),ISBLANK(F452),ISBLANK(G452)),"",COUNTIF($B$5:B452,"JAMBUTU"))</f>
        <v/>
      </c>
      <c r="B452" s="8" t="str">
        <f t="shared" si="51"/>
        <v/>
      </c>
      <c r="C452" s="8"/>
      <c r="D452" s="8"/>
      <c r="E452" s="18"/>
      <c r="F452" s="12"/>
      <c r="G452" s="17"/>
      <c r="H452" s="12"/>
      <c r="I452" s="17"/>
      <c r="J452" s="10">
        <f t="shared" si="50"/>
        <v>0</v>
      </c>
      <c r="K452" s="10">
        <f t="shared" si="45"/>
        <v>0</v>
      </c>
      <c r="L452" s="9" t="str">
        <f t="shared" si="46"/>
        <v/>
      </c>
      <c r="M452" s="8"/>
      <c r="N452" s="8"/>
      <c r="O452" s="8"/>
      <c r="P452" s="8"/>
      <c r="Q452" s="8"/>
      <c r="R452" s="8"/>
      <c r="S452" s="8"/>
      <c r="T452" s="8"/>
      <c r="U452" s="8"/>
      <c r="V452" s="7"/>
      <c r="W452" s="6" t="str">
        <f t="array" ref="W452">IF(NOT(ISBLANK(D452)),_xludf.XLOOKUP(D452,[1]CODE!$A$4:$A$100,[1]CODE!$D$4:$D$100),"")</f>
        <v/>
      </c>
      <c r="X452" s="5" t="str">
        <f t="array" ref="X452">IF(NOT(AND(ISBLANK(D452),ISBLANK(C452))),_xludf.XLOOKUP(D452,[1]CODE!$A$4:$A$100,[1]CODE!$E$4:$E$100),"")</f>
        <v/>
      </c>
      <c r="Y452" s="5" t="str">
        <f t="shared" si="47"/>
        <v/>
      </c>
      <c r="Z452" s="5" t="str">
        <f t="shared" si="48"/>
        <v/>
      </c>
      <c r="AA452" s="4">
        <f t="shared" si="49"/>
        <v>0</v>
      </c>
      <c r="AC452" s="2"/>
    </row>
    <row r="453" spans="1:29" ht="15.5">
      <c r="A453" s="13" t="str">
        <f>IF(OR(ISBLANK(C453),ISBLANK(D453),ISBLANK(F453),ISBLANK(G453)),"",COUNTIF($B$5:B453,"JAMBUTU"))</f>
        <v/>
      </c>
      <c r="B453" s="8" t="str">
        <f t="shared" si="51"/>
        <v/>
      </c>
      <c r="C453" s="8"/>
      <c r="D453" s="8"/>
      <c r="E453" s="18"/>
      <c r="F453" s="12"/>
      <c r="G453" s="17"/>
      <c r="H453" s="12"/>
      <c r="I453" s="17"/>
      <c r="J453" s="10">
        <f t="shared" si="50"/>
        <v>0</v>
      </c>
      <c r="K453" s="10">
        <f t="shared" ref="K453:K516" si="52">DATE(YEAR(H453),MONTH(H453),DAY(H453))+TIME(HOUR(I453),MINUTE(I453), SECOND(I453))</f>
        <v>0</v>
      </c>
      <c r="L453" s="9" t="str">
        <f t="shared" ref="L453:L516" si="53">IF(ISBLANK(I453),"",IF(J453&gt;K453,(K453+1)-J453,K453-J453))</f>
        <v/>
      </c>
      <c r="M453" s="8"/>
      <c r="N453" s="8"/>
      <c r="O453" s="8"/>
      <c r="P453" s="8"/>
      <c r="Q453" s="8"/>
      <c r="R453" s="8"/>
      <c r="S453" s="8"/>
      <c r="T453" s="8"/>
      <c r="U453" s="8"/>
      <c r="V453" s="7"/>
      <c r="W453" s="6" t="str">
        <f t="array" ref="W453">IF(NOT(ISBLANK(D453)),_xludf.XLOOKUP(D453,[1]CODE!$A$4:$A$100,[1]CODE!$D$4:$D$100),"")</f>
        <v/>
      </c>
      <c r="X453" s="5" t="str">
        <f t="array" ref="X453">IF(NOT(AND(ISBLANK(D453),ISBLANK(C453))),_xludf.XLOOKUP(D453,[1]CODE!$A$4:$A$100,[1]CODE!$E$4:$E$100),"")</f>
        <v/>
      </c>
      <c r="Y453" s="5" t="str">
        <f t="shared" ref="Y453:Y516" si="54">LEFT(C453,4)</f>
        <v/>
      </c>
      <c r="Z453" s="5" t="str">
        <f t="shared" ref="Z453:Z516" si="55">IF(NOT(ISBLANK(C453)), IF(K453&gt;J453,"YES","NO"),"")</f>
        <v/>
      </c>
      <c r="AA453" s="4">
        <f t="shared" ref="AA453:AA516" si="56">IF(AND(F453=H453,Z453="NO"),1+H453,H453)</f>
        <v>0</v>
      </c>
      <c r="AC453" s="2"/>
    </row>
    <row r="454" spans="1:29" ht="15.5">
      <c r="A454" s="13" t="str">
        <f>IF(OR(ISBLANK(C454),ISBLANK(D454),ISBLANK(F454),ISBLANK(G454)),"",COUNTIF($B$5:B454,"JAMBUTU"))</f>
        <v/>
      </c>
      <c r="B454" s="8" t="str">
        <f t="shared" si="51"/>
        <v/>
      </c>
      <c r="C454" s="8"/>
      <c r="D454" s="8"/>
      <c r="E454" s="18"/>
      <c r="F454" s="12"/>
      <c r="G454" s="17"/>
      <c r="H454" s="12"/>
      <c r="I454" s="17"/>
      <c r="J454" s="10">
        <f t="shared" si="50"/>
        <v>0</v>
      </c>
      <c r="K454" s="10">
        <f t="shared" si="52"/>
        <v>0</v>
      </c>
      <c r="L454" s="9" t="str">
        <f t="shared" si="53"/>
        <v/>
      </c>
      <c r="M454" s="8"/>
      <c r="N454" s="8"/>
      <c r="O454" s="8"/>
      <c r="P454" s="8"/>
      <c r="Q454" s="8"/>
      <c r="R454" s="16"/>
      <c r="S454" s="8"/>
      <c r="T454" s="8"/>
      <c r="U454" s="8"/>
      <c r="V454" s="7"/>
      <c r="W454" s="6" t="str">
        <f t="array" ref="W454">IF(NOT(ISBLANK(D454)),_xludf.XLOOKUP(D454,[1]CODE!$A$4:$A$100,[1]CODE!$D$4:$D$100),"")</f>
        <v/>
      </c>
      <c r="X454" s="5" t="str">
        <f t="array" ref="X454">IF(NOT(AND(ISBLANK(D454),ISBLANK(C454))),_xludf.XLOOKUP(D454,[1]CODE!$A$4:$A$100,[1]CODE!$E$4:$E$100),"")</f>
        <v/>
      </c>
      <c r="Y454" s="5" t="str">
        <f t="shared" si="54"/>
        <v/>
      </c>
      <c r="Z454" s="5" t="str">
        <f t="shared" si="55"/>
        <v/>
      </c>
      <c r="AA454" s="4">
        <f t="shared" si="56"/>
        <v>0</v>
      </c>
      <c r="AC454" s="2"/>
    </row>
    <row r="455" spans="1:29" ht="15.5">
      <c r="A455" s="13" t="str">
        <f>IF(OR(ISBLANK(C455),ISBLANK(D455),ISBLANK(F455),ISBLANK(G455)),"",COUNTIF($B$5:B455,"JAMBUTU"))</f>
        <v/>
      </c>
      <c r="B455" s="8" t="str">
        <f t="shared" si="51"/>
        <v/>
      </c>
      <c r="C455" s="8"/>
      <c r="D455" s="8"/>
      <c r="E455" s="18"/>
      <c r="F455" s="12"/>
      <c r="G455" s="17"/>
      <c r="H455" s="12"/>
      <c r="I455" s="17"/>
      <c r="J455" s="10">
        <f t="shared" si="50"/>
        <v>0</v>
      </c>
      <c r="K455" s="10">
        <f t="shared" si="52"/>
        <v>0</v>
      </c>
      <c r="L455" s="9" t="str">
        <f t="shared" si="53"/>
        <v/>
      </c>
      <c r="M455" s="8"/>
      <c r="N455" s="8"/>
      <c r="O455" s="8"/>
      <c r="P455" s="8"/>
      <c r="Q455" s="8"/>
      <c r="R455" s="16"/>
      <c r="S455" s="8"/>
      <c r="T455" s="8"/>
      <c r="U455" s="8"/>
      <c r="V455" s="7"/>
      <c r="W455" s="6" t="str">
        <f t="array" ref="W455">IF(NOT(ISBLANK(D455)),_xludf.XLOOKUP(D455,[1]CODE!$A$4:$A$100,[1]CODE!$D$4:$D$100),"")</f>
        <v/>
      </c>
      <c r="X455" s="5" t="str">
        <f t="array" ref="X455">IF(NOT(AND(ISBLANK(D455),ISBLANK(C455))),_xludf.XLOOKUP(D455,[1]CODE!$A$4:$A$100,[1]CODE!$E$4:$E$100),"")</f>
        <v/>
      </c>
      <c r="Y455" s="5" t="str">
        <f t="shared" si="54"/>
        <v/>
      </c>
      <c r="Z455" s="5" t="str">
        <f t="shared" si="55"/>
        <v/>
      </c>
      <c r="AA455" s="4">
        <f t="shared" si="56"/>
        <v>0</v>
      </c>
      <c r="AC455" s="2"/>
    </row>
    <row r="456" spans="1:29" ht="15.5">
      <c r="A456" s="13" t="str">
        <f>IF(OR(ISBLANK(C456),ISBLANK(D456),ISBLANK(F456),ISBLANK(G456)),"",COUNTIF($B$5:B456,"JAMBUTU"))</f>
        <v/>
      </c>
      <c r="B456" s="8" t="str">
        <f t="shared" si="51"/>
        <v/>
      </c>
      <c r="C456" s="8"/>
      <c r="D456" s="8"/>
      <c r="E456" s="18"/>
      <c r="F456" s="12"/>
      <c r="G456" s="17"/>
      <c r="H456" s="12"/>
      <c r="I456" s="17"/>
      <c r="J456" s="10">
        <f t="shared" si="50"/>
        <v>0</v>
      </c>
      <c r="K456" s="10">
        <f t="shared" si="52"/>
        <v>0</v>
      </c>
      <c r="L456" s="9" t="str">
        <f t="shared" si="53"/>
        <v/>
      </c>
      <c r="M456" s="8"/>
      <c r="N456" s="8"/>
      <c r="O456" s="8"/>
      <c r="P456" s="8"/>
      <c r="Q456" s="8"/>
      <c r="R456" s="16"/>
      <c r="S456" s="8"/>
      <c r="T456" s="8"/>
      <c r="U456" s="8"/>
      <c r="V456" s="7"/>
      <c r="W456" s="6" t="str">
        <f t="array" ref="W456">IF(NOT(ISBLANK(D456)),_xludf.XLOOKUP(D456,[1]CODE!$A$4:$A$100,[1]CODE!$D$4:$D$100),"")</f>
        <v/>
      </c>
      <c r="X456" s="5" t="str">
        <f t="array" ref="X456">IF(NOT(AND(ISBLANK(D456),ISBLANK(C456))),_xludf.XLOOKUP(D456,[1]CODE!$A$4:$A$100,[1]CODE!$E$4:$E$100),"")</f>
        <v/>
      </c>
      <c r="Y456" s="5" t="str">
        <f t="shared" si="54"/>
        <v/>
      </c>
      <c r="Z456" s="5" t="str">
        <f t="shared" si="55"/>
        <v/>
      </c>
      <c r="AA456" s="4">
        <f t="shared" si="56"/>
        <v>0</v>
      </c>
      <c r="AC456" s="2"/>
    </row>
    <row r="457" spans="1:29" ht="15.5">
      <c r="A457" s="13" t="str">
        <f>IF(OR(ISBLANK(C457),ISBLANK(D457),ISBLANK(F457),ISBLANK(G457)),"",COUNTIF($B$5:B457,"JAMBUTU"))</f>
        <v/>
      </c>
      <c r="B457" s="8" t="str">
        <f t="shared" si="51"/>
        <v/>
      </c>
      <c r="C457" s="8"/>
      <c r="D457" s="8"/>
      <c r="E457" s="18"/>
      <c r="F457" s="12"/>
      <c r="G457" s="17"/>
      <c r="H457" s="12"/>
      <c r="I457" s="17"/>
      <c r="J457" s="10">
        <f t="shared" si="50"/>
        <v>0</v>
      </c>
      <c r="K457" s="10">
        <f t="shared" si="52"/>
        <v>0</v>
      </c>
      <c r="L457" s="9" t="str">
        <f t="shared" si="53"/>
        <v/>
      </c>
      <c r="M457" s="8"/>
      <c r="N457" s="8"/>
      <c r="O457" s="8"/>
      <c r="P457" s="8"/>
      <c r="Q457" s="8"/>
      <c r="R457" s="16"/>
      <c r="S457" s="8"/>
      <c r="T457" s="8"/>
      <c r="U457" s="8"/>
      <c r="V457" s="7"/>
      <c r="W457" s="6" t="str">
        <f t="array" ref="W457">IF(NOT(ISBLANK(D457)),_xludf.XLOOKUP(D457,[1]CODE!$A$4:$A$100,[1]CODE!$D$4:$D$100),"")</f>
        <v/>
      </c>
      <c r="X457" s="5" t="str">
        <f t="array" ref="X457">IF(NOT(AND(ISBLANK(D457),ISBLANK(C457))),_xludf.XLOOKUP(D457,[1]CODE!$A$4:$A$100,[1]CODE!$E$4:$E$100),"")</f>
        <v/>
      </c>
      <c r="Y457" s="5" t="str">
        <f t="shared" si="54"/>
        <v/>
      </c>
      <c r="Z457" s="5" t="str">
        <f t="shared" si="55"/>
        <v/>
      </c>
      <c r="AA457" s="4">
        <f t="shared" si="56"/>
        <v>0</v>
      </c>
      <c r="AC457" s="2"/>
    </row>
    <row r="458" spans="1:29" ht="15.5">
      <c r="A458" s="13" t="str">
        <f>IF(OR(ISBLANK(C458),ISBLANK(D458),ISBLANK(F458),ISBLANK(G458)),"",COUNTIF($B$5:B458,"JAMBUTU"))</f>
        <v/>
      </c>
      <c r="B458" s="8" t="str">
        <f t="shared" si="51"/>
        <v/>
      </c>
      <c r="C458" s="8"/>
      <c r="D458" s="8"/>
      <c r="E458" s="18"/>
      <c r="F458" s="12"/>
      <c r="G458" s="17"/>
      <c r="H458" s="12"/>
      <c r="I458" s="17"/>
      <c r="J458" s="10">
        <f t="shared" si="50"/>
        <v>0</v>
      </c>
      <c r="K458" s="10">
        <f t="shared" si="52"/>
        <v>0</v>
      </c>
      <c r="L458" s="9" t="str">
        <f t="shared" si="53"/>
        <v/>
      </c>
      <c r="M458" s="8"/>
      <c r="N458" s="8"/>
      <c r="O458" s="8"/>
      <c r="P458" s="8"/>
      <c r="Q458" s="8"/>
      <c r="R458" s="8"/>
      <c r="S458" s="8"/>
      <c r="T458" s="8"/>
      <c r="U458" s="8"/>
      <c r="V458" s="7"/>
      <c r="W458" s="6" t="str">
        <f t="array" ref="W458">IF(NOT(ISBLANK(D458)),_xludf.XLOOKUP(D458,[1]CODE!$A$4:$A$100,[1]CODE!$D$4:$D$100),"")</f>
        <v/>
      </c>
      <c r="X458" s="5" t="str">
        <f t="array" ref="X458">IF(NOT(AND(ISBLANK(D458),ISBLANK(C458))),_xludf.XLOOKUP(D458,[1]CODE!$A$4:$A$100,[1]CODE!$E$4:$E$100),"")</f>
        <v/>
      </c>
      <c r="Y458" s="5" t="str">
        <f t="shared" si="54"/>
        <v/>
      </c>
      <c r="Z458" s="5" t="str">
        <f t="shared" si="55"/>
        <v/>
      </c>
      <c r="AA458" s="4">
        <f t="shared" si="56"/>
        <v>0</v>
      </c>
      <c r="AC458" s="2"/>
    </row>
    <row r="459" spans="1:29" ht="15.5">
      <c r="A459" s="13" t="str">
        <f>IF(OR(ISBLANK(C459),ISBLANK(D459),ISBLANK(F459),ISBLANK(G459)),"",COUNTIF($B$5:B459,"JAMBUTU"))</f>
        <v/>
      </c>
      <c r="B459" s="8" t="str">
        <f t="shared" si="51"/>
        <v/>
      </c>
      <c r="C459" s="8"/>
      <c r="D459" s="8"/>
      <c r="E459" s="18"/>
      <c r="F459" s="12"/>
      <c r="G459" s="17"/>
      <c r="H459" s="12"/>
      <c r="I459" s="17"/>
      <c r="J459" s="10">
        <f t="shared" si="50"/>
        <v>0</v>
      </c>
      <c r="K459" s="10">
        <f t="shared" si="52"/>
        <v>0</v>
      </c>
      <c r="L459" s="9" t="str">
        <f t="shared" si="53"/>
        <v/>
      </c>
      <c r="M459" s="8"/>
      <c r="N459" s="8"/>
      <c r="O459" s="8"/>
      <c r="P459" s="8"/>
      <c r="Q459" s="8"/>
      <c r="R459" s="8"/>
      <c r="S459" s="8"/>
      <c r="T459" s="8"/>
      <c r="U459" s="8"/>
      <c r="V459" s="7"/>
      <c r="W459" s="6" t="str">
        <f t="array" ref="W459">IF(NOT(ISBLANK(D459)),_xludf.XLOOKUP(D459,[1]CODE!$A$4:$A$100,[1]CODE!$D$4:$D$100),"")</f>
        <v/>
      </c>
      <c r="X459" s="5" t="str">
        <f t="array" ref="X459">IF(NOT(AND(ISBLANK(D459),ISBLANK(C459))),_xludf.XLOOKUP(D459,[1]CODE!$A$4:$A$100,[1]CODE!$E$4:$E$100),"")</f>
        <v/>
      </c>
      <c r="Y459" s="5" t="str">
        <f t="shared" si="54"/>
        <v/>
      </c>
      <c r="Z459" s="5" t="str">
        <f t="shared" si="55"/>
        <v/>
      </c>
      <c r="AA459" s="4">
        <f t="shared" si="56"/>
        <v>0</v>
      </c>
      <c r="AC459" s="2"/>
    </row>
    <row r="460" spans="1:29" ht="15.5">
      <c r="A460" s="13" t="str">
        <f>IF(OR(ISBLANK(C460),ISBLANK(D460),ISBLANK(F460),ISBLANK(G460)),"",COUNTIF($B$5:B460,"JAMBUTU"))</f>
        <v/>
      </c>
      <c r="B460" s="8" t="str">
        <f t="shared" si="51"/>
        <v/>
      </c>
      <c r="C460" s="8"/>
      <c r="D460" s="8"/>
      <c r="E460" s="18"/>
      <c r="F460" s="12"/>
      <c r="G460" s="17"/>
      <c r="H460" s="12"/>
      <c r="I460" s="17"/>
      <c r="J460" s="10">
        <f t="shared" si="50"/>
        <v>0</v>
      </c>
      <c r="K460" s="10">
        <f t="shared" si="52"/>
        <v>0</v>
      </c>
      <c r="L460" s="9" t="str">
        <f t="shared" si="53"/>
        <v/>
      </c>
      <c r="M460" s="8"/>
      <c r="N460" s="8"/>
      <c r="O460" s="8"/>
      <c r="P460" s="8"/>
      <c r="Q460" s="8"/>
      <c r="R460" s="8"/>
      <c r="S460" s="8"/>
      <c r="T460" s="8"/>
      <c r="U460" s="8"/>
      <c r="V460" s="7"/>
      <c r="W460" s="6" t="str">
        <f t="array" ref="W460">IF(NOT(ISBLANK(D460)),_xludf.XLOOKUP(D460,[1]CODE!$A$4:$A$100,[1]CODE!$D$4:$D$100),"")</f>
        <v/>
      </c>
      <c r="X460" s="5" t="str">
        <f t="array" ref="X460">IF(NOT(AND(ISBLANK(D460),ISBLANK(C460))),_xludf.XLOOKUP(D460,[1]CODE!$A$4:$A$100,[1]CODE!$E$4:$E$100),"")</f>
        <v/>
      </c>
      <c r="Y460" s="5" t="str">
        <f t="shared" si="54"/>
        <v/>
      </c>
      <c r="Z460" s="5" t="str">
        <f t="shared" si="55"/>
        <v/>
      </c>
      <c r="AA460" s="4">
        <f t="shared" si="56"/>
        <v>0</v>
      </c>
      <c r="AC460" s="2"/>
    </row>
    <row r="461" spans="1:29" ht="15.5">
      <c r="A461" s="13" t="str">
        <f>IF(OR(ISBLANK(C461),ISBLANK(D461),ISBLANK(F461),ISBLANK(G461)),"",COUNTIF($B$5:B461,"JAMBUTU"))</f>
        <v/>
      </c>
      <c r="B461" s="8" t="str">
        <f t="shared" si="51"/>
        <v/>
      </c>
      <c r="C461" s="8"/>
      <c r="D461" s="8"/>
      <c r="E461" s="18"/>
      <c r="F461" s="12"/>
      <c r="G461" s="17"/>
      <c r="H461" s="12"/>
      <c r="I461" s="17"/>
      <c r="J461" s="10">
        <f t="shared" si="50"/>
        <v>0</v>
      </c>
      <c r="K461" s="10">
        <f t="shared" si="52"/>
        <v>0</v>
      </c>
      <c r="L461" s="9" t="str">
        <f t="shared" si="53"/>
        <v/>
      </c>
      <c r="M461" s="8"/>
      <c r="N461" s="8"/>
      <c r="O461" s="8"/>
      <c r="P461" s="8"/>
      <c r="Q461" s="8"/>
      <c r="R461" s="8"/>
      <c r="S461" s="8"/>
      <c r="T461" s="8"/>
      <c r="U461" s="8"/>
      <c r="V461" s="7"/>
      <c r="W461" s="6" t="str">
        <f t="array" ref="W461">IF(NOT(ISBLANK(D461)),_xludf.XLOOKUP(D461,[1]CODE!$A$4:$A$100,[1]CODE!$D$4:$D$100),"")</f>
        <v/>
      </c>
      <c r="X461" s="5" t="str">
        <f t="array" ref="X461">IF(NOT(AND(ISBLANK(D461),ISBLANK(C461))),_xludf.XLOOKUP(D461,[1]CODE!$A$4:$A$100,[1]CODE!$E$4:$E$100),"")</f>
        <v/>
      </c>
      <c r="Y461" s="5" t="str">
        <f t="shared" si="54"/>
        <v/>
      </c>
      <c r="Z461" s="5" t="str">
        <f t="shared" si="55"/>
        <v/>
      </c>
      <c r="AA461" s="4">
        <f t="shared" si="56"/>
        <v>0</v>
      </c>
      <c r="AC461" s="2"/>
    </row>
    <row r="462" spans="1:29" ht="15.5">
      <c r="A462" s="13" t="str">
        <f>IF(OR(ISBLANK(C462),ISBLANK(D462),ISBLANK(F462),ISBLANK(G462)),"",COUNTIF($B$5:B462,"JAMBUTU"))</f>
        <v/>
      </c>
      <c r="B462" s="8" t="str">
        <f t="shared" si="51"/>
        <v/>
      </c>
      <c r="C462" s="8"/>
      <c r="D462" s="8"/>
      <c r="E462" s="18"/>
      <c r="F462" s="12"/>
      <c r="G462" s="17"/>
      <c r="H462" s="12"/>
      <c r="I462" s="17"/>
      <c r="J462" s="10">
        <f t="shared" si="50"/>
        <v>0</v>
      </c>
      <c r="K462" s="10">
        <f t="shared" si="52"/>
        <v>0</v>
      </c>
      <c r="L462" s="9" t="str">
        <f t="shared" si="53"/>
        <v/>
      </c>
      <c r="M462" s="8"/>
      <c r="N462" s="8"/>
      <c r="O462" s="8"/>
      <c r="P462" s="8"/>
      <c r="Q462" s="8"/>
      <c r="R462" s="8"/>
      <c r="S462" s="8"/>
      <c r="T462" s="8"/>
      <c r="U462" s="8"/>
      <c r="V462" s="7"/>
      <c r="W462" s="6" t="str">
        <f t="array" ref="W462">IF(NOT(ISBLANK(D462)),_xludf.XLOOKUP(D462,[1]CODE!$A$4:$A$100,[1]CODE!$D$4:$D$100),"")</f>
        <v/>
      </c>
      <c r="X462" s="5" t="str">
        <f t="array" ref="X462">IF(NOT(AND(ISBLANK(D462),ISBLANK(C462))),_xludf.XLOOKUP(D462,[1]CODE!$A$4:$A$100,[1]CODE!$E$4:$E$100),"")</f>
        <v/>
      </c>
      <c r="Y462" s="5" t="str">
        <f t="shared" si="54"/>
        <v/>
      </c>
      <c r="Z462" s="5" t="str">
        <f t="shared" si="55"/>
        <v/>
      </c>
      <c r="AA462" s="4">
        <f t="shared" si="56"/>
        <v>0</v>
      </c>
      <c r="AC462" s="2"/>
    </row>
    <row r="463" spans="1:29" ht="15.5">
      <c r="A463" s="13" t="str">
        <f>IF(OR(ISBLANK(C463),ISBLANK(D463),ISBLANK(F463),ISBLANK(G463)),"",COUNTIF($B$5:B463,"JAMBUTU"))</f>
        <v/>
      </c>
      <c r="B463" s="8" t="str">
        <f t="shared" si="51"/>
        <v/>
      </c>
      <c r="C463" s="8"/>
      <c r="D463" s="8"/>
      <c r="E463" s="18"/>
      <c r="F463" s="12"/>
      <c r="G463" s="17"/>
      <c r="H463" s="12"/>
      <c r="I463" s="17"/>
      <c r="J463" s="10">
        <f t="shared" si="50"/>
        <v>0</v>
      </c>
      <c r="K463" s="10">
        <f t="shared" si="52"/>
        <v>0</v>
      </c>
      <c r="L463" s="9" t="str">
        <f t="shared" si="53"/>
        <v/>
      </c>
      <c r="M463" s="8"/>
      <c r="N463" s="8"/>
      <c r="O463" s="8"/>
      <c r="P463" s="8"/>
      <c r="Q463" s="8"/>
      <c r="R463" s="8"/>
      <c r="S463" s="8"/>
      <c r="T463" s="8"/>
      <c r="U463" s="8"/>
      <c r="V463" s="7"/>
      <c r="W463" s="6" t="str">
        <f t="array" ref="W463">IF(NOT(ISBLANK(D463)),_xludf.XLOOKUP(D463,[1]CODE!$A$4:$A$100,[1]CODE!$D$4:$D$100),"")</f>
        <v/>
      </c>
      <c r="X463" s="5" t="str">
        <f t="array" ref="X463">IF(NOT(AND(ISBLANK(D463),ISBLANK(C463))),_xludf.XLOOKUP(D463,[1]CODE!$A$4:$A$100,[1]CODE!$E$4:$E$100),"")</f>
        <v/>
      </c>
      <c r="Y463" s="5" t="str">
        <f t="shared" si="54"/>
        <v/>
      </c>
      <c r="Z463" s="5" t="str">
        <f t="shared" si="55"/>
        <v/>
      </c>
      <c r="AA463" s="4">
        <f t="shared" si="56"/>
        <v>0</v>
      </c>
      <c r="AC463" s="2"/>
    </row>
    <row r="464" spans="1:29" ht="15.5">
      <c r="A464" s="13" t="str">
        <f>IF(OR(ISBLANK(C464),ISBLANK(D464),ISBLANK(F464),ISBLANK(G464)),"",COUNTIF($B$5:B464,"JAMBUTU"))</f>
        <v/>
      </c>
      <c r="B464" s="8" t="str">
        <f t="shared" si="51"/>
        <v/>
      </c>
      <c r="C464" s="8"/>
      <c r="D464" s="8"/>
      <c r="E464" s="18"/>
      <c r="F464" s="12"/>
      <c r="G464" s="17"/>
      <c r="H464" s="12"/>
      <c r="I464" s="17"/>
      <c r="J464" s="10">
        <f t="shared" si="50"/>
        <v>0</v>
      </c>
      <c r="K464" s="10">
        <f t="shared" si="52"/>
        <v>0</v>
      </c>
      <c r="L464" s="9" t="str">
        <f t="shared" si="53"/>
        <v/>
      </c>
      <c r="M464" s="8"/>
      <c r="N464" s="8"/>
      <c r="O464" s="8"/>
      <c r="P464" s="8"/>
      <c r="Q464" s="8"/>
      <c r="R464" s="8"/>
      <c r="S464" s="8"/>
      <c r="T464" s="8"/>
      <c r="U464" s="8"/>
      <c r="V464" s="7"/>
      <c r="W464" s="6" t="str">
        <f t="array" ref="W464">IF(NOT(ISBLANK(D464)),_xludf.XLOOKUP(D464,[1]CODE!$A$4:$A$100,[1]CODE!$D$4:$D$100),"")</f>
        <v/>
      </c>
      <c r="X464" s="5" t="str">
        <f t="array" ref="X464">IF(NOT(AND(ISBLANK(D464),ISBLANK(C464))),_xludf.XLOOKUP(D464,[1]CODE!$A$4:$A$100,[1]CODE!$E$4:$E$100),"")</f>
        <v/>
      </c>
      <c r="Y464" s="5" t="str">
        <f t="shared" si="54"/>
        <v/>
      </c>
      <c r="Z464" s="5" t="str">
        <f t="shared" si="55"/>
        <v/>
      </c>
      <c r="AA464" s="4">
        <f t="shared" si="56"/>
        <v>0</v>
      </c>
      <c r="AC464" s="2"/>
    </row>
    <row r="465" spans="1:29" ht="15.5">
      <c r="A465" s="13" t="str">
        <f>IF(OR(ISBLANK(C465),ISBLANK(D465),ISBLANK(F465),ISBLANK(G465)),"",COUNTIF($B$5:B465,"JAMBUTU"))</f>
        <v/>
      </c>
      <c r="B465" s="8" t="str">
        <f t="shared" si="51"/>
        <v/>
      </c>
      <c r="C465" s="8"/>
      <c r="D465" s="8"/>
      <c r="E465" s="18"/>
      <c r="F465" s="12"/>
      <c r="G465" s="17"/>
      <c r="H465" s="12"/>
      <c r="I465" s="17"/>
      <c r="J465" s="10">
        <f t="shared" si="50"/>
        <v>0</v>
      </c>
      <c r="K465" s="10">
        <f t="shared" si="52"/>
        <v>0</v>
      </c>
      <c r="L465" s="9" t="str">
        <f t="shared" si="53"/>
        <v/>
      </c>
      <c r="M465" s="8"/>
      <c r="N465" s="8"/>
      <c r="O465" s="8"/>
      <c r="P465" s="8"/>
      <c r="Q465" s="8"/>
      <c r="R465" s="8"/>
      <c r="S465" s="8"/>
      <c r="T465" s="8"/>
      <c r="U465" s="8"/>
      <c r="V465" s="7"/>
      <c r="W465" s="6" t="str">
        <f t="array" ref="W465">IF(NOT(ISBLANK(D465)),_xludf.XLOOKUP(D465,[1]CODE!$A$4:$A$100,[1]CODE!$D$4:$D$100),"")</f>
        <v/>
      </c>
      <c r="X465" s="5" t="str">
        <f t="array" ref="X465">IF(NOT(AND(ISBLANK(D465),ISBLANK(C465))),_xludf.XLOOKUP(D465,[1]CODE!$A$4:$A$100,[1]CODE!$E$4:$E$100),"")</f>
        <v/>
      </c>
      <c r="Y465" s="5" t="str">
        <f t="shared" si="54"/>
        <v/>
      </c>
      <c r="Z465" s="5" t="str">
        <f t="shared" si="55"/>
        <v/>
      </c>
      <c r="AA465" s="4">
        <f t="shared" si="56"/>
        <v>0</v>
      </c>
      <c r="AC465" s="2"/>
    </row>
    <row r="466" spans="1:29" ht="15.5">
      <c r="A466" s="13" t="str">
        <f>IF(OR(ISBLANK(C466),ISBLANK(D466),ISBLANK(F466),ISBLANK(G466)),"",COUNTIF($B$5:B466,"JAMBUTU"))</f>
        <v/>
      </c>
      <c r="B466" s="8" t="str">
        <f t="shared" si="51"/>
        <v/>
      </c>
      <c r="C466" s="8"/>
      <c r="D466" s="8"/>
      <c r="E466" s="18"/>
      <c r="F466" s="12"/>
      <c r="G466" s="17"/>
      <c r="H466" s="12"/>
      <c r="I466" s="17"/>
      <c r="J466" s="10">
        <f t="shared" si="50"/>
        <v>0</v>
      </c>
      <c r="K466" s="10">
        <f t="shared" si="52"/>
        <v>0</v>
      </c>
      <c r="L466" s="9" t="str">
        <f t="shared" si="53"/>
        <v/>
      </c>
      <c r="M466" s="8"/>
      <c r="N466" s="8"/>
      <c r="O466" s="8"/>
      <c r="P466" s="8"/>
      <c r="Q466" s="8"/>
      <c r="R466" s="8"/>
      <c r="S466" s="8"/>
      <c r="T466" s="8"/>
      <c r="U466" s="8"/>
      <c r="V466" s="7"/>
      <c r="W466" s="6" t="str">
        <f t="array" ref="W466">IF(NOT(ISBLANK(D466)),_xludf.XLOOKUP(D466,[1]CODE!$A$4:$A$100,[1]CODE!$D$4:$D$100),"")</f>
        <v/>
      </c>
      <c r="X466" s="5" t="str">
        <f t="array" ref="X466">IF(NOT(AND(ISBLANK(D466),ISBLANK(C466))),_xludf.XLOOKUP(D466,[1]CODE!$A$4:$A$100,[1]CODE!$E$4:$E$100),"")</f>
        <v/>
      </c>
      <c r="Y466" s="5" t="str">
        <f t="shared" si="54"/>
        <v/>
      </c>
      <c r="Z466" s="5" t="str">
        <f t="shared" si="55"/>
        <v/>
      </c>
      <c r="AA466" s="4">
        <f t="shared" si="56"/>
        <v>0</v>
      </c>
      <c r="AC466" s="2"/>
    </row>
    <row r="467" spans="1:29" ht="15.5">
      <c r="A467" s="13" t="str">
        <f>IF(OR(ISBLANK(C467),ISBLANK(D467),ISBLANK(F467),ISBLANK(G467)),"",COUNTIF($B$5:B467,"JAMBUTU"))</f>
        <v/>
      </c>
      <c r="B467" s="8" t="str">
        <f t="shared" si="51"/>
        <v/>
      </c>
      <c r="C467" s="8"/>
      <c r="D467" s="8"/>
      <c r="E467" s="18"/>
      <c r="F467" s="12"/>
      <c r="G467" s="17"/>
      <c r="H467" s="12"/>
      <c r="I467" s="17"/>
      <c r="J467" s="10">
        <f t="shared" si="50"/>
        <v>0</v>
      </c>
      <c r="K467" s="10">
        <f t="shared" si="52"/>
        <v>0</v>
      </c>
      <c r="L467" s="9" t="str">
        <f t="shared" si="53"/>
        <v/>
      </c>
      <c r="M467" s="8"/>
      <c r="N467" s="8"/>
      <c r="O467" s="8"/>
      <c r="P467" s="8"/>
      <c r="Q467" s="8"/>
      <c r="R467" s="8"/>
      <c r="S467" s="8"/>
      <c r="T467" s="8"/>
      <c r="U467" s="8"/>
      <c r="V467" s="7"/>
      <c r="W467" s="6" t="str">
        <f t="array" ref="W467">IF(NOT(ISBLANK(D467)),_xludf.XLOOKUP(D467,[1]CODE!$A$4:$A$100,[1]CODE!$D$4:$D$100),"")</f>
        <v/>
      </c>
      <c r="X467" s="5" t="str">
        <f t="array" ref="X467">IF(NOT(AND(ISBLANK(D467),ISBLANK(C467))),_xludf.XLOOKUP(D467,[1]CODE!$A$4:$A$100,[1]CODE!$E$4:$E$100),"")</f>
        <v/>
      </c>
      <c r="Y467" s="5" t="str">
        <f t="shared" si="54"/>
        <v/>
      </c>
      <c r="Z467" s="5" t="str">
        <f t="shared" si="55"/>
        <v/>
      </c>
      <c r="AA467" s="4">
        <f t="shared" si="56"/>
        <v>0</v>
      </c>
      <c r="AC467" s="2"/>
    </row>
    <row r="468" spans="1:29" ht="15.5">
      <c r="A468" s="13" t="str">
        <f>IF(OR(ISBLANK(C468),ISBLANK(D468),ISBLANK(F468),ISBLANK(G468)),"",COUNTIF($B$5:B468,"JAMBUTU"))</f>
        <v/>
      </c>
      <c r="B468" s="8" t="str">
        <f t="shared" si="51"/>
        <v/>
      </c>
      <c r="C468" s="8"/>
      <c r="D468" s="8"/>
      <c r="E468" s="18"/>
      <c r="F468" s="12"/>
      <c r="G468" s="17"/>
      <c r="H468" s="12"/>
      <c r="I468" s="17"/>
      <c r="J468" s="10">
        <f t="shared" si="50"/>
        <v>0</v>
      </c>
      <c r="K468" s="10">
        <f t="shared" si="52"/>
        <v>0</v>
      </c>
      <c r="L468" s="9" t="str">
        <f t="shared" si="53"/>
        <v/>
      </c>
      <c r="M468" s="8"/>
      <c r="N468" s="8"/>
      <c r="O468" s="8"/>
      <c r="P468" s="8"/>
      <c r="Q468" s="8"/>
      <c r="R468" s="8"/>
      <c r="S468" s="8"/>
      <c r="T468" s="8"/>
      <c r="U468" s="8"/>
      <c r="V468" s="7"/>
      <c r="W468" s="6" t="str">
        <f t="array" ref="W468">IF(NOT(ISBLANK(D468)),_xludf.XLOOKUP(D468,[1]CODE!$A$4:$A$100,[1]CODE!$D$4:$D$100),"")</f>
        <v/>
      </c>
      <c r="X468" s="5" t="str">
        <f t="array" ref="X468">IF(NOT(AND(ISBLANK(D468),ISBLANK(C468))),_xludf.XLOOKUP(D468,[1]CODE!$A$4:$A$100,[1]CODE!$E$4:$E$100),"")</f>
        <v/>
      </c>
      <c r="Y468" s="5" t="str">
        <f t="shared" si="54"/>
        <v/>
      </c>
      <c r="Z468" s="5" t="str">
        <f t="shared" si="55"/>
        <v/>
      </c>
      <c r="AA468" s="4">
        <f t="shared" si="56"/>
        <v>0</v>
      </c>
      <c r="AC468" s="2"/>
    </row>
    <row r="469" spans="1:29" ht="15.5">
      <c r="A469" s="13" t="str">
        <f>IF(OR(ISBLANK(C469),ISBLANK(D469),ISBLANK(F469),ISBLANK(G469)),"",COUNTIF($B$5:B469,"JAMBUTU"))</f>
        <v/>
      </c>
      <c r="B469" s="8" t="str">
        <f t="shared" si="51"/>
        <v/>
      </c>
      <c r="C469" s="8"/>
      <c r="D469" s="8"/>
      <c r="E469" s="18"/>
      <c r="F469" s="12"/>
      <c r="G469" s="17"/>
      <c r="H469" s="12"/>
      <c r="I469" s="17"/>
      <c r="J469" s="10">
        <f t="shared" si="50"/>
        <v>0</v>
      </c>
      <c r="K469" s="10">
        <f t="shared" si="52"/>
        <v>0</v>
      </c>
      <c r="L469" s="9" t="str">
        <f t="shared" si="53"/>
        <v/>
      </c>
      <c r="M469" s="8"/>
      <c r="N469" s="8"/>
      <c r="O469" s="8"/>
      <c r="P469" s="8"/>
      <c r="Q469" s="8"/>
      <c r="R469" s="8"/>
      <c r="S469" s="16"/>
      <c r="T469" s="8"/>
      <c r="U469" s="8"/>
      <c r="V469" s="7"/>
      <c r="W469" s="6" t="str">
        <f t="array" ref="W469">IF(NOT(ISBLANK(D469)),_xludf.XLOOKUP(D469,[1]CODE!$A$4:$A$100,[1]CODE!$D$4:$D$100),"")</f>
        <v/>
      </c>
      <c r="X469" s="5" t="str">
        <f t="array" ref="X469">IF(NOT(AND(ISBLANK(D469),ISBLANK(C469))),_xludf.XLOOKUP(D469,[1]CODE!$A$4:$A$100,[1]CODE!$E$4:$E$100),"")</f>
        <v/>
      </c>
      <c r="Y469" s="5" t="str">
        <f t="shared" si="54"/>
        <v/>
      </c>
      <c r="Z469" s="5" t="str">
        <f t="shared" si="55"/>
        <v/>
      </c>
      <c r="AA469" s="4">
        <f t="shared" si="56"/>
        <v>0</v>
      </c>
      <c r="AC469" s="2"/>
    </row>
    <row r="470" spans="1:29" ht="15.5">
      <c r="A470" s="13" t="str">
        <f>IF(OR(ISBLANK(C470),ISBLANK(D470),ISBLANK(F470),ISBLANK(G470)),"",COUNTIF($B$5:B470,"JAMBUTU"))</f>
        <v/>
      </c>
      <c r="B470" s="8" t="str">
        <f t="shared" si="51"/>
        <v/>
      </c>
      <c r="C470" s="8"/>
      <c r="D470" s="8"/>
      <c r="E470" s="18"/>
      <c r="F470" s="12"/>
      <c r="G470" s="17"/>
      <c r="H470" s="12"/>
      <c r="I470" s="17"/>
      <c r="J470" s="10">
        <f t="shared" si="50"/>
        <v>0</v>
      </c>
      <c r="K470" s="10">
        <f t="shared" si="52"/>
        <v>0</v>
      </c>
      <c r="L470" s="9" t="str">
        <f t="shared" si="53"/>
        <v/>
      </c>
      <c r="M470" s="8"/>
      <c r="N470" s="8"/>
      <c r="O470" s="8"/>
      <c r="P470" s="8"/>
      <c r="Q470" s="8"/>
      <c r="R470" s="8"/>
      <c r="S470" s="8"/>
      <c r="T470" s="8"/>
      <c r="U470" s="8"/>
      <c r="V470" s="7"/>
      <c r="W470" s="6" t="str">
        <f t="array" ref="W470">IF(NOT(ISBLANK(D470)),_xludf.XLOOKUP(D470,[1]CODE!$A$4:$A$100,[1]CODE!$D$4:$D$100),"")</f>
        <v/>
      </c>
      <c r="X470" s="5" t="str">
        <f t="array" ref="X470">IF(NOT(AND(ISBLANK(D470),ISBLANK(C470))),_xludf.XLOOKUP(D470,[1]CODE!$A$4:$A$100,[1]CODE!$E$4:$E$100),"")</f>
        <v/>
      </c>
      <c r="Y470" s="5" t="str">
        <f t="shared" si="54"/>
        <v/>
      </c>
      <c r="Z470" s="5" t="str">
        <f t="shared" si="55"/>
        <v/>
      </c>
      <c r="AA470" s="4">
        <f t="shared" si="56"/>
        <v>0</v>
      </c>
      <c r="AC470" s="2"/>
    </row>
    <row r="471" spans="1:29" ht="15.5">
      <c r="A471" s="13" t="str">
        <f>IF(OR(ISBLANK(C471),ISBLANK(D471),ISBLANK(F471),ISBLANK(G471)),"",COUNTIF($B$5:B471,"JAMBUTU"))</f>
        <v/>
      </c>
      <c r="B471" s="8" t="str">
        <f t="shared" si="51"/>
        <v/>
      </c>
      <c r="C471" s="8"/>
      <c r="D471" s="8"/>
      <c r="E471" s="18"/>
      <c r="F471" s="12"/>
      <c r="G471" s="17"/>
      <c r="H471" s="12"/>
      <c r="I471" s="17"/>
      <c r="J471" s="10">
        <f t="shared" si="50"/>
        <v>0</v>
      </c>
      <c r="K471" s="10">
        <f t="shared" si="52"/>
        <v>0</v>
      </c>
      <c r="L471" s="9" t="str">
        <f t="shared" si="53"/>
        <v/>
      </c>
      <c r="M471" s="8"/>
      <c r="N471" s="8"/>
      <c r="O471" s="8"/>
      <c r="P471" s="8"/>
      <c r="Q471" s="8"/>
      <c r="R471" s="8"/>
      <c r="S471" s="8"/>
      <c r="T471" s="8"/>
      <c r="U471" s="8"/>
      <c r="V471" s="7"/>
      <c r="W471" s="6" t="str">
        <f t="array" ref="W471">IF(NOT(ISBLANK(D471)),_xludf.XLOOKUP(D471,[1]CODE!$A$4:$A$100,[1]CODE!$D$4:$D$100),"")</f>
        <v/>
      </c>
      <c r="X471" s="5" t="str">
        <f t="array" ref="X471">IF(NOT(AND(ISBLANK(D471),ISBLANK(C471))),_xludf.XLOOKUP(D471,[1]CODE!$A$4:$A$100,[1]CODE!$E$4:$E$100),"")</f>
        <v/>
      </c>
      <c r="Y471" s="5" t="str">
        <f t="shared" si="54"/>
        <v/>
      </c>
      <c r="Z471" s="5" t="str">
        <f t="shared" si="55"/>
        <v/>
      </c>
      <c r="AA471" s="4">
        <f t="shared" si="56"/>
        <v>0</v>
      </c>
      <c r="AC471" s="2"/>
    </row>
    <row r="472" spans="1:29" ht="15.5">
      <c r="A472" s="13" t="str">
        <f>IF(OR(ISBLANK(C472),ISBLANK(D472),ISBLANK(F472),ISBLANK(G472)),"",COUNTIF($B$5:B472,"JAMBUTU"))</f>
        <v/>
      </c>
      <c r="B472" s="8" t="str">
        <f t="shared" si="51"/>
        <v/>
      </c>
      <c r="C472" s="8"/>
      <c r="D472" s="8"/>
      <c r="E472" s="18"/>
      <c r="F472" s="12"/>
      <c r="G472" s="17"/>
      <c r="H472" s="12"/>
      <c r="I472" s="17"/>
      <c r="J472" s="10">
        <f t="shared" si="50"/>
        <v>0</v>
      </c>
      <c r="K472" s="10">
        <f t="shared" si="52"/>
        <v>0</v>
      </c>
      <c r="L472" s="9" t="str">
        <f t="shared" si="53"/>
        <v/>
      </c>
      <c r="M472" s="8"/>
      <c r="N472" s="8"/>
      <c r="O472" s="8"/>
      <c r="P472" s="8"/>
      <c r="Q472" s="8"/>
      <c r="R472" s="8"/>
      <c r="S472" s="8"/>
      <c r="T472" s="8"/>
      <c r="U472" s="8"/>
      <c r="V472" s="7"/>
      <c r="W472" s="6" t="str">
        <f t="array" ref="W472">IF(NOT(ISBLANK(D472)),_xludf.XLOOKUP(D472,[1]CODE!$A$4:$A$100,[1]CODE!$D$4:$D$100),"")</f>
        <v/>
      </c>
      <c r="X472" s="5" t="str">
        <f t="array" ref="X472">IF(NOT(AND(ISBLANK(D472),ISBLANK(C472))),_xludf.XLOOKUP(D472,[1]CODE!$A$4:$A$100,[1]CODE!$E$4:$E$100),"")</f>
        <v/>
      </c>
      <c r="Y472" s="5" t="str">
        <f t="shared" si="54"/>
        <v/>
      </c>
      <c r="Z472" s="5" t="str">
        <f t="shared" si="55"/>
        <v/>
      </c>
      <c r="AA472" s="4">
        <f t="shared" si="56"/>
        <v>0</v>
      </c>
      <c r="AC472" s="2"/>
    </row>
    <row r="473" spans="1:29" ht="15.5">
      <c r="A473" s="13" t="str">
        <f>IF(OR(ISBLANK(C473),ISBLANK(D473),ISBLANK(F473),ISBLANK(G473)),"",COUNTIF($B$5:B473,"JAMBUTU"))</f>
        <v/>
      </c>
      <c r="B473" s="8" t="str">
        <f t="shared" si="51"/>
        <v/>
      </c>
      <c r="C473" s="8"/>
      <c r="D473" s="8"/>
      <c r="E473" s="18"/>
      <c r="F473" s="12"/>
      <c r="G473" s="17"/>
      <c r="H473" s="12"/>
      <c r="I473" s="17"/>
      <c r="J473" s="10">
        <f t="shared" si="50"/>
        <v>0</v>
      </c>
      <c r="K473" s="10">
        <f t="shared" si="52"/>
        <v>0</v>
      </c>
      <c r="L473" s="9" t="str">
        <f t="shared" si="53"/>
        <v/>
      </c>
      <c r="M473" s="8"/>
      <c r="N473" s="8"/>
      <c r="O473" s="8"/>
      <c r="P473" s="8"/>
      <c r="Q473" s="8"/>
      <c r="R473" s="8"/>
      <c r="S473" s="16"/>
      <c r="T473" s="8"/>
      <c r="U473" s="8"/>
      <c r="V473" s="7"/>
      <c r="W473" s="6" t="str">
        <f t="array" ref="W473">IF(NOT(ISBLANK(D473)),_xludf.XLOOKUP(D473,[1]CODE!$A$4:$A$100,[1]CODE!$D$4:$D$100),"")</f>
        <v/>
      </c>
      <c r="X473" s="5" t="str">
        <f t="array" ref="X473">IF(NOT(AND(ISBLANK(D473),ISBLANK(C473))),_xludf.XLOOKUP(D473,[1]CODE!$A$4:$A$100,[1]CODE!$E$4:$E$100),"")</f>
        <v/>
      </c>
      <c r="Y473" s="5" t="str">
        <f t="shared" si="54"/>
        <v/>
      </c>
      <c r="Z473" s="5" t="str">
        <f t="shared" si="55"/>
        <v/>
      </c>
      <c r="AA473" s="4">
        <f t="shared" si="56"/>
        <v>0</v>
      </c>
      <c r="AC473" s="2"/>
    </row>
    <row r="474" spans="1:29" ht="15.5">
      <c r="A474" s="13" t="str">
        <f>IF(OR(ISBLANK(C474),ISBLANK(D474),ISBLANK(F474),ISBLANK(G474)),"",COUNTIF($B$5:B474,"JAMBUTU"))</f>
        <v/>
      </c>
      <c r="B474" s="8" t="str">
        <f t="shared" si="51"/>
        <v/>
      </c>
      <c r="C474" s="8"/>
      <c r="D474" s="8"/>
      <c r="E474" s="18"/>
      <c r="F474" s="12"/>
      <c r="G474" s="17"/>
      <c r="H474" s="12"/>
      <c r="I474" s="17"/>
      <c r="J474" s="10">
        <f t="shared" si="50"/>
        <v>0</v>
      </c>
      <c r="K474" s="10">
        <f t="shared" si="52"/>
        <v>0</v>
      </c>
      <c r="L474" s="9" t="str">
        <f t="shared" si="53"/>
        <v/>
      </c>
      <c r="M474" s="8"/>
      <c r="N474" s="8"/>
      <c r="O474" s="8"/>
      <c r="P474" s="8"/>
      <c r="Q474" s="8"/>
      <c r="R474" s="16"/>
      <c r="S474" s="8"/>
      <c r="T474" s="8"/>
      <c r="U474" s="8"/>
      <c r="V474" s="7"/>
      <c r="W474" s="6" t="str">
        <f t="array" ref="W474">IF(NOT(ISBLANK(D474)),_xludf.XLOOKUP(D474,[1]CODE!$A$4:$A$100,[1]CODE!$D$4:$D$100),"")</f>
        <v/>
      </c>
      <c r="X474" s="5" t="str">
        <f t="array" ref="X474">IF(NOT(AND(ISBLANK(D474),ISBLANK(C474))),_xludf.XLOOKUP(D474,[1]CODE!$A$4:$A$100,[1]CODE!$E$4:$E$100),"")</f>
        <v/>
      </c>
      <c r="Y474" s="5" t="str">
        <f t="shared" si="54"/>
        <v/>
      </c>
      <c r="Z474" s="5" t="str">
        <f t="shared" si="55"/>
        <v/>
      </c>
      <c r="AA474" s="4">
        <f t="shared" si="56"/>
        <v>0</v>
      </c>
      <c r="AC474" s="2"/>
    </row>
    <row r="475" spans="1:29" ht="15.5">
      <c r="A475" s="13" t="str">
        <f>IF(OR(ISBLANK(C475),ISBLANK(D475),ISBLANK(F475),ISBLANK(G475)),"",COUNTIF($B$5:B475,"JAMBUTU"))</f>
        <v/>
      </c>
      <c r="B475" s="8" t="str">
        <f t="shared" si="51"/>
        <v/>
      </c>
      <c r="C475" s="8"/>
      <c r="D475" s="8"/>
      <c r="E475" s="18"/>
      <c r="F475" s="12"/>
      <c r="G475" s="17"/>
      <c r="H475" s="12"/>
      <c r="I475" s="17"/>
      <c r="J475" s="10">
        <f t="shared" si="50"/>
        <v>0</v>
      </c>
      <c r="K475" s="10">
        <f t="shared" si="52"/>
        <v>0</v>
      </c>
      <c r="L475" s="9" t="str">
        <f t="shared" si="53"/>
        <v/>
      </c>
      <c r="M475" s="8"/>
      <c r="N475" s="8"/>
      <c r="O475" s="8"/>
      <c r="P475" s="8"/>
      <c r="Q475" s="8"/>
      <c r="R475" s="16"/>
      <c r="S475" s="8"/>
      <c r="T475" s="8"/>
      <c r="U475" s="8"/>
      <c r="V475" s="7"/>
      <c r="W475" s="6" t="str">
        <f t="array" ref="W475">IF(NOT(ISBLANK(D475)),_xludf.XLOOKUP(D475,[1]CODE!$A$4:$A$100,[1]CODE!$D$4:$D$100),"")</f>
        <v/>
      </c>
      <c r="X475" s="5" t="str">
        <f t="array" ref="X475">IF(NOT(AND(ISBLANK(D475),ISBLANK(C475))),_xludf.XLOOKUP(D475,[1]CODE!$A$4:$A$100,[1]CODE!$E$4:$E$100),"")</f>
        <v/>
      </c>
      <c r="Y475" s="5" t="str">
        <f t="shared" si="54"/>
        <v/>
      </c>
      <c r="Z475" s="5" t="str">
        <f t="shared" si="55"/>
        <v/>
      </c>
      <c r="AA475" s="4">
        <f t="shared" si="56"/>
        <v>0</v>
      </c>
      <c r="AC475" s="2"/>
    </row>
    <row r="476" spans="1:29" ht="15.5">
      <c r="A476" s="13" t="str">
        <f>IF(OR(ISBLANK(C476),ISBLANK(D476),ISBLANK(F476),ISBLANK(G476)),"",COUNTIF($B$5:B476,"JAMBUTU"))</f>
        <v/>
      </c>
      <c r="B476" s="8" t="str">
        <f t="shared" si="51"/>
        <v/>
      </c>
      <c r="C476" s="8"/>
      <c r="D476" s="8"/>
      <c r="E476" s="13"/>
      <c r="F476" s="12"/>
      <c r="G476" s="11"/>
      <c r="H476" s="12"/>
      <c r="I476" s="11"/>
      <c r="J476" s="10">
        <f t="shared" si="50"/>
        <v>0</v>
      </c>
      <c r="K476" s="10">
        <f t="shared" si="52"/>
        <v>0</v>
      </c>
      <c r="L476" s="9" t="str">
        <f t="shared" si="53"/>
        <v/>
      </c>
      <c r="M476" s="8"/>
      <c r="N476" s="8"/>
      <c r="O476" s="8"/>
      <c r="P476" s="8"/>
      <c r="Q476" s="8"/>
      <c r="R476" s="8"/>
      <c r="S476" s="8"/>
      <c r="T476" s="8"/>
      <c r="U476" s="8"/>
      <c r="V476" s="7"/>
      <c r="W476" s="6" t="str">
        <f t="array" ref="W476">IF(NOT(ISBLANK(D476)),_xludf.XLOOKUP(D476,[1]CODE!$A$4:$A$100,[1]CODE!$D$4:$D$100),"")</f>
        <v/>
      </c>
      <c r="X476" s="5" t="str">
        <f t="array" ref="X476">IF(NOT(AND(ISBLANK(D476),ISBLANK(C476))),_xludf.XLOOKUP(D476,[1]CODE!$A$4:$A$100,[1]CODE!$E$4:$E$100),"")</f>
        <v/>
      </c>
      <c r="Y476" s="5" t="str">
        <f t="shared" si="54"/>
        <v/>
      </c>
      <c r="Z476" s="5" t="str">
        <f t="shared" si="55"/>
        <v/>
      </c>
      <c r="AA476" s="4">
        <f t="shared" si="56"/>
        <v>0</v>
      </c>
      <c r="AC476" s="2"/>
    </row>
    <row r="477" spans="1:29" ht="15.5">
      <c r="A477" s="13" t="str">
        <f>IF(OR(ISBLANK(C477),ISBLANK(D477),ISBLANK(F477),ISBLANK(G477)),"",COUNTIF($B$5:B477,"JAMBUTU"))</f>
        <v/>
      </c>
      <c r="B477" s="8" t="str">
        <f t="shared" si="51"/>
        <v/>
      </c>
      <c r="C477" s="8"/>
      <c r="D477" s="8"/>
      <c r="E477" s="13"/>
      <c r="F477" s="12"/>
      <c r="G477" s="11"/>
      <c r="H477" s="12"/>
      <c r="I477" s="11"/>
      <c r="J477" s="10">
        <f t="shared" ref="J477:J540" si="57">DATE(YEAR(F477),MONTH(F477),DAY(F477))+TIME(HOUR(G477),MINUTE(G477), SECOND(G477))</f>
        <v>0</v>
      </c>
      <c r="K477" s="10">
        <f t="shared" si="52"/>
        <v>0</v>
      </c>
      <c r="L477" s="9" t="str">
        <f t="shared" si="53"/>
        <v/>
      </c>
      <c r="M477" s="8"/>
      <c r="N477" s="8"/>
      <c r="O477" s="8"/>
      <c r="P477" s="8"/>
      <c r="Q477" s="8"/>
      <c r="R477" s="8"/>
      <c r="S477" s="8"/>
      <c r="T477" s="8"/>
      <c r="U477" s="8"/>
      <c r="V477" s="7"/>
      <c r="W477" s="6" t="str">
        <f t="array" ref="W477">IF(NOT(ISBLANK(D477)),_xludf.XLOOKUP(D477,[1]CODE!$A$4:$A$100,[1]CODE!$D$4:$D$100),"")</f>
        <v/>
      </c>
      <c r="X477" s="5" t="str">
        <f t="array" ref="X477">IF(NOT(AND(ISBLANK(D477),ISBLANK(C477))),_xludf.XLOOKUP(D477,[1]CODE!$A$4:$A$100,[1]CODE!$E$4:$E$100),"")</f>
        <v/>
      </c>
      <c r="Y477" s="5" t="str">
        <f t="shared" si="54"/>
        <v/>
      </c>
      <c r="Z477" s="5" t="str">
        <f t="shared" si="55"/>
        <v/>
      </c>
      <c r="AA477" s="4">
        <f t="shared" si="56"/>
        <v>0</v>
      </c>
      <c r="AC477" s="2"/>
    </row>
    <row r="478" spans="1:29" ht="15.5">
      <c r="A478" s="13" t="str">
        <f>IF(OR(ISBLANK(C478),ISBLANK(D478),ISBLANK(F478),ISBLANK(G478)),"",COUNTIF($B$5:B478,"JAMBUTU"))</f>
        <v/>
      </c>
      <c r="B478" s="8" t="str">
        <f t="shared" si="51"/>
        <v/>
      </c>
      <c r="C478" s="8"/>
      <c r="D478" s="8"/>
      <c r="E478" s="13"/>
      <c r="F478" s="12"/>
      <c r="G478" s="11"/>
      <c r="H478" s="12"/>
      <c r="I478" s="11"/>
      <c r="J478" s="10">
        <f t="shared" si="57"/>
        <v>0</v>
      </c>
      <c r="K478" s="10">
        <f t="shared" si="52"/>
        <v>0</v>
      </c>
      <c r="L478" s="9" t="str">
        <f t="shared" si="53"/>
        <v/>
      </c>
      <c r="M478" s="8"/>
      <c r="N478" s="8"/>
      <c r="O478" s="8"/>
      <c r="P478" s="8"/>
      <c r="Q478" s="8"/>
      <c r="R478" s="8"/>
      <c r="S478" s="8"/>
      <c r="T478" s="8"/>
      <c r="U478" s="8"/>
      <c r="V478" s="7"/>
      <c r="W478" s="6" t="str">
        <f t="array" ref="W478">IF(NOT(ISBLANK(D478)),_xludf.XLOOKUP(D478,[1]CODE!$A$4:$A$100,[1]CODE!$D$4:$D$100),"")</f>
        <v/>
      </c>
      <c r="X478" s="5" t="str">
        <f t="array" ref="X478">IF(NOT(AND(ISBLANK(D478),ISBLANK(C478))),_xludf.XLOOKUP(D478,[1]CODE!$A$4:$A$100,[1]CODE!$E$4:$E$100),"")</f>
        <v/>
      </c>
      <c r="Y478" s="5" t="str">
        <f t="shared" si="54"/>
        <v/>
      </c>
      <c r="Z478" s="5" t="str">
        <f t="shared" si="55"/>
        <v/>
      </c>
      <c r="AA478" s="4">
        <f t="shared" si="56"/>
        <v>0</v>
      </c>
      <c r="AC478" s="2"/>
    </row>
    <row r="479" spans="1:29" ht="15.5">
      <c r="A479" s="13" t="str">
        <f>IF(OR(ISBLANK(C479),ISBLANK(D479),ISBLANK(F479),ISBLANK(G479)),"",COUNTIF($B$5:B479,"JAMBUTU"))</f>
        <v/>
      </c>
      <c r="B479" s="8" t="str">
        <f t="shared" si="51"/>
        <v/>
      </c>
      <c r="C479" s="8"/>
      <c r="D479" s="8"/>
      <c r="E479" s="13"/>
      <c r="F479" s="12"/>
      <c r="G479" s="11"/>
      <c r="H479" s="12"/>
      <c r="I479" s="11"/>
      <c r="J479" s="10">
        <f t="shared" si="57"/>
        <v>0</v>
      </c>
      <c r="K479" s="10">
        <f t="shared" si="52"/>
        <v>0</v>
      </c>
      <c r="L479" s="9" t="str">
        <f t="shared" si="53"/>
        <v/>
      </c>
      <c r="M479" s="8"/>
      <c r="N479" s="8"/>
      <c r="O479" s="8"/>
      <c r="P479" s="8"/>
      <c r="Q479" s="8"/>
      <c r="R479" s="8"/>
      <c r="S479" s="8"/>
      <c r="T479" s="8"/>
      <c r="U479" s="8"/>
      <c r="V479" s="7"/>
      <c r="W479" s="6" t="str">
        <f t="array" ref="W479">IF(NOT(ISBLANK(D479)),_xludf.XLOOKUP(D479,[1]CODE!$A$4:$A$100,[1]CODE!$D$4:$D$100),"")</f>
        <v/>
      </c>
      <c r="X479" s="5" t="str">
        <f t="array" ref="X479">IF(NOT(AND(ISBLANK(D479),ISBLANK(C479))),_xludf.XLOOKUP(D479,[1]CODE!$A$4:$A$100,[1]CODE!$E$4:$E$100),"")</f>
        <v/>
      </c>
      <c r="Y479" s="5" t="str">
        <f t="shared" si="54"/>
        <v/>
      </c>
      <c r="Z479" s="5" t="str">
        <f t="shared" si="55"/>
        <v/>
      </c>
      <c r="AA479" s="4">
        <f t="shared" si="56"/>
        <v>0</v>
      </c>
      <c r="AC479" s="2"/>
    </row>
    <row r="480" spans="1:29" ht="15.5">
      <c r="A480" s="13" t="str">
        <f>IF(OR(ISBLANK(C480),ISBLANK(D480),ISBLANK(F480),ISBLANK(G480)),"",COUNTIF($B$5:B480,"JAMBUTU"))</f>
        <v/>
      </c>
      <c r="B480" s="8" t="str">
        <f t="shared" si="51"/>
        <v/>
      </c>
      <c r="C480" s="8"/>
      <c r="D480" s="8"/>
      <c r="E480" s="13"/>
      <c r="F480" s="12"/>
      <c r="G480" s="11"/>
      <c r="H480" s="12"/>
      <c r="I480" s="11"/>
      <c r="J480" s="10">
        <f t="shared" si="57"/>
        <v>0</v>
      </c>
      <c r="K480" s="10">
        <f t="shared" si="52"/>
        <v>0</v>
      </c>
      <c r="L480" s="9" t="str">
        <f t="shared" si="53"/>
        <v/>
      </c>
      <c r="M480" s="8"/>
      <c r="N480" s="8"/>
      <c r="O480" s="8"/>
      <c r="P480" s="8"/>
      <c r="Q480" s="8"/>
      <c r="R480" s="8"/>
      <c r="S480" s="8"/>
      <c r="T480" s="8"/>
      <c r="U480" s="8"/>
      <c r="V480" s="7"/>
      <c r="W480" s="6" t="str">
        <f t="array" ref="W480">IF(NOT(ISBLANK(D480)),_xludf.XLOOKUP(D480,[1]CODE!$A$4:$A$100,[1]CODE!$D$4:$D$100),"")</f>
        <v/>
      </c>
      <c r="X480" s="5" t="str">
        <f t="array" ref="X480">IF(NOT(AND(ISBLANK(D480),ISBLANK(C480))),_xludf.XLOOKUP(D480,[1]CODE!$A$4:$A$100,[1]CODE!$E$4:$E$100),"")</f>
        <v/>
      </c>
      <c r="Y480" s="5" t="str">
        <f t="shared" si="54"/>
        <v/>
      </c>
      <c r="Z480" s="5" t="str">
        <f t="shared" si="55"/>
        <v/>
      </c>
      <c r="AA480" s="4">
        <f t="shared" si="56"/>
        <v>0</v>
      </c>
      <c r="AC480" s="2"/>
    </row>
    <row r="481" spans="1:29" ht="15.5">
      <c r="A481" s="13" t="str">
        <f>IF(OR(ISBLANK(C481),ISBLANK(D481),ISBLANK(F481),ISBLANK(G481)),"",COUNTIF($B$5:B481,"JAMBUTU"))</f>
        <v/>
      </c>
      <c r="B481" s="8" t="str">
        <f t="shared" si="51"/>
        <v/>
      </c>
      <c r="C481" s="8"/>
      <c r="D481" s="8"/>
      <c r="E481" s="13"/>
      <c r="F481" s="12"/>
      <c r="G481" s="11"/>
      <c r="H481" s="12"/>
      <c r="I481" s="11"/>
      <c r="J481" s="10">
        <f t="shared" si="57"/>
        <v>0</v>
      </c>
      <c r="K481" s="10">
        <f t="shared" si="52"/>
        <v>0</v>
      </c>
      <c r="L481" s="9" t="str">
        <f t="shared" si="53"/>
        <v/>
      </c>
      <c r="M481" s="8"/>
      <c r="N481" s="8"/>
      <c r="O481" s="8"/>
      <c r="P481" s="8"/>
      <c r="Q481" s="8"/>
      <c r="R481" s="8"/>
      <c r="S481" s="8"/>
      <c r="T481" s="8"/>
      <c r="U481" s="8"/>
      <c r="V481" s="7"/>
      <c r="W481" s="6" t="str">
        <f t="array" ref="W481">IF(NOT(ISBLANK(D481)),_xludf.XLOOKUP(D481,[1]CODE!$A$4:$A$100,[1]CODE!$D$4:$D$100),"")</f>
        <v/>
      </c>
      <c r="X481" s="5" t="str">
        <f t="array" ref="X481">IF(NOT(AND(ISBLANK(D481),ISBLANK(C481))),_xludf.XLOOKUP(D481,[1]CODE!$A$4:$A$100,[1]CODE!$E$4:$E$100),"")</f>
        <v/>
      </c>
      <c r="Y481" s="5" t="str">
        <f t="shared" si="54"/>
        <v/>
      </c>
      <c r="Z481" s="5" t="str">
        <f t="shared" si="55"/>
        <v/>
      </c>
      <c r="AA481" s="4">
        <f t="shared" si="56"/>
        <v>0</v>
      </c>
      <c r="AC481" s="2"/>
    </row>
    <row r="482" spans="1:29" ht="15.5">
      <c r="A482" s="13" t="str">
        <f>IF(OR(ISBLANK(C482),ISBLANK(D482),ISBLANK(F482),ISBLANK(G482)),"",COUNTIF($B$5:B482,"JAMBUTU"))</f>
        <v/>
      </c>
      <c r="B482" s="8" t="str">
        <f t="shared" si="51"/>
        <v/>
      </c>
      <c r="C482" s="8"/>
      <c r="D482" s="8"/>
      <c r="E482" s="13"/>
      <c r="F482" s="12"/>
      <c r="G482" s="11"/>
      <c r="H482" s="12"/>
      <c r="I482" s="11"/>
      <c r="J482" s="10">
        <f t="shared" si="57"/>
        <v>0</v>
      </c>
      <c r="K482" s="10">
        <f t="shared" si="52"/>
        <v>0</v>
      </c>
      <c r="L482" s="9" t="str">
        <f t="shared" si="53"/>
        <v/>
      </c>
      <c r="M482" s="8"/>
      <c r="N482" s="8"/>
      <c r="O482" s="8"/>
      <c r="P482" s="8"/>
      <c r="Q482" s="8"/>
      <c r="R482" s="8"/>
      <c r="S482" s="8"/>
      <c r="T482" s="8"/>
      <c r="U482" s="8"/>
      <c r="V482" s="7"/>
      <c r="W482" s="6" t="str">
        <f t="array" ref="W482">IF(NOT(ISBLANK(D482)),_xludf.XLOOKUP(D482,[1]CODE!$A$4:$A$100,[1]CODE!$D$4:$D$100),"")</f>
        <v/>
      </c>
      <c r="X482" s="5" t="str">
        <f t="array" ref="X482">IF(NOT(AND(ISBLANK(D482),ISBLANK(C482))),_xludf.XLOOKUP(D482,[1]CODE!$A$4:$A$100,[1]CODE!$E$4:$E$100),"")</f>
        <v/>
      </c>
      <c r="Y482" s="5" t="str">
        <f t="shared" si="54"/>
        <v/>
      </c>
      <c r="Z482" s="5" t="str">
        <f t="shared" si="55"/>
        <v/>
      </c>
      <c r="AA482" s="4">
        <f t="shared" si="56"/>
        <v>0</v>
      </c>
      <c r="AC482" s="2"/>
    </row>
    <row r="483" spans="1:29" ht="15.5">
      <c r="A483" s="13" t="str">
        <f>IF(OR(ISBLANK(C483),ISBLANK(D483),ISBLANK(F483),ISBLANK(G483)),"",COUNTIF($B$5:B483,"JAMBUTU"))</f>
        <v/>
      </c>
      <c r="B483" s="8" t="str">
        <f t="shared" si="51"/>
        <v/>
      </c>
      <c r="C483" s="8"/>
      <c r="D483" s="8"/>
      <c r="E483" s="13"/>
      <c r="F483" s="12"/>
      <c r="G483" s="11"/>
      <c r="H483" s="12"/>
      <c r="I483" s="11"/>
      <c r="J483" s="10">
        <f t="shared" si="57"/>
        <v>0</v>
      </c>
      <c r="K483" s="10">
        <f t="shared" si="52"/>
        <v>0</v>
      </c>
      <c r="L483" s="9" t="str">
        <f t="shared" si="53"/>
        <v/>
      </c>
      <c r="M483" s="8"/>
      <c r="N483" s="8"/>
      <c r="O483" s="8"/>
      <c r="P483" s="8"/>
      <c r="Q483" s="8"/>
      <c r="R483" s="8"/>
      <c r="S483" s="8"/>
      <c r="T483" s="8"/>
      <c r="U483" s="8"/>
      <c r="V483" s="7"/>
      <c r="W483" s="6" t="str">
        <f t="array" ref="W483">IF(NOT(ISBLANK(D483)),_xludf.XLOOKUP(D483,[1]CODE!$A$4:$A$100,[1]CODE!$D$4:$D$100),"")</f>
        <v/>
      </c>
      <c r="X483" s="5" t="str">
        <f t="array" ref="X483">IF(NOT(AND(ISBLANK(D483),ISBLANK(C483))),_xludf.XLOOKUP(D483,[1]CODE!$A$4:$A$100,[1]CODE!$E$4:$E$100),"")</f>
        <v/>
      </c>
      <c r="Y483" s="5" t="str">
        <f t="shared" si="54"/>
        <v/>
      </c>
      <c r="Z483" s="5" t="str">
        <f t="shared" si="55"/>
        <v/>
      </c>
      <c r="AA483" s="4">
        <f t="shared" si="56"/>
        <v>0</v>
      </c>
      <c r="AC483" s="2"/>
    </row>
    <row r="484" spans="1:29" ht="15.5">
      <c r="A484" s="13" t="str">
        <f>IF(OR(ISBLANK(C484),ISBLANK(D484),ISBLANK(F484),ISBLANK(G484)),"",COUNTIF($B$5:B484,"JAMBUTU"))</f>
        <v/>
      </c>
      <c r="B484" s="8" t="str">
        <f t="shared" si="51"/>
        <v/>
      </c>
      <c r="C484" s="8"/>
      <c r="D484" s="8"/>
      <c r="E484" s="13"/>
      <c r="F484" s="12"/>
      <c r="G484" s="11"/>
      <c r="H484" s="12"/>
      <c r="I484" s="11"/>
      <c r="J484" s="10">
        <f t="shared" si="57"/>
        <v>0</v>
      </c>
      <c r="K484" s="10">
        <f t="shared" si="52"/>
        <v>0</v>
      </c>
      <c r="L484" s="9" t="str">
        <f t="shared" si="53"/>
        <v/>
      </c>
      <c r="M484" s="8"/>
      <c r="N484" s="8"/>
      <c r="O484" s="8"/>
      <c r="P484" s="8"/>
      <c r="Q484" s="8"/>
      <c r="R484" s="8"/>
      <c r="S484" s="8"/>
      <c r="T484" s="8"/>
      <c r="U484" s="8"/>
      <c r="V484" s="7"/>
      <c r="W484" s="6" t="str">
        <f t="array" ref="W484">IF(NOT(ISBLANK(D484)),_xludf.XLOOKUP(D484,[1]CODE!$A$4:$A$100,[1]CODE!$D$4:$D$100),"")</f>
        <v/>
      </c>
      <c r="X484" s="5" t="str">
        <f t="array" ref="X484">IF(NOT(AND(ISBLANK(D484),ISBLANK(C484))),_xludf.XLOOKUP(D484,[1]CODE!$A$4:$A$100,[1]CODE!$E$4:$E$100),"")</f>
        <v/>
      </c>
      <c r="Y484" s="5" t="str">
        <f t="shared" si="54"/>
        <v/>
      </c>
      <c r="Z484" s="5" t="str">
        <f t="shared" si="55"/>
        <v/>
      </c>
      <c r="AA484" s="4">
        <f t="shared" si="56"/>
        <v>0</v>
      </c>
      <c r="AC484" s="2"/>
    </row>
    <row r="485" spans="1:29" ht="15.5">
      <c r="A485" s="13" t="str">
        <f>IF(OR(ISBLANK(C485),ISBLANK(D485),ISBLANK(F485),ISBLANK(G485)),"",COUNTIF($B$5:B485,"JAMBUTU"))</f>
        <v/>
      </c>
      <c r="B485" s="8" t="str">
        <f t="shared" ref="B485:B548" si="58">IF(C485&lt;&gt;"","Jambutu","")</f>
        <v/>
      </c>
      <c r="C485" s="8"/>
      <c r="D485" s="8"/>
      <c r="E485" s="13"/>
      <c r="F485" s="12"/>
      <c r="G485" s="11"/>
      <c r="H485" s="12"/>
      <c r="I485" s="11"/>
      <c r="J485" s="10">
        <f t="shared" si="57"/>
        <v>0</v>
      </c>
      <c r="K485" s="10">
        <f t="shared" si="52"/>
        <v>0</v>
      </c>
      <c r="L485" s="9" t="str">
        <f t="shared" si="53"/>
        <v/>
      </c>
      <c r="M485" s="8"/>
      <c r="N485" s="8"/>
      <c r="O485" s="8"/>
      <c r="P485" s="8"/>
      <c r="Q485" s="8"/>
      <c r="R485" s="8"/>
      <c r="S485" s="8"/>
      <c r="T485" s="8"/>
      <c r="U485" s="8"/>
      <c r="V485" s="7"/>
      <c r="W485" s="6" t="str">
        <f t="array" ref="W485">IF(NOT(ISBLANK(D485)),_xludf.XLOOKUP(D485,[1]CODE!$A$4:$A$100,[1]CODE!$D$4:$D$100),"")</f>
        <v/>
      </c>
      <c r="X485" s="5" t="str">
        <f t="array" ref="X485">IF(NOT(AND(ISBLANK(D485),ISBLANK(C485))),_xludf.XLOOKUP(D485,[1]CODE!$A$4:$A$100,[1]CODE!$E$4:$E$100),"")</f>
        <v/>
      </c>
      <c r="Y485" s="5" t="str">
        <f t="shared" si="54"/>
        <v/>
      </c>
      <c r="Z485" s="5" t="str">
        <f t="shared" si="55"/>
        <v/>
      </c>
      <c r="AA485" s="4">
        <f t="shared" si="56"/>
        <v>0</v>
      </c>
      <c r="AC485" s="2"/>
    </row>
    <row r="486" spans="1:29" ht="15.5">
      <c r="A486" s="13" t="str">
        <f>IF(OR(ISBLANK(C486),ISBLANK(D486),ISBLANK(F486),ISBLANK(G486)),"",COUNTIF($B$5:B486,"JAMBUTU"))</f>
        <v/>
      </c>
      <c r="B486" s="8" t="str">
        <f t="shared" si="58"/>
        <v/>
      </c>
      <c r="C486" s="8"/>
      <c r="D486" s="8"/>
      <c r="E486" s="13"/>
      <c r="F486" s="12"/>
      <c r="G486" s="11"/>
      <c r="H486" s="12"/>
      <c r="I486" s="11"/>
      <c r="J486" s="10">
        <f t="shared" si="57"/>
        <v>0</v>
      </c>
      <c r="K486" s="10">
        <f t="shared" si="52"/>
        <v>0</v>
      </c>
      <c r="L486" s="9" t="str">
        <f t="shared" si="53"/>
        <v/>
      </c>
      <c r="M486" s="8"/>
      <c r="N486" s="8"/>
      <c r="O486" s="8"/>
      <c r="P486" s="8"/>
      <c r="Q486" s="8"/>
      <c r="R486" s="8"/>
      <c r="S486" s="8"/>
      <c r="T486" s="8"/>
      <c r="U486" s="8"/>
      <c r="V486" s="7"/>
      <c r="W486" s="6" t="str">
        <f t="array" ref="W486">IF(NOT(ISBLANK(D486)),_xludf.XLOOKUP(D486,[1]CODE!$A$4:$A$100,[1]CODE!$D$4:$D$100),"")</f>
        <v/>
      </c>
      <c r="X486" s="5" t="str">
        <f t="array" ref="X486">IF(NOT(AND(ISBLANK(D486),ISBLANK(C486))),_xludf.XLOOKUP(D486,[1]CODE!$A$4:$A$100,[1]CODE!$E$4:$E$100),"")</f>
        <v/>
      </c>
      <c r="Y486" s="5" t="str">
        <f t="shared" si="54"/>
        <v/>
      </c>
      <c r="Z486" s="5" t="str">
        <f t="shared" si="55"/>
        <v/>
      </c>
      <c r="AA486" s="4">
        <f t="shared" si="56"/>
        <v>0</v>
      </c>
      <c r="AC486" s="2"/>
    </row>
    <row r="487" spans="1:29" ht="15.5">
      <c r="A487" s="13" t="str">
        <f>IF(OR(ISBLANK(C487),ISBLANK(D487),ISBLANK(F487),ISBLANK(G487)),"",COUNTIF($B$5:B487,"JAMBUTU"))</f>
        <v/>
      </c>
      <c r="B487" s="8" t="str">
        <f t="shared" si="58"/>
        <v/>
      </c>
      <c r="C487" s="8"/>
      <c r="D487" s="8"/>
      <c r="E487" s="13"/>
      <c r="F487" s="12"/>
      <c r="G487" s="11"/>
      <c r="H487" s="12"/>
      <c r="I487" s="11"/>
      <c r="J487" s="10">
        <f t="shared" si="57"/>
        <v>0</v>
      </c>
      <c r="K487" s="10">
        <f t="shared" si="52"/>
        <v>0</v>
      </c>
      <c r="L487" s="9" t="str">
        <f t="shared" si="53"/>
        <v/>
      </c>
      <c r="M487" s="8"/>
      <c r="N487" s="8"/>
      <c r="O487" s="8"/>
      <c r="P487" s="8"/>
      <c r="Q487" s="8"/>
      <c r="R487" s="8"/>
      <c r="S487" s="8"/>
      <c r="T487" s="8"/>
      <c r="U487" s="8"/>
      <c r="V487" s="7"/>
      <c r="W487" s="6" t="str">
        <f t="array" ref="W487">IF(NOT(ISBLANK(D487)),_xludf.XLOOKUP(D487,[1]CODE!$A$4:$A$100,[1]CODE!$D$4:$D$100),"")</f>
        <v/>
      </c>
      <c r="X487" s="5" t="str">
        <f t="array" ref="X487">IF(NOT(AND(ISBLANK(D487),ISBLANK(C487))),_xludf.XLOOKUP(D487,[1]CODE!$A$4:$A$100,[1]CODE!$E$4:$E$100),"")</f>
        <v/>
      </c>
      <c r="Y487" s="5" t="str">
        <f t="shared" si="54"/>
        <v/>
      </c>
      <c r="Z487" s="5" t="str">
        <f t="shared" si="55"/>
        <v/>
      </c>
      <c r="AA487" s="4">
        <f t="shared" si="56"/>
        <v>0</v>
      </c>
      <c r="AC487" s="2"/>
    </row>
    <row r="488" spans="1:29" ht="15.5">
      <c r="A488" s="13" t="str">
        <f>IF(OR(ISBLANK(C488),ISBLANK(D488),ISBLANK(F488),ISBLANK(G488)),"",COUNTIF($B$5:B488,"JAMBUTU"))</f>
        <v/>
      </c>
      <c r="B488" s="8" t="str">
        <f t="shared" si="58"/>
        <v/>
      </c>
      <c r="C488" s="8"/>
      <c r="D488" s="8"/>
      <c r="E488" s="13"/>
      <c r="F488" s="12"/>
      <c r="G488" s="11"/>
      <c r="H488" s="12"/>
      <c r="I488" s="11"/>
      <c r="J488" s="10">
        <f t="shared" si="57"/>
        <v>0</v>
      </c>
      <c r="K488" s="10">
        <f t="shared" si="52"/>
        <v>0</v>
      </c>
      <c r="L488" s="9" t="str">
        <f t="shared" si="53"/>
        <v/>
      </c>
      <c r="M488" s="8"/>
      <c r="N488" s="8"/>
      <c r="O488" s="8"/>
      <c r="P488" s="8"/>
      <c r="Q488" s="8"/>
      <c r="R488" s="8"/>
      <c r="S488" s="8"/>
      <c r="T488" s="8"/>
      <c r="U488" s="8"/>
      <c r="V488" s="7"/>
      <c r="W488" s="6" t="str">
        <f t="array" ref="W488">IF(NOT(ISBLANK(D488)),_xludf.XLOOKUP(D488,[1]CODE!$A$4:$A$100,[1]CODE!$D$4:$D$100),"")</f>
        <v/>
      </c>
      <c r="X488" s="5" t="str">
        <f t="array" ref="X488">IF(NOT(AND(ISBLANK(D488),ISBLANK(C488))),_xludf.XLOOKUP(D488,[1]CODE!$A$4:$A$100,[1]CODE!$E$4:$E$100),"")</f>
        <v/>
      </c>
      <c r="Y488" s="5" t="str">
        <f t="shared" si="54"/>
        <v/>
      </c>
      <c r="Z488" s="5" t="str">
        <f t="shared" si="55"/>
        <v/>
      </c>
      <c r="AA488" s="4">
        <f t="shared" si="56"/>
        <v>0</v>
      </c>
      <c r="AC488" s="2"/>
    </row>
    <row r="489" spans="1:29" ht="15.5">
      <c r="A489" s="13" t="str">
        <f>IF(OR(ISBLANK(C489),ISBLANK(D489),ISBLANK(F489),ISBLANK(G489)),"",COUNTIF($B$5:B489,"JAMBUTU"))</f>
        <v/>
      </c>
      <c r="B489" s="8" t="str">
        <f t="shared" si="58"/>
        <v/>
      </c>
      <c r="C489" s="8"/>
      <c r="D489" s="8"/>
      <c r="E489" s="13"/>
      <c r="F489" s="12"/>
      <c r="G489" s="11"/>
      <c r="H489" s="12"/>
      <c r="I489" s="11"/>
      <c r="J489" s="10">
        <f t="shared" si="57"/>
        <v>0</v>
      </c>
      <c r="K489" s="10">
        <f t="shared" si="52"/>
        <v>0</v>
      </c>
      <c r="L489" s="9" t="str">
        <f t="shared" si="53"/>
        <v/>
      </c>
      <c r="M489" s="8"/>
      <c r="N489" s="8"/>
      <c r="O489" s="8"/>
      <c r="P489" s="8"/>
      <c r="Q489" s="8"/>
      <c r="R489" s="8"/>
      <c r="S489" s="8"/>
      <c r="T489" s="8"/>
      <c r="U489" s="8"/>
      <c r="V489" s="7"/>
      <c r="W489" s="6" t="str">
        <f t="array" ref="W489">IF(NOT(ISBLANK(D489)),_xludf.XLOOKUP(D489,[1]CODE!$A$4:$A$100,[1]CODE!$D$4:$D$100),"")</f>
        <v/>
      </c>
      <c r="X489" s="5" t="str">
        <f t="array" ref="X489">IF(NOT(AND(ISBLANK(D489),ISBLANK(C489))),_xludf.XLOOKUP(D489,[1]CODE!$A$4:$A$100,[1]CODE!$E$4:$E$100),"")</f>
        <v/>
      </c>
      <c r="Y489" s="5" t="str">
        <f t="shared" si="54"/>
        <v/>
      </c>
      <c r="Z489" s="5" t="str">
        <f t="shared" si="55"/>
        <v/>
      </c>
      <c r="AA489" s="4">
        <f t="shared" si="56"/>
        <v>0</v>
      </c>
      <c r="AC489" s="2"/>
    </row>
    <row r="490" spans="1:29" ht="15.5">
      <c r="A490" s="13" t="str">
        <f>IF(OR(ISBLANK(C490),ISBLANK(D490),ISBLANK(F490),ISBLANK(G490)),"",COUNTIF($B$5:B490,"JAMBUTU"))</f>
        <v/>
      </c>
      <c r="B490" s="8" t="str">
        <f t="shared" si="58"/>
        <v/>
      </c>
      <c r="C490" s="8"/>
      <c r="D490" s="8"/>
      <c r="E490" s="13"/>
      <c r="F490" s="12"/>
      <c r="G490" s="11"/>
      <c r="H490" s="12"/>
      <c r="I490" s="11"/>
      <c r="J490" s="10">
        <f t="shared" si="57"/>
        <v>0</v>
      </c>
      <c r="K490" s="10">
        <f t="shared" si="52"/>
        <v>0</v>
      </c>
      <c r="L490" s="9" t="str">
        <f t="shared" si="53"/>
        <v/>
      </c>
      <c r="M490" s="8"/>
      <c r="N490" s="8"/>
      <c r="O490" s="8"/>
      <c r="P490" s="8"/>
      <c r="Q490" s="8"/>
      <c r="R490" s="8"/>
      <c r="S490" s="8"/>
      <c r="T490" s="8"/>
      <c r="U490" s="8"/>
      <c r="V490" s="7"/>
      <c r="W490" s="6" t="str">
        <f t="array" ref="W490">IF(NOT(ISBLANK(D490)),_xludf.XLOOKUP(D490,[1]CODE!$A$4:$A$100,[1]CODE!$D$4:$D$100),"")</f>
        <v/>
      </c>
      <c r="X490" s="5" t="str">
        <f t="array" ref="X490">IF(NOT(AND(ISBLANK(D490),ISBLANK(C490))),_xludf.XLOOKUP(D490,[1]CODE!$A$4:$A$100,[1]CODE!$E$4:$E$100),"")</f>
        <v/>
      </c>
      <c r="Y490" s="5" t="str">
        <f t="shared" si="54"/>
        <v/>
      </c>
      <c r="Z490" s="5" t="str">
        <f t="shared" si="55"/>
        <v/>
      </c>
      <c r="AA490" s="4">
        <f t="shared" si="56"/>
        <v>0</v>
      </c>
      <c r="AC490" s="2"/>
    </row>
    <row r="491" spans="1:29" ht="15.5">
      <c r="A491" s="13" t="str">
        <f>IF(OR(ISBLANK(C491),ISBLANK(D491),ISBLANK(F491),ISBLANK(G491)),"",COUNTIF($B$5:B491,"JAMBUTU"))</f>
        <v/>
      </c>
      <c r="B491" s="8" t="str">
        <f t="shared" si="58"/>
        <v/>
      </c>
      <c r="C491" s="8"/>
      <c r="D491" s="8"/>
      <c r="E491" s="13"/>
      <c r="F491" s="12"/>
      <c r="G491" s="11"/>
      <c r="H491" s="12"/>
      <c r="I491" s="11"/>
      <c r="J491" s="10">
        <f t="shared" si="57"/>
        <v>0</v>
      </c>
      <c r="K491" s="10">
        <f t="shared" si="52"/>
        <v>0</v>
      </c>
      <c r="L491" s="9" t="str">
        <f t="shared" si="53"/>
        <v/>
      </c>
      <c r="M491" s="8"/>
      <c r="N491" s="8"/>
      <c r="O491" s="8"/>
      <c r="P491" s="8"/>
      <c r="Q491" s="8"/>
      <c r="R491" s="8"/>
      <c r="S491" s="8"/>
      <c r="T491" s="8"/>
      <c r="U491" s="8"/>
      <c r="V491" s="7"/>
      <c r="W491" s="6" t="str">
        <f t="array" ref="W491">IF(NOT(ISBLANK(D491)),_xludf.XLOOKUP(D491,[1]CODE!$A$4:$A$100,[1]CODE!$D$4:$D$100),"")</f>
        <v/>
      </c>
      <c r="X491" s="5" t="str">
        <f t="array" ref="X491">IF(NOT(AND(ISBLANK(D491),ISBLANK(C491))),_xludf.XLOOKUP(D491,[1]CODE!$A$4:$A$100,[1]CODE!$E$4:$E$100),"")</f>
        <v/>
      </c>
      <c r="Y491" s="5" t="str">
        <f t="shared" si="54"/>
        <v/>
      </c>
      <c r="Z491" s="5" t="str">
        <f t="shared" si="55"/>
        <v/>
      </c>
      <c r="AA491" s="4">
        <f t="shared" si="56"/>
        <v>0</v>
      </c>
      <c r="AC491" s="2"/>
    </row>
    <row r="492" spans="1:29" ht="15.5">
      <c r="A492" s="13" t="str">
        <f>IF(OR(ISBLANK(C492),ISBLANK(D492),ISBLANK(F492),ISBLANK(G492)),"",COUNTIF($B$5:B492,"JAMBUTU"))</f>
        <v/>
      </c>
      <c r="B492" s="8" t="str">
        <f t="shared" si="58"/>
        <v/>
      </c>
      <c r="C492" s="8"/>
      <c r="D492" s="8"/>
      <c r="E492" s="13"/>
      <c r="F492" s="12"/>
      <c r="G492" s="11"/>
      <c r="H492" s="12"/>
      <c r="I492" s="11"/>
      <c r="J492" s="10">
        <f t="shared" si="57"/>
        <v>0</v>
      </c>
      <c r="K492" s="10">
        <f t="shared" si="52"/>
        <v>0</v>
      </c>
      <c r="L492" s="9" t="str">
        <f t="shared" si="53"/>
        <v/>
      </c>
      <c r="M492" s="8"/>
      <c r="N492" s="8"/>
      <c r="O492" s="8"/>
      <c r="P492" s="8"/>
      <c r="Q492" s="8"/>
      <c r="R492" s="8"/>
      <c r="S492" s="8"/>
      <c r="T492" s="8"/>
      <c r="U492" s="8"/>
      <c r="V492" s="7"/>
      <c r="W492" s="6" t="str">
        <f t="array" ref="W492">IF(NOT(ISBLANK(D492)),_xludf.XLOOKUP(D492,[1]CODE!$A$4:$A$100,[1]CODE!$D$4:$D$100),"")</f>
        <v/>
      </c>
      <c r="X492" s="5" t="str">
        <f t="array" ref="X492">IF(NOT(AND(ISBLANK(D492),ISBLANK(C492))),_xludf.XLOOKUP(D492,[1]CODE!$A$4:$A$100,[1]CODE!$E$4:$E$100),"")</f>
        <v/>
      </c>
      <c r="Y492" s="5" t="str">
        <f t="shared" si="54"/>
        <v/>
      </c>
      <c r="Z492" s="5" t="str">
        <f t="shared" si="55"/>
        <v/>
      </c>
      <c r="AA492" s="4">
        <f t="shared" si="56"/>
        <v>0</v>
      </c>
      <c r="AC492" s="2"/>
    </row>
    <row r="493" spans="1:29" ht="15.5">
      <c r="A493" s="13" t="str">
        <f>IF(OR(ISBLANK(C493),ISBLANK(D493),ISBLANK(F493),ISBLANK(G493)),"",COUNTIF($B$5:B493,"JAMBUTU"))</f>
        <v/>
      </c>
      <c r="B493" s="8" t="str">
        <f t="shared" si="58"/>
        <v/>
      </c>
      <c r="C493" s="8"/>
      <c r="D493" s="8"/>
      <c r="E493" s="13"/>
      <c r="F493" s="12"/>
      <c r="G493" s="11"/>
      <c r="H493" s="12"/>
      <c r="I493" s="11"/>
      <c r="J493" s="10">
        <f t="shared" si="57"/>
        <v>0</v>
      </c>
      <c r="K493" s="10">
        <f t="shared" si="52"/>
        <v>0</v>
      </c>
      <c r="L493" s="9" t="str">
        <f t="shared" si="53"/>
        <v/>
      </c>
      <c r="M493" s="8"/>
      <c r="N493" s="8"/>
      <c r="O493" s="8"/>
      <c r="P493" s="8"/>
      <c r="Q493" s="8"/>
      <c r="R493" s="8"/>
      <c r="S493" s="8"/>
      <c r="T493" s="8"/>
      <c r="U493" s="8"/>
      <c r="V493" s="7"/>
      <c r="W493" s="6" t="str">
        <f t="array" ref="W493">IF(NOT(ISBLANK(D493)),_xludf.XLOOKUP(D493,[1]CODE!$A$4:$A$100,[1]CODE!$D$4:$D$100),"")</f>
        <v/>
      </c>
      <c r="X493" s="5" t="str">
        <f t="array" ref="X493">IF(NOT(AND(ISBLANK(D493),ISBLANK(C493))),_xludf.XLOOKUP(D493,[1]CODE!$A$4:$A$100,[1]CODE!$E$4:$E$100),"")</f>
        <v/>
      </c>
      <c r="Y493" s="5" t="str">
        <f t="shared" si="54"/>
        <v/>
      </c>
      <c r="Z493" s="5" t="str">
        <f t="shared" si="55"/>
        <v/>
      </c>
      <c r="AA493" s="4">
        <f t="shared" si="56"/>
        <v>0</v>
      </c>
      <c r="AC493" s="2"/>
    </row>
    <row r="494" spans="1:29" ht="15.5">
      <c r="A494" s="13" t="str">
        <f>IF(OR(ISBLANK(C494),ISBLANK(D494),ISBLANK(F494),ISBLANK(G494)),"",COUNTIF($B$5:B494,"JAMBUTU"))</f>
        <v/>
      </c>
      <c r="B494" s="8" t="str">
        <f t="shared" si="58"/>
        <v/>
      </c>
      <c r="C494" s="8"/>
      <c r="D494" s="8"/>
      <c r="E494" s="13"/>
      <c r="F494" s="12"/>
      <c r="G494" s="11"/>
      <c r="H494" s="12"/>
      <c r="I494" s="11"/>
      <c r="J494" s="10">
        <f t="shared" si="57"/>
        <v>0</v>
      </c>
      <c r="K494" s="10">
        <f t="shared" si="52"/>
        <v>0</v>
      </c>
      <c r="L494" s="9" t="str">
        <f t="shared" si="53"/>
        <v/>
      </c>
      <c r="M494" s="8"/>
      <c r="N494" s="8"/>
      <c r="O494" s="8"/>
      <c r="P494" s="8"/>
      <c r="Q494" s="8"/>
      <c r="R494" s="8"/>
      <c r="S494" s="8"/>
      <c r="T494" s="8"/>
      <c r="U494" s="8"/>
      <c r="V494" s="7"/>
      <c r="W494" s="6" t="str">
        <f t="array" ref="W494">IF(NOT(ISBLANK(D494)),_xludf.XLOOKUP(D494,[1]CODE!$A$4:$A$100,[1]CODE!$D$4:$D$100),"")</f>
        <v/>
      </c>
      <c r="X494" s="5" t="str">
        <f t="array" ref="X494">IF(NOT(AND(ISBLANK(D494),ISBLANK(C494))),_xludf.XLOOKUP(D494,[1]CODE!$A$4:$A$100,[1]CODE!$E$4:$E$100),"")</f>
        <v/>
      </c>
      <c r="Y494" s="5" t="str">
        <f t="shared" si="54"/>
        <v/>
      </c>
      <c r="Z494" s="5" t="str">
        <f t="shared" si="55"/>
        <v/>
      </c>
      <c r="AA494" s="4">
        <f t="shared" si="56"/>
        <v>0</v>
      </c>
      <c r="AC494" s="2"/>
    </row>
    <row r="495" spans="1:29" ht="15.5">
      <c r="A495" s="13" t="str">
        <f>IF(OR(ISBLANK(C495),ISBLANK(D495),ISBLANK(F495),ISBLANK(G495)),"",COUNTIF($B$5:B495,"JAMBUTU"))</f>
        <v/>
      </c>
      <c r="B495" s="8" t="str">
        <f t="shared" si="58"/>
        <v/>
      </c>
      <c r="C495" s="8"/>
      <c r="D495" s="8"/>
      <c r="E495" s="13"/>
      <c r="F495" s="12"/>
      <c r="G495" s="11"/>
      <c r="H495" s="12"/>
      <c r="I495" s="11"/>
      <c r="J495" s="10">
        <f t="shared" si="57"/>
        <v>0</v>
      </c>
      <c r="K495" s="10">
        <f t="shared" si="52"/>
        <v>0</v>
      </c>
      <c r="L495" s="9" t="str">
        <f t="shared" si="53"/>
        <v/>
      </c>
      <c r="M495" s="8"/>
      <c r="N495" s="8"/>
      <c r="O495" s="8"/>
      <c r="P495" s="8"/>
      <c r="Q495" s="8"/>
      <c r="R495" s="8"/>
      <c r="S495" s="8"/>
      <c r="T495" s="8"/>
      <c r="U495" s="8"/>
      <c r="V495" s="7"/>
      <c r="W495" s="6" t="str">
        <f t="array" ref="W495">IF(NOT(ISBLANK(D495)),_xludf.XLOOKUP(D495,[1]CODE!$A$4:$A$100,[1]CODE!$D$4:$D$100),"")</f>
        <v/>
      </c>
      <c r="X495" s="5" t="str">
        <f t="array" ref="X495">IF(NOT(AND(ISBLANK(D495),ISBLANK(C495))),_xludf.XLOOKUP(D495,[1]CODE!$A$4:$A$100,[1]CODE!$E$4:$E$100),"")</f>
        <v/>
      </c>
      <c r="Y495" s="5" t="str">
        <f t="shared" si="54"/>
        <v/>
      </c>
      <c r="Z495" s="5" t="str">
        <f t="shared" si="55"/>
        <v/>
      </c>
      <c r="AA495" s="4">
        <f t="shared" si="56"/>
        <v>0</v>
      </c>
      <c r="AC495" s="2"/>
    </row>
    <row r="496" spans="1:29" ht="15.5">
      <c r="A496" s="13" t="str">
        <f>IF(OR(ISBLANK(C496),ISBLANK(D496),ISBLANK(F496),ISBLANK(G496)),"",COUNTIF($B$5:B496,"JAMBUTU"))</f>
        <v/>
      </c>
      <c r="B496" s="8" t="str">
        <f t="shared" si="58"/>
        <v/>
      </c>
      <c r="C496" s="8"/>
      <c r="D496" s="8"/>
      <c r="E496" s="13"/>
      <c r="F496" s="12"/>
      <c r="G496" s="11"/>
      <c r="H496" s="12"/>
      <c r="I496" s="11"/>
      <c r="J496" s="10">
        <f t="shared" si="57"/>
        <v>0</v>
      </c>
      <c r="K496" s="10">
        <f t="shared" si="52"/>
        <v>0</v>
      </c>
      <c r="L496" s="9" t="str">
        <f t="shared" si="53"/>
        <v/>
      </c>
      <c r="M496" s="8"/>
      <c r="N496" s="8"/>
      <c r="O496" s="8"/>
      <c r="P496" s="8"/>
      <c r="Q496" s="8"/>
      <c r="R496" s="8"/>
      <c r="S496" s="8"/>
      <c r="T496" s="8"/>
      <c r="U496" s="8"/>
      <c r="V496" s="7"/>
      <c r="W496" s="6" t="str">
        <f t="array" ref="W496">IF(NOT(ISBLANK(D496)),_xludf.XLOOKUP(D496,[1]CODE!$A$4:$A$100,[1]CODE!$D$4:$D$100),"")</f>
        <v/>
      </c>
      <c r="X496" s="5" t="str">
        <f t="array" ref="X496">IF(NOT(AND(ISBLANK(D496),ISBLANK(C496))),_xludf.XLOOKUP(D496,[1]CODE!$A$4:$A$100,[1]CODE!$E$4:$E$100),"")</f>
        <v/>
      </c>
      <c r="Y496" s="5" t="str">
        <f t="shared" si="54"/>
        <v/>
      </c>
      <c r="Z496" s="5" t="str">
        <f t="shared" si="55"/>
        <v/>
      </c>
      <c r="AA496" s="4">
        <f t="shared" si="56"/>
        <v>0</v>
      </c>
      <c r="AC496" s="2"/>
    </row>
    <row r="497" spans="1:29" ht="15.5">
      <c r="A497" s="13" t="str">
        <f>IF(OR(ISBLANK(C497),ISBLANK(D497),ISBLANK(F497),ISBLANK(G497)),"",COUNTIF($B$5:B497,"JAMBUTU"))</f>
        <v/>
      </c>
      <c r="B497" s="8" t="str">
        <f t="shared" si="58"/>
        <v/>
      </c>
      <c r="C497" s="8"/>
      <c r="D497" s="8"/>
      <c r="E497" s="13"/>
      <c r="F497" s="12"/>
      <c r="G497" s="11"/>
      <c r="H497" s="12"/>
      <c r="I497" s="11"/>
      <c r="J497" s="10">
        <f t="shared" si="57"/>
        <v>0</v>
      </c>
      <c r="K497" s="10">
        <f t="shared" si="52"/>
        <v>0</v>
      </c>
      <c r="L497" s="9" t="str">
        <f t="shared" si="53"/>
        <v/>
      </c>
      <c r="M497" s="8"/>
      <c r="N497" s="8"/>
      <c r="O497" s="8"/>
      <c r="P497" s="8"/>
      <c r="Q497" s="8"/>
      <c r="R497" s="8"/>
      <c r="S497" s="8"/>
      <c r="T497" s="8"/>
      <c r="U497" s="8"/>
      <c r="V497" s="7"/>
      <c r="W497" s="6" t="str">
        <f t="array" ref="W497">IF(NOT(ISBLANK(D497)),_xludf.XLOOKUP(D497,[1]CODE!$A$4:$A$100,[1]CODE!$D$4:$D$100),"")</f>
        <v/>
      </c>
      <c r="X497" s="5" t="str">
        <f t="array" ref="X497">IF(NOT(AND(ISBLANK(D497),ISBLANK(C497))),_xludf.XLOOKUP(D497,[1]CODE!$A$4:$A$100,[1]CODE!$E$4:$E$100),"")</f>
        <v/>
      </c>
      <c r="Y497" s="5" t="str">
        <f t="shared" si="54"/>
        <v/>
      </c>
      <c r="Z497" s="5" t="str">
        <f t="shared" si="55"/>
        <v/>
      </c>
      <c r="AA497" s="4">
        <f t="shared" si="56"/>
        <v>0</v>
      </c>
      <c r="AC497" s="2"/>
    </row>
    <row r="498" spans="1:29" ht="15.5">
      <c r="A498" s="13" t="str">
        <f>IF(OR(ISBLANK(C498),ISBLANK(D498),ISBLANK(F498),ISBLANK(G498)),"",COUNTIF($B$5:B498,"JAMBUTU"))</f>
        <v/>
      </c>
      <c r="B498" s="8" t="str">
        <f t="shared" si="58"/>
        <v/>
      </c>
      <c r="C498" s="8"/>
      <c r="D498" s="8"/>
      <c r="E498" s="13"/>
      <c r="F498" s="12"/>
      <c r="G498" s="11"/>
      <c r="H498" s="12"/>
      <c r="I498" s="11"/>
      <c r="J498" s="10">
        <f t="shared" si="57"/>
        <v>0</v>
      </c>
      <c r="K498" s="10">
        <f t="shared" si="52"/>
        <v>0</v>
      </c>
      <c r="L498" s="9" t="str">
        <f t="shared" si="53"/>
        <v/>
      </c>
      <c r="M498" s="8"/>
      <c r="N498" s="8"/>
      <c r="O498" s="8"/>
      <c r="P498" s="8"/>
      <c r="Q498" s="8"/>
      <c r="R498" s="8"/>
      <c r="S498" s="8"/>
      <c r="T498" s="8"/>
      <c r="U498" s="8"/>
      <c r="V498" s="7"/>
      <c r="W498" s="6" t="str">
        <f t="array" ref="W498">IF(NOT(ISBLANK(D498)),_xludf.XLOOKUP(D498,[1]CODE!$A$4:$A$100,[1]CODE!$D$4:$D$100),"")</f>
        <v/>
      </c>
      <c r="X498" s="5" t="str">
        <f t="array" ref="X498">IF(NOT(AND(ISBLANK(D498),ISBLANK(C498))),_xludf.XLOOKUP(D498,[1]CODE!$A$4:$A$100,[1]CODE!$E$4:$E$100),"")</f>
        <v/>
      </c>
      <c r="Y498" s="5" t="str">
        <f t="shared" si="54"/>
        <v/>
      </c>
      <c r="Z498" s="5" t="str">
        <f t="shared" si="55"/>
        <v/>
      </c>
      <c r="AA498" s="4">
        <f t="shared" si="56"/>
        <v>0</v>
      </c>
      <c r="AC498" s="2"/>
    </row>
    <row r="499" spans="1:29" ht="15.5">
      <c r="A499" s="13" t="str">
        <f>IF(OR(ISBLANK(C499),ISBLANK(D499),ISBLANK(F499),ISBLANK(G499)),"",COUNTIF($B$5:B499,"JAMBUTU"))</f>
        <v/>
      </c>
      <c r="B499" s="8" t="str">
        <f t="shared" si="58"/>
        <v/>
      </c>
      <c r="C499" s="8"/>
      <c r="D499" s="8"/>
      <c r="E499" s="13"/>
      <c r="F499" s="12"/>
      <c r="G499" s="11"/>
      <c r="H499" s="12"/>
      <c r="I499" s="11"/>
      <c r="J499" s="10">
        <f t="shared" si="57"/>
        <v>0</v>
      </c>
      <c r="K499" s="10">
        <f t="shared" si="52"/>
        <v>0</v>
      </c>
      <c r="L499" s="9" t="str">
        <f t="shared" si="53"/>
        <v/>
      </c>
      <c r="M499" s="8"/>
      <c r="N499" s="8"/>
      <c r="O499" s="8"/>
      <c r="P499" s="8"/>
      <c r="Q499" s="8"/>
      <c r="R499" s="8"/>
      <c r="S499" s="8"/>
      <c r="T499" s="8"/>
      <c r="U499" s="8"/>
      <c r="V499" s="7"/>
      <c r="W499" s="6" t="str">
        <f t="array" ref="W499">IF(NOT(ISBLANK(D499)),_xludf.XLOOKUP(D499,[1]CODE!$A$4:$A$100,[1]CODE!$D$4:$D$100),"")</f>
        <v/>
      </c>
      <c r="X499" s="5" t="str">
        <f t="array" ref="X499">IF(NOT(AND(ISBLANK(D499),ISBLANK(C499))),_xludf.XLOOKUP(D499,[1]CODE!$A$4:$A$100,[1]CODE!$E$4:$E$100),"")</f>
        <v/>
      </c>
      <c r="Y499" s="5" t="str">
        <f t="shared" si="54"/>
        <v/>
      </c>
      <c r="Z499" s="5" t="str">
        <f t="shared" si="55"/>
        <v/>
      </c>
      <c r="AA499" s="4">
        <f t="shared" si="56"/>
        <v>0</v>
      </c>
      <c r="AC499" s="2"/>
    </row>
    <row r="500" spans="1:29" ht="15.5">
      <c r="A500" s="13" t="str">
        <f>IF(OR(ISBLANK(C500),ISBLANK(D500),ISBLANK(F500),ISBLANK(G500)),"",COUNTIF($B$5:B500,"JAMBUTU"))</f>
        <v/>
      </c>
      <c r="B500" s="8" t="str">
        <f t="shared" si="58"/>
        <v/>
      </c>
      <c r="C500" s="8"/>
      <c r="D500" s="8"/>
      <c r="E500" s="13"/>
      <c r="F500" s="12"/>
      <c r="G500" s="11"/>
      <c r="H500" s="12"/>
      <c r="I500" s="11"/>
      <c r="J500" s="10">
        <f t="shared" si="57"/>
        <v>0</v>
      </c>
      <c r="K500" s="10">
        <f t="shared" si="52"/>
        <v>0</v>
      </c>
      <c r="L500" s="9" t="str">
        <f t="shared" si="53"/>
        <v/>
      </c>
      <c r="M500" s="8"/>
      <c r="N500" s="8"/>
      <c r="O500" s="8"/>
      <c r="P500" s="8"/>
      <c r="Q500" s="8"/>
      <c r="R500" s="8"/>
      <c r="S500" s="8"/>
      <c r="T500" s="8"/>
      <c r="U500" s="8"/>
      <c r="V500" s="7"/>
      <c r="W500" s="6" t="str">
        <f t="array" ref="W500">IF(NOT(ISBLANK(D500)),_xludf.XLOOKUP(D500,[1]CODE!$A$4:$A$100,[1]CODE!$D$4:$D$100),"")</f>
        <v/>
      </c>
      <c r="X500" s="5" t="str">
        <f t="array" ref="X500">IF(NOT(AND(ISBLANK(D500),ISBLANK(C500))),_xludf.XLOOKUP(D500,[1]CODE!$A$4:$A$100,[1]CODE!$E$4:$E$100),"")</f>
        <v/>
      </c>
      <c r="Y500" s="5" t="str">
        <f t="shared" si="54"/>
        <v/>
      </c>
      <c r="Z500" s="5" t="str">
        <f t="shared" si="55"/>
        <v/>
      </c>
      <c r="AA500" s="4">
        <f t="shared" si="56"/>
        <v>0</v>
      </c>
      <c r="AC500" s="2"/>
    </row>
    <row r="501" spans="1:29" ht="15.5">
      <c r="A501" s="13" t="str">
        <f>IF(OR(ISBLANK(C501),ISBLANK(D501),ISBLANK(F501),ISBLANK(G501)),"",COUNTIF($B$5:B501,"JAMBUTU"))</f>
        <v/>
      </c>
      <c r="B501" s="8" t="str">
        <f t="shared" si="58"/>
        <v/>
      </c>
      <c r="C501" s="8"/>
      <c r="D501" s="8"/>
      <c r="E501" s="13"/>
      <c r="F501" s="12"/>
      <c r="G501" s="11"/>
      <c r="H501" s="12"/>
      <c r="I501" s="11"/>
      <c r="J501" s="10">
        <f t="shared" si="57"/>
        <v>0</v>
      </c>
      <c r="K501" s="10">
        <f t="shared" si="52"/>
        <v>0</v>
      </c>
      <c r="L501" s="9" t="str">
        <f t="shared" si="53"/>
        <v/>
      </c>
      <c r="M501" s="8"/>
      <c r="N501" s="8"/>
      <c r="O501" s="8"/>
      <c r="P501" s="8"/>
      <c r="Q501" s="8"/>
      <c r="R501" s="8"/>
      <c r="S501" s="8"/>
      <c r="T501" s="8"/>
      <c r="U501" s="8"/>
      <c r="V501" s="7"/>
      <c r="W501" s="6" t="str">
        <f t="array" ref="W501">IF(NOT(ISBLANK(D501)),_xludf.XLOOKUP(D501,[1]CODE!$A$4:$A$100,[1]CODE!$D$4:$D$100),"")</f>
        <v/>
      </c>
      <c r="X501" s="5" t="str">
        <f t="array" ref="X501">IF(NOT(AND(ISBLANK(D501),ISBLANK(C501))),_xludf.XLOOKUP(D501,[1]CODE!$A$4:$A$100,[1]CODE!$E$4:$E$100),"")</f>
        <v/>
      </c>
      <c r="Y501" s="5" t="str">
        <f t="shared" si="54"/>
        <v/>
      </c>
      <c r="Z501" s="5" t="str">
        <f t="shared" si="55"/>
        <v/>
      </c>
      <c r="AA501" s="4">
        <f t="shared" si="56"/>
        <v>0</v>
      </c>
      <c r="AC501" s="2"/>
    </row>
    <row r="502" spans="1:29" ht="15.5">
      <c r="A502" s="13" t="str">
        <f>IF(OR(ISBLANK(C502),ISBLANK(D502),ISBLANK(F502),ISBLANK(G502)),"",COUNTIF($B$5:B502,"JAMBUTU"))</f>
        <v/>
      </c>
      <c r="B502" s="8" t="str">
        <f t="shared" si="58"/>
        <v/>
      </c>
      <c r="C502" s="8"/>
      <c r="D502" s="8"/>
      <c r="E502" s="13"/>
      <c r="F502" s="12"/>
      <c r="G502" s="11"/>
      <c r="H502" s="12"/>
      <c r="I502" s="11"/>
      <c r="J502" s="10">
        <f t="shared" si="57"/>
        <v>0</v>
      </c>
      <c r="K502" s="10">
        <f t="shared" si="52"/>
        <v>0</v>
      </c>
      <c r="L502" s="9" t="str">
        <f t="shared" si="53"/>
        <v/>
      </c>
      <c r="M502" s="8"/>
      <c r="N502" s="8"/>
      <c r="O502" s="8"/>
      <c r="P502" s="8"/>
      <c r="Q502" s="8"/>
      <c r="R502" s="8"/>
      <c r="S502" s="8"/>
      <c r="T502" s="8"/>
      <c r="U502" s="8"/>
      <c r="V502" s="7"/>
      <c r="W502" s="6" t="str">
        <f t="array" ref="W502">IF(NOT(ISBLANK(D502)),_xludf.XLOOKUP(D502,[1]CODE!$A$4:$A$100,[1]CODE!$D$4:$D$100),"")</f>
        <v/>
      </c>
      <c r="X502" s="5" t="str">
        <f t="array" ref="X502">IF(NOT(AND(ISBLANK(D502),ISBLANK(C502))),_xludf.XLOOKUP(D502,[1]CODE!$A$4:$A$100,[1]CODE!$E$4:$E$100),"")</f>
        <v/>
      </c>
      <c r="Y502" s="5" t="str">
        <f t="shared" si="54"/>
        <v/>
      </c>
      <c r="Z502" s="5" t="str">
        <f t="shared" si="55"/>
        <v/>
      </c>
      <c r="AA502" s="4">
        <f t="shared" si="56"/>
        <v>0</v>
      </c>
      <c r="AC502" s="2"/>
    </row>
    <row r="503" spans="1:29" ht="15.5">
      <c r="A503" s="13" t="str">
        <f>IF(OR(ISBLANK(C503),ISBLANK(D503),ISBLANK(F503),ISBLANK(G503)),"",COUNTIF($B$5:B503,"JAMBUTU"))</f>
        <v/>
      </c>
      <c r="B503" s="8" t="str">
        <f t="shared" si="58"/>
        <v/>
      </c>
      <c r="C503" s="8"/>
      <c r="D503" s="8"/>
      <c r="E503" s="13"/>
      <c r="F503" s="12"/>
      <c r="G503" s="11"/>
      <c r="H503" s="12"/>
      <c r="I503" s="11"/>
      <c r="J503" s="10">
        <f t="shared" si="57"/>
        <v>0</v>
      </c>
      <c r="K503" s="10">
        <f t="shared" si="52"/>
        <v>0</v>
      </c>
      <c r="L503" s="9" t="str">
        <f t="shared" si="53"/>
        <v/>
      </c>
      <c r="M503" s="8"/>
      <c r="N503" s="8"/>
      <c r="O503" s="8"/>
      <c r="P503" s="8"/>
      <c r="Q503" s="8"/>
      <c r="R503" s="8"/>
      <c r="S503" s="8"/>
      <c r="T503" s="8"/>
      <c r="U503" s="8"/>
      <c r="V503" s="7"/>
      <c r="W503" s="6" t="str">
        <f t="array" ref="W503">IF(NOT(ISBLANK(D503)),_xludf.XLOOKUP(D503,[1]CODE!$A$4:$A$100,[1]CODE!$D$4:$D$100),"")</f>
        <v/>
      </c>
      <c r="X503" s="5" t="str">
        <f t="array" ref="X503">IF(NOT(AND(ISBLANK(D503),ISBLANK(C503))),_xludf.XLOOKUP(D503,[1]CODE!$A$4:$A$100,[1]CODE!$E$4:$E$100),"")</f>
        <v/>
      </c>
      <c r="Y503" s="5" t="str">
        <f t="shared" si="54"/>
        <v/>
      </c>
      <c r="Z503" s="5" t="str">
        <f t="shared" si="55"/>
        <v/>
      </c>
      <c r="AA503" s="4">
        <f t="shared" si="56"/>
        <v>0</v>
      </c>
      <c r="AC503" s="2"/>
    </row>
    <row r="504" spans="1:29" ht="15.5">
      <c r="A504" s="13" t="str">
        <f>IF(OR(ISBLANK(C504),ISBLANK(D504),ISBLANK(F504),ISBLANK(G504)),"",COUNTIF($B$5:B504,"JAMBUTU"))</f>
        <v/>
      </c>
      <c r="B504" s="8" t="str">
        <f t="shared" si="58"/>
        <v/>
      </c>
      <c r="C504" s="8"/>
      <c r="D504" s="8"/>
      <c r="E504" s="13"/>
      <c r="F504" s="12"/>
      <c r="G504" s="11"/>
      <c r="H504" s="12"/>
      <c r="I504" s="11"/>
      <c r="J504" s="10">
        <f t="shared" si="57"/>
        <v>0</v>
      </c>
      <c r="K504" s="10">
        <f t="shared" si="52"/>
        <v>0</v>
      </c>
      <c r="L504" s="9" t="str">
        <f t="shared" si="53"/>
        <v/>
      </c>
      <c r="M504" s="8"/>
      <c r="N504" s="8"/>
      <c r="O504" s="8"/>
      <c r="P504" s="8"/>
      <c r="Q504" s="8"/>
      <c r="R504" s="8"/>
      <c r="S504" s="8"/>
      <c r="T504" s="8"/>
      <c r="U504" s="8"/>
      <c r="V504" s="7"/>
      <c r="W504" s="6" t="str">
        <f t="array" ref="W504">IF(NOT(ISBLANK(D504)),_xludf.XLOOKUP(D504,[1]CODE!$A$4:$A$100,[1]CODE!$D$4:$D$100),"")</f>
        <v/>
      </c>
      <c r="X504" s="5" t="str">
        <f t="array" ref="X504">IF(NOT(AND(ISBLANK(D504),ISBLANK(C504))),_xludf.XLOOKUP(D504,[1]CODE!$A$4:$A$100,[1]CODE!$E$4:$E$100),"")</f>
        <v/>
      </c>
      <c r="Y504" s="5" t="str">
        <f t="shared" si="54"/>
        <v/>
      </c>
      <c r="Z504" s="5" t="str">
        <f t="shared" si="55"/>
        <v/>
      </c>
      <c r="AA504" s="4">
        <f t="shared" si="56"/>
        <v>0</v>
      </c>
      <c r="AC504" s="2"/>
    </row>
    <row r="505" spans="1:29" ht="15.5">
      <c r="A505" s="13" t="str">
        <f>IF(OR(ISBLANK(C505),ISBLANK(D505),ISBLANK(F505),ISBLANK(G505)),"",COUNTIF($B$5:B505,"JAMBUTU"))</f>
        <v/>
      </c>
      <c r="B505" s="8" t="str">
        <f t="shared" si="58"/>
        <v/>
      </c>
      <c r="C505" s="8"/>
      <c r="D505" s="8"/>
      <c r="E505" s="13"/>
      <c r="F505" s="12"/>
      <c r="G505" s="11"/>
      <c r="H505" s="12"/>
      <c r="I505" s="11"/>
      <c r="J505" s="10">
        <f t="shared" si="57"/>
        <v>0</v>
      </c>
      <c r="K505" s="10">
        <f t="shared" si="52"/>
        <v>0</v>
      </c>
      <c r="L505" s="9" t="str">
        <f t="shared" si="53"/>
        <v/>
      </c>
      <c r="M505" s="8"/>
      <c r="N505" s="8"/>
      <c r="O505" s="8"/>
      <c r="P505" s="8"/>
      <c r="Q505" s="8"/>
      <c r="R505" s="8"/>
      <c r="S505" s="8"/>
      <c r="T505" s="8"/>
      <c r="U505" s="8"/>
      <c r="V505" s="7"/>
      <c r="W505" s="6" t="str">
        <f t="array" ref="W505">IF(NOT(ISBLANK(D505)),_xludf.XLOOKUP(D505,[1]CODE!$A$4:$A$100,[1]CODE!$D$4:$D$100),"")</f>
        <v/>
      </c>
      <c r="X505" s="5" t="str">
        <f t="array" ref="X505">IF(NOT(AND(ISBLANK(D505),ISBLANK(C505))),_xludf.XLOOKUP(D505,[1]CODE!$A$4:$A$100,[1]CODE!$E$4:$E$100),"")</f>
        <v/>
      </c>
      <c r="Y505" s="5" t="str">
        <f t="shared" si="54"/>
        <v/>
      </c>
      <c r="Z505" s="5" t="str">
        <f t="shared" si="55"/>
        <v/>
      </c>
      <c r="AA505" s="4">
        <f t="shared" si="56"/>
        <v>0</v>
      </c>
      <c r="AC505" s="2"/>
    </row>
    <row r="506" spans="1:29" ht="15.5">
      <c r="A506" s="13" t="str">
        <f>IF(OR(ISBLANK(C506),ISBLANK(D506),ISBLANK(F506),ISBLANK(G506)),"",COUNTIF($B$5:B506,"JAMBUTU"))</f>
        <v/>
      </c>
      <c r="B506" s="8" t="str">
        <f t="shared" si="58"/>
        <v/>
      </c>
      <c r="C506" s="8"/>
      <c r="D506" s="8"/>
      <c r="E506" s="13"/>
      <c r="F506" s="12"/>
      <c r="G506" s="11"/>
      <c r="H506" s="12"/>
      <c r="I506" s="11"/>
      <c r="J506" s="10">
        <f t="shared" si="57"/>
        <v>0</v>
      </c>
      <c r="K506" s="10">
        <f t="shared" si="52"/>
        <v>0</v>
      </c>
      <c r="L506" s="9" t="str">
        <f t="shared" si="53"/>
        <v/>
      </c>
      <c r="M506" s="8"/>
      <c r="N506" s="8"/>
      <c r="O506" s="8"/>
      <c r="P506" s="8"/>
      <c r="Q506" s="8"/>
      <c r="R506" s="8"/>
      <c r="S506" s="8"/>
      <c r="T506" s="8"/>
      <c r="U506" s="8"/>
      <c r="V506" s="7"/>
      <c r="W506" s="6" t="str">
        <f t="array" ref="W506">IF(NOT(ISBLANK(D506)),_xludf.XLOOKUP(D506,[1]CODE!$A$4:$A$100,[1]CODE!$D$4:$D$100),"")</f>
        <v/>
      </c>
      <c r="X506" s="5" t="str">
        <f t="array" ref="X506">IF(NOT(AND(ISBLANK(D506),ISBLANK(C506))),_xludf.XLOOKUP(D506,[1]CODE!$A$4:$A$100,[1]CODE!$E$4:$E$100),"")</f>
        <v/>
      </c>
      <c r="Y506" s="5" t="str">
        <f t="shared" si="54"/>
        <v/>
      </c>
      <c r="Z506" s="5" t="str">
        <f t="shared" si="55"/>
        <v/>
      </c>
      <c r="AA506" s="4">
        <f t="shared" si="56"/>
        <v>0</v>
      </c>
      <c r="AC506" s="2"/>
    </row>
    <row r="507" spans="1:29" ht="15.5">
      <c r="A507" s="13" t="str">
        <f>IF(OR(ISBLANK(C507),ISBLANK(D507),ISBLANK(F507),ISBLANK(G507)),"",COUNTIF($B$5:B507,"JAMBUTU"))</f>
        <v/>
      </c>
      <c r="B507" s="8" t="str">
        <f t="shared" si="58"/>
        <v/>
      </c>
      <c r="C507" s="8"/>
      <c r="D507" s="8"/>
      <c r="E507" s="13"/>
      <c r="F507" s="12"/>
      <c r="G507" s="11"/>
      <c r="H507" s="12"/>
      <c r="I507" s="11"/>
      <c r="J507" s="10">
        <f t="shared" si="57"/>
        <v>0</v>
      </c>
      <c r="K507" s="10">
        <f t="shared" si="52"/>
        <v>0</v>
      </c>
      <c r="L507" s="9" t="str">
        <f t="shared" si="53"/>
        <v/>
      </c>
      <c r="M507" s="8"/>
      <c r="N507" s="8"/>
      <c r="O507" s="8"/>
      <c r="P507" s="8"/>
      <c r="Q507" s="8"/>
      <c r="R507" s="8"/>
      <c r="S507" s="8"/>
      <c r="T507" s="8"/>
      <c r="U507" s="8"/>
      <c r="V507" s="7"/>
      <c r="W507" s="6" t="str">
        <f t="array" ref="W507">IF(NOT(ISBLANK(D507)),_xludf.XLOOKUP(D507,[1]CODE!$A$4:$A$100,[1]CODE!$D$4:$D$100),"")</f>
        <v/>
      </c>
      <c r="X507" s="5" t="str">
        <f t="array" ref="X507">IF(NOT(AND(ISBLANK(D507),ISBLANK(C507))),_xludf.XLOOKUP(D507,[1]CODE!$A$4:$A$100,[1]CODE!$E$4:$E$100),"")</f>
        <v/>
      </c>
      <c r="Y507" s="5" t="str">
        <f t="shared" si="54"/>
        <v/>
      </c>
      <c r="Z507" s="5" t="str">
        <f t="shared" si="55"/>
        <v/>
      </c>
      <c r="AA507" s="4">
        <f t="shared" si="56"/>
        <v>0</v>
      </c>
      <c r="AC507" s="2"/>
    </row>
    <row r="508" spans="1:29" ht="15.5">
      <c r="A508" s="13" t="str">
        <f>IF(OR(ISBLANK(C508),ISBLANK(D508),ISBLANK(F508),ISBLANK(G508)),"",COUNTIF($B$5:B508,"JAMBUTU"))</f>
        <v/>
      </c>
      <c r="B508" s="8" t="str">
        <f t="shared" si="58"/>
        <v/>
      </c>
      <c r="C508" s="8"/>
      <c r="D508" s="8"/>
      <c r="E508" s="13"/>
      <c r="F508" s="12"/>
      <c r="G508" s="11"/>
      <c r="H508" s="12"/>
      <c r="I508" s="11"/>
      <c r="J508" s="10">
        <f t="shared" si="57"/>
        <v>0</v>
      </c>
      <c r="K508" s="10">
        <f t="shared" si="52"/>
        <v>0</v>
      </c>
      <c r="L508" s="9" t="str">
        <f t="shared" si="53"/>
        <v/>
      </c>
      <c r="M508" s="8"/>
      <c r="N508" s="8"/>
      <c r="O508" s="8"/>
      <c r="P508" s="8"/>
      <c r="Q508" s="8"/>
      <c r="R508" s="8"/>
      <c r="S508" s="8"/>
      <c r="T508" s="8"/>
      <c r="U508" s="8"/>
      <c r="V508" s="7"/>
      <c r="W508" s="6" t="str">
        <f t="array" ref="W508">IF(NOT(ISBLANK(D508)),_xludf.XLOOKUP(D508,[1]CODE!$A$4:$A$100,[1]CODE!$D$4:$D$100),"")</f>
        <v/>
      </c>
      <c r="X508" s="5" t="str">
        <f t="array" ref="X508">IF(NOT(AND(ISBLANK(D508),ISBLANK(C508))),_xludf.XLOOKUP(D508,[1]CODE!$A$4:$A$100,[1]CODE!$E$4:$E$100),"")</f>
        <v/>
      </c>
      <c r="Y508" s="5" t="str">
        <f t="shared" si="54"/>
        <v/>
      </c>
      <c r="Z508" s="5" t="str">
        <f t="shared" si="55"/>
        <v/>
      </c>
      <c r="AA508" s="4">
        <f t="shared" si="56"/>
        <v>0</v>
      </c>
      <c r="AC508" s="2"/>
    </row>
    <row r="509" spans="1:29" ht="15.5">
      <c r="A509" s="13" t="str">
        <f>IF(OR(ISBLANK(C509),ISBLANK(D509),ISBLANK(F509),ISBLANK(G509)),"",COUNTIF($B$5:B509,"JAMBUTU"))</f>
        <v/>
      </c>
      <c r="B509" s="8" t="str">
        <f t="shared" si="58"/>
        <v/>
      </c>
      <c r="C509" s="8"/>
      <c r="D509" s="8"/>
      <c r="E509" s="13"/>
      <c r="F509" s="12"/>
      <c r="G509" s="11"/>
      <c r="H509" s="12"/>
      <c r="I509" s="11"/>
      <c r="J509" s="10">
        <f t="shared" si="57"/>
        <v>0</v>
      </c>
      <c r="K509" s="10">
        <f t="shared" si="52"/>
        <v>0</v>
      </c>
      <c r="L509" s="9" t="str">
        <f t="shared" si="53"/>
        <v/>
      </c>
      <c r="M509" s="8"/>
      <c r="N509" s="8"/>
      <c r="O509" s="8"/>
      <c r="P509" s="8"/>
      <c r="Q509" s="8"/>
      <c r="R509" s="8"/>
      <c r="S509" s="8"/>
      <c r="T509" s="8"/>
      <c r="U509" s="8"/>
      <c r="V509" s="7"/>
      <c r="W509" s="6" t="str">
        <f t="array" ref="W509">IF(NOT(ISBLANK(D509)),_xludf.XLOOKUP(D509,[1]CODE!$A$4:$A$100,[1]CODE!$D$4:$D$100),"")</f>
        <v/>
      </c>
      <c r="X509" s="5" t="str">
        <f t="array" ref="X509">IF(NOT(AND(ISBLANK(D509),ISBLANK(C509))),_xludf.XLOOKUP(D509,[1]CODE!$A$4:$A$100,[1]CODE!$E$4:$E$100),"")</f>
        <v/>
      </c>
      <c r="Y509" s="5" t="str">
        <f t="shared" si="54"/>
        <v/>
      </c>
      <c r="Z509" s="5" t="str">
        <f t="shared" si="55"/>
        <v/>
      </c>
      <c r="AA509" s="4">
        <f t="shared" si="56"/>
        <v>0</v>
      </c>
      <c r="AC509" s="2"/>
    </row>
    <row r="510" spans="1:29" ht="15.5">
      <c r="A510" s="13" t="str">
        <f>IF(OR(ISBLANK(C510),ISBLANK(D510),ISBLANK(F510),ISBLANK(G510)),"",COUNTIF($B$5:B510,"JAMBUTU"))</f>
        <v/>
      </c>
      <c r="B510" s="8" t="str">
        <f t="shared" si="58"/>
        <v/>
      </c>
      <c r="C510" s="8"/>
      <c r="D510" s="8"/>
      <c r="E510" s="13"/>
      <c r="F510" s="12"/>
      <c r="G510" s="11"/>
      <c r="H510" s="12"/>
      <c r="I510" s="11"/>
      <c r="J510" s="10">
        <f t="shared" si="57"/>
        <v>0</v>
      </c>
      <c r="K510" s="10">
        <f t="shared" si="52"/>
        <v>0</v>
      </c>
      <c r="L510" s="9" t="str">
        <f t="shared" si="53"/>
        <v/>
      </c>
      <c r="M510" s="8"/>
      <c r="N510" s="8"/>
      <c r="O510" s="8"/>
      <c r="P510" s="8"/>
      <c r="Q510" s="8"/>
      <c r="R510" s="8"/>
      <c r="S510" s="8"/>
      <c r="T510" s="8"/>
      <c r="U510" s="8"/>
      <c r="V510" s="7"/>
      <c r="W510" s="6" t="str">
        <f t="array" ref="W510">IF(NOT(ISBLANK(D510)),_xludf.XLOOKUP(D510,[1]CODE!$A$4:$A$100,[1]CODE!$D$4:$D$100),"")</f>
        <v/>
      </c>
      <c r="X510" s="5" t="str">
        <f t="array" ref="X510">IF(NOT(AND(ISBLANK(D510),ISBLANK(C510))),_xludf.XLOOKUP(D510,[1]CODE!$A$4:$A$100,[1]CODE!$E$4:$E$100),"")</f>
        <v/>
      </c>
      <c r="Y510" s="5" t="str">
        <f t="shared" si="54"/>
        <v/>
      </c>
      <c r="Z510" s="5" t="str">
        <f t="shared" si="55"/>
        <v/>
      </c>
      <c r="AA510" s="4">
        <f t="shared" si="56"/>
        <v>0</v>
      </c>
      <c r="AC510" s="2"/>
    </row>
    <row r="511" spans="1:29" ht="15.5">
      <c r="A511" s="13" t="str">
        <f>IF(OR(ISBLANK(C511),ISBLANK(D511),ISBLANK(F511),ISBLANK(G511)),"",COUNTIF($B$5:B511,"JAMBUTU"))</f>
        <v/>
      </c>
      <c r="B511" s="8" t="str">
        <f t="shared" si="58"/>
        <v/>
      </c>
      <c r="C511" s="8"/>
      <c r="D511" s="8"/>
      <c r="E511" s="13"/>
      <c r="F511" s="12"/>
      <c r="G511" s="11"/>
      <c r="H511" s="12"/>
      <c r="I511" s="11"/>
      <c r="J511" s="10">
        <f t="shared" si="57"/>
        <v>0</v>
      </c>
      <c r="K511" s="10">
        <f t="shared" si="52"/>
        <v>0</v>
      </c>
      <c r="L511" s="9" t="str">
        <f t="shared" si="53"/>
        <v/>
      </c>
      <c r="M511" s="8"/>
      <c r="N511" s="8"/>
      <c r="O511" s="8"/>
      <c r="P511" s="8"/>
      <c r="Q511" s="8"/>
      <c r="R511" s="8"/>
      <c r="S511" s="8"/>
      <c r="T511" s="8"/>
      <c r="U511" s="8"/>
      <c r="V511" s="7"/>
      <c r="W511" s="6" t="str">
        <f t="array" ref="W511">IF(NOT(ISBLANK(D511)),_xludf.XLOOKUP(D511,[1]CODE!$A$4:$A$100,[1]CODE!$D$4:$D$100),"")</f>
        <v/>
      </c>
      <c r="X511" s="5" t="str">
        <f t="array" ref="X511">IF(NOT(AND(ISBLANK(D511),ISBLANK(C511))),_xludf.XLOOKUP(D511,[1]CODE!$A$4:$A$100,[1]CODE!$E$4:$E$100),"")</f>
        <v/>
      </c>
      <c r="Y511" s="5" t="str">
        <f t="shared" si="54"/>
        <v/>
      </c>
      <c r="Z511" s="5" t="str">
        <f t="shared" si="55"/>
        <v/>
      </c>
      <c r="AA511" s="4">
        <f t="shared" si="56"/>
        <v>0</v>
      </c>
      <c r="AC511" s="2"/>
    </row>
    <row r="512" spans="1:29" ht="15.5">
      <c r="A512" s="13" t="str">
        <f>IF(OR(ISBLANK(C512),ISBLANK(D512),ISBLANK(F512),ISBLANK(G512)),"",COUNTIF($B$5:B512,"JAMBUTU"))</f>
        <v/>
      </c>
      <c r="B512" s="8" t="str">
        <f t="shared" si="58"/>
        <v/>
      </c>
      <c r="C512" s="8"/>
      <c r="D512" s="8"/>
      <c r="E512" s="13"/>
      <c r="F512" s="12"/>
      <c r="G512" s="11"/>
      <c r="H512" s="12"/>
      <c r="I512" s="11"/>
      <c r="J512" s="10">
        <f t="shared" si="57"/>
        <v>0</v>
      </c>
      <c r="K512" s="10">
        <f t="shared" si="52"/>
        <v>0</v>
      </c>
      <c r="L512" s="9" t="str">
        <f t="shared" si="53"/>
        <v/>
      </c>
      <c r="M512" s="8"/>
      <c r="N512" s="8"/>
      <c r="O512" s="8"/>
      <c r="P512" s="8"/>
      <c r="Q512" s="8"/>
      <c r="R512" s="8"/>
      <c r="S512" s="8"/>
      <c r="T512" s="8"/>
      <c r="U512" s="8"/>
      <c r="V512" s="7"/>
      <c r="W512" s="6" t="str">
        <f t="array" ref="W512">IF(NOT(ISBLANK(D512)),_xludf.XLOOKUP(D512,[1]CODE!$A$4:$A$100,[1]CODE!$D$4:$D$100),"")</f>
        <v/>
      </c>
      <c r="X512" s="5" t="str">
        <f t="array" ref="X512">IF(NOT(AND(ISBLANK(D512),ISBLANK(C512))),_xludf.XLOOKUP(D512,[1]CODE!$A$4:$A$100,[1]CODE!$E$4:$E$100),"")</f>
        <v/>
      </c>
      <c r="Y512" s="5" t="str">
        <f t="shared" si="54"/>
        <v/>
      </c>
      <c r="Z512" s="5" t="str">
        <f t="shared" si="55"/>
        <v/>
      </c>
      <c r="AA512" s="4">
        <f t="shared" si="56"/>
        <v>0</v>
      </c>
      <c r="AC512" s="2"/>
    </row>
    <row r="513" spans="1:29" ht="15.5">
      <c r="A513" s="13" t="str">
        <f>IF(OR(ISBLANK(C513),ISBLANK(D513),ISBLANK(F513),ISBLANK(G513)),"",COUNTIF($B$5:B513,"JAMBUTU"))</f>
        <v/>
      </c>
      <c r="B513" s="8" t="str">
        <f t="shared" si="58"/>
        <v/>
      </c>
      <c r="C513" s="8"/>
      <c r="D513" s="8"/>
      <c r="E513" s="13"/>
      <c r="F513" s="12"/>
      <c r="G513" s="11"/>
      <c r="H513" s="12"/>
      <c r="I513" s="11"/>
      <c r="J513" s="10">
        <f t="shared" si="57"/>
        <v>0</v>
      </c>
      <c r="K513" s="10">
        <f t="shared" si="52"/>
        <v>0</v>
      </c>
      <c r="L513" s="9" t="str">
        <f t="shared" si="53"/>
        <v/>
      </c>
      <c r="M513" s="8"/>
      <c r="N513" s="8"/>
      <c r="O513" s="8"/>
      <c r="P513" s="8"/>
      <c r="Q513" s="8"/>
      <c r="R513" s="8"/>
      <c r="S513" s="8"/>
      <c r="T513" s="8"/>
      <c r="U513" s="8"/>
      <c r="V513" s="7"/>
      <c r="W513" s="6" t="str">
        <f t="array" ref="W513">IF(NOT(ISBLANK(D513)),_xludf.XLOOKUP(D513,[1]CODE!$A$4:$A$100,[1]CODE!$D$4:$D$100),"")</f>
        <v/>
      </c>
      <c r="X513" s="5" t="str">
        <f t="array" ref="X513">IF(NOT(AND(ISBLANK(D513),ISBLANK(C513))),_xludf.XLOOKUP(D513,[1]CODE!$A$4:$A$100,[1]CODE!$E$4:$E$100),"")</f>
        <v/>
      </c>
      <c r="Y513" s="5" t="str">
        <f t="shared" si="54"/>
        <v/>
      </c>
      <c r="Z513" s="5" t="str">
        <f t="shared" si="55"/>
        <v/>
      </c>
      <c r="AA513" s="4">
        <f t="shared" si="56"/>
        <v>0</v>
      </c>
      <c r="AC513" s="2"/>
    </row>
    <row r="514" spans="1:29" ht="15.5">
      <c r="A514" s="13" t="str">
        <f>IF(OR(ISBLANK(C514),ISBLANK(D514),ISBLANK(F514),ISBLANK(G514)),"",COUNTIF($B$5:B514,"JAMBUTU"))</f>
        <v/>
      </c>
      <c r="B514" s="8" t="str">
        <f t="shared" si="58"/>
        <v/>
      </c>
      <c r="C514" s="8"/>
      <c r="D514" s="8"/>
      <c r="E514" s="13"/>
      <c r="F514" s="12"/>
      <c r="G514" s="11"/>
      <c r="H514" s="12"/>
      <c r="I514" s="11"/>
      <c r="J514" s="10">
        <f t="shared" si="57"/>
        <v>0</v>
      </c>
      <c r="K514" s="10">
        <f t="shared" si="52"/>
        <v>0</v>
      </c>
      <c r="L514" s="9" t="str">
        <f t="shared" si="53"/>
        <v/>
      </c>
      <c r="M514" s="8"/>
      <c r="N514" s="8"/>
      <c r="O514" s="8"/>
      <c r="P514" s="8"/>
      <c r="Q514" s="8"/>
      <c r="R514" s="8"/>
      <c r="S514" s="8"/>
      <c r="T514" s="8"/>
      <c r="U514" s="8"/>
      <c r="V514" s="7"/>
      <c r="W514" s="6" t="str">
        <f t="array" ref="W514">IF(NOT(ISBLANK(D514)),_xludf.XLOOKUP(D514,[1]CODE!$A$4:$A$100,[1]CODE!$D$4:$D$100),"")</f>
        <v/>
      </c>
      <c r="X514" s="5" t="str">
        <f t="array" ref="X514">IF(NOT(AND(ISBLANK(D514),ISBLANK(C514))),_xludf.XLOOKUP(D514,[1]CODE!$A$4:$A$100,[1]CODE!$E$4:$E$100),"")</f>
        <v/>
      </c>
      <c r="Y514" s="5" t="str">
        <f t="shared" si="54"/>
        <v/>
      </c>
      <c r="Z514" s="5" t="str">
        <f t="shared" si="55"/>
        <v/>
      </c>
      <c r="AA514" s="4">
        <f t="shared" si="56"/>
        <v>0</v>
      </c>
      <c r="AC514" s="2"/>
    </row>
    <row r="515" spans="1:29" ht="15.5">
      <c r="A515" s="13" t="str">
        <f>IF(OR(ISBLANK(C515),ISBLANK(D515),ISBLANK(F515),ISBLANK(G515)),"",COUNTIF($B$5:B515,"JAMBUTU"))</f>
        <v/>
      </c>
      <c r="B515" s="8" t="str">
        <f t="shared" si="58"/>
        <v/>
      </c>
      <c r="C515" s="8"/>
      <c r="D515" s="8"/>
      <c r="E515" s="13"/>
      <c r="F515" s="12"/>
      <c r="G515" s="11"/>
      <c r="H515" s="12"/>
      <c r="I515" s="11"/>
      <c r="J515" s="10">
        <f t="shared" si="57"/>
        <v>0</v>
      </c>
      <c r="K515" s="10">
        <f t="shared" si="52"/>
        <v>0</v>
      </c>
      <c r="L515" s="9" t="str">
        <f t="shared" si="53"/>
        <v/>
      </c>
      <c r="M515" s="8"/>
      <c r="N515" s="8"/>
      <c r="O515" s="8"/>
      <c r="P515" s="8"/>
      <c r="Q515" s="8"/>
      <c r="R515" s="8"/>
      <c r="S515" s="8"/>
      <c r="T515" s="8"/>
      <c r="U515" s="8"/>
      <c r="V515" s="7"/>
      <c r="W515" s="6" t="str">
        <f t="array" ref="W515">IF(NOT(ISBLANK(D515)),_xludf.XLOOKUP(D515,[1]CODE!$A$4:$A$100,[1]CODE!$D$4:$D$100),"")</f>
        <v/>
      </c>
      <c r="X515" s="5" t="str">
        <f t="array" ref="X515">IF(NOT(AND(ISBLANK(D515),ISBLANK(C515))),_xludf.XLOOKUP(D515,[1]CODE!$A$4:$A$100,[1]CODE!$E$4:$E$100),"")</f>
        <v/>
      </c>
      <c r="Y515" s="5" t="str">
        <f t="shared" si="54"/>
        <v/>
      </c>
      <c r="Z515" s="5" t="str">
        <f t="shared" si="55"/>
        <v/>
      </c>
      <c r="AA515" s="4">
        <f t="shared" si="56"/>
        <v>0</v>
      </c>
      <c r="AC515" s="2"/>
    </row>
    <row r="516" spans="1:29" ht="15.5">
      <c r="A516" s="13" t="str">
        <f>IF(OR(ISBLANK(C516),ISBLANK(D516),ISBLANK(F516),ISBLANK(G516)),"",COUNTIF($B$5:B516,"JAMBUTU"))</f>
        <v/>
      </c>
      <c r="B516" s="8" t="str">
        <f t="shared" si="58"/>
        <v/>
      </c>
      <c r="C516" s="8"/>
      <c r="D516" s="8"/>
      <c r="E516" s="13"/>
      <c r="F516" s="12"/>
      <c r="G516" s="11"/>
      <c r="H516" s="12"/>
      <c r="I516" s="11"/>
      <c r="J516" s="10">
        <f t="shared" si="57"/>
        <v>0</v>
      </c>
      <c r="K516" s="10">
        <f t="shared" si="52"/>
        <v>0</v>
      </c>
      <c r="L516" s="9" t="str">
        <f t="shared" si="53"/>
        <v/>
      </c>
      <c r="M516" s="8"/>
      <c r="N516" s="8"/>
      <c r="O516" s="8"/>
      <c r="P516" s="8"/>
      <c r="Q516" s="8"/>
      <c r="R516" s="8"/>
      <c r="S516" s="8"/>
      <c r="T516" s="8"/>
      <c r="U516" s="8"/>
      <c r="V516" s="7"/>
      <c r="W516" s="6" t="str">
        <f t="array" ref="W516">IF(NOT(ISBLANK(D516)),_xludf.XLOOKUP(D516,[1]CODE!$A$4:$A$100,[1]CODE!$D$4:$D$100),"")</f>
        <v/>
      </c>
      <c r="X516" s="5" t="str">
        <f t="array" ref="X516">IF(NOT(AND(ISBLANK(D516),ISBLANK(C516))),_xludf.XLOOKUP(D516,[1]CODE!$A$4:$A$100,[1]CODE!$E$4:$E$100),"")</f>
        <v/>
      </c>
      <c r="Y516" s="5" t="str">
        <f t="shared" si="54"/>
        <v/>
      </c>
      <c r="Z516" s="5" t="str">
        <f t="shared" si="55"/>
        <v/>
      </c>
      <c r="AA516" s="4">
        <f t="shared" si="56"/>
        <v>0</v>
      </c>
      <c r="AC516" s="2"/>
    </row>
    <row r="517" spans="1:29" ht="15.5">
      <c r="A517" s="13" t="str">
        <f>IF(OR(ISBLANK(C517),ISBLANK(D517),ISBLANK(F517),ISBLANK(G517)),"",COUNTIF($B$5:B517,"JAMBUTU"))</f>
        <v/>
      </c>
      <c r="B517" s="8" t="str">
        <f t="shared" si="58"/>
        <v/>
      </c>
      <c r="C517" s="8"/>
      <c r="D517" s="8"/>
      <c r="E517" s="13"/>
      <c r="F517" s="12"/>
      <c r="G517" s="11"/>
      <c r="H517" s="12"/>
      <c r="I517" s="11"/>
      <c r="J517" s="10">
        <f t="shared" si="57"/>
        <v>0</v>
      </c>
      <c r="K517" s="10">
        <f t="shared" ref="K517:K580" si="59">DATE(YEAR(H517),MONTH(H517),DAY(H517))+TIME(HOUR(I517),MINUTE(I517), SECOND(I517))</f>
        <v>0</v>
      </c>
      <c r="L517" s="9" t="str">
        <f t="shared" ref="L517:L580" si="60">IF(ISBLANK(I517),"",IF(J517&gt;K517,(K517+1)-J517,K517-J517))</f>
        <v/>
      </c>
      <c r="M517" s="8"/>
      <c r="N517" s="8"/>
      <c r="O517" s="8"/>
      <c r="P517" s="8"/>
      <c r="Q517" s="8"/>
      <c r="R517" s="8"/>
      <c r="S517" s="8"/>
      <c r="T517" s="8"/>
      <c r="U517" s="8"/>
      <c r="V517" s="7"/>
      <c r="W517" s="6" t="str">
        <f t="array" ref="W517">IF(NOT(ISBLANK(D517)),_xludf.XLOOKUP(D517,[1]CODE!$A$4:$A$100,[1]CODE!$D$4:$D$100),"")</f>
        <v/>
      </c>
      <c r="X517" s="5" t="str">
        <f t="array" ref="X517">IF(NOT(AND(ISBLANK(D517),ISBLANK(C517))),_xludf.XLOOKUP(D517,[1]CODE!$A$4:$A$100,[1]CODE!$E$4:$E$100),"")</f>
        <v/>
      </c>
      <c r="Y517" s="5" t="str">
        <f t="shared" ref="Y517:Y580" si="61">LEFT(C517,4)</f>
        <v/>
      </c>
      <c r="Z517" s="5" t="str">
        <f t="shared" ref="Z517:Z580" si="62">IF(NOT(ISBLANK(C517)), IF(K517&gt;J517,"YES","NO"),"")</f>
        <v/>
      </c>
      <c r="AA517" s="4">
        <f t="shared" ref="AA517:AA580" si="63">IF(AND(F517=H517,Z517="NO"),1+H517,H517)</f>
        <v>0</v>
      </c>
      <c r="AC517" s="2"/>
    </row>
    <row r="518" spans="1:29" ht="15.5">
      <c r="A518" s="13" t="str">
        <f>IF(OR(ISBLANK(C518),ISBLANK(D518),ISBLANK(F518),ISBLANK(G518)),"",COUNTIF($B$5:B518,"JAMBUTU"))</f>
        <v/>
      </c>
      <c r="B518" s="8" t="str">
        <f t="shared" si="58"/>
        <v/>
      </c>
      <c r="C518" s="8"/>
      <c r="D518" s="8"/>
      <c r="E518" s="13"/>
      <c r="F518" s="12"/>
      <c r="G518" s="11"/>
      <c r="H518" s="12"/>
      <c r="I518" s="11"/>
      <c r="J518" s="10">
        <f t="shared" si="57"/>
        <v>0</v>
      </c>
      <c r="K518" s="10">
        <f t="shared" si="59"/>
        <v>0</v>
      </c>
      <c r="L518" s="9" t="str">
        <f t="shared" si="60"/>
        <v/>
      </c>
      <c r="M518" s="8"/>
      <c r="N518" s="8"/>
      <c r="O518" s="8"/>
      <c r="P518" s="8"/>
      <c r="Q518" s="8"/>
      <c r="R518" s="8"/>
      <c r="S518" s="8"/>
      <c r="T518" s="8"/>
      <c r="U518" s="8"/>
      <c r="V518" s="7"/>
      <c r="W518" s="6" t="str">
        <f t="array" ref="W518">IF(NOT(ISBLANK(D518)),_xludf.XLOOKUP(D518,[1]CODE!$A$4:$A$100,[1]CODE!$D$4:$D$100),"")</f>
        <v/>
      </c>
      <c r="X518" s="5" t="str">
        <f t="array" ref="X518">IF(NOT(AND(ISBLANK(D518),ISBLANK(C518))),_xludf.XLOOKUP(D518,[1]CODE!$A$4:$A$100,[1]CODE!$E$4:$E$100),"")</f>
        <v/>
      </c>
      <c r="Y518" s="5" t="str">
        <f t="shared" si="61"/>
        <v/>
      </c>
      <c r="Z518" s="5" t="str">
        <f t="shared" si="62"/>
        <v/>
      </c>
      <c r="AA518" s="4">
        <f t="shared" si="63"/>
        <v>0</v>
      </c>
      <c r="AC518" s="2"/>
    </row>
    <row r="519" spans="1:29" ht="15.5">
      <c r="A519" s="13" t="str">
        <f>IF(OR(ISBLANK(C519),ISBLANK(D519),ISBLANK(F519),ISBLANK(G519)),"",COUNTIF($B$5:B519,"JAMBUTU"))</f>
        <v/>
      </c>
      <c r="B519" s="8" t="str">
        <f t="shared" si="58"/>
        <v/>
      </c>
      <c r="C519" s="8"/>
      <c r="D519" s="8"/>
      <c r="E519" s="13"/>
      <c r="F519" s="12"/>
      <c r="G519" s="11"/>
      <c r="H519" s="12"/>
      <c r="I519" s="11"/>
      <c r="J519" s="10">
        <f t="shared" si="57"/>
        <v>0</v>
      </c>
      <c r="K519" s="10">
        <f t="shared" si="59"/>
        <v>0</v>
      </c>
      <c r="L519" s="9" t="str">
        <f t="shared" si="60"/>
        <v/>
      </c>
      <c r="M519" s="8"/>
      <c r="N519" s="8"/>
      <c r="O519" s="8"/>
      <c r="P519" s="8"/>
      <c r="Q519" s="8"/>
      <c r="R519" s="8"/>
      <c r="S519" s="8"/>
      <c r="T519" s="8"/>
      <c r="U519" s="8"/>
      <c r="V519" s="7"/>
      <c r="W519" s="6" t="str">
        <f t="array" ref="W519">IF(NOT(ISBLANK(D519)),_xludf.XLOOKUP(D519,[1]CODE!$A$4:$A$100,[1]CODE!$D$4:$D$100),"")</f>
        <v/>
      </c>
      <c r="X519" s="5" t="str">
        <f t="array" ref="X519">IF(NOT(AND(ISBLANK(D519),ISBLANK(C519))),_xludf.XLOOKUP(D519,[1]CODE!$A$4:$A$100,[1]CODE!$E$4:$E$100),"")</f>
        <v/>
      </c>
      <c r="Y519" s="5" t="str">
        <f t="shared" si="61"/>
        <v/>
      </c>
      <c r="Z519" s="5" t="str">
        <f t="shared" si="62"/>
        <v/>
      </c>
      <c r="AA519" s="4">
        <f t="shared" si="63"/>
        <v>0</v>
      </c>
      <c r="AC519" s="2"/>
    </row>
    <row r="520" spans="1:29" ht="15.5">
      <c r="A520" s="13" t="str">
        <f>IF(OR(ISBLANK(C520),ISBLANK(D520),ISBLANK(F520),ISBLANK(G520)),"",COUNTIF($B$5:B520,"JAMBUTU"))</f>
        <v/>
      </c>
      <c r="B520" s="8" t="str">
        <f t="shared" si="58"/>
        <v/>
      </c>
      <c r="C520" s="8"/>
      <c r="D520" s="8"/>
      <c r="E520" s="13"/>
      <c r="F520" s="12"/>
      <c r="G520" s="11"/>
      <c r="H520" s="12"/>
      <c r="I520" s="11"/>
      <c r="J520" s="10">
        <f t="shared" si="57"/>
        <v>0</v>
      </c>
      <c r="K520" s="10">
        <f t="shared" si="59"/>
        <v>0</v>
      </c>
      <c r="L520" s="9" t="str">
        <f t="shared" si="60"/>
        <v/>
      </c>
      <c r="M520" s="8"/>
      <c r="N520" s="8"/>
      <c r="O520" s="8"/>
      <c r="P520" s="8"/>
      <c r="Q520" s="8"/>
      <c r="R520" s="8"/>
      <c r="S520" s="8"/>
      <c r="T520" s="8"/>
      <c r="U520" s="8"/>
      <c r="V520" s="7"/>
      <c r="W520" s="6" t="str">
        <f t="array" ref="W520">IF(NOT(ISBLANK(D520)),_xludf.XLOOKUP(D520,[1]CODE!$A$4:$A$100,[1]CODE!$D$4:$D$100),"")</f>
        <v/>
      </c>
      <c r="X520" s="5" t="str">
        <f t="array" ref="X520">IF(NOT(AND(ISBLANK(D520),ISBLANK(C520))),_xludf.XLOOKUP(D520,[1]CODE!$A$4:$A$100,[1]CODE!$E$4:$E$100),"")</f>
        <v/>
      </c>
      <c r="Y520" s="5" t="str">
        <f t="shared" si="61"/>
        <v/>
      </c>
      <c r="Z520" s="5" t="str">
        <f t="shared" si="62"/>
        <v/>
      </c>
      <c r="AA520" s="4">
        <f t="shared" si="63"/>
        <v>0</v>
      </c>
      <c r="AC520" s="2"/>
    </row>
    <row r="521" spans="1:29" ht="15.5">
      <c r="A521" s="13" t="str">
        <f>IF(OR(ISBLANK(C521),ISBLANK(D521),ISBLANK(F521),ISBLANK(G521)),"",COUNTIF($B$5:B521,"JAMBUTU"))</f>
        <v/>
      </c>
      <c r="B521" s="8" t="str">
        <f t="shared" si="58"/>
        <v/>
      </c>
      <c r="C521" s="8"/>
      <c r="D521" s="8"/>
      <c r="E521" s="13"/>
      <c r="F521" s="12"/>
      <c r="G521" s="11"/>
      <c r="H521" s="12"/>
      <c r="I521" s="11"/>
      <c r="J521" s="10">
        <f t="shared" si="57"/>
        <v>0</v>
      </c>
      <c r="K521" s="10">
        <f t="shared" si="59"/>
        <v>0</v>
      </c>
      <c r="L521" s="9" t="str">
        <f t="shared" si="60"/>
        <v/>
      </c>
      <c r="M521" s="8"/>
      <c r="N521" s="8"/>
      <c r="O521" s="8"/>
      <c r="P521" s="8"/>
      <c r="Q521" s="8"/>
      <c r="R521" s="8"/>
      <c r="S521" s="8"/>
      <c r="T521" s="8"/>
      <c r="U521" s="8"/>
      <c r="V521" s="7"/>
      <c r="W521" s="6" t="str">
        <f t="array" ref="W521">IF(NOT(ISBLANK(D521)),_xludf.XLOOKUP(D521,[1]CODE!$A$4:$A$100,[1]CODE!$D$4:$D$100),"")</f>
        <v/>
      </c>
      <c r="X521" s="5" t="str">
        <f t="array" ref="X521">IF(NOT(AND(ISBLANK(D521),ISBLANK(C521))),_xludf.XLOOKUP(D521,[1]CODE!$A$4:$A$100,[1]CODE!$E$4:$E$100),"")</f>
        <v/>
      </c>
      <c r="Y521" s="5" t="str">
        <f t="shared" si="61"/>
        <v/>
      </c>
      <c r="Z521" s="5" t="str">
        <f t="shared" si="62"/>
        <v/>
      </c>
      <c r="AA521" s="4">
        <f t="shared" si="63"/>
        <v>0</v>
      </c>
      <c r="AC521" s="2"/>
    </row>
    <row r="522" spans="1:29" ht="15.5">
      <c r="A522" s="13" t="str">
        <f>IF(OR(ISBLANK(C522),ISBLANK(D522),ISBLANK(F522),ISBLANK(G522)),"",COUNTIF($B$5:B522,"JAMBUTU"))</f>
        <v/>
      </c>
      <c r="B522" s="8" t="str">
        <f t="shared" si="58"/>
        <v/>
      </c>
      <c r="C522" s="8"/>
      <c r="D522" s="8"/>
      <c r="E522" s="13"/>
      <c r="F522" s="12"/>
      <c r="G522" s="11"/>
      <c r="H522" s="12"/>
      <c r="I522" s="11"/>
      <c r="J522" s="10">
        <f t="shared" si="57"/>
        <v>0</v>
      </c>
      <c r="K522" s="10">
        <f t="shared" si="59"/>
        <v>0</v>
      </c>
      <c r="L522" s="9" t="str">
        <f t="shared" si="60"/>
        <v/>
      </c>
      <c r="M522" s="8"/>
      <c r="N522" s="8"/>
      <c r="O522" s="8"/>
      <c r="P522" s="8"/>
      <c r="Q522" s="8"/>
      <c r="R522" s="8"/>
      <c r="S522" s="8"/>
      <c r="T522" s="8"/>
      <c r="U522" s="8"/>
      <c r="V522" s="7"/>
      <c r="W522" s="6" t="str">
        <f t="array" ref="W522">IF(NOT(ISBLANK(D522)),_xludf.XLOOKUP(D522,[1]CODE!$A$4:$A$100,[1]CODE!$D$4:$D$100),"")</f>
        <v/>
      </c>
      <c r="X522" s="5" t="str">
        <f t="array" ref="X522">IF(NOT(AND(ISBLANK(D522),ISBLANK(C522))),_xludf.XLOOKUP(D522,[1]CODE!$A$4:$A$100,[1]CODE!$E$4:$E$100),"")</f>
        <v/>
      </c>
      <c r="Y522" s="5" t="str">
        <f t="shared" si="61"/>
        <v/>
      </c>
      <c r="Z522" s="5" t="str">
        <f t="shared" si="62"/>
        <v/>
      </c>
      <c r="AA522" s="4">
        <f t="shared" si="63"/>
        <v>0</v>
      </c>
      <c r="AC522" s="2"/>
    </row>
    <row r="523" spans="1:29" ht="15.5">
      <c r="A523" s="13" t="str">
        <f>IF(OR(ISBLANK(C523),ISBLANK(D523),ISBLANK(F523),ISBLANK(G523)),"",COUNTIF($B$5:B523,"JAMBUTU"))</f>
        <v/>
      </c>
      <c r="B523" s="8" t="str">
        <f t="shared" si="58"/>
        <v/>
      </c>
      <c r="C523" s="8"/>
      <c r="D523" s="8"/>
      <c r="E523" s="13"/>
      <c r="F523" s="12"/>
      <c r="G523" s="11"/>
      <c r="H523" s="12"/>
      <c r="I523" s="11"/>
      <c r="J523" s="10">
        <f t="shared" si="57"/>
        <v>0</v>
      </c>
      <c r="K523" s="10">
        <f t="shared" si="59"/>
        <v>0</v>
      </c>
      <c r="L523" s="9" t="str">
        <f t="shared" si="60"/>
        <v/>
      </c>
      <c r="M523" s="8"/>
      <c r="N523" s="8"/>
      <c r="O523" s="8"/>
      <c r="P523" s="8"/>
      <c r="Q523" s="8"/>
      <c r="R523" s="8"/>
      <c r="S523" s="8"/>
      <c r="T523" s="8"/>
      <c r="U523" s="8"/>
      <c r="V523" s="7"/>
      <c r="W523" s="6" t="str">
        <f t="array" ref="W523">IF(NOT(ISBLANK(D523)),_xludf.XLOOKUP(D523,[1]CODE!$A$4:$A$100,[1]CODE!$D$4:$D$100),"")</f>
        <v/>
      </c>
      <c r="X523" s="5" t="str">
        <f t="array" ref="X523">IF(NOT(AND(ISBLANK(D523),ISBLANK(C523))),_xludf.XLOOKUP(D523,[1]CODE!$A$4:$A$100,[1]CODE!$E$4:$E$100),"")</f>
        <v/>
      </c>
      <c r="Y523" s="5" t="str">
        <f t="shared" si="61"/>
        <v/>
      </c>
      <c r="Z523" s="5" t="str">
        <f t="shared" si="62"/>
        <v/>
      </c>
      <c r="AA523" s="4">
        <f t="shared" si="63"/>
        <v>0</v>
      </c>
      <c r="AC523" s="2"/>
    </row>
    <row r="524" spans="1:29" ht="15.5">
      <c r="A524" s="13" t="str">
        <f>IF(OR(ISBLANK(C524),ISBLANK(D524),ISBLANK(F524),ISBLANK(G524)),"",COUNTIF($B$5:B524,"JAMBUTU"))</f>
        <v/>
      </c>
      <c r="B524" s="8" t="str">
        <f t="shared" si="58"/>
        <v/>
      </c>
      <c r="C524" s="8"/>
      <c r="D524" s="8"/>
      <c r="E524" s="13"/>
      <c r="F524" s="12"/>
      <c r="G524" s="11"/>
      <c r="H524" s="12"/>
      <c r="I524" s="11"/>
      <c r="J524" s="10">
        <f t="shared" si="57"/>
        <v>0</v>
      </c>
      <c r="K524" s="10">
        <f t="shared" si="59"/>
        <v>0</v>
      </c>
      <c r="L524" s="9" t="str">
        <f t="shared" si="60"/>
        <v/>
      </c>
      <c r="M524" s="8"/>
      <c r="N524" s="8"/>
      <c r="O524" s="8"/>
      <c r="P524" s="8"/>
      <c r="Q524" s="8"/>
      <c r="R524" s="8"/>
      <c r="S524" s="8"/>
      <c r="T524" s="8"/>
      <c r="U524" s="8"/>
      <c r="V524" s="7"/>
      <c r="W524" s="6" t="str">
        <f t="array" ref="W524">IF(NOT(ISBLANK(D524)),_xludf.XLOOKUP(D524,[1]CODE!$A$4:$A$100,[1]CODE!$D$4:$D$100),"")</f>
        <v/>
      </c>
      <c r="X524" s="5" t="str">
        <f t="array" ref="X524">IF(NOT(AND(ISBLANK(D524),ISBLANK(C524))),_xludf.XLOOKUP(D524,[1]CODE!$A$4:$A$100,[1]CODE!$E$4:$E$100),"")</f>
        <v/>
      </c>
      <c r="Y524" s="5" t="str">
        <f t="shared" si="61"/>
        <v/>
      </c>
      <c r="Z524" s="5" t="str">
        <f t="shared" si="62"/>
        <v/>
      </c>
      <c r="AA524" s="4">
        <f t="shared" si="63"/>
        <v>0</v>
      </c>
      <c r="AC524" s="2"/>
    </row>
    <row r="525" spans="1:29" ht="15.5">
      <c r="A525" s="13" t="str">
        <f>IF(OR(ISBLANK(C525),ISBLANK(D525),ISBLANK(F525),ISBLANK(G525)),"",COUNTIF($B$5:B525,"JAMBUTU"))</f>
        <v/>
      </c>
      <c r="B525" s="8" t="str">
        <f t="shared" si="58"/>
        <v/>
      </c>
      <c r="C525" s="8"/>
      <c r="D525" s="8"/>
      <c r="E525" s="13"/>
      <c r="F525" s="12"/>
      <c r="G525" s="11"/>
      <c r="H525" s="12"/>
      <c r="I525" s="11"/>
      <c r="J525" s="10">
        <f t="shared" si="57"/>
        <v>0</v>
      </c>
      <c r="K525" s="10">
        <f t="shared" si="59"/>
        <v>0</v>
      </c>
      <c r="L525" s="9" t="str">
        <f t="shared" si="60"/>
        <v/>
      </c>
      <c r="M525" s="8"/>
      <c r="N525" s="8"/>
      <c r="O525" s="8"/>
      <c r="P525" s="8"/>
      <c r="Q525" s="8"/>
      <c r="R525" s="8"/>
      <c r="S525" s="8"/>
      <c r="T525" s="8"/>
      <c r="U525" s="8"/>
      <c r="V525" s="7"/>
      <c r="W525" s="6" t="str">
        <f t="array" ref="W525">IF(NOT(ISBLANK(D525)),_xludf.XLOOKUP(D525,[1]CODE!$A$4:$A$100,[1]CODE!$D$4:$D$100),"")</f>
        <v/>
      </c>
      <c r="X525" s="5" t="str">
        <f t="array" ref="X525">IF(NOT(AND(ISBLANK(D525),ISBLANK(C525))),_xludf.XLOOKUP(D525,[1]CODE!$A$4:$A$100,[1]CODE!$E$4:$E$100),"")</f>
        <v/>
      </c>
      <c r="Y525" s="5" t="str">
        <f t="shared" si="61"/>
        <v/>
      </c>
      <c r="Z525" s="5" t="str">
        <f t="shared" si="62"/>
        <v/>
      </c>
      <c r="AA525" s="4">
        <f t="shared" si="63"/>
        <v>0</v>
      </c>
      <c r="AC525" s="2"/>
    </row>
    <row r="526" spans="1:29" ht="15.5">
      <c r="A526" s="13" t="str">
        <f>IF(OR(ISBLANK(C526),ISBLANK(D526),ISBLANK(F526),ISBLANK(G526)),"",COUNTIF($B$5:B526,"JAMBUTU"))</f>
        <v/>
      </c>
      <c r="B526" s="8" t="str">
        <f t="shared" si="58"/>
        <v/>
      </c>
      <c r="C526" s="8"/>
      <c r="D526" s="8"/>
      <c r="E526" s="13"/>
      <c r="F526" s="12"/>
      <c r="G526" s="11"/>
      <c r="H526" s="12"/>
      <c r="I526" s="15"/>
      <c r="J526" s="10">
        <f t="shared" si="57"/>
        <v>0</v>
      </c>
      <c r="K526" s="10">
        <f t="shared" si="59"/>
        <v>0</v>
      </c>
      <c r="L526" s="9" t="str">
        <f t="shared" si="60"/>
        <v/>
      </c>
      <c r="M526" s="8"/>
      <c r="N526" s="8"/>
      <c r="O526" s="8"/>
      <c r="P526" s="8"/>
      <c r="Q526" s="8"/>
      <c r="R526" s="8"/>
      <c r="S526" s="8"/>
      <c r="T526" s="8"/>
      <c r="U526" s="8"/>
      <c r="V526" s="7"/>
      <c r="W526" s="6" t="str">
        <f t="array" ref="W526">IF(NOT(ISBLANK(D526)),_xludf.XLOOKUP(D526,[1]CODE!$A$4:$A$100,[1]CODE!$D$4:$D$100),"")</f>
        <v/>
      </c>
      <c r="X526" s="5" t="str">
        <f t="array" ref="X526">IF(NOT(AND(ISBLANK(D526),ISBLANK(C526))),_xludf.XLOOKUP(D526,[1]CODE!$A$4:$A$100,[1]CODE!$E$4:$E$100),"")</f>
        <v/>
      </c>
      <c r="Y526" s="5" t="str">
        <f t="shared" si="61"/>
        <v/>
      </c>
      <c r="Z526" s="5" t="str">
        <f t="shared" si="62"/>
        <v/>
      </c>
      <c r="AA526" s="4">
        <f t="shared" si="63"/>
        <v>0</v>
      </c>
      <c r="AC526" s="2"/>
    </row>
    <row r="527" spans="1:29" ht="15.5">
      <c r="A527" s="13" t="str">
        <f>IF(OR(ISBLANK(C527),ISBLANK(D527),ISBLANK(F527),ISBLANK(G527)),"",COUNTIF($B$5:B527,"JAMBUTU"))</f>
        <v/>
      </c>
      <c r="B527" s="8" t="str">
        <f t="shared" si="58"/>
        <v/>
      </c>
      <c r="C527" s="8"/>
      <c r="D527" s="8"/>
      <c r="E527" s="13"/>
      <c r="F527" s="12"/>
      <c r="G527" s="11"/>
      <c r="H527" s="12"/>
      <c r="I527" s="15"/>
      <c r="J527" s="10">
        <f t="shared" si="57"/>
        <v>0</v>
      </c>
      <c r="K527" s="10">
        <f t="shared" si="59"/>
        <v>0</v>
      </c>
      <c r="L527" s="9" t="str">
        <f t="shared" si="60"/>
        <v/>
      </c>
      <c r="M527" s="8"/>
      <c r="N527" s="8"/>
      <c r="O527" s="8"/>
      <c r="P527" s="8"/>
      <c r="Q527" s="8"/>
      <c r="R527" s="8"/>
      <c r="S527" s="8"/>
      <c r="T527" s="8"/>
      <c r="U527" s="8"/>
      <c r="V527" s="7"/>
      <c r="W527" s="6" t="str">
        <f t="array" ref="W527">IF(NOT(ISBLANK(D527)),_xludf.XLOOKUP(D527,[1]CODE!$A$4:$A$100,[1]CODE!$D$4:$D$100),"")</f>
        <v/>
      </c>
      <c r="X527" s="5" t="str">
        <f t="array" ref="X527">IF(NOT(AND(ISBLANK(D527),ISBLANK(C527))),_xludf.XLOOKUP(D527,[1]CODE!$A$4:$A$100,[1]CODE!$E$4:$E$100),"")</f>
        <v/>
      </c>
      <c r="Y527" s="5" t="str">
        <f t="shared" si="61"/>
        <v/>
      </c>
      <c r="Z527" s="5" t="str">
        <f t="shared" si="62"/>
        <v/>
      </c>
      <c r="AA527" s="4">
        <f t="shared" si="63"/>
        <v>0</v>
      </c>
      <c r="AC527" s="2"/>
    </row>
    <row r="528" spans="1:29" ht="15.5">
      <c r="A528" s="13" t="str">
        <f>IF(OR(ISBLANK(C528),ISBLANK(D528),ISBLANK(F528),ISBLANK(G528)),"",COUNTIF($B$5:B528,"JAMBUTU"))</f>
        <v/>
      </c>
      <c r="B528" s="8" t="str">
        <f t="shared" si="58"/>
        <v/>
      </c>
      <c r="C528" s="8"/>
      <c r="D528" s="8"/>
      <c r="E528" s="13"/>
      <c r="F528" s="12"/>
      <c r="G528" s="11"/>
      <c r="H528" s="12"/>
      <c r="I528" s="15"/>
      <c r="J528" s="10">
        <f t="shared" si="57"/>
        <v>0</v>
      </c>
      <c r="K528" s="10">
        <f t="shared" si="59"/>
        <v>0</v>
      </c>
      <c r="L528" s="9" t="str">
        <f t="shared" si="60"/>
        <v/>
      </c>
      <c r="M528" s="8"/>
      <c r="N528" s="8"/>
      <c r="O528" s="8"/>
      <c r="P528" s="8"/>
      <c r="Q528" s="8"/>
      <c r="R528" s="8"/>
      <c r="S528" s="8"/>
      <c r="T528" s="8"/>
      <c r="U528" s="8"/>
      <c r="V528" s="7"/>
      <c r="W528" s="6" t="str">
        <f t="array" ref="W528">IF(NOT(ISBLANK(D528)),_xludf.XLOOKUP(D528,[1]CODE!$A$4:$A$100,[1]CODE!$D$4:$D$100),"")</f>
        <v/>
      </c>
      <c r="X528" s="5" t="str">
        <f t="array" ref="X528">IF(NOT(AND(ISBLANK(D528),ISBLANK(C528))),_xludf.XLOOKUP(D528,[1]CODE!$A$4:$A$100,[1]CODE!$E$4:$E$100),"")</f>
        <v/>
      </c>
      <c r="Y528" s="5" t="str">
        <f t="shared" si="61"/>
        <v/>
      </c>
      <c r="Z528" s="5" t="str">
        <f t="shared" si="62"/>
        <v/>
      </c>
      <c r="AA528" s="4">
        <f t="shared" si="63"/>
        <v>0</v>
      </c>
      <c r="AC528" s="2"/>
    </row>
    <row r="529" spans="1:29" ht="15.5">
      <c r="A529" s="13" t="str">
        <f>IF(OR(ISBLANK(C529),ISBLANK(D529),ISBLANK(F529),ISBLANK(G529)),"",COUNTIF($B$5:B529,"JAMBUTU"))</f>
        <v/>
      </c>
      <c r="B529" s="8" t="str">
        <f t="shared" si="58"/>
        <v/>
      </c>
      <c r="C529" s="8"/>
      <c r="D529" s="8"/>
      <c r="E529" s="13"/>
      <c r="F529" s="12"/>
      <c r="G529" s="11"/>
      <c r="H529" s="12"/>
      <c r="I529" s="15"/>
      <c r="J529" s="10">
        <f t="shared" si="57"/>
        <v>0</v>
      </c>
      <c r="K529" s="10">
        <f t="shared" si="59"/>
        <v>0</v>
      </c>
      <c r="L529" s="9" t="str">
        <f t="shared" si="60"/>
        <v/>
      </c>
      <c r="M529" s="8"/>
      <c r="N529" s="8"/>
      <c r="O529" s="8"/>
      <c r="P529" s="8"/>
      <c r="Q529" s="8"/>
      <c r="R529" s="8"/>
      <c r="S529" s="8"/>
      <c r="T529" s="8"/>
      <c r="U529" s="8"/>
      <c r="V529" s="7"/>
      <c r="W529" s="6" t="str">
        <f t="array" ref="W529">IF(NOT(ISBLANK(D529)),_xludf.XLOOKUP(D529,[1]CODE!$A$4:$A$100,[1]CODE!$D$4:$D$100),"")</f>
        <v/>
      </c>
      <c r="X529" s="5" t="str">
        <f t="array" ref="X529">IF(NOT(AND(ISBLANK(D529),ISBLANK(C529))),_xludf.XLOOKUP(D529,[1]CODE!$A$4:$A$100,[1]CODE!$E$4:$E$100),"")</f>
        <v/>
      </c>
      <c r="Y529" s="5" t="str">
        <f t="shared" si="61"/>
        <v/>
      </c>
      <c r="Z529" s="5" t="str">
        <f t="shared" si="62"/>
        <v/>
      </c>
      <c r="AA529" s="4">
        <f t="shared" si="63"/>
        <v>0</v>
      </c>
      <c r="AC529" s="2"/>
    </row>
    <row r="530" spans="1:29" ht="15.5">
      <c r="A530" s="13" t="str">
        <f>IF(OR(ISBLANK(C530),ISBLANK(D530),ISBLANK(F530),ISBLANK(G530)),"",COUNTIF($B$5:B530,"JAMBUTU"))</f>
        <v/>
      </c>
      <c r="B530" s="8" t="str">
        <f t="shared" si="58"/>
        <v/>
      </c>
      <c r="C530" s="8"/>
      <c r="D530" s="8"/>
      <c r="E530" s="13"/>
      <c r="F530" s="12"/>
      <c r="G530" s="15"/>
      <c r="H530" s="12"/>
      <c r="I530" s="11"/>
      <c r="J530" s="10">
        <f t="shared" si="57"/>
        <v>0</v>
      </c>
      <c r="K530" s="10">
        <f t="shared" si="59"/>
        <v>0</v>
      </c>
      <c r="L530" s="9" t="str">
        <f t="shared" si="60"/>
        <v/>
      </c>
      <c r="M530" s="8"/>
      <c r="N530" s="8"/>
      <c r="O530" s="8"/>
      <c r="P530" s="8"/>
      <c r="Q530" s="8"/>
      <c r="R530" s="8"/>
      <c r="S530" s="8"/>
      <c r="T530" s="8"/>
      <c r="U530" s="8"/>
      <c r="V530" s="7"/>
      <c r="W530" s="6" t="str">
        <f t="array" ref="W530">IF(NOT(ISBLANK(D530)),_xludf.XLOOKUP(D530,[1]CODE!$A$4:$A$100,[1]CODE!$D$4:$D$100),"")</f>
        <v/>
      </c>
      <c r="X530" s="5" t="str">
        <f t="array" ref="X530">IF(NOT(AND(ISBLANK(D530),ISBLANK(C530))),_xludf.XLOOKUP(D530,[1]CODE!$A$4:$A$100,[1]CODE!$E$4:$E$100),"")</f>
        <v/>
      </c>
      <c r="Y530" s="5" t="str">
        <f t="shared" si="61"/>
        <v/>
      </c>
      <c r="Z530" s="5" t="str">
        <f t="shared" si="62"/>
        <v/>
      </c>
      <c r="AA530" s="4">
        <f t="shared" si="63"/>
        <v>0</v>
      </c>
      <c r="AC530" s="2"/>
    </row>
    <row r="531" spans="1:29" ht="15.5">
      <c r="A531" s="13" t="str">
        <f>IF(OR(ISBLANK(C531),ISBLANK(D531),ISBLANK(F531),ISBLANK(G531)),"",COUNTIF($B$5:B531,"JAMBUTU"))</f>
        <v/>
      </c>
      <c r="B531" s="8" t="str">
        <f t="shared" si="58"/>
        <v/>
      </c>
      <c r="C531" s="8"/>
      <c r="D531" s="8"/>
      <c r="E531" s="13"/>
      <c r="F531" s="12"/>
      <c r="G531" s="15"/>
      <c r="H531" s="12"/>
      <c r="I531" s="11"/>
      <c r="J531" s="10">
        <f t="shared" si="57"/>
        <v>0</v>
      </c>
      <c r="K531" s="10">
        <f t="shared" si="59"/>
        <v>0</v>
      </c>
      <c r="L531" s="9" t="str">
        <f t="shared" si="60"/>
        <v/>
      </c>
      <c r="M531" s="8"/>
      <c r="N531" s="8"/>
      <c r="O531" s="8"/>
      <c r="P531" s="8"/>
      <c r="Q531" s="8"/>
      <c r="R531" s="8"/>
      <c r="S531" s="8"/>
      <c r="T531" s="8"/>
      <c r="U531" s="8"/>
      <c r="V531" s="7"/>
      <c r="W531" s="6" t="str">
        <f t="array" ref="W531">IF(NOT(ISBLANK(D531)),_xludf.XLOOKUP(D531,[1]CODE!$A$4:$A$100,[1]CODE!$D$4:$D$100),"")</f>
        <v/>
      </c>
      <c r="X531" s="5" t="str">
        <f t="array" ref="X531">IF(NOT(AND(ISBLANK(D531),ISBLANK(C531))),_xludf.XLOOKUP(D531,[1]CODE!$A$4:$A$100,[1]CODE!$E$4:$E$100),"")</f>
        <v/>
      </c>
      <c r="Y531" s="5" t="str">
        <f t="shared" si="61"/>
        <v/>
      </c>
      <c r="Z531" s="5" t="str">
        <f t="shared" si="62"/>
        <v/>
      </c>
      <c r="AA531" s="4">
        <f t="shared" si="63"/>
        <v>0</v>
      </c>
      <c r="AC531" s="2"/>
    </row>
    <row r="532" spans="1:29" ht="15.5">
      <c r="A532" s="13" t="str">
        <f>IF(OR(ISBLANK(C532),ISBLANK(D532),ISBLANK(F532),ISBLANK(G532)),"",COUNTIF($B$5:B532,"JAMBUTU"))</f>
        <v/>
      </c>
      <c r="B532" s="8" t="str">
        <f t="shared" si="58"/>
        <v/>
      </c>
      <c r="C532" s="8"/>
      <c r="D532" s="8"/>
      <c r="E532" s="13"/>
      <c r="F532" s="12"/>
      <c r="G532" s="15"/>
      <c r="H532" s="12"/>
      <c r="I532" s="15"/>
      <c r="J532" s="10">
        <f t="shared" si="57"/>
        <v>0</v>
      </c>
      <c r="K532" s="10">
        <f t="shared" si="59"/>
        <v>0</v>
      </c>
      <c r="L532" s="9" t="str">
        <f t="shared" si="60"/>
        <v/>
      </c>
      <c r="M532" s="8"/>
      <c r="N532" s="8"/>
      <c r="O532" s="8"/>
      <c r="P532" s="8"/>
      <c r="Q532" s="8"/>
      <c r="R532" s="8"/>
      <c r="S532" s="8"/>
      <c r="T532" s="8"/>
      <c r="U532" s="8"/>
      <c r="V532" s="7"/>
      <c r="W532" s="6" t="str">
        <f t="array" ref="W532">IF(NOT(ISBLANK(D532)),_xludf.XLOOKUP(D532,[1]CODE!$A$4:$A$100,[1]CODE!$D$4:$D$100),"")</f>
        <v/>
      </c>
      <c r="X532" s="5" t="str">
        <f t="array" ref="X532">IF(NOT(AND(ISBLANK(D532),ISBLANK(C532))),_xludf.XLOOKUP(D532,[1]CODE!$A$4:$A$100,[1]CODE!$E$4:$E$100),"")</f>
        <v/>
      </c>
      <c r="Y532" s="5" t="str">
        <f t="shared" si="61"/>
        <v/>
      </c>
      <c r="Z532" s="5" t="str">
        <f t="shared" si="62"/>
        <v/>
      </c>
      <c r="AA532" s="4">
        <f t="shared" si="63"/>
        <v>0</v>
      </c>
      <c r="AC532" s="2"/>
    </row>
    <row r="533" spans="1:29" ht="15.5">
      <c r="A533" s="13" t="str">
        <f>IF(OR(ISBLANK(C533),ISBLANK(D533),ISBLANK(F533),ISBLANK(G533)),"",COUNTIF($B$5:B533,"JAMBUTU"))</f>
        <v/>
      </c>
      <c r="B533" s="8" t="str">
        <f t="shared" si="58"/>
        <v/>
      </c>
      <c r="C533" s="8"/>
      <c r="D533" s="8"/>
      <c r="E533" s="13"/>
      <c r="F533" s="12"/>
      <c r="G533" s="11"/>
      <c r="H533" s="12"/>
      <c r="I533" s="15"/>
      <c r="J533" s="10">
        <f t="shared" si="57"/>
        <v>0</v>
      </c>
      <c r="K533" s="10">
        <f t="shared" si="59"/>
        <v>0</v>
      </c>
      <c r="L533" s="9" t="str">
        <f t="shared" si="60"/>
        <v/>
      </c>
      <c r="M533" s="8"/>
      <c r="N533" s="8"/>
      <c r="O533" s="8"/>
      <c r="P533" s="8"/>
      <c r="Q533" s="8"/>
      <c r="R533" s="8"/>
      <c r="S533" s="8"/>
      <c r="T533" s="8"/>
      <c r="U533" s="8"/>
      <c r="V533" s="7"/>
      <c r="W533" s="6" t="str">
        <f t="array" ref="W533">IF(NOT(ISBLANK(D533)),_xludf.XLOOKUP(D533,[1]CODE!$A$4:$A$100,[1]CODE!$D$4:$D$100),"")</f>
        <v/>
      </c>
      <c r="X533" s="5" t="str">
        <f t="array" ref="X533">IF(NOT(AND(ISBLANK(D533),ISBLANK(C533))),_xludf.XLOOKUP(D533,[1]CODE!$A$4:$A$100,[1]CODE!$E$4:$E$100),"")</f>
        <v/>
      </c>
      <c r="Y533" s="5" t="str">
        <f t="shared" si="61"/>
        <v/>
      </c>
      <c r="Z533" s="5" t="str">
        <f t="shared" si="62"/>
        <v/>
      </c>
      <c r="AA533" s="4">
        <f t="shared" si="63"/>
        <v>0</v>
      </c>
      <c r="AC533" s="2"/>
    </row>
    <row r="534" spans="1:29" ht="15.5">
      <c r="A534" s="13" t="str">
        <f>IF(OR(ISBLANK(C534),ISBLANK(D534),ISBLANK(F534),ISBLANK(G534)),"",COUNTIF($B$5:B534,"JAMBUTU"))</f>
        <v/>
      </c>
      <c r="B534" s="8" t="str">
        <f t="shared" si="58"/>
        <v/>
      </c>
      <c r="C534" s="8"/>
      <c r="D534" s="8"/>
      <c r="E534" s="13"/>
      <c r="F534" s="12"/>
      <c r="G534" s="11"/>
      <c r="H534" s="12"/>
      <c r="I534" s="15"/>
      <c r="J534" s="10">
        <f t="shared" si="57"/>
        <v>0</v>
      </c>
      <c r="K534" s="10">
        <f t="shared" si="59"/>
        <v>0</v>
      </c>
      <c r="L534" s="9" t="str">
        <f t="shared" si="60"/>
        <v/>
      </c>
      <c r="M534" s="8"/>
      <c r="N534" s="8"/>
      <c r="O534" s="8"/>
      <c r="P534" s="8"/>
      <c r="Q534" s="8"/>
      <c r="R534" s="8"/>
      <c r="S534" s="8"/>
      <c r="T534" s="8"/>
      <c r="U534" s="8"/>
      <c r="V534" s="7"/>
      <c r="W534" s="6" t="str">
        <f t="array" ref="W534">IF(NOT(ISBLANK(D534)),_xludf.XLOOKUP(D534,[1]CODE!$A$4:$A$100,[1]CODE!$D$4:$D$100),"")</f>
        <v/>
      </c>
      <c r="X534" s="5" t="str">
        <f t="array" ref="X534">IF(NOT(AND(ISBLANK(D534),ISBLANK(C534))),_xludf.XLOOKUP(D534,[1]CODE!$A$4:$A$100,[1]CODE!$E$4:$E$100),"")</f>
        <v/>
      </c>
      <c r="Y534" s="5" t="str">
        <f t="shared" si="61"/>
        <v/>
      </c>
      <c r="Z534" s="5" t="str">
        <f t="shared" si="62"/>
        <v/>
      </c>
      <c r="AA534" s="4">
        <f t="shared" si="63"/>
        <v>0</v>
      </c>
      <c r="AC534" s="2"/>
    </row>
    <row r="535" spans="1:29" ht="15.5">
      <c r="A535" s="13" t="str">
        <f>IF(OR(ISBLANK(C535),ISBLANK(D535),ISBLANK(F535),ISBLANK(G535)),"",COUNTIF($B$5:B535,"JAMBUTU"))</f>
        <v/>
      </c>
      <c r="B535" s="8" t="str">
        <f t="shared" si="58"/>
        <v/>
      </c>
      <c r="C535" s="8"/>
      <c r="D535" s="8"/>
      <c r="E535" s="13"/>
      <c r="F535" s="12"/>
      <c r="G535" s="11"/>
      <c r="H535" s="12"/>
      <c r="I535" s="11"/>
      <c r="J535" s="10">
        <f t="shared" si="57"/>
        <v>0</v>
      </c>
      <c r="K535" s="10">
        <f t="shared" si="59"/>
        <v>0</v>
      </c>
      <c r="L535" s="9" t="str">
        <f t="shared" si="60"/>
        <v/>
      </c>
      <c r="M535" s="8"/>
      <c r="N535" s="8"/>
      <c r="O535" s="8"/>
      <c r="P535" s="8"/>
      <c r="Q535" s="8"/>
      <c r="R535" s="8"/>
      <c r="S535" s="8"/>
      <c r="T535" s="8"/>
      <c r="U535" s="8"/>
      <c r="V535" s="7"/>
      <c r="W535" s="6" t="str">
        <f t="array" ref="W535">IF(NOT(ISBLANK(D535)),_xludf.XLOOKUP(D535,[1]CODE!$A$4:$A$100,[1]CODE!$D$4:$D$100),"")</f>
        <v/>
      </c>
      <c r="X535" s="5" t="str">
        <f t="array" ref="X535">IF(NOT(AND(ISBLANK(D535),ISBLANK(C535))),_xludf.XLOOKUP(D535,[1]CODE!$A$4:$A$100,[1]CODE!$E$4:$E$100),"")</f>
        <v/>
      </c>
      <c r="Y535" s="5" t="str">
        <f t="shared" si="61"/>
        <v/>
      </c>
      <c r="Z535" s="5" t="str">
        <f t="shared" si="62"/>
        <v/>
      </c>
      <c r="AA535" s="4">
        <f t="shared" si="63"/>
        <v>0</v>
      </c>
      <c r="AC535" s="2"/>
    </row>
    <row r="536" spans="1:29" ht="15.5">
      <c r="A536" s="13" t="str">
        <f>IF(OR(ISBLANK(C536),ISBLANK(D536),ISBLANK(F536),ISBLANK(G536)),"",COUNTIF($B$5:B536,"JAMBUTU"))</f>
        <v/>
      </c>
      <c r="B536" s="8" t="str">
        <f t="shared" si="58"/>
        <v/>
      </c>
      <c r="C536" s="8"/>
      <c r="D536" s="8"/>
      <c r="E536" s="13"/>
      <c r="F536" s="12"/>
      <c r="G536" s="11"/>
      <c r="H536" s="12"/>
      <c r="I536" s="15"/>
      <c r="J536" s="10">
        <f t="shared" si="57"/>
        <v>0</v>
      </c>
      <c r="K536" s="10">
        <f t="shared" si="59"/>
        <v>0</v>
      </c>
      <c r="L536" s="9" t="str">
        <f t="shared" si="60"/>
        <v/>
      </c>
      <c r="M536" s="8"/>
      <c r="N536" s="8"/>
      <c r="O536" s="8"/>
      <c r="P536" s="8"/>
      <c r="Q536" s="8"/>
      <c r="R536" s="8"/>
      <c r="S536" s="8"/>
      <c r="T536" s="8"/>
      <c r="U536" s="8"/>
      <c r="V536" s="7"/>
      <c r="W536" s="6" t="str">
        <f t="array" ref="W536">IF(NOT(ISBLANK(D536)),_xludf.XLOOKUP(D536,[1]CODE!$A$4:$A$100,[1]CODE!$D$4:$D$100),"")</f>
        <v/>
      </c>
      <c r="X536" s="5" t="str">
        <f t="array" ref="X536">IF(NOT(AND(ISBLANK(D536),ISBLANK(C536))),_xludf.XLOOKUP(D536,[1]CODE!$A$4:$A$100,[1]CODE!$E$4:$E$100),"")</f>
        <v/>
      </c>
      <c r="Y536" s="5" t="str">
        <f t="shared" si="61"/>
        <v/>
      </c>
      <c r="Z536" s="5" t="str">
        <f t="shared" si="62"/>
        <v/>
      </c>
      <c r="AA536" s="4">
        <f t="shared" si="63"/>
        <v>0</v>
      </c>
      <c r="AC536" s="2"/>
    </row>
    <row r="537" spans="1:29" ht="15.5">
      <c r="A537" s="13" t="str">
        <f>IF(OR(ISBLANK(C537),ISBLANK(D537),ISBLANK(F537),ISBLANK(G537)),"",COUNTIF($B$5:B537,"JAMBUTU"))</f>
        <v/>
      </c>
      <c r="B537" s="8" t="str">
        <f t="shared" si="58"/>
        <v/>
      </c>
      <c r="C537" s="8"/>
      <c r="D537" s="8"/>
      <c r="E537" s="13"/>
      <c r="F537" s="12"/>
      <c r="G537" s="11"/>
      <c r="H537" s="12"/>
      <c r="I537" s="15"/>
      <c r="J537" s="10">
        <f t="shared" si="57"/>
        <v>0</v>
      </c>
      <c r="K537" s="10">
        <f t="shared" si="59"/>
        <v>0</v>
      </c>
      <c r="L537" s="9" t="str">
        <f t="shared" si="60"/>
        <v/>
      </c>
      <c r="M537" s="8"/>
      <c r="N537" s="8"/>
      <c r="O537" s="8"/>
      <c r="P537" s="8"/>
      <c r="Q537" s="8"/>
      <c r="R537" s="8"/>
      <c r="S537" s="8"/>
      <c r="T537" s="8"/>
      <c r="U537" s="8"/>
      <c r="V537" s="7"/>
      <c r="W537" s="6" t="str">
        <f t="array" ref="W537">IF(NOT(ISBLANK(D537)),_xludf.XLOOKUP(D537,[1]CODE!$A$4:$A$100,[1]CODE!$D$4:$D$100),"")</f>
        <v/>
      </c>
      <c r="X537" s="5" t="str">
        <f t="array" ref="X537">IF(NOT(AND(ISBLANK(D537),ISBLANK(C537))),_xludf.XLOOKUP(D537,[1]CODE!$A$4:$A$100,[1]CODE!$E$4:$E$100),"")</f>
        <v/>
      </c>
      <c r="Y537" s="5" t="str">
        <f t="shared" si="61"/>
        <v/>
      </c>
      <c r="Z537" s="5" t="str">
        <f t="shared" si="62"/>
        <v/>
      </c>
      <c r="AA537" s="4">
        <f t="shared" si="63"/>
        <v>0</v>
      </c>
      <c r="AC537" s="2"/>
    </row>
    <row r="538" spans="1:29" ht="15.5">
      <c r="A538" s="13" t="str">
        <f>IF(OR(ISBLANK(C538),ISBLANK(D538),ISBLANK(F538),ISBLANK(G538)),"",COUNTIF($B$5:B538,"JAMBUTU"))</f>
        <v/>
      </c>
      <c r="B538" s="8" t="str">
        <f t="shared" si="58"/>
        <v/>
      </c>
      <c r="C538" s="8"/>
      <c r="D538" s="8"/>
      <c r="E538" s="13"/>
      <c r="F538" s="12"/>
      <c r="G538" s="11"/>
      <c r="H538" s="12"/>
      <c r="I538" s="11"/>
      <c r="J538" s="10">
        <f t="shared" si="57"/>
        <v>0</v>
      </c>
      <c r="K538" s="10">
        <f t="shared" si="59"/>
        <v>0</v>
      </c>
      <c r="L538" s="9" t="str">
        <f t="shared" si="60"/>
        <v/>
      </c>
      <c r="M538" s="8"/>
      <c r="N538" s="8"/>
      <c r="O538" s="8"/>
      <c r="P538" s="8"/>
      <c r="Q538" s="8"/>
      <c r="R538" s="8"/>
      <c r="S538" s="8"/>
      <c r="T538" s="8"/>
      <c r="U538" s="8"/>
      <c r="V538" s="7"/>
      <c r="W538" s="6" t="str">
        <f t="array" ref="W538">IF(NOT(ISBLANK(D538)),_xludf.XLOOKUP(D538,[1]CODE!$A$4:$A$100,[1]CODE!$D$4:$D$100),"")</f>
        <v/>
      </c>
      <c r="X538" s="5" t="str">
        <f t="array" ref="X538">IF(NOT(AND(ISBLANK(D538),ISBLANK(C538))),_xludf.XLOOKUP(D538,[1]CODE!$A$4:$A$100,[1]CODE!$E$4:$E$100),"")</f>
        <v/>
      </c>
      <c r="Y538" s="5" t="str">
        <f t="shared" si="61"/>
        <v/>
      </c>
      <c r="Z538" s="5" t="str">
        <f t="shared" si="62"/>
        <v/>
      </c>
      <c r="AA538" s="4">
        <f t="shared" si="63"/>
        <v>0</v>
      </c>
      <c r="AC538" s="2"/>
    </row>
    <row r="539" spans="1:29" ht="15.5">
      <c r="A539" s="13" t="str">
        <f>IF(OR(ISBLANK(C539),ISBLANK(D539),ISBLANK(F539),ISBLANK(G539)),"",COUNTIF($B$5:B539,"JAMBUTU"))</f>
        <v/>
      </c>
      <c r="B539" s="8" t="str">
        <f t="shared" si="58"/>
        <v/>
      </c>
      <c r="C539" s="8"/>
      <c r="D539" s="8"/>
      <c r="E539" s="13"/>
      <c r="F539" s="12"/>
      <c r="G539" s="11"/>
      <c r="H539" s="12"/>
      <c r="I539" s="11"/>
      <c r="J539" s="10">
        <f t="shared" si="57"/>
        <v>0</v>
      </c>
      <c r="K539" s="10">
        <f t="shared" si="59"/>
        <v>0</v>
      </c>
      <c r="L539" s="9" t="str">
        <f t="shared" si="60"/>
        <v/>
      </c>
      <c r="M539" s="8"/>
      <c r="N539" s="8"/>
      <c r="O539" s="8"/>
      <c r="P539" s="8"/>
      <c r="Q539" s="8"/>
      <c r="R539" s="8"/>
      <c r="S539" s="8"/>
      <c r="T539" s="8"/>
      <c r="U539" s="8"/>
      <c r="V539" s="7"/>
      <c r="W539" s="6" t="str">
        <f t="array" ref="W539">IF(NOT(ISBLANK(D539)),_xludf.XLOOKUP(D539,[1]CODE!$A$4:$A$100,[1]CODE!$D$4:$D$100),"")</f>
        <v/>
      </c>
      <c r="X539" s="5" t="str">
        <f t="array" ref="X539">IF(NOT(AND(ISBLANK(D539),ISBLANK(C539))),_xludf.XLOOKUP(D539,[1]CODE!$A$4:$A$100,[1]CODE!$E$4:$E$100),"")</f>
        <v/>
      </c>
      <c r="Y539" s="5" t="str">
        <f t="shared" si="61"/>
        <v/>
      </c>
      <c r="Z539" s="5" t="str">
        <f t="shared" si="62"/>
        <v/>
      </c>
      <c r="AA539" s="4">
        <f t="shared" si="63"/>
        <v>0</v>
      </c>
      <c r="AC539" s="2"/>
    </row>
    <row r="540" spans="1:29" ht="15.5">
      <c r="A540" s="13" t="str">
        <f>IF(OR(ISBLANK(C540),ISBLANK(D540),ISBLANK(F540),ISBLANK(G540)),"",COUNTIF($B$5:B540,"JAMBUTU"))</f>
        <v/>
      </c>
      <c r="B540" s="8" t="str">
        <f t="shared" si="58"/>
        <v/>
      </c>
      <c r="C540" s="8"/>
      <c r="D540" s="8"/>
      <c r="E540" s="13"/>
      <c r="F540" s="12"/>
      <c r="G540" s="11"/>
      <c r="H540" s="12"/>
      <c r="I540" s="11"/>
      <c r="J540" s="10">
        <f t="shared" si="57"/>
        <v>0</v>
      </c>
      <c r="K540" s="10">
        <f t="shared" si="59"/>
        <v>0</v>
      </c>
      <c r="L540" s="9" t="str">
        <f t="shared" si="60"/>
        <v/>
      </c>
      <c r="M540" s="8"/>
      <c r="N540" s="8"/>
      <c r="O540" s="8"/>
      <c r="P540" s="8"/>
      <c r="Q540" s="8"/>
      <c r="R540" s="8"/>
      <c r="S540" s="8"/>
      <c r="T540" s="8"/>
      <c r="U540" s="8"/>
      <c r="V540" s="7"/>
      <c r="W540" s="6" t="str">
        <f t="array" ref="W540">IF(NOT(ISBLANK(D540)),_xludf.XLOOKUP(D540,[1]CODE!$A$4:$A$100,[1]CODE!$D$4:$D$100),"")</f>
        <v/>
      </c>
      <c r="X540" s="5" t="str">
        <f t="array" ref="X540">IF(NOT(AND(ISBLANK(D540),ISBLANK(C540))),_xludf.XLOOKUP(D540,[1]CODE!$A$4:$A$100,[1]CODE!$E$4:$E$100),"")</f>
        <v/>
      </c>
      <c r="Y540" s="5" t="str">
        <f t="shared" si="61"/>
        <v/>
      </c>
      <c r="Z540" s="5" t="str">
        <f t="shared" si="62"/>
        <v/>
      </c>
      <c r="AA540" s="4">
        <f t="shared" si="63"/>
        <v>0</v>
      </c>
      <c r="AC540" s="2"/>
    </row>
    <row r="541" spans="1:29" ht="15.5">
      <c r="A541" s="13" t="str">
        <f>IF(OR(ISBLANK(C541),ISBLANK(D541),ISBLANK(F541),ISBLANK(G541)),"",COUNTIF($B$5:B541,"JAMBUTU"))</f>
        <v/>
      </c>
      <c r="B541" s="8" t="str">
        <f t="shared" si="58"/>
        <v/>
      </c>
      <c r="C541" s="8"/>
      <c r="D541" s="8"/>
      <c r="E541" s="13"/>
      <c r="F541" s="12"/>
      <c r="G541" s="11"/>
      <c r="H541" s="12"/>
      <c r="I541" s="11"/>
      <c r="J541" s="10">
        <f t="shared" ref="J541:J598" si="64">DATE(YEAR(F541),MONTH(F541),DAY(F541))+TIME(HOUR(G541),MINUTE(G541), SECOND(G541))</f>
        <v>0</v>
      </c>
      <c r="K541" s="10">
        <f t="shared" si="59"/>
        <v>0</v>
      </c>
      <c r="L541" s="9" t="str">
        <f t="shared" si="60"/>
        <v/>
      </c>
      <c r="M541" s="8"/>
      <c r="N541" s="8"/>
      <c r="O541" s="8"/>
      <c r="P541" s="8"/>
      <c r="Q541" s="8"/>
      <c r="R541" s="8"/>
      <c r="S541" s="8"/>
      <c r="T541" s="8"/>
      <c r="U541" s="8"/>
      <c r="V541" s="7"/>
      <c r="W541" s="6" t="str">
        <f t="array" ref="W541">IF(NOT(ISBLANK(D541)),_xludf.XLOOKUP(D541,[1]CODE!$A$4:$A$100,[1]CODE!$D$4:$D$100),"")</f>
        <v/>
      </c>
      <c r="X541" s="5" t="str">
        <f t="array" ref="X541">IF(NOT(AND(ISBLANK(D541),ISBLANK(C541))),_xludf.XLOOKUP(D541,[1]CODE!$A$4:$A$100,[1]CODE!$E$4:$E$100),"")</f>
        <v/>
      </c>
      <c r="Y541" s="5" t="str">
        <f t="shared" si="61"/>
        <v/>
      </c>
      <c r="Z541" s="5" t="str">
        <f t="shared" si="62"/>
        <v/>
      </c>
      <c r="AA541" s="4">
        <f t="shared" si="63"/>
        <v>0</v>
      </c>
      <c r="AC541" s="2"/>
    </row>
    <row r="542" spans="1:29" ht="15.5">
      <c r="A542" s="13" t="str">
        <f>IF(OR(ISBLANK(C542),ISBLANK(D542),ISBLANK(F542),ISBLANK(G542)),"",COUNTIF($B$5:B542,"JAMBUTU"))</f>
        <v/>
      </c>
      <c r="B542" s="8" t="str">
        <f t="shared" si="58"/>
        <v/>
      </c>
      <c r="C542" s="8"/>
      <c r="D542" s="8"/>
      <c r="E542" s="13"/>
      <c r="F542" s="12"/>
      <c r="G542" s="11"/>
      <c r="H542" s="12"/>
      <c r="I542" s="11"/>
      <c r="J542" s="10">
        <f t="shared" si="64"/>
        <v>0</v>
      </c>
      <c r="K542" s="10">
        <f t="shared" si="59"/>
        <v>0</v>
      </c>
      <c r="L542" s="9" t="str">
        <f t="shared" si="60"/>
        <v/>
      </c>
      <c r="M542" s="8"/>
      <c r="N542" s="8"/>
      <c r="O542" s="8"/>
      <c r="P542" s="8"/>
      <c r="Q542" s="8"/>
      <c r="R542" s="8"/>
      <c r="S542" s="8"/>
      <c r="T542" s="8"/>
      <c r="U542" s="8"/>
      <c r="V542" s="7"/>
      <c r="W542" s="6" t="str">
        <f t="array" ref="W542">IF(NOT(ISBLANK(D542)),_xludf.XLOOKUP(D542,[1]CODE!$A$4:$A$100,[1]CODE!$D$4:$D$100),"")</f>
        <v/>
      </c>
      <c r="X542" s="5" t="str">
        <f t="array" ref="X542">IF(NOT(AND(ISBLANK(D542),ISBLANK(C542))),_xludf.XLOOKUP(D542,[1]CODE!$A$4:$A$100,[1]CODE!$E$4:$E$100),"")</f>
        <v/>
      </c>
      <c r="Y542" s="5" t="str">
        <f t="shared" si="61"/>
        <v/>
      </c>
      <c r="Z542" s="5" t="str">
        <f t="shared" si="62"/>
        <v/>
      </c>
      <c r="AA542" s="4">
        <f t="shared" si="63"/>
        <v>0</v>
      </c>
      <c r="AC542" s="2"/>
    </row>
    <row r="543" spans="1:29" ht="15.5">
      <c r="A543" s="13" t="str">
        <f>IF(OR(ISBLANK(C543),ISBLANK(D543),ISBLANK(F543),ISBLANK(G543)),"",COUNTIF($B$5:B543,"JAMBUTU"))</f>
        <v/>
      </c>
      <c r="B543" s="8" t="str">
        <f t="shared" si="58"/>
        <v/>
      </c>
      <c r="C543" s="8"/>
      <c r="D543" s="8"/>
      <c r="E543" s="13"/>
      <c r="F543" s="12"/>
      <c r="G543" s="11"/>
      <c r="H543" s="12"/>
      <c r="I543" s="15"/>
      <c r="J543" s="10">
        <f t="shared" si="64"/>
        <v>0</v>
      </c>
      <c r="K543" s="10">
        <f t="shared" si="59"/>
        <v>0</v>
      </c>
      <c r="L543" s="9" t="str">
        <f t="shared" si="60"/>
        <v/>
      </c>
      <c r="M543" s="8"/>
      <c r="N543" s="8"/>
      <c r="O543" s="8"/>
      <c r="P543" s="8"/>
      <c r="Q543" s="8"/>
      <c r="R543" s="8"/>
      <c r="S543" s="8"/>
      <c r="T543" s="8"/>
      <c r="U543" s="8"/>
      <c r="V543" s="7"/>
      <c r="W543" s="6" t="str">
        <f t="array" ref="W543">IF(NOT(ISBLANK(D543)),_xludf.XLOOKUP(D543,[1]CODE!$A$4:$A$100,[1]CODE!$D$4:$D$100),"")</f>
        <v/>
      </c>
      <c r="X543" s="5" t="str">
        <f t="array" ref="X543">IF(NOT(AND(ISBLANK(D543),ISBLANK(C543))),_xludf.XLOOKUP(D543,[1]CODE!$A$4:$A$100,[1]CODE!$E$4:$E$100),"")</f>
        <v/>
      </c>
      <c r="Y543" s="5" t="str">
        <f t="shared" si="61"/>
        <v/>
      </c>
      <c r="Z543" s="5" t="str">
        <f t="shared" si="62"/>
        <v/>
      </c>
      <c r="AA543" s="4">
        <f t="shared" si="63"/>
        <v>0</v>
      </c>
      <c r="AC543" s="2"/>
    </row>
    <row r="544" spans="1:29" ht="15.5">
      <c r="A544" s="13" t="str">
        <f>IF(OR(ISBLANK(C544),ISBLANK(D544),ISBLANK(F544),ISBLANK(G544)),"",COUNTIF($B$5:B544,"JAMBUTU"))</f>
        <v/>
      </c>
      <c r="B544" s="8" t="str">
        <f t="shared" si="58"/>
        <v/>
      </c>
      <c r="C544" s="8"/>
      <c r="D544" s="8"/>
      <c r="E544" s="13"/>
      <c r="F544" s="12"/>
      <c r="G544" s="11"/>
      <c r="H544" s="12"/>
      <c r="I544" s="15"/>
      <c r="J544" s="10">
        <f t="shared" si="64"/>
        <v>0</v>
      </c>
      <c r="K544" s="10">
        <f t="shared" si="59"/>
        <v>0</v>
      </c>
      <c r="L544" s="9" t="str">
        <f t="shared" si="60"/>
        <v/>
      </c>
      <c r="M544" s="8"/>
      <c r="N544" s="8"/>
      <c r="O544" s="8"/>
      <c r="P544" s="8"/>
      <c r="Q544" s="8"/>
      <c r="R544" s="8"/>
      <c r="S544" s="8"/>
      <c r="T544" s="8"/>
      <c r="U544" s="8"/>
      <c r="V544" s="7"/>
      <c r="W544" s="6" t="str">
        <f t="array" ref="W544">IF(NOT(ISBLANK(D544)),_xludf.XLOOKUP(D544,[1]CODE!$A$4:$A$100,[1]CODE!$D$4:$D$100),"")</f>
        <v/>
      </c>
      <c r="X544" s="5" t="str">
        <f t="array" ref="X544">IF(NOT(AND(ISBLANK(D544),ISBLANK(C544))),_xludf.XLOOKUP(D544,[1]CODE!$A$4:$A$100,[1]CODE!$E$4:$E$100),"")</f>
        <v/>
      </c>
      <c r="Y544" s="5" t="str">
        <f t="shared" si="61"/>
        <v/>
      </c>
      <c r="Z544" s="5" t="str">
        <f t="shared" si="62"/>
        <v/>
      </c>
      <c r="AA544" s="4">
        <f t="shared" si="63"/>
        <v>0</v>
      </c>
      <c r="AC544" s="2"/>
    </row>
    <row r="545" spans="1:29" ht="15.5">
      <c r="A545" s="13" t="str">
        <f>IF(OR(ISBLANK(C545),ISBLANK(D545),ISBLANK(F545),ISBLANK(G545)),"",COUNTIF($B$5:B545,"JAMBUTU"))</f>
        <v/>
      </c>
      <c r="B545" s="8" t="str">
        <f t="shared" si="58"/>
        <v/>
      </c>
      <c r="C545" s="8"/>
      <c r="D545" s="8"/>
      <c r="E545" s="13"/>
      <c r="F545" s="12"/>
      <c r="G545" s="11"/>
      <c r="H545" s="12"/>
      <c r="I545" s="11"/>
      <c r="J545" s="10">
        <f t="shared" si="64"/>
        <v>0</v>
      </c>
      <c r="K545" s="10">
        <f t="shared" si="59"/>
        <v>0</v>
      </c>
      <c r="L545" s="9" t="str">
        <f t="shared" si="60"/>
        <v/>
      </c>
      <c r="M545" s="8"/>
      <c r="N545" s="8"/>
      <c r="O545" s="8"/>
      <c r="P545" s="8"/>
      <c r="Q545" s="8"/>
      <c r="R545" s="8"/>
      <c r="S545" s="8"/>
      <c r="T545" s="8"/>
      <c r="U545" s="8"/>
      <c r="V545" s="7"/>
      <c r="W545" s="6" t="str">
        <f t="array" ref="W545">IF(NOT(ISBLANK(D545)),_xludf.XLOOKUP(D545,[1]CODE!$A$4:$A$100,[1]CODE!$D$4:$D$100),"")</f>
        <v/>
      </c>
      <c r="X545" s="5" t="str">
        <f t="array" ref="X545">IF(NOT(AND(ISBLANK(D545),ISBLANK(C545))),_xludf.XLOOKUP(D545,[1]CODE!$A$4:$A$100,[1]CODE!$E$4:$E$100),"")</f>
        <v/>
      </c>
      <c r="Y545" s="5" t="str">
        <f t="shared" si="61"/>
        <v/>
      </c>
      <c r="Z545" s="5" t="str">
        <f t="shared" si="62"/>
        <v/>
      </c>
      <c r="AA545" s="4">
        <f t="shared" si="63"/>
        <v>0</v>
      </c>
      <c r="AC545" s="2"/>
    </row>
    <row r="546" spans="1:29" ht="15.5">
      <c r="A546" s="13" t="str">
        <f>IF(OR(ISBLANK(C546),ISBLANK(D546),ISBLANK(F546),ISBLANK(G546)),"",COUNTIF($B$5:B546,"JAMBUTU"))</f>
        <v/>
      </c>
      <c r="B546" s="8" t="str">
        <f t="shared" si="58"/>
        <v/>
      </c>
      <c r="C546" s="8"/>
      <c r="D546" s="8"/>
      <c r="E546" s="13"/>
      <c r="F546" s="12"/>
      <c r="G546" s="11"/>
      <c r="H546" s="12"/>
      <c r="I546" s="15"/>
      <c r="J546" s="10">
        <f t="shared" si="64"/>
        <v>0</v>
      </c>
      <c r="K546" s="10">
        <f t="shared" si="59"/>
        <v>0</v>
      </c>
      <c r="L546" s="9" t="str">
        <f t="shared" si="60"/>
        <v/>
      </c>
      <c r="M546" s="8"/>
      <c r="N546" s="8"/>
      <c r="O546" s="8"/>
      <c r="P546" s="8"/>
      <c r="Q546" s="8"/>
      <c r="R546" s="8"/>
      <c r="S546" s="8"/>
      <c r="T546" s="8"/>
      <c r="U546" s="8"/>
      <c r="V546" s="7"/>
      <c r="W546" s="6" t="str">
        <f t="array" ref="W546">IF(NOT(ISBLANK(D546)),_xludf.XLOOKUP(D546,[1]CODE!$A$4:$A$100,[1]CODE!$D$4:$D$100),"")</f>
        <v/>
      </c>
      <c r="X546" s="5" t="str">
        <f t="array" ref="X546">IF(NOT(AND(ISBLANK(D546),ISBLANK(C546))),_xludf.XLOOKUP(D546,[1]CODE!$A$4:$A$100,[1]CODE!$E$4:$E$100),"")</f>
        <v/>
      </c>
      <c r="Y546" s="5" t="str">
        <f t="shared" si="61"/>
        <v/>
      </c>
      <c r="Z546" s="5" t="str">
        <f t="shared" si="62"/>
        <v/>
      </c>
      <c r="AA546" s="4">
        <f t="shared" si="63"/>
        <v>0</v>
      </c>
      <c r="AC546" s="2"/>
    </row>
    <row r="547" spans="1:29" ht="15.5">
      <c r="A547" s="13" t="str">
        <f>IF(OR(ISBLANK(C547),ISBLANK(D547),ISBLANK(F547),ISBLANK(G547)),"",COUNTIF($B$5:B547,"JAMBUTU"))</f>
        <v/>
      </c>
      <c r="B547" s="8" t="str">
        <f t="shared" si="58"/>
        <v/>
      </c>
      <c r="C547" s="8"/>
      <c r="D547" s="8"/>
      <c r="E547" s="13"/>
      <c r="F547" s="12"/>
      <c r="G547" s="11"/>
      <c r="H547" s="12"/>
      <c r="I547" s="11"/>
      <c r="J547" s="10">
        <f t="shared" si="64"/>
        <v>0</v>
      </c>
      <c r="K547" s="10">
        <f t="shared" si="59"/>
        <v>0</v>
      </c>
      <c r="L547" s="9" t="str">
        <f t="shared" si="60"/>
        <v/>
      </c>
      <c r="M547" s="8"/>
      <c r="N547" s="8"/>
      <c r="O547" s="8"/>
      <c r="P547" s="8"/>
      <c r="Q547" s="8"/>
      <c r="R547" s="8"/>
      <c r="S547" s="8"/>
      <c r="T547" s="8"/>
      <c r="U547" s="8"/>
      <c r="V547" s="7"/>
      <c r="W547" s="6" t="str">
        <f t="array" ref="W547">IF(NOT(ISBLANK(D547)),_xludf.XLOOKUP(D547,[1]CODE!$A$4:$A$100,[1]CODE!$D$4:$D$100),"")</f>
        <v/>
      </c>
      <c r="X547" s="5" t="str">
        <f t="array" ref="X547">IF(NOT(AND(ISBLANK(D547),ISBLANK(C547))),_xludf.XLOOKUP(D547,[1]CODE!$A$4:$A$100,[1]CODE!$E$4:$E$100),"")</f>
        <v/>
      </c>
      <c r="Y547" s="5" t="str">
        <f t="shared" si="61"/>
        <v/>
      </c>
      <c r="Z547" s="5" t="str">
        <f t="shared" si="62"/>
        <v/>
      </c>
      <c r="AA547" s="4">
        <f t="shared" si="63"/>
        <v>0</v>
      </c>
      <c r="AC547" s="2"/>
    </row>
    <row r="548" spans="1:29" ht="15.5">
      <c r="A548" s="13" t="str">
        <f>IF(OR(ISBLANK(C548),ISBLANK(D548),ISBLANK(F548),ISBLANK(G548)),"",COUNTIF($B$5:B548,"JAMBUTU"))</f>
        <v/>
      </c>
      <c r="B548" s="8" t="str">
        <f t="shared" si="58"/>
        <v/>
      </c>
      <c r="C548" s="8"/>
      <c r="D548" s="8"/>
      <c r="E548" s="13"/>
      <c r="F548" s="12"/>
      <c r="G548" s="11"/>
      <c r="H548" s="12"/>
      <c r="I548" s="11"/>
      <c r="J548" s="10">
        <f t="shared" si="64"/>
        <v>0</v>
      </c>
      <c r="K548" s="10">
        <f t="shared" si="59"/>
        <v>0</v>
      </c>
      <c r="L548" s="9" t="str">
        <f t="shared" si="60"/>
        <v/>
      </c>
      <c r="M548" s="8"/>
      <c r="N548" s="8"/>
      <c r="O548" s="8"/>
      <c r="P548" s="8"/>
      <c r="Q548" s="8"/>
      <c r="R548" s="8"/>
      <c r="S548" s="8"/>
      <c r="T548" s="8"/>
      <c r="U548" s="8"/>
      <c r="V548" s="7"/>
      <c r="W548" s="6" t="str">
        <f t="array" ref="W548">IF(NOT(ISBLANK(D548)),_xludf.XLOOKUP(D548,[1]CODE!$A$4:$A$100,[1]CODE!$D$4:$D$100),"")</f>
        <v/>
      </c>
      <c r="X548" s="5" t="str">
        <f t="array" ref="X548">IF(NOT(AND(ISBLANK(D548),ISBLANK(C548))),_xludf.XLOOKUP(D548,[1]CODE!$A$4:$A$100,[1]CODE!$E$4:$E$100),"")</f>
        <v/>
      </c>
      <c r="Y548" s="5" t="str">
        <f t="shared" si="61"/>
        <v/>
      </c>
      <c r="Z548" s="5" t="str">
        <f t="shared" si="62"/>
        <v/>
      </c>
      <c r="AA548" s="4">
        <f t="shared" si="63"/>
        <v>0</v>
      </c>
      <c r="AC548" s="2"/>
    </row>
    <row r="549" spans="1:29" ht="15.5">
      <c r="A549" s="13" t="str">
        <f>IF(OR(ISBLANK(C549),ISBLANK(D549),ISBLANK(F549),ISBLANK(G549)),"",COUNTIF($B$5:B549,"JAMBUTU"))</f>
        <v/>
      </c>
      <c r="B549" s="8" t="str">
        <f t="shared" ref="B549:B612" si="65">IF(C549&lt;&gt;"","Jambutu","")</f>
        <v/>
      </c>
      <c r="C549" s="8"/>
      <c r="D549" s="8"/>
      <c r="E549" s="13"/>
      <c r="F549" s="12"/>
      <c r="G549" s="11"/>
      <c r="H549" s="12"/>
      <c r="I549" s="11"/>
      <c r="J549" s="10">
        <f t="shared" si="64"/>
        <v>0</v>
      </c>
      <c r="K549" s="10">
        <f t="shared" si="59"/>
        <v>0</v>
      </c>
      <c r="L549" s="9" t="str">
        <f t="shared" si="60"/>
        <v/>
      </c>
      <c r="M549" s="8"/>
      <c r="N549" s="8"/>
      <c r="O549" s="8"/>
      <c r="P549" s="8"/>
      <c r="Q549" s="8"/>
      <c r="R549" s="8"/>
      <c r="S549" s="8"/>
      <c r="T549" s="8"/>
      <c r="U549" s="8"/>
      <c r="V549" s="7"/>
      <c r="W549" s="6" t="str">
        <f t="array" ref="W549">IF(NOT(ISBLANK(D549)),_xludf.XLOOKUP(D549,[1]CODE!$A$4:$A$100,[1]CODE!$D$4:$D$100),"")</f>
        <v/>
      </c>
      <c r="X549" s="5" t="str">
        <f t="array" ref="X549">IF(NOT(AND(ISBLANK(D549),ISBLANK(C549))),_xludf.XLOOKUP(D549,[1]CODE!$A$4:$A$100,[1]CODE!$E$4:$E$100),"")</f>
        <v/>
      </c>
      <c r="Y549" s="5" t="str">
        <f t="shared" si="61"/>
        <v/>
      </c>
      <c r="Z549" s="5" t="str">
        <f t="shared" si="62"/>
        <v/>
      </c>
      <c r="AA549" s="4">
        <f t="shared" si="63"/>
        <v>0</v>
      </c>
      <c r="AC549" s="2"/>
    </row>
    <row r="550" spans="1:29" ht="15.5">
      <c r="A550" s="13" t="str">
        <f>IF(OR(ISBLANK(C550),ISBLANK(D550),ISBLANK(F550),ISBLANK(G550)),"",COUNTIF($B$5:B550,"JAMBUTU"))</f>
        <v/>
      </c>
      <c r="B550" s="8" t="str">
        <f t="shared" si="65"/>
        <v/>
      </c>
      <c r="C550" s="8"/>
      <c r="D550" s="8"/>
      <c r="E550" s="13"/>
      <c r="F550" s="12"/>
      <c r="G550" s="11"/>
      <c r="H550" s="12"/>
      <c r="I550" s="11"/>
      <c r="J550" s="10">
        <f t="shared" si="64"/>
        <v>0</v>
      </c>
      <c r="K550" s="10">
        <f t="shared" si="59"/>
        <v>0</v>
      </c>
      <c r="L550" s="9" t="str">
        <f t="shared" si="60"/>
        <v/>
      </c>
      <c r="M550" s="8"/>
      <c r="N550" s="8"/>
      <c r="O550" s="8"/>
      <c r="P550" s="8"/>
      <c r="Q550" s="8"/>
      <c r="R550" s="8"/>
      <c r="S550" s="8"/>
      <c r="T550" s="8"/>
      <c r="U550" s="8"/>
      <c r="V550" s="7"/>
      <c r="W550" s="6" t="str">
        <f t="array" ref="W550">IF(NOT(ISBLANK(D550)),_xludf.XLOOKUP(D550,[1]CODE!$A$4:$A$100,[1]CODE!$D$4:$D$100),"")</f>
        <v/>
      </c>
      <c r="X550" s="5" t="str">
        <f t="array" ref="X550">IF(NOT(AND(ISBLANK(D550),ISBLANK(C550))),_xludf.XLOOKUP(D550,[1]CODE!$A$4:$A$100,[1]CODE!$E$4:$E$100),"")</f>
        <v/>
      </c>
      <c r="Y550" s="5" t="str">
        <f t="shared" si="61"/>
        <v/>
      </c>
      <c r="Z550" s="5" t="str">
        <f t="shared" si="62"/>
        <v/>
      </c>
      <c r="AA550" s="4">
        <f t="shared" si="63"/>
        <v>0</v>
      </c>
      <c r="AC550" s="2"/>
    </row>
    <row r="551" spans="1:29" ht="15.5">
      <c r="A551" s="13" t="str">
        <f>IF(OR(ISBLANK(C551),ISBLANK(D551),ISBLANK(F551),ISBLANK(G551)),"",COUNTIF($B$5:B551,"JAMBUTU"))</f>
        <v/>
      </c>
      <c r="B551" s="8" t="str">
        <f t="shared" si="65"/>
        <v/>
      </c>
      <c r="C551" s="8"/>
      <c r="D551" s="8"/>
      <c r="E551" s="13"/>
      <c r="F551" s="12"/>
      <c r="G551" s="11"/>
      <c r="H551" s="12"/>
      <c r="I551" s="11"/>
      <c r="J551" s="10">
        <f t="shared" si="64"/>
        <v>0</v>
      </c>
      <c r="K551" s="10">
        <f t="shared" si="59"/>
        <v>0</v>
      </c>
      <c r="L551" s="9" t="str">
        <f t="shared" si="60"/>
        <v/>
      </c>
      <c r="M551" s="8"/>
      <c r="N551" s="8"/>
      <c r="O551" s="8"/>
      <c r="P551" s="8"/>
      <c r="Q551" s="8"/>
      <c r="R551" s="8"/>
      <c r="S551" s="8"/>
      <c r="T551" s="8"/>
      <c r="U551" s="8"/>
      <c r="V551" s="7"/>
      <c r="W551" s="6" t="str">
        <f t="array" ref="W551">IF(NOT(ISBLANK(D551)),_xludf.XLOOKUP(D551,[1]CODE!$A$4:$A$100,[1]CODE!$D$4:$D$100),"")</f>
        <v/>
      </c>
      <c r="X551" s="5" t="str">
        <f t="array" ref="X551">IF(NOT(AND(ISBLANK(D551),ISBLANK(C551))),_xludf.XLOOKUP(D551,[1]CODE!$A$4:$A$100,[1]CODE!$E$4:$E$100),"")</f>
        <v/>
      </c>
      <c r="Y551" s="5" t="str">
        <f t="shared" si="61"/>
        <v/>
      </c>
      <c r="Z551" s="5" t="str">
        <f t="shared" si="62"/>
        <v/>
      </c>
      <c r="AA551" s="4">
        <f t="shared" si="63"/>
        <v>0</v>
      </c>
      <c r="AC551" s="2"/>
    </row>
    <row r="552" spans="1:29" ht="15.5">
      <c r="A552" s="13" t="str">
        <f>IF(OR(ISBLANK(C552),ISBLANK(D552),ISBLANK(F552),ISBLANK(G552)),"",COUNTIF($B$5:B552,"JAMBUTU"))</f>
        <v/>
      </c>
      <c r="B552" s="8" t="str">
        <f t="shared" si="65"/>
        <v/>
      </c>
      <c r="C552" s="8"/>
      <c r="D552" s="8"/>
      <c r="E552" s="13"/>
      <c r="F552" s="12"/>
      <c r="G552" s="11"/>
      <c r="H552" s="12"/>
      <c r="I552" s="11"/>
      <c r="J552" s="10">
        <f t="shared" si="64"/>
        <v>0</v>
      </c>
      <c r="K552" s="10">
        <f t="shared" si="59"/>
        <v>0</v>
      </c>
      <c r="L552" s="9" t="str">
        <f t="shared" si="60"/>
        <v/>
      </c>
      <c r="M552" s="8"/>
      <c r="N552" s="8"/>
      <c r="O552" s="8"/>
      <c r="P552" s="8"/>
      <c r="Q552" s="8"/>
      <c r="R552" s="8"/>
      <c r="S552" s="8"/>
      <c r="T552" s="8"/>
      <c r="U552" s="8"/>
      <c r="V552" s="7"/>
      <c r="W552" s="6" t="str">
        <f t="array" ref="W552">IF(NOT(ISBLANK(D552)),_xludf.XLOOKUP(D552,[1]CODE!$A$4:$A$100,[1]CODE!$D$4:$D$100),"")</f>
        <v/>
      </c>
      <c r="X552" s="5" t="str">
        <f t="array" ref="X552">IF(NOT(AND(ISBLANK(D552),ISBLANK(C552))),_xludf.XLOOKUP(D552,[1]CODE!$A$4:$A$100,[1]CODE!$E$4:$E$100),"")</f>
        <v/>
      </c>
      <c r="Y552" s="5" t="str">
        <f t="shared" si="61"/>
        <v/>
      </c>
      <c r="Z552" s="5" t="str">
        <f t="shared" si="62"/>
        <v/>
      </c>
      <c r="AA552" s="4">
        <f t="shared" si="63"/>
        <v>0</v>
      </c>
      <c r="AC552" s="2"/>
    </row>
    <row r="553" spans="1:29" ht="15.5">
      <c r="A553" s="13" t="str">
        <f>IF(OR(ISBLANK(C553),ISBLANK(D553),ISBLANK(F553),ISBLANK(G553)),"",COUNTIF($B$5:B553,"JAMBUTU"))</f>
        <v/>
      </c>
      <c r="B553" s="8" t="str">
        <f t="shared" si="65"/>
        <v/>
      </c>
      <c r="C553" s="8"/>
      <c r="D553" s="8"/>
      <c r="E553" s="13"/>
      <c r="F553" s="12"/>
      <c r="G553" s="11"/>
      <c r="H553" s="12"/>
      <c r="I553" s="11"/>
      <c r="J553" s="10">
        <f t="shared" si="64"/>
        <v>0</v>
      </c>
      <c r="K553" s="10">
        <f t="shared" si="59"/>
        <v>0</v>
      </c>
      <c r="L553" s="9" t="str">
        <f t="shared" si="60"/>
        <v/>
      </c>
      <c r="M553" s="8"/>
      <c r="N553" s="8"/>
      <c r="O553" s="8"/>
      <c r="P553" s="8"/>
      <c r="Q553" s="8"/>
      <c r="R553" s="8"/>
      <c r="S553" s="8"/>
      <c r="T553" s="8"/>
      <c r="U553" s="8"/>
      <c r="V553" s="7"/>
      <c r="W553" s="6" t="str">
        <f t="array" ref="W553">IF(NOT(ISBLANK(D553)),_xludf.XLOOKUP(D553,[1]CODE!$A$4:$A$100,[1]CODE!$D$4:$D$100),"")</f>
        <v/>
      </c>
      <c r="X553" s="5" t="str">
        <f t="array" ref="X553">IF(NOT(AND(ISBLANK(D553),ISBLANK(C553))),_xludf.XLOOKUP(D553,[1]CODE!$A$4:$A$100,[1]CODE!$E$4:$E$100),"")</f>
        <v/>
      </c>
      <c r="Y553" s="5" t="str">
        <f t="shared" si="61"/>
        <v/>
      </c>
      <c r="Z553" s="5" t="str">
        <f t="shared" si="62"/>
        <v/>
      </c>
      <c r="AA553" s="4">
        <f t="shared" si="63"/>
        <v>0</v>
      </c>
      <c r="AC553" s="2"/>
    </row>
    <row r="554" spans="1:29" ht="15.5">
      <c r="A554" s="13" t="str">
        <f>IF(OR(ISBLANK(C554),ISBLANK(D554),ISBLANK(F554),ISBLANK(G554)),"",COUNTIF($B$5:B554,"JAMBUTU"))</f>
        <v/>
      </c>
      <c r="B554" s="8" t="str">
        <f t="shared" si="65"/>
        <v/>
      </c>
      <c r="C554" s="8"/>
      <c r="D554" s="8"/>
      <c r="E554" s="13"/>
      <c r="F554" s="12"/>
      <c r="G554" s="11"/>
      <c r="H554" s="12"/>
      <c r="I554" s="11"/>
      <c r="J554" s="10">
        <f t="shared" si="64"/>
        <v>0</v>
      </c>
      <c r="K554" s="10">
        <f t="shared" si="59"/>
        <v>0</v>
      </c>
      <c r="L554" s="9" t="str">
        <f t="shared" si="60"/>
        <v/>
      </c>
      <c r="M554" s="8"/>
      <c r="N554" s="8"/>
      <c r="O554" s="8"/>
      <c r="P554" s="8"/>
      <c r="Q554" s="8"/>
      <c r="R554" s="8"/>
      <c r="S554" s="8"/>
      <c r="T554" s="8"/>
      <c r="U554" s="8"/>
      <c r="V554" s="7"/>
      <c r="W554" s="6" t="str">
        <f t="array" ref="W554">IF(NOT(ISBLANK(D554)),_xludf.XLOOKUP(D554,[1]CODE!$A$4:$A$100,[1]CODE!$D$4:$D$100),"")</f>
        <v/>
      </c>
      <c r="X554" s="5" t="str">
        <f t="array" ref="X554">IF(NOT(AND(ISBLANK(D554),ISBLANK(C554))),_xludf.XLOOKUP(D554,[1]CODE!$A$4:$A$100,[1]CODE!$E$4:$E$100),"")</f>
        <v/>
      </c>
      <c r="Y554" s="5" t="str">
        <f t="shared" si="61"/>
        <v/>
      </c>
      <c r="Z554" s="5" t="str">
        <f t="shared" si="62"/>
        <v/>
      </c>
      <c r="AA554" s="4">
        <f t="shared" si="63"/>
        <v>0</v>
      </c>
      <c r="AC554" s="2"/>
    </row>
    <row r="555" spans="1:29" ht="15.5">
      <c r="A555" s="13" t="str">
        <f>IF(OR(ISBLANK(C555),ISBLANK(D555),ISBLANK(F555),ISBLANK(G555)),"",COUNTIF($B$5:B555,"JAMBUTU"))</f>
        <v/>
      </c>
      <c r="B555" s="8" t="str">
        <f t="shared" si="65"/>
        <v/>
      </c>
      <c r="C555" s="8"/>
      <c r="D555" s="8"/>
      <c r="E555" s="13"/>
      <c r="F555" s="12"/>
      <c r="G555" s="11"/>
      <c r="H555" s="12"/>
      <c r="I555" s="11"/>
      <c r="J555" s="10">
        <f t="shared" si="64"/>
        <v>0</v>
      </c>
      <c r="K555" s="10">
        <f t="shared" si="59"/>
        <v>0</v>
      </c>
      <c r="L555" s="9" t="str">
        <f t="shared" si="60"/>
        <v/>
      </c>
      <c r="M555" s="8"/>
      <c r="N555" s="8"/>
      <c r="O555" s="8"/>
      <c r="P555" s="8"/>
      <c r="Q555" s="8"/>
      <c r="R555" s="8"/>
      <c r="S555" s="8"/>
      <c r="T555" s="8"/>
      <c r="U555" s="8"/>
      <c r="V555" s="7"/>
      <c r="W555" s="6" t="str">
        <f t="array" ref="W555">IF(NOT(ISBLANK(D555)),_xludf.XLOOKUP(D555,[1]CODE!$A$4:$A$100,[1]CODE!$D$4:$D$100),"")</f>
        <v/>
      </c>
      <c r="X555" s="5" t="str">
        <f t="array" ref="X555">IF(NOT(AND(ISBLANK(D555),ISBLANK(C555))),_xludf.XLOOKUP(D555,[1]CODE!$A$4:$A$100,[1]CODE!$E$4:$E$100),"")</f>
        <v/>
      </c>
      <c r="Y555" s="5" t="str">
        <f t="shared" si="61"/>
        <v/>
      </c>
      <c r="Z555" s="5" t="str">
        <f t="shared" si="62"/>
        <v/>
      </c>
      <c r="AA555" s="4">
        <f t="shared" si="63"/>
        <v>0</v>
      </c>
      <c r="AC555" s="2"/>
    </row>
    <row r="556" spans="1:29" ht="15.5">
      <c r="A556" s="13" t="str">
        <f>IF(OR(ISBLANK(C556),ISBLANK(D556),ISBLANK(F556),ISBLANK(G556)),"",COUNTIF($B$5:B556,"JAMBUTU"))</f>
        <v/>
      </c>
      <c r="B556" s="8" t="str">
        <f t="shared" si="65"/>
        <v/>
      </c>
      <c r="C556" s="8"/>
      <c r="D556" s="8"/>
      <c r="E556" s="13"/>
      <c r="F556" s="12"/>
      <c r="G556" s="11"/>
      <c r="H556" s="12"/>
      <c r="I556" s="11"/>
      <c r="J556" s="10">
        <f t="shared" si="64"/>
        <v>0</v>
      </c>
      <c r="K556" s="10">
        <f t="shared" si="59"/>
        <v>0</v>
      </c>
      <c r="L556" s="9" t="str">
        <f t="shared" si="60"/>
        <v/>
      </c>
      <c r="M556" s="8"/>
      <c r="N556" s="8"/>
      <c r="O556" s="8"/>
      <c r="P556" s="8"/>
      <c r="Q556" s="8"/>
      <c r="R556" s="8"/>
      <c r="S556" s="8"/>
      <c r="T556" s="8"/>
      <c r="U556" s="8"/>
      <c r="V556" s="7"/>
      <c r="W556" s="6" t="str">
        <f t="array" ref="W556">IF(NOT(ISBLANK(D556)),_xludf.XLOOKUP(D556,[1]CODE!$A$4:$A$100,[1]CODE!$D$4:$D$100),"")</f>
        <v/>
      </c>
      <c r="X556" s="5" t="str">
        <f t="array" ref="X556">IF(NOT(AND(ISBLANK(D556),ISBLANK(C556))),_xludf.XLOOKUP(D556,[1]CODE!$A$4:$A$100,[1]CODE!$E$4:$E$100),"")</f>
        <v/>
      </c>
      <c r="Y556" s="5" t="str">
        <f t="shared" si="61"/>
        <v/>
      </c>
      <c r="Z556" s="5" t="str">
        <f t="shared" si="62"/>
        <v/>
      </c>
      <c r="AA556" s="4">
        <f t="shared" si="63"/>
        <v>0</v>
      </c>
      <c r="AC556" s="2"/>
    </row>
    <row r="557" spans="1:29" ht="15.5">
      <c r="A557" s="13" t="str">
        <f>IF(OR(ISBLANK(C557),ISBLANK(D557),ISBLANK(F557),ISBLANK(G557)),"",COUNTIF($B$5:B557,"JAMBUTU"))</f>
        <v/>
      </c>
      <c r="B557" s="8" t="str">
        <f t="shared" si="65"/>
        <v/>
      </c>
      <c r="C557" s="8"/>
      <c r="D557" s="8"/>
      <c r="E557" s="13"/>
      <c r="F557" s="12"/>
      <c r="G557" s="11"/>
      <c r="H557" s="12"/>
      <c r="I557" s="11"/>
      <c r="J557" s="10">
        <f t="shared" si="64"/>
        <v>0</v>
      </c>
      <c r="K557" s="10">
        <f t="shared" si="59"/>
        <v>0</v>
      </c>
      <c r="L557" s="9" t="str">
        <f t="shared" si="60"/>
        <v/>
      </c>
      <c r="M557" s="8"/>
      <c r="N557" s="8"/>
      <c r="O557" s="8"/>
      <c r="P557" s="8"/>
      <c r="Q557" s="8"/>
      <c r="R557" s="8"/>
      <c r="S557" s="8"/>
      <c r="T557" s="8"/>
      <c r="U557" s="8"/>
      <c r="V557" s="7"/>
      <c r="W557" s="6" t="str">
        <f t="array" ref="W557">IF(NOT(ISBLANK(D557)),_xludf.XLOOKUP(D557,[1]CODE!$A$4:$A$100,[1]CODE!$D$4:$D$100),"")</f>
        <v/>
      </c>
      <c r="X557" s="5" t="str">
        <f t="array" ref="X557">IF(NOT(AND(ISBLANK(D557),ISBLANK(C557))),_xludf.XLOOKUP(D557,[1]CODE!$A$4:$A$100,[1]CODE!$E$4:$E$100),"")</f>
        <v/>
      </c>
      <c r="Y557" s="5" t="str">
        <f t="shared" si="61"/>
        <v/>
      </c>
      <c r="Z557" s="5" t="str">
        <f t="shared" si="62"/>
        <v/>
      </c>
      <c r="AA557" s="4">
        <f t="shared" si="63"/>
        <v>0</v>
      </c>
      <c r="AC557" s="2"/>
    </row>
    <row r="558" spans="1:29" ht="15.5">
      <c r="A558" s="13" t="str">
        <f>IF(OR(ISBLANK(C558),ISBLANK(D558),ISBLANK(F558),ISBLANK(G558)),"",COUNTIF($B$5:B558,"JAMBUTU"))</f>
        <v/>
      </c>
      <c r="B558" s="8" t="str">
        <f t="shared" si="65"/>
        <v/>
      </c>
      <c r="C558" s="8"/>
      <c r="D558" s="8"/>
      <c r="E558" s="13"/>
      <c r="F558" s="12"/>
      <c r="G558" s="11"/>
      <c r="H558" s="12"/>
      <c r="I558" s="11"/>
      <c r="J558" s="10">
        <f t="shared" si="64"/>
        <v>0</v>
      </c>
      <c r="K558" s="10">
        <f t="shared" si="59"/>
        <v>0</v>
      </c>
      <c r="L558" s="9" t="str">
        <f t="shared" si="60"/>
        <v/>
      </c>
      <c r="M558" s="8"/>
      <c r="N558" s="8"/>
      <c r="O558" s="8"/>
      <c r="P558" s="8"/>
      <c r="Q558" s="8"/>
      <c r="R558" s="8"/>
      <c r="S558" s="8"/>
      <c r="T558" s="8"/>
      <c r="U558" s="8"/>
      <c r="V558" s="7"/>
      <c r="W558" s="6" t="str">
        <f t="array" ref="W558">IF(NOT(ISBLANK(D558)),_xludf.XLOOKUP(D558,[1]CODE!$A$4:$A$100,[1]CODE!$D$4:$D$100),"")</f>
        <v/>
      </c>
      <c r="X558" s="5" t="str">
        <f t="array" ref="X558">IF(NOT(AND(ISBLANK(D558),ISBLANK(C558))),_xludf.XLOOKUP(D558,[1]CODE!$A$4:$A$100,[1]CODE!$E$4:$E$100),"")</f>
        <v/>
      </c>
      <c r="Y558" s="5" t="str">
        <f t="shared" si="61"/>
        <v/>
      </c>
      <c r="Z558" s="5" t="str">
        <f t="shared" si="62"/>
        <v/>
      </c>
      <c r="AA558" s="4">
        <f t="shared" si="63"/>
        <v>0</v>
      </c>
      <c r="AC558" s="2"/>
    </row>
    <row r="559" spans="1:29" ht="15.5">
      <c r="A559" s="13" t="str">
        <f>IF(OR(ISBLANK(C559),ISBLANK(D559),ISBLANK(F559),ISBLANK(G559)),"",COUNTIF($B$5:B559,"JAMBUTU"))</f>
        <v/>
      </c>
      <c r="B559" s="8" t="str">
        <f t="shared" si="65"/>
        <v/>
      </c>
      <c r="C559" s="8"/>
      <c r="D559" s="8"/>
      <c r="E559" s="13"/>
      <c r="F559" s="12"/>
      <c r="G559" s="11"/>
      <c r="H559" s="12"/>
      <c r="I559" s="11"/>
      <c r="J559" s="10">
        <f t="shared" si="64"/>
        <v>0</v>
      </c>
      <c r="K559" s="10">
        <f t="shared" si="59"/>
        <v>0</v>
      </c>
      <c r="L559" s="9" t="str">
        <f t="shared" si="60"/>
        <v/>
      </c>
      <c r="M559" s="8"/>
      <c r="N559" s="8"/>
      <c r="O559" s="8"/>
      <c r="P559" s="8"/>
      <c r="Q559" s="8"/>
      <c r="R559" s="8"/>
      <c r="S559" s="8"/>
      <c r="T559" s="8"/>
      <c r="U559" s="8"/>
      <c r="V559" s="7"/>
      <c r="W559" s="6" t="str">
        <f t="array" ref="W559">IF(NOT(ISBLANK(D559)),_xludf.XLOOKUP(D559,[1]CODE!$A$4:$A$100,[1]CODE!$D$4:$D$100),"")</f>
        <v/>
      </c>
      <c r="X559" s="5" t="str">
        <f t="array" ref="X559">IF(NOT(AND(ISBLANK(D559),ISBLANK(C559))),_xludf.XLOOKUP(D559,[1]CODE!$A$4:$A$100,[1]CODE!$E$4:$E$100),"")</f>
        <v/>
      </c>
      <c r="Y559" s="5" t="str">
        <f t="shared" si="61"/>
        <v/>
      </c>
      <c r="Z559" s="5" t="str">
        <f t="shared" si="62"/>
        <v/>
      </c>
      <c r="AA559" s="4">
        <f t="shared" si="63"/>
        <v>0</v>
      </c>
      <c r="AC559" s="2"/>
    </row>
    <row r="560" spans="1:29" ht="15.5">
      <c r="A560" s="13" t="str">
        <f>IF(OR(ISBLANK(C560),ISBLANK(D560),ISBLANK(F560),ISBLANK(G560)),"",COUNTIF($B$5:B560,"JAMBUTU"))</f>
        <v/>
      </c>
      <c r="B560" s="8" t="str">
        <f t="shared" si="65"/>
        <v/>
      </c>
      <c r="C560" s="8"/>
      <c r="D560" s="8"/>
      <c r="E560" s="13"/>
      <c r="F560" s="12"/>
      <c r="G560" s="11"/>
      <c r="H560" s="12"/>
      <c r="I560" s="11"/>
      <c r="J560" s="10">
        <f t="shared" si="64"/>
        <v>0</v>
      </c>
      <c r="K560" s="10">
        <f t="shared" si="59"/>
        <v>0</v>
      </c>
      <c r="L560" s="9" t="str">
        <f t="shared" si="60"/>
        <v/>
      </c>
      <c r="M560" s="8"/>
      <c r="N560" s="8"/>
      <c r="O560" s="8"/>
      <c r="P560" s="8"/>
      <c r="Q560" s="8"/>
      <c r="R560" s="8"/>
      <c r="S560" s="8"/>
      <c r="T560" s="8"/>
      <c r="U560" s="8"/>
      <c r="V560" s="7"/>
      <c r="W560" s="6" t="str">
        <f t="array" ref="W560">IF(NOT(ISBLANK(D560)),_xludf.XLOOKUP(D560,[1]CODE!$A$4:$A$100,[1]CODE!$D$4:$D$100),"")</f>
        <v/>
      </c>
      <c r="X560" s="5" t="str">
        <f t="array" ref="X560">IF(NOT(AND(ISBLANK(D560),ISBLANK(C560))),_xludf.XLOOKUP(D560,[1]CODE!$A$4:$A$100,[1]CODE!$E$4:$E$100),"")</f>
        <v/>
      </c>
      <c r="Y560" s="5" t="str">
        <f t="shared" si="61"/>
        <v/>
      </c>
      <c r="Z560" s="5" t="str">
        <f t="shared" si="62"/>
        <v/>
      </c>
      <c r="AA560" s="4">
        <f t="shared" si="63"/>
        <v>0</v>
      </c>
      <c r="AC560" s="2"/>
    </row>
    <row r="561" spans="1:29" ht="15.5">
      <c r="A561" s="13" t="str">
        <f>IF(OR(ISBLANK(C561),ISBLANK(D561),ISBLANK(F561),ISBLANK(G561)),"",COUNTIF($B$5:B561,"JAMBUTU"))</f>
        <v/>
      </c>
      <c r="B561" s="8" t="str">
        <f t="shared" si="65"/>
        <v/>
      </c>
      <c r="C561" s="8"/>
      <c r="D561" s="8"/>
      <c r="E561" s="13"/>
      <c r="F561" s="12"/>
      <c r="G561" s="11"/>
      <c r="H561" s="12"/>
      <c r="I561" s="11"/>
      <c r="J561" s="10">
        <f t="shared" si="64"/>
        <v>0</v>
      </c>
      <c r="K561" s="10">
        <f t="shared" si="59"/>
        <v>0</v>
      </c>
      <c r="L561" s="9" t="str">
        <f t="shared" si="60"/>
        <v/>
      </c>
      <c r="M561" s="8"/>
      <c r="N561" s="8"/>
      <c r="O561" s="8"/>
      <c r="P561" s="8"/>
      <c r="Q561" s="8"/>
      <c r="R561" s="8"/>
      <c r="S561" s="8"/>
      <c r="T561" s="8"/>
      <c r="U561" s="8"/>
      <c r="V561" s="7"/>
      <c r="W561" s="6" t="str">
        <f t="array" ref="W561">IF(NOT(ISBLANK(D561)),_xludf.XLOOKUP(D561,[1]CODE!$A$4:$A$100,[1]CODE!$D$4:$D$100),"")</f>
        <v/>
      </c>
      <c r="X561" s="5" t="str">
        <f t="array" ref="X561">IF(NOT(AND(ISBLANK(D561),ISBLANK(C561))),_xludf.XLOOKUP(D561,[1]CODE!$A$4:$A$100,[1]CODE!$E$4:$E$100),"")</f>
        <v/>
      </c>
      <c r="Y561" s="5" t="str">
        <f t="shared" si="61"/>
        <v/>
      </c>
      <c r="Z561" s="5" t="str">
        <f t="shared" si="62"/>
        <v/>
      </c>
      <c r="AA561" s="4">
        <f t="shared" si="63"/>
        <v>0</v>
      </c>
      <c r="AC561" s="2"/>
    </row>
    <row r="562" spans="1:29" ht="15.5">
      <c r="A562" s="13" t="str">
        <f>IF(OR(ISBLANK(C562),ISBLANK(D562),ISBLANK(F562),ISBLANK(G562)),"",COUNTIF($B$5:B562,"JAMBUTU"))</f>
        <v/>
      </c>
      <c r="B562" s="8" t="str">
        <f t="shared" si="65"/>
        <v/>
      </c>
      <c r="C562" s="8"/>
      <c r="D562" s="8"/>
      <c r="E562" s="13"/>
      <c r="F562" s="12"/>
      <c r="G562" s="11"/>
      <c r="H562" s="12"/>
      <c r="I562" s="11"/>
      <c r="J562" s="10">
        <f t="shared" si="64"/>
        <v>0</v>
      </c>
      <c r="K562" s="10">
        <f t="shared" si="59"/>
        <v>0</v>
      </c>
      <c r="L562" s="9" t="str">
        <f t="shared" si="60"/>
        <v/>
      </c>
      <c r="M562" s="8"/>
      <c r="N562" s="8"/>
      <c r="O562" s="8"/>
      <c r="P562" s="8"/>
      <c r="Q562" s="8"/>
      <c r="R562" s="8"/>
      <c r="S562" s="8"/>
      <c r="T562" s="8"/>
      <c r="U562" s="8"/>
      <c r="V562" s="7"/>
      <c r="W562" s="6" t="str">
        <f t="array" ref="W562">IF(NOT(ISBLANK(D562)),_xludf.XLOOKUP(D562,[1]CODE!$A$4:$A$100,[1]CODE!$D$4:$D$100),"")</f>
        <v/>
      </c>
      <c r="X562" s="5" t="str">
        <f t="array" ref="X562">IF(NOT(AND(ISBLANK(D562),ISBLANK(C562))),_xludf.XLOOKUP(D562,[1]CODE!$A$4:$A$100,[1]CODE!$E$4:$E$100),"")</f>
        <v/>
      </c>
      <c r="Y562" s="5" t="str">
        <f t="shared" si="61"/>
        <v/>
      </c>
      <c r="Z562" s="5" t="str">
        <f t="shared" si="62"/>
        <v/>
      </c>
      <c r="AA562" s="4">
        <f t="shared" si="63"/>
        <v>0</v>
      </c>
      <c r="AC562" s="2"/>
    </row>
    <row r="563" spans="1:29" ht="15.5">
      <c r="A563" s="13" t="str">
        <f>IF(OR(ISBLANK(C563),ISBLANK(D563),ISBLANK(F563),ISBLANK(G563)),"",COUNTIF($B$5:B563,"JAMBUTU"))</f>
        <v/>
      </c>
      <c r="B563" s="8" t="str">
        <f t="shared" si="65"/>
        <v/>
      </c>
      <c r="C563" s="8"/>
      <c r="D563" s="8"/>
      <c r="E563" s="13"/>
      <c r="F563" s="12"/>
      <c r="G563" s="11"/>
      <c r="H563" s="12"/>
      <c r="I563" s="11"/>
      <c r="J563" s="10">
        <f t="shared" si="64"/>
        <v>0</v>
      </c>
      <c r="K563" s="10">
        <f t="shared" si="59"/>
        <v>0</v>
      </c>
      <c r="L563" s="9" t="str">
        <f t="shared" si="60"/>
        <v/>
      </c>
      <c r="M563" s="8"/>
      <c r="N563" s="8"/>
      <c r="O563" s="8"/>
      <c r="P563" s="8"/>
      <c r="Q563" s="8"/>
      <c r="R563" s="8"/>
      <c r="S563" s="8"/>
      <c r="T563" s="8"/>
      <c r="U563" s="8"/>
      <c r="V563" s="7"/>
      <c r="W563" s="6" t="str">
        <f t="array" ref="W563">IF(NOT(ISBLANK(D563)),_xludf.XLOOKUP(D563,[1]CODE!$A$4:$A$100,[1]CODE!$D$4:$D$100),"")</f>
        <v/>
      </c>
      <c r="X563" s="5" t="str">
        <f t="array" ref="X563">IF(NOT(AND(ISBLANK(D563),ISBLANK(C563))),_xludf.XLOOKUP(D563,[1]CODE!$A$4:$A$100,[1]CODE!$E$4:$E$100),"")</f>
        <v/>
      </c>
      <c r="Y563" s="5" t="str">
        <f t="shared" si="61"/>
        <v/>
      </c>
      <c r="Z563" s="5" t="str">
        <f t="shared" si="62"/>
        <v/>
      </c>
      <c r="AA563" s="4">
        <f t="shared" si="63"/>
        <v>0</v>
      </c>
      <c r="AC563" s="2"/>
    </row>
    <row r="564" spans="1:29" ht="15.5">
      <c r="A564" s="13" t="str">
        <f>IF(OR(ISBLANK(C564),ISBLANK(D564),ISBLANK(F564),ISBLANK(G564)),"",COUNTIF($B$5:B564,"JAMBUTU"))</f>
        <v/>
      </c>
      <c r="B564" s="8" t="str">
        <f t="shared" si="65"/>
        <v/>
      </c>
      <c r="C564" s="8"/>
      <c r="D564" s="8"/>
      <c r="E564" s="13"/>
      <c r="F564" s="12"/>
      <c r="G564" s="11"/>
      <c r="H564" s="12"/>
      <c r="I564" s="11"/>
      <c r="J564" s="10">
        <f t="shared" si="64"/>
        <v>0</v>
      </c>
      <c r="K564" s="10">
        <f t="shared" si="59"/>
        <v>0</v>
      </c>
      <c r="L564" s="9" t="str">
        <f t="shared" si="60"/>
        <v/>
      </c>
      <c r="M564" s="8"/>
      <c r="N564" s="8"/>
      <c r="O564" s="8"/>
      <c r="P564" s="8"/>
      <c r="Q564" s="8"/>
      <c r="R564" s="8"/>
      <c r="S564" s="8"/>
      <c r="T564" s="8"/>
      <c r="U564" s="8"/>
      <c r="V564" s="7"/>
      <c r="W564" s="6" t="str">
        <f t="array" ref="W564">IF(NOT(ISBLANK(D564)),_xludf.XLOOKUP(D564,[1]CODE!$A$4:$A$100,[1]CODE!$D$4:$D$100),"")</f>
        <v/>
      </c>
      <c r="X564" s="5" t="str">
        <f t="array" ref="X564">IF(NOT(AND(ISBLANK(D564),ISBLANK(C564))),_xludf.XLOOKUP(D564,[1]CODE!$A$4:$A$100,[1]CODE!$E$4:$E$100),"")</f>
        <v/>
      </c>
      <c r="Y564" s="5" t="str">
        <f t="shared" si="61"/>
        <v/>
      </c>
      <c r="Z564" s="5" t="str">
        <f t="shared" si="62"/>
        <v/>
      </c>
      <c r="AA564" s="4">
        <f t="shared" si="63"/>
        <v>0</v>
      </c>
      <c r="AC564" s="2"/>
    </row>
    <row r="565" spans="1:29" ht="15.5">
      <c r="A565" s="13" t="str">
        <f>IF(OR(ISBLANK(C565),ISBLANK(D565),ISBLANK(F565),ISBLANK(G565)),"",COUNTIF($B$5:B565,"JAMBUTU"))</f>
        <v/>
      </c>
      <c r="B565" s="8" t="str">
        <f t="shared" si="65"/>
        <v/>
      </c>
      <c r="C565" s="8"/>
      <c r="D565" s="8"/>
      <c r="E565" s="13"/>
      <c r="F565" s="12"/>
      <c r="G565" s="11"/>
      <c r="H565" s="12"/>
      <c r="I565" s="11"/>
      <c r="J565" s="10">
        <f t="shared" si="64"/>
        <v>0</v>
      </c>
      <c r="K565" s="10">
        <f t="shared" si="59"/>
        <v>0</v>
      </c>
      <c r="L565" s="9" t="str">
        <f t="shared" si="60"/>
        <v/>
      </c>
      <c r="M565" s="8"/>
      <c r="N565" s="8"/>
      <c r="O565" s="8"/>
      <c r="P565" s="8"/>
      <c r="Q565" s="8"/>
      <c r="R565" s="8"/>
      <c r="S565" s="8"/>
      <c r="T565" s="8"/>
      <c r="U565" s="8"/>
      <c r="V565" s="7"/>
      <c r="W565" s="6" t="str">
        <f t="array" ref="W565">IF(NOT(ISBLANK(D565)),_xludf.XLOOKUP(D565,[1]CODE!$A$4:$A$100,[1]CODE!$D$4:$D$100),"")</f>
        <v/>
      </c>
      <c r="X565" s="5" t="str">
        <f t="array" ref="X565">IF(NOT(AND(ISBLANK(D565),ISBLANK(C565))),_xludf.XLOOKUP(D565,[1]CODE!$A$4:$A$100,[1]CODE!$E$4:$E$100),"")</f>
        <v/>
      </c>
      <c r="Y565" s="5" t="str">
        <f t="shared" si="61"/>
        <v/>
      </c>
      <c r="Z565" s="5" t="str">
        <f t="shared" si="62"/>
        <v/>
      </c>
      <c r="AA565" s="4">
        <f t="shared" si="63"/>
        <v>0</v>
      </c>
      <c r="AC565" s="2"/>
    </row>
    <row r="566" spans="1:29" ht="15.5">
      <c r="A566" s="13" t="str">
        <f>IF(OR(ISBLANK(C566),ISBLANK(D566),ISBLANK(F566),ISBLANK(G566)),"",COUNTIF($B$5:B566,"JAMBUTU"))</f>
        <v/>
      </c>
      <c r="B566" s="8" t="str">
        <f t="shared" si="65"/>
        <v/>
      </c>
      <c r="C566" s="8"/>
      <c r="D566" s="8"/>
      <c r="E566" s="13"/>
      <c r="F566" s="12"/>
      <c r="G566" s="11"/>
      <c r="H566" s="12"/>
      <c r="I566" s="11"/>
      <c r="J566" s="10">
        <f t="shared" si="64"/>
        <v>0</v>
      </c>
      <c r="K566" s="10">
        <f t="shared" si="59"/>
        <v>0</v>
      </c>
      <c r="L566" s="9" t="str">
        <f t="shared" si="60"/>
        <v/>
      </c>
      <c r="M566" s="8"/>
      <c r="N566" s="8"/>
      <c r="O566" s="8"/>
      <c r="P566" s="8"/>
      <c r="Q566" s="8"/>
      <c r="R566" s="8"/>
      <c r="S566" s="8"/>
      <c r="T566" s="8"/>
      <c r="U566" s="8"/>
      <c r="V566" s="7"/>
      <c r="W566" s="6" t="str">
        <f t="array" ref="W566">IF(NOT(ISBLANK(D566)),_xludf.XLOOKUP(D566,[1]CODE!$A$4:$A$100,[1]CODE!$D$4:$D$100),"")</f>
        <v/>
      </c>
      <c r="X566" s="5" t="str">
        <f t="array" ref="X566">IF(NOT(AND(ISBLANK(D566),ISBLANK(C566))),_xludf.XLOOKUP(D566,[1]CODE!$A$4:$A$100,[1]CODE!$E$4:$E$100),"")</f>
        <v/>
      </c>
      <c r="Y566" s="5" t="str">
        <f t="shared" si="61"/>
        <v/>
      </c>
      <c r="Z566" s="5" t="str">
        <f t="shared" si="62"/>
        <v/>
      </c>
      <c r="AA566" s="4">
        <f t="shared" si="63"/>
        <v>0</v>
      </c>
      <c r="AC566" s="2"/>
    </row>
    <row r="567" spans="1:29" ht="15.5">
      <c r="A567" s="13" t="str">
        <f>IF(OR(ISBLANK(C567),ISBLANK(D567),ISBLANK(F567),ISBLANK(G567)),"",COUNTIF($B$5:B567,"JAMBUTU"))</f>
        <v/>
      </c>
      <c r="B567" s="8" t="str">
        <f t="shared" si="65"/>
        <v/>
      </c>
      <c r="C567" s="8"/>
      <c r="D567" s="8"/>
      <c r="E567" s="13"/>
      <c r="F567" s="12"/>
      <c r="G567" s="11"/>
      <c r="H567" s="12"/>
      <c r="I567" s="11"/>
      <c r="J567" s="10">
        <f t="shared" si="64"/>
        <v>0</v>
      </c>
      <c r="K567" s="10">
        <f t="shared" si="59"/>
        <v>0</v>
      </c>
      <c r="L567" s="9" t="str">
        <f t="shared" si="60"/>
        <v/>
      </c>
      <c r="M567" s="8"/>
      <c r="N567" s="8"/>
      <c r="O567" s="8"/>
      <c r="P567" s="8"/>
      <c r="Q567" s="8"/>
      <c r="R567" s="8"/>
      <c r="S567" s="8"/>
      <c r="T567" s="8"/>
      <c r="U567" s="8"/>
      <c r="V567" s="7"/>
      <c r="W567" s="6" t="str">
        <f t="array" ref="W567">IF(NOT(ISBLANK(D567)),_xludf.XLOOKUP(D567,[1]CODE!$A$4:$A$100,[1]CODE!$D$4:$D$100),"")</f>
        <v/>
      </c>
      <c r="X567" s="5" t="str">
        <f t="array" ref="X567">IF(NOT(AND(ISBLANK(D567),ISBLANK(C567))),_xludf.XLOOKUP(D567,[1]CODE!$A$4:$A$100,[1]CODE!$E$4:$E$100),"")</f>
        <v/>
      </c>
      <c r="Y567" s="5" t="str">
        <f t="shared" si="61"/>
        <v/>
      </c>
      <c r="Z567" s="5" t="str">
        <f t="shared" si="62"/>
        <v/>
      </c>
      <c r="AA567" s="4">
        <f t="shared" si="63"/>
        <v>0</v>
      </c>
      <c r="AC567" s="2"/>
    </row>
    <row r="568" spans="1:29" ht="15.5">
      <c r="A568" s="13" t="str">
        <f>IF(OR(ISBLANK(C568),ISBLANK(D568),ISBLANK(F568),ISBLANK(G568)),"",COUNTIF($B$5:B568,"JAMBUTU"))</f>
        <v/>
      </c>
      <c r="B568" s="8" t="str">
        <f t="shared" si="65"/>
        <v/>
      </c>
      <c r="C568" s="8"/>
      <c r="D568" s="8"/>
      <c r="E568" s="13"/>
      <c r="F568" s="12"/>
      <c r="G568" s="11"/>
      <c r="H568" s="12"/>
      <c r="I568" s="11"/>
      <c r="J568" s="10">
        <f t="shared" si="64"/>
        <v>0</v>
      </c>
      <c r="K568" s="10">
        <f t="shared" si="59"/>
        <v>0</v>
      </c>
      <c r="L568" s="9" t="str">
        <f t="shared" si="60"/>
        <v/>
      </c>
      <c r="M568" s="8"/>
      <c r="N568" s="8"/>
      <c r="O568" s="8"/>
      <c r="P568" s="8"/>
      <c r="Q568" s="8"/>
      <c r="R568" s="8"/>
      <c r="S568" s="8"/>
      <c r="T568" s="8"/>
      <c r="U568" s="8"/>
      <c r="V568" s="7"/>
      <c r="W568" s="6" t="str">
        <f t="array" ref="W568">IF(NOT(ISBLANK(D568)),_xludf.XLOOKUP(D568,[1]CODE!$A$4:$A$100,[1]CODE!$D$4:$D$100),"")</f>
        <v/>
      </c>
      <c r="X568" s="5" t="str">
        <f t="array" ref="X568">IF(NOT(AND(ISBLANK(D568),ISBLANK(C568))),_xludf.XLOOKUP(D568,[1]CODE!$A$4:$A$100,[1]CODE!$E$4:$E$100),"")</f>
        <v/>
      </c>
      <c r="Y568" s="5" t="str">
        <f t="shared" si="61"/>
        <v/>
      </c>
      <c r="Z568" s="5" t="str">
        <f t="shared" si="62"/>
        <v/>
      </c>
      <c r="AA568" s="4">
        <f t="shared" si="63"/>
        <v>0</v>
      </c>
      <c r="AC568" s="2"/>
    </row>
    <row r="569" spans="1:29" ht="15.5">
      <c r="A569" s="13" t="str">
        <f>IF(OR(ISBLANK(C569),ISBLANK(D569),ISBLANK(F569),ISBLANK(G569)),"",COUNTIF($B$5:B569,"JAMBUTU"))</f>
        <v/>
      </c>
      <c r="B569" s="8" t="str">
        <f t="shared" si="65"/>
        <v/>
      </c>
      <c r="C569" s="8"/>
      <c r="D569" s="8"/>
      <c r="E569" s="13"/>
      <c r="F569" s="12"/>
      <c r="G569" s="11"/>
      <c r="H569" s="12"/>
      <c r="I569" s="11"/>
      <c r="J569" s="10">
        <f t="shared" si="64"/>
        <v>0</v>
      </c>
      <c r="K569" s="10">
        <f t="shared" si="59"/>
        <v>0</v>
      </c>
      <c r="L569" s="9" t="str">
        <f t="shared" si="60"/>
        <v/>
      </c>
      <c r="M569" s="8"/>
      <c r="N569" s="8"/>
      <c r="O569" s="8"/>
      <c r="P569" s="8"/>
      <c r="Q569" s="8"/>
      <c r="R569" s="8"/>
      <c r="S569" s="8"/>
      <c r="T569" s="8"/>
      <c r="U569" s="8"/>
      <c r="V569" s="7"/>
      <c r="W569" s="6" t="str">
        <f t="array" ref="W569">IF(NOT(ISBLANK(D569)),_xludf.XLOOKUP(D569,[1]CODE!$A$4:$A$100,[1]CODE!$D$4:$D$100),"")</f>
        <v/>
      </c>
      <c r="X569" s="5" t="str">
        <f t="array" ref="X569">IF(NOT(AND(ISBLANK(D569),ISBLANK(C569))),_xludf.XLOOKUP(D569,[1]CODE!$A$4:$A$100,[1]CODE!$E$4:$E$100),"")</f>
        <v/>
      </c>
      <c r="Y569" s="5" t="str">
        <f t="shared" si="61"/>
        <v/>
      </c>
      <c r="Z569" s="5" t="str">
        <f t="shared" si="62"/>
        <v/>
      </c>
      <c r="AA569" s="4">
        <f t="shared" si="63"/>
        <v>0</v>
      </c>
      <c r="AC569" s="2"/>
    </row>
    <row r="570" spans="1:29" ht="15.5">
      <c r="A570" s="13" t="str">
        <f>IF(OR(ISBLANK(C570),ISBLANK(D570),ISBLANK(F570),ISBLANK(G570)),"",COUNTIF($B$5:B570,"JAMBUTU"))</f>
        <v/>
      </c>
      <c r="B570" s="8" t="str">
        <f t="shared" si="65"/>
        <v/>
      </c>
      <c r="C570" s="8"/>
      <c r="D570" s="8"/>
      <c r="E570" s="13"/>
      <c r="F570" s="12"/>
      <c r="G570" s="11"/>
      <c r="H570" s="12"/>
      <c r="I570" s="11"/>
      <c r="J570" s="10">
        <f t="shared" si="64"/>
        <v>0</v>
      </c>
      <c r="K570" s="10">
        <f t="shared" si="59"/>
        <v>0</v>
      </c>
      <c r="L570" s="9" t="str">
        <f t="shared" si="60"/>
        <v/>
      </c>
      <c r="M570" s="8"/>
      <c r="N570" s="8"/>
      <c r="O570" s="8"/>
      <c r="P570" s="8"/>
      <c r="Q570" s="8"/>
      <c r="R570" s="8"/>
      <c r="S570" s="8"/>
      <c r="T570" s="8"/>
      <c r="U570" s="8"/>
      <c r="V570" s="7"/>
      <c r="W570" s="6" t="str">
        <f t="array" ref="W570">IF(NOT(ISBLANK(D570)),_xludf.XLOOKUP(D570,[1]CODE!$A$4:$A$100,[1]CODE!$D$4:$D$100),"")</f>
        <v/>
      </c>
      <c r="X570" s="5" t="str">
        <f t="array" ref="X570">IF(NOT(AND(ISBLANK(D570),ISBLANK(C570))),_xludf.XLOOKUP(D570,[1]CODE!$A$4:$A$100,[1]CODE!$E$4:$E$100),"")</f>
        <v/>
      </c>
      <c r="Y570" s="5" t="str">
        <f t="shared" si="61"/>
        <v/>
      </c>
      <c r="Z570" s="5" t="str">
        <f t="shared" si="62"/>
        <v/>
      </c>
      <c r="AA570" s="4">
        <f t="shared" si="63"/>
        <v>0</v>
      </c>
      <c r="AC570" s="2"/>
    </row>
    <row r="571" spans="1:29" ht="15.5">
      <c r="A571" s="13" t="str">
        <f>IF(OR(ISBLANK(C571),ISBLANK(D571),ISBLANK(F571),ISBLANK(G571)),"",COUNTIF($B$5:B571,"JAMBUTU"))</f>
        <v/>
      </c>
      <c r="B571" s="8" t="str">
        <f t="shared" si="65"/>
        <v/>
      </c>
      <c r="C571" s="8"/>
      <c r="D571" s="8"/>
      <c r="E571" s="13"/>
      <c r="F571" s="12"/>
      <c r="G571" s="11"/>
      <c r="H571" s="12"/>
      <c r="I571" s="11"/>
      <c r="J571" s="10">
        <f t="shared" si="64"/>
        <v>0</v>
      </c>
      <c r="K571" s="10">
        <f t="shared" si="59"/>
        <v>0</v>
      </c>
      <c r="L571" s="9" t="str">
        <f t="shared" si="60"/>
        <v/>
      </c>
      <c r="M571" s="8"/>
      <c r="N571" s="8"/>
      <c r="O571" s="8"/>
      <c r="P571" s="8"/>
      <c r="Q571" s="8"/>
      <c r="R571" s="8"/>
      <c r="S571" s="8"/>
      <c r="T571" s="8"/>
      <c r="U571" s="8"/>
      <c r="V571" s="7"/>
      <c r="W571" s="6" t="str">
        <f t="array" ref="W571">IF(NOT(ISBLANK(D571)),_xludf.XLOOKUP(D571,[1]CODE!$A$4:$A$100,[1]CODE!$D$4:$D$100),"")</f>
        <v/>
      </c>
      <c r="X571" s="5" t="str">
        <f t="array" ref="X571">IF(NOT(AND(ISBLANK(D571),ISBLANK(C571))),_xludf.XLOOKUP(D571,[1]CODE!$A$4:$A$100,[1]CODE!$E$4:$E$100),"")</f>
        <v/>
      </c>
      <c r="Y571" s="5" t="str">
        <f t="shared" si="61"/>
        <v/>
      </c>
      <c r="Z571" s="5" t="str">
        <f t="shared" si="62"/>
        <v/>
      </c>
      <c r="AA571" s="4">
        <f t="shared" si="63"/>
        <v>0</v>
      </c>
      <c r="AC571" s="2"/>
    </row>
    <row r="572" spans="1:29" ht="15.5">
      <c r="A572" s="13" t="str">
        <f>IF(OR(ISBLANK(C572),ISBLANK(D572),ISBLANK(F572),ISBLANK(G572)),"",COUNTIF($B$5:B572,"JAMBUTU"))</f>
        <v/>
      </c>
      <c r="B572" s="8" t="str">
        <f t="shared" si="65"/>
        <v/>
      </c>
      <c r="C572" s="8"/>
      <c r="D572" s="8"/>
      <c r="E572" s="13"/>
      <c r="F572" s="12"/>
      <c r="G572" s="11"/>
      <c r="H572" s="12"/>
      <c r="I572" s="11"/>
      <c r="J572" s="10">
        <f t="shared" si="64"/>
        <v>0</v>
      </c>
      <c r="K572" s="10">
        <f t="shared" si="59"/>
        <v>0</v>
      </c>
      <c r="L572" s="9" t="str">
        <f t="shared" si="60"/>
        <v/>
      </c>
      <c r="M572" s="8"/>
      <c r="N572" s="8"/>
      <c r="O572" s="8"/>
      <c r="P572" s="8"/>
      <c r="Q572" s="8"/>
      <c r="R572" s="8"/>
      <c r="S572" s="8"/>
      <c r="T572" s="8"/>
      <c r="U572" s="8"/>
      <c r="V572" s="7"/>
      <c r="W572" s="6" t="str">
        <f t="array" ref="W572">IF(NOT(ISBLANK(D572)),_xludf.XLOOKUP(D572,[1]CODE!$A$4:$A$100,[1]CODE!$D$4:$D$100),"")</f>
        <v/>
      </c>
      <c r="X572" s="5" t="str">
        <f t="array" ref="X572">IF(NOT(AND(ISBLANK(D572),ISBLANK(C572))),_xludf.XLOOKUP(D572,[1]CODE!$A$4:$A$100,[1]CODE!$E$4:$E$100),"")</f>
        <v/>
      </c>
      <c r="Y572" s="5" t="str">
        <f t="shared" si="61"/>
        <v/>
      </c>
      <c r="Z572" s="5" t="str">
        <f t="shared" si="62"/>
        <v/>
      </c>
      <c r="AA572" s="4">
        <f t="shared" si="63"/>
        <v>0</v>
      </c>
      <c r="AC572" s="2"/>
    </row>
    <row r="573" spans="1:29" ht="15.5">
      <c r="A573" s="13" t="str">
        <f>IF(OR(ISBLANK(C573),ISBLANK(D573),ISBLANK(F573),ISBLANK(G573)),"",COUNTIF($B$5:B573,"JAMBUTU"))</f>
        <v/>
      </c>
      <c r="B573" s="8" t="str">
        <f t="shared" si="65"/>
        <v/>
      </c>
      <c r="C573" s="8"/>
      <c r="D573" s="8"/>
      <c r="E573" s="13"/>
      <c r="F573" s="12"/>
      <c r="G573" s="11"/>
      <c r="H573" s="12"/>
      <c r="I573" s="11"/>
      <c r="J573" s="10">
        <f t="shared" si="64"/>
        <v>0</v>
      </c>
      <c r="K573" s="10">
        <f t="shared" si="59"/>
        <v>0</v>
      </c>
      <c r="L573" s="9" t="str">
        <f t="shared" si="60"/>
        <v/>
      </c>
      <c r="M573" s="8"/>
      <c r="N573" s="8"/>
      <c r="O573" s="8"/>
      <c r="P573" s="8"/>
      <c r="Q573" s="8"/>
      <c r="R573" s="8"/>
      <c r="S573" s="8"/>
      <c r="T573" s="8"/>
      <c r="U573" s="8"/>
      <c r="V573" s="7"/>
      <c r="W573" s="6" t="str">
        <f t="array" ref="W573">IF(NOT(ISBLANK(D573)),_xludf.XLOOKUP(D573,[1]CODE!$A$4:$A$100,[1]CODE!$D$4:$D$100),"")</f>
        <v/>
      </c>
      <c r="X573" s="5" t="str">
        <f t="array" ref="X573">IF(NOT(AND(ISBLANK(D573),ISBLANK(C573))),_xludf.XLOOKUP(D573,[1]CODE!$A$4:$A$100,[1]CODE!$E$4:$E$100),"")</f>
        <v/>
      </c>
      <c r="Y573" s="5" t="str">
        <f t="shared" si="61"/>
        <v/>
      </c>
      <c r="Z573" s="5" t="str">
        <f t="shared" si="62"/>
        <v/>
      </c>
      <c r="AA573" s="4">
        <f t="shared" si="63"/>
        <v>0</v>
      </c>
      <c r="AC573" s="2"/>
    </row>
    <row r="574" spans="1:29" ht="15.5">
      <c r="A574" s="13" t="str">
        <f>IF(OR(ISBLANK(C574),ISBLANK(D574),ISBLANK(F574),ISBLANK(G574)),"",COUNTIF($B$5:B574,"JAMBUTU"))</f>
        <v/>
      </c>
      <c r="B574" s="8" t="str">
        <f t="shared" si="65"/>
        <v/>
      </c>
      <c r="C574" s="8"/>
      <c r="D574" s="8"/>
      <c r="E574" s="13"/>
      <c r="F574" s="12"/>
      <c r="G574" s="11"/>
      <c r="H574" s="12"/>
      <c r="I574" s="11"/>
      <c r="J574" s="10">
        <f t="shared" si="64"/>
        <v>0</v>
      </c>
      <c r="K574" s="10">
        <f t="shared" si="59"/>
        <v>0</v>
      </c>
      <c r="L574" s="9" t="str">
        <f t="shared" si="60"/>
        <v/>
      </c>
      <c r="M574" s="8"/>
      <c r="N574" s="8"/>
      <c r="O574" s="8"/>
      <c r="P574" s="8"/>
      <c r="Q574" s="8"/>
      <c r="R574" s="8"/>
      <c r="S574" s="8"/>
      <c r="T574" s="8"/>
      <c r="U574" s="8"/>
      <c r="V574" s="7"/>
      <c r="W574" s="6" t="str">
        <f t="array" ref="W574">IF(NOT(ISBLANK(D574)),_xludf.XLOOKUP(D574,[1]CODE!$A$4:$A$100,[1]CODE!$D$4:$D$100),"")</f>
        <v/>
      </c>
      <c r="X574" s="5" t="str">
        <f t="array" ref="X574">IF(NOT(AND(ISBLANK(D574),ISBLANK(C574))),_xludf.XLOOKUP(D574,[1]CODE!$A$4:$A$100,[1]CODE!$E$4:$E$100),"")</f>
        <v/>
      </c>
      <c r="Y574" s="5" t="str">
        <f t="shared" si="61"/>
        <v/>
      </c>
      <c r="Z574" s="5" t="str">
        <f t="shared" si="62"/>
        <v/>
      </c>
      <c r="AA574" s="4">
        <f t="shared" si="63"/>
        <v>0</v>
      </c>
      <c r="AC574" s="2"/>
    </row>
    <row r="575" spans="1:29" ht="15.5">
      <c r="A575" s="13" t="str">
        <f>IF(OR(ISBLANK(C575),ISBLANK(D575),ISBLANK(F575),ISBLANK(G575)),"",COUNTIF($B$5:B575,"JAMBUTU"))</f>
        <v/>
      </c>
      <c r="B575" s="8" t="str">
        <f t="shared" si="65"/>
        <v/>
      </c>
      <c r="C575" s="8"/>
      <c r="D575" s="8"/>
      <c r="E575" s="13"/>
      <c r="F575" s="12"/>
      <c r="G575" s="11"/>
      <c r="H575" s="12"/>
      <c r="I575" s="11"/>
      <c r="J575" s="10">
        <f t="shared" si="64"/>
        <v>0</v>
      </c>
      <c r="K575" s="10">
        <f t="shared" si="59"/>
        <v>0</v>
      </c>
      <c r="L575" s="9" t="str">
        <f t="shared" si="60"/>
        <v/>
      </c>
      <c r="M575" s="8"/>
      <c r="N575" s="8"/>
      <c r="O575" s="8"/>
      <c r="P575" s="8"/>
      <c r="Q575" s="8"/>
      <c r="R575" s="8"/>
      <c r="S575" s="8"/>
      <c r="T575" s="8"/>
      <c r="U575" s="8"/>
      <c r="V575" s="7"/>
      <c r="W575" s="6" t="str">
        <f t="array" ref="W575">IF(NOT(ISBLANK(D575)),_xludf.XLOOKUP(D575,[1]CODE!$A$4:$A$100,[1]CODE!$D$4:$D$100),"")</f>
        <v/>
      </c>
      <c r="X575" s="5" t="str">
        <f t="array" ref="X575">IF(NOT(AND(ISBLANK(D575),ISBLANK(C575))),_xludf.XLOOKUP(D575,[1]CODE!$A$4:$A$100,[1]CODE!$E$4:$E$100),"")</f>
        <v/>
      </c>
      <c r="Y575" s="5" t="str">
        <f t="shared" si="61"/>
        <v/>
      </c>
      <c r="Z575" s="5" t="str">
        <f t="shared" si="62"/>
        <v/>
      </c>
      <c r="AA575" s="4">
        <f t="shared" si="63"/>
        <v>0</v>
      </c>
      <c r="AC575" s="2"/>
    </row>
    <row r="576" spans="1:29" ht="15.5">
      <c r="A576" s="13" t="str">
        <f>IF(OR(ISBLANK(C576),ISBLANK(D576),ISBLANK(F576),ISBLANK(G576)),"",COUNTIF($B$5:B576,"JAMBUTU"))</f>
        <v/>
      </c>
      <c r="B576" s="8" t="str">
        <f t="shared" si="65"/>
        <v/>
      </c>
      <c r="C576" s="8"/>
      <c r="D576" s="8"/>
      <c r="E576" s="13"/>
      <c r="F576" s="12"/>
      <c r="G576" s="11"/>
      <c r="H576" s="12"/>
      <c r="I576" s="11"/>
      <c r="J576" s="10">
        <f t="shared" si="64"/>
        <v>0</v>
      </c>
      <c r="K576" s="10">
        <f t="shared" si="59"/>
        <v>0</v>
      </c>
      <c r="L576" s="9" t="str">
        <f t="shared" si="60"/>
        <v/>
      </c>
      <c r="M576" s="8"/>
      <c r="N576" s="8"/>
      <c r="O576" s="8"/>
      <c r="P576" s="8"/>
      <c r="Q576" s="8"/>
      <c r="R576" s="8"/>
      <c r="S576" s="8"/>
      <c r="T576" s="8"/>
      <c r="U576" s="8"/>
      <c r="V576" s="7"/>
      <c r="W576" s="6" t="str">
        <f t="array" ref="W576">IF(NOT(ISBLANK(D576)),_xludf.XLOOKUP(D576,[1]CODE!$A$4:$A$100,[1]CODE!$D$4:$D$100),"")</f>
        <v/>
      </c>
      <c r="X576" s="5" t="str">
        <f t="array" ref="X576">IF(NOT(AND(ISBLANK(D576),ISBLANK(C576))),_xludf.XLOOKUP(D576,[1]CODE!$A$4:$A$100,[1]CODE!$E$4:$E$100),"")</f>
        <v/>
      </c>
      <c r="Y576" s="5" t="str">
        <f t="shared" si="61"/>
        <v/>
      </c>
      <c r="Z576" s="5" t="str">
        <f t="shared" si="62"/>
        <v/>
      </c>
      <c r="AA576" s="4">
        <f t="shared" si="63"/>
        <v>0</v>
      </c>
      <c r="AC576" s="2"/>
    </row>
    <row r="577" spans="1:29" ht="15.5">
      <c r="A577" s="13" t="str">
        <f>IF(OR(ISBLANK(C577),ISBLANK(D577),ISBLANK(F577),ISBLANK(G577)),"",COUNTIF($B$5:B577,"JAMBUTU"))</f>
        <v/>
      </c>
      <c r="B577" s="8" t="str">
        <f t="shared" si="65"/>
        <v/>
      </c>
      <c r="C577" s="8"/>
      <c r="D577" s="8"/>
      <c r="E577" s="13"/>
      <c r="F577" s="12"/>
      <c r="G577" s="11"/>
      <c r="H577" s="12"/>
      <c r="I577" s="11"/>
      <c r="J577" s="10">
        <f t="shared" si="64"/>
        <v>0</v>
      </c>
      <c r="K577" s="10">
        <f t="shared" si="59"/>
        <v>0</v>
      </c>
      <c r="L577" s="9" t="str">
        <f t="shared" si="60"/>
        <v/>
      </c>
      <c r="M577" s="8"/>
      <c r="N577" s="8"/>
      <c r="O577" s="8"/>
      <c r="P577" s="8"/>
      <c r="Q577" s="8"/>
      <c r="R577" s="8"/>
      <c r="S577" s="8"/>
      <c r="T577" s="8"/>
      <c r="U577" s="8"/>
      <c r="V577" s="7"/>
      <c r="W577" s="6" t="str">
        <f t="array" ref="W577">IF(NOT(ISBLANK(D577)),_xludf.XLOOKUP(D577,[1]CODE!$A$4:$A$100,[1]CODE!$D$4:$D$100),"")</f>
        <v/>
      </c>
      <c r="X577" s="5" t="str">
        <f t="array" ref="X577">IF(NOT(AND(ISBLANK(D577),ISBLANK(C577))),_xludf.XLOOKUP(D577,[1]CODE!$A$4:$A$100,[1]CODE!$E$4:$E$100),"")</f>
        <v/>
      </c>
      <c r="Y577" s="5" t="str">
        <f t="shared" si="61"/>
        <v/>
      </c>
      <c r="Z577" s="5" t="str">
        <f t="shared" si="62"/>
        <v/>
      </c>
      <c r="AA577" s="4">
        <f t="shared" si="63"/>
        <v>0</v>
      </c>
      <c r="AC577" s="2"/>
    </row>
    <row r="578" spans="1:29" ht="15.5">
      <c r="A578" s="13" t="str">
        <f>IF(OR(ISBLANK(C578),ISBLANK(D578),ISBLANK(F578),ISBLANK(G578)),"",COUNTIF($B$5:B578,"JAMBUTU"))</f>
        <v/>
      </c>
      <c r="B578" s="8" t="str">
        <f t="shared" si="65"/>
        <v/>
      </c>
      <c r="C578" s="8"/>
      <c r="D578" s="8"/>
      <c r="E578" s="13"/>
      <c r="F578" s="12"/>
      <c r="G578" s="11"/>
      <c r="H578" s="12"/>
      <c r="I578" s="11"/>
      <c r="J578" s="10">
        <f t="shared" si="64"/>
        <v>0</v>
      </c>
      <c r="K578" s="10">
        <f t="shared" si="59"/>
        <v>0</v>
      </c>
      <c r="L578" s="9" t="str">
        <f t="shared" si="60"/>
        <v/>
      </c>
      <c r="M578" s="8"/>
      <c r="N578" s="8"/>
      <c r="O578" s="8"/>
      <c r="P578" s="8"/>
      <c r="Q578" s="8"/>
      <c r="R578" s="8"/>
      <c r="S578" s="8"/>
      <c r="T578" s="8"/>
      <c r="U578" s="8"/>
      <c r="V578" s="7"/>
      <c r="W578" s="6" t="str">
        <f t="array" ref="W578">IF(NOT(ISBLANK(D578)),_xludf.XLOOKUP(D578,[1]CODE!$A$4:$A$100,[1]CODE!$D$4:$D$100),"")</f>
        <v/>
      </c>
      <c r="X578" s="5" t="str">
        <f t="array" ref="X578">IF(NOT(AND(ISBLANK(D578),ISBLANK(C578))),_xludf.XLOOKUP(D578,[1]CODE!$A$4:$A$100,[1]CODE!$E$4:$E$100),"")</f>
        <v/>
      </c>
      <c r="Y578" s="5" t="str">
        <f t="shared" si="61"/>
        <v/>
      </c>
      <c r="Z578" s="5" t="str">
        <f t="shared" si="62"/>
        <v/>
      </c>
      <c r="AA578" s="4">
        <f t="shared" si="63"/>
        <v>0</v>
      </c>
      <c r="AC578" s="2"/>
    </row>
    <row r="579" spans="1:29" ht="15.5">
      <c r="A579" s="13" t="str">
        <f>IF(OR(ISBLANK(C579),ISBLANK(D579),ISBLANK(F579),ISBLANK(G579)),"",COUNTIF($B$5:B579,"JAMBUTU"))</f>
        <v/>
      </c>
      <c r="B579" s="8" t="str">
        <f t="shared" si="65"/>
        <v/>
      </c>
      <c r="C579" s="8"/>
      <c r="D579" s="8"/>
      <c r="E579" s="13"/>
      <c r="F579" s="12"/>
      <c r="G579" s="11"/>
      <c r="H579" s="12"/>
      <c r="I579" s="11"/>
      <c r="J579" s="10">
        <f t="shared" si="64"/>
        <v>0</v>
      </c>
      <c r="K579" s="10">
        <f t="shared" si="59"/>
        <v>0</v>
      </c>
      <c r="L579" s="9" t="str">
        <f t="shared" si="60"/>
        <v/>
      </c>
      <c r="M579" s="8"/>
      <c r="N579" s="8"/>
      <c r="O579" s="8"/>
      <c r="P579" s="8"/>
      <c r="Q579" s="8"/>
      <c r="R579" s="8"/>
      <c r="S579" s="8"/>
      <c r="T579" s="8"/>
      <c r="U579" s="8"/>
      <c r="V579" s="7"/>
      <c r="W579" s="6" t="str">
        <f t="array" ref="W579">IF(NOT(ISBLANK(D579)),_xludf.XLOOKUP(D579,[1]CODE!$A$4:$A$100,[1]CODE!$D$4:$D$100),"")</f>
        <v/>
      </c>
      <c r="X579" s="5" t="str">
        <f t="array" ref="X579">IF(NOT(AND(ISBLANK(D579),ISBLANK(C579))),_xludf.XLOOKUP(D579,[1]CODE!$A$4:$A$100,[1]CODE!$E$4:$E$100),"")</f>
        <v/>
      </c>
      <c r="Y579" s="5" t="str">
        <f t="shared" si="61"/>
        <v/>
      </c>
      <c r="Z579" s="5" t="str">
        <f t="shared" si="62"/>
        <v/>
      </c>
      <c r="AA579" s="4">
        <f t="shared" si="63"/>
        <v>0</v>
      </c>
      <c r="AC579" s="2"/>
    </row>
    <row r="580" spans="1:29" ht="15.5">
      <c r="A580" s="13" t="str">
        <f>IF(OR(ISBLANK(C580),ISBLANK(D580),ISBLANK(F580),ISBLANK(G580)),"",COUNTIF($B$5:B580,"JAMBUTU"))</f>
        <v/>
      </c>
      <c r="B580" s="8" t="str">
        <f t="shared" si="65"/>
        <v/>
      </c>
      <c r="C580" s="8"/>
      <c r="D580" s="8"/>
      <c r="E580" s="13"/>
      <c r="F580" s="12"/>
      <c r="G580" s="11"/>
      <c r="H580" s="12"/>
      <c r="I580" s="11"/>
      <c r="J580" s="10">
        <f t="shared" si="64"/>
        <v>0</v>
      </c>
      <c r="K580" s="10">
        <f t="shared" si="59"/>
        <v>0</v>
      </c>
      <c r="L580" s="9" t="str">
        <f t="shared" si="60"/>
        <v/>
      </c>
      <c r="M580" s="8"/>
      <c r="N580" s="8"/>
      <c r="O580" s="8"/>
      <c r="P580" s="8"/>
      <c r="Q580" s="8"/>
      <c r="R580" s="8"/>
      <c r="S580" s="8"/>
      <c r="T580" s="8"/>
      <c r="U580" s="8"/>
      <c r="V580" s="7"/>
      <c r="W580" s="6" t="str">
        <f t="array" ref="W580">IF(NOT(ISBLANK(D580)),_xludf.XLOOKUP(D580,[1]CODE!$A$4:$A$100,[1]CODE!$D$4:$D$100),"")</f>
        <v/>
      </c>
      <c r="X580" s="5" t="str">
        <f t="array" ref="X580">IF(NOT(AND(ISBLANK(D580),ISBLANK(C580))),_xludf.XLOOKUP(D580,[1]CODE!$A$4:$A$100,[1]CODE!$E$4:$E$100),"")</f>
        <v/>
      </c>
      <c r="Y580" s="5" t="str">
        <f t="shared" si="61"/>
        <v/>
      </c>
      <c r="Z580" s="5" t="str">
        <f t="shared" si="62"/>
        <v/>
      </c>
      <c r="AA580" s="4">
        <f t="shared" si="63"/>
        <v>0</v>
      </c>
      <c r="AC580" s="2"/>
    </row>
    <row r="581" spans="1:29" ht="15.5">
      <c r="A581" s="13" t="str">
        <f>IF(OR(ISBLANK(C581),ISBLANK(D581),ISBLANK(F581),ISBLANK(G581)),"",COUNTIF($B$5:B581,"JAMBUTU"))</f>
        <v/>
      </c>
      <c r="B581" s="8" t="str">
        <f t="shared" si="65"/>
        <v/>
      </c>
      <c r="C581" s="8"/>
      <c r="D581" s="8"/>
      <c r="E581" s="13"/>
      <c r="F581" s="12"/>
      <c r="G581" s="11"/>
      <c r="H581" s="12"/>
      <c r="I581" s="11"/>
      <c r="J581" s="10">
        <f t="shared" si="64"/>
        <v>0</v>
      </c>
      <c r="K581" s="10">
        <f t="shared" ref="K581:K598" si="66">DATE(YEAR(H581),MONTH(H581),DAY(H581))+TIME(HOUR(I581),MINUTE(I581), SECOND(I581))</f>
        <v>0</v>
      </c>
      <c r="L581" s="9" t="str">
        <f t="shared" ref="L581:L644" si="67">IF(ISBLANK(I581),"",IF(J581&gt;K581,(K581+1)-J581,K581-J581))</f>
        <v/>
      </c>
      <c r="M581" s="8"/>
      <c r="N581" s="8"/>
      <c r="O581" s="8"/>
      <c r="P581" s="8"/>
      <c r="Q581" s="8"/>
      <c r="R581" s="8"/>
      <c r="S581" s="8"/>
      <c r="T581" s="8"/>
      <c r="U581" s="8"/>
      <c r="V581" s="7"/>
      <c r="W581" s="6" t="str">
        <f t="array" ref="W581">IF(NOT(ISBLANK(D581)),_xludf.XLOOKUP(D581,[1]CODE!$A$4:$A$100,[1]CODE!$D$4:$D$100),"")</f>
        <v/>
      </c>
      <c r="X581" s="5" t="str">
        <f t="array" ref="X581">IF(NOT(AND(ISBLANK(D581),ISBLANK(C581))),_xludf.XLOOKUP(D581,[1]CODE!$A$4:$A$100,[1]CODE!$E$4:$E$100),"")</f>
        <v/>
      </c>
      <c r="Y581" s="5" t="str">
        <f t="shared" ref="Y581:Y598" si="68">LEFT(C581,4)</f>
        <v/>
      </c>
      <c r="Z581" s="5" t="str">
        <f t="shared" ref="Z581:Z598" si="69">IF(NOT(ISBLANK(C581)), IF(K581&gt;J581,"YES","NO"),"")</f>
        <v/>
      </c>
      <c r="AA581" s="4">
        <f t="shared" ref="AA581:AA644" si="70">IF(AND(F581=H581,Z581="NO"),1+H581,H581)</f>
        <v>0</v>
      </c>
      <c r="AC581" s="2"/>
    </row>
    <row r="582" spans="1:29" ht="15.5">
      <c r="A582" s="13" t="str">
        <f>IF(OR(ISBLANK(C582),ISBLANK(D582),ISBLANK(F582),ISBLANK(G582)),"",COUNTIF($B$5:B582,"JAMBUTU"))</f>
        <v/>
      </c>
      <c r="B582" s="8" t="str">
        <f t="shared" si="65"/>
        <v/>
      </c>
      <c r="C582" s="8"/>
      <c r="D582" s="8"/>
      <c r="E582" s="13"/>
      <c r="F582" s="12"/>
      <c r="G582" s="11"/>
      <c r="H582" s="12"/>
      <c r="I582" s="11"/>
      <c r="J582" s="10">
        <f t="shared" si="64"/>
        <v>0</v>
      </c>
      <c r="K582" s="10">
        <f t="shared" si="66"/>
        <v>0</v>
      </c>
      <c r="L582" s="9" t="str">
        <f t="shared" si="67"/>
        <v/>
      </c>
      <c r="M582" s="8"/>
      <c r="N582" s="8"/>
      <c r="O582" s="8"/>
      <c r="P582" s="8"/>
      <c r="Q582" s="8"/>
      <c r="R582" s="8"/>
      <c r="S582" s="8"/>
      <c r="T582" s="8"/>
      <c r="U582" s="8"/>
      <c r="V582" s="7"/>
      <c r="W582" s="6" t="str">
        <f t="array" ref="W582">IF(NOT(ISBLANK(D582)),_xludf.XLOOKUP(D582,[1]CODE!$A$4:$A$100,[1]CODE!$D$4:$D$100),"")</f>
        <v/>
      </c>
      <c r="X582" s="5" t="str">
        <f t="array" ref="X582">IF(NOT(AND(ISBLANK(D582),ISBLANK(C582))),_xludf.XLOOKUP(D582,[1]CODE!$A$4:$A$100,[1]CODE!$E$4:$E$100),"")</f>
        <v/>
      </c>
      <c r="Y582" s="5" t="str">
        <f t="shared" si="68"/>
        <v/>
      </c>
      <c r="Z582" s="5" t="str">
        <f t="shared" si="69"/>
        <v/>
      </c>
      <c r="AA582" s="4">
        <f t="shared" si="70"/>
        <v>0</v>
      </c>
      <c r="AC582" s="2"/>
    </row>
    <row r="583" spans="1:29" ht="15.5">
      <c r="A583" s="13" t="str">
        <f>IF(OR(ISBLANK(C583),ISBLANK(D583),ISBLANK(F583),ISBLANK(G583)),"",COUNTIF($B$5:B583,"JAMBUTU"))</f>
        <v/>
      </c>
      <c r="B583" s="8" t="str">
        <f t="shared" si="65"/>
        <v/>
      </c>
      <c r="C583" s="8"/>
      <c r="D583" s="8"/>
      <c r="E583" s="13"/>
      <c r="F583" s="12"/>
      <c r="G583" s="11"/>
      <c r="H583" s="12"/>
      <c r="I583" s="11"/>
      <c r="J583" s="10">
        <f t="shared" si="64"/>
        <v>0</v>
      </c>
      <c r="K583" s="10">
        <f t="shared" si="66"/>
        <v>0</v>
      </c>
      <c r="L583" s="9" t="str">
        <f t="shared" si="67"/>
        <v/>
      </c>
      <c r="M583" s="8"/>
      <c r="N583" s="8"/>
      <c r="O583" s="8"/>
      <c r="P583" s="8"/>
      <c r="Q583" s="8"/>
      <c r="R583" s="8"/>
      <c r="S583" s="8"/>
      <c r="T583" s="8"/>
      <c r="U583" s="8"/>
      <c r="V583" s="7"/>
      <c r="W583" s="6" t="str">
        <f t="array" ref="W583">IF(NOT(ISBLANK(D583)),_xludf.XLOOKUP(D583,[1]CODE!$A$4:$A$100,[1]CODE!$D$4:$D$100),"")</f>
        <v/>
      </c>
      <c r="X583" s="5" t="str">
        <f t="array" ref="X583">IF(NOT(AND(ISBLANK(D583),ISBLANK(C583))),_xludf.XLOOKUP(D583,[1]CODE!$A$4:$A$100,[1]CODE!$E$4:$E$100),"")</f>
        <v/>
      </c>
      <c r="Y583" s="5" t="str">
        <f t="shared" si="68"/>
        <v/>
      </c>
      <c r="Z583" s="5" t="str">
        <f t="shared" si="69"/>
        <v/>
      </c>
      <c r="AA583" s="4">
        <f t="shared" si="70"/>
        <v>0</v>
      </c>
      <c r="AC583" s="2"/>
    </row>
    <row r="584" spans="1:29" ht="15.5">
      <c r="A584" s="13" t="str">
        <f>IF(OR(ISBLANK(C584),ISBLANK(D584),ISBLANK(F584),ISBLANK(G584)),"",COUNTIF($B$5:B584,"JAMBUTU"))</f>
        <v/>
      </c>
      <c r="B584" s="8" t="str">
        <f t="shared" si="65"/>
        <v/>
      </c>
      <c r="C584" s="8"/>
      <c r="D584" s="8"/>
      <c r="E584" s="13"/>
      <c r="F584" s="12"/>
      <c r="G584" s="11"/>
      <c r="H584" s="12"/>
      <c r="I584" s="11"/>
      <c r="J584" s="10">
        <f t="shared" si="64"/>
        <v>0</v>
      </c>
      <c r="K584" s="10">
        <f t="shared" si="66"/>
        <v>0</v>
      </c>
      <c r="L584" s="9" t="str">
        <f t="shared" si="67"/>
        <v/>
      </c>
      <c r="M584" s="8"/>
      <c r="N584" s="8"/>
      <c r="O584" s="8"/>
      <c r="P584" s="8"/>
      <c r="Q584" s="8"/>
      <c r="R584" s="8"/>
      <c r="S584" s="8"/>
      <c r="T584" s="8"/>
      <c r="U584" s="8"/>
      <c r="V584" s="7"/>
      <c r="W584" s="6" t="str">
        <f t="array" ref="W584">IF(NOT(ISBLANK(D584)),_xludf.XLOOKUP(D584,[1]CODE!$A$4:$A$100,[1]CODE!$D$4:$D$100),"")</f>
        <v/>
      </c>
      <c r="X584" s="5" t="str">
        <f t="array" ref="X584">IF(NOT(AND(ISBLANK(D584),ISBLANK(C584))),_xludf.XLOOKUP(D584,[1]CODE!$A$4:$A$100,[1]CODE!$E$4:$E$100),"")</f>
        <v/>
      </c>
      <c r="Y584" s="5" t="str">
        <f t="shared" si="68"/>
        <v/>
      </c>
      <c r="Z584" s="5" t="str">
        <f t="shared" si="69"/>
        <v/>
      </c>
      <c r="AA584" s="4">
        <f t="shared" si="70"/>
        <v>0</v>
      </c>
      <c r="AC584" s="2"/>
    </row>
    <row r="585" spans="1:29" ht="15.5">
      <c r="A585" s="13" t="str">
        <f>IF(OR(ISBLANK(C585),ISBLANK(D585),ISBLANK(F585),ISBLANK(G585)),"",COUNTIF($B$5:B585,"JAMBUTU"))</f>
        <v/>
      </c>
      <c r="B585" s="8" t="str">
        <f t="shared" si="65"/>
        <v/>
      </c>
      <c r="C585" s="8"/>
      <c r="D585" s="8"/>
      <c r="E585" s="13"/>
      <c r="F585" s="12"/>
      <c r="G585" s="11"/>
      <c r="H585" s="12"/>
      <c r="I585" s="11"/>
      <c r="J585" s="10">
        <f t="shared" si="64"/>
        <v>0</v>
      </c>
      <c r="K585" s="10">
        <f t="shared" si="66"/>
        <v>0</v>
      </c>
      <c r="L585" s="9" t="str">
        <f t="shared" si="67"/>
        <v/>
      </c>
      <c r="M585" s="8"/>
      <c r="N585" s="8"/>
      <c r="O585" s="8"/>
      <c r="P585" s="8"/>
      <c r="Q585" s="8"/>
      <c r="R585" s="8"/>
      <c r="S585" s="8"/>
      <c r="T585" s="8"/>
      <c r="U585" s="8"/>
      <c r="V585" s="7"/>
      <c r="W585" s="6" t="str">
        <f t="array" ref="W585">IF(NOT(ISBLANK(D585)),_xludf.XLOOKUP(D585,[1]CODE!$A$4:$A$100,[1]CODE!$D$4:$D$100),"")</f>
        <v/>
      </c>
      <c r="X585" s="5" t="str">
        <f t="array" ref="X585">IF(NOT(AND(ISBLANK(D585),ISBLANK(C585))),_xludf.XLOOKUP(D585,[1]CODE!$A$4:$A$100,[1]CODE!$E$4:$E$100),"")</f>
        <v/>
      </c>
      <c r="Y585" s="5" t="str">
        <f t="shared" si="68"/>
        <v/>
      </c>
      <c r="Z585" s="5" t="str">
        <f t="shared" si="69"/>
        <v/>
      </c>
      <c r="AA585" s="4">
        <f t="shared" si="70"/>
        <v>0</v>
      </c>
      <c r="AC585" s="2"/>
    </row>
    <row r="586" spans="1:29" ht="15.5">
      <c r="A586" s="13" t="str">
        <f>IF(OR(ISBLANK(C586),ISBLANK(D586),ISBLANK(F586),ISBLANK(G586)),"",COUNTIF($B$5:B586,"JAMBUTU"))</f>
        <v/>
      </c>
      <c r="B586" s="8" t="str">
        <f t="shared" si="65"/>
        <v/>
      </c>
      <c r="C586" s="8"/>
      <c r="D586" s="8"/>
      <c r="E586" s="13"/>
      <c r="F586" s="12"/>
      <c r="G586" s="11"/>
      <c r="H586" s="12"/>
      <c r="I586" s="11"/>
      <c r="J586" s="10">
        <f t="shared" si="64"/>
        <v>0</v>
      </c>
      <c r="K586" s="10">
        <f t="shared" si="66"/>
        <v>0</v>
      </c>
      <c r="L586" s="9" t="str">
        <f t="shared" si="67"/>
        <v/>
      </c>
      <c r="M586" s="8"/>
      <c r="N586" s="8"/>
      <c r="O586" s="8"/>
      <c r="P586" s="8"/>
      <c r="Q586" s="8"/>
      <c r="R586" s="8"/>
      <c r="S586" s="8"/>
      <c r="T586" s="8"/>
      <c r="U586" s="8"/>
      <c r="V586" s="7"/>
      <c r="W586" s="6" t="str">
        <f t="array" ref="W586">IF(NOT(ISBLANK(D586)),_xludf.XLOOKUP(D586,[1]CODE!$A$4:$A$100,[1]CODE!$D$4:$D$100),"")</f>
        <v/>
      </c>
      <c r="X586" s="5" t="str">
        <f t="array" ref="X586">IF(NOT(AND(ISBLANK(D586),ISBLANK(C586))),_xludf.XLOOKUP(D586,[1]CODE!$A$4:$A$100,[1]CODE!$E$4:$E$100),"")</f>
        <v/>
      </c>
      <c r="Y586" s="5" t="str">
        <f t="shared" si="68"/>
        <v/>
      </c>
      <c r="Z586" s="5" t="str">
        <f t="shared" si="69"/>
        <v/>
      </c>
      <c r="AA586" s="4">
        <f t="shared" si="70"/>
        <v>0</v>
      </c>
      <c r="AC586" s="2"/>
    </row>
    <row r="587" spans="1:29" ht="15.5">
      <c r="A587" s="13" t="str">
        <f>IF(OR(ISBLANK(C587),ISBLANK(D587),ISBLANK(F587),ISBLANK(G587)),"",COUNTIF($B$5:B587,"JAMBUTU"))</f>
        <v/>
      </c>
      <c r="B587" s="8" t="str">
        <f t="shared" si="65"/>
        <v/>
      </c>
      <c r="C587" s="8"/>
      <c r="D587" s="8"/>
      <c r="E587" s="13"/>
      <c r="F587" s="12"/>
      <c r="G587" s="11"/>
      <c r="H587" s="12"/>
      <c r="I587" s="11"/>
      <c r="J587" s="10">
        <f t="shared" si="64"/>
        <v>0</v>
      </c>
      <c r="K587" s="10">
        <f t="shared" si="66"/>
        <v>0</v>
      </c>
      <c r="L587" s="9" t="str">
        <f t="shared" si="67"/>
        <v/>
      </c>
      <c r="M587" s="8"/>
      <c r="N587" s="8"/>
      <c r="O587" s="8"/>
      <c r="P587" s="8"/>
      <c r="Q587" s="8"/>
      <c r="R587" s="8"/>
      <c r="S587" s="8"/>
      <c r="T587" s="8"/>
      <c r="U587" s="8"/>
      <c r="V587" s="7"/>
      <c r="W587" s="6" t="str">
        <f t="array" ref="W587">IF(NOT(ISBLANK(D587)),_xludf.XLOOKUP(D587,[1]CODE!$A$4:$A$100,[1]CODE!$D$4:$D$100),"")</f>
        <v/>
      </c>
      <c r="X587" s="5" t="str">
        <f t="array" ref="X587">IF(NOT(AND(ISBLANK(D587),ISBLANK(C587))),_xludf.XLOOKUP(D587,[1]CODE!$A$4:$A$100,[1]CODE!$E$4:$E$100),"")</f>
        <v/>
      </c>
      <c r="Y587" s="5" t="str">
        <f t="shared" si="68"/>
        <v/>
      </c>
      <c r="Z587" s="5" t="str">
        <f t="shared" si="69"/>
        <v/>
      </c>
      <c r="AA587" s="4">
        <f t="shared" si="70"/>
        <v>0</v>
      </c>
      <c r="AC587" s="2"/>
    </row>
    <row r="588" spans="1:29" ht="15.5">
      <c r="A588" s="13" t="str">
        <f>IF(OR(ISBLANK(C588),ISBLANK(D588),ISBLANK(F588),ISBLANK(G588)),"",COUNTIF($B$5:B588,"JAMBUTU"))</f>
        <v/>
      </c>
      <c r="B588" s="8" t="str">
        <f t="shared" si="65"/>
        <v/>
      </c>
      <c r="C588" s="8"/>
      <c r="D588" s="8"/>
      <c r="E588" s="13"/>
      <c r="F588" s="12"/>
      <c r="G588" s="14"/>
      <c r="H588" s="12"/>
      <c r="I588" s="11"/>
      <c r="J588" s="10">
        <f t="shared" si="64"/>
        <v>0</v>
      </c>
      <c r="K588" s="10">
        <f t="shared" si="66"/>
        <v>0</v>
      </c>
      <c r="L588" s="9" t="str">
        <f t="shared" si="67"/>
        <v/>
      </c>
      <c r="M588" s="8"/>
      <c r="N588" s="8"/>
      <c r="O588" s="8"/>
      <c r="P588" s="8"/>
      <c r="Q588" s="8"/>
      <c r="R588" s="8"/>
      <c r="S588" s="8"/>
      <c r="T588" s="8"/>
      <c r="U588" s="8"/>
      <c r="V588" s="7"/>
      <c r="W588" s="6" t="str">
        <f t="array" ref="W588">IF(NOT(ISBLANK(D588)),_xludf.XLOOKUP(D588,[1]CODE!$A$4:$A$100,[1]CODE!$D$4:$D$100),"")</f>
        <v/>
      </c>
      <c r="X588" s="5" t="str">
        <f t="array" ref="X588">IF(NOT(AND(ISBLANK(D588),ISBLANK(C588))),_xludf.XLOOKUP(D588,[1]CODE!$A$4:$A$100,[1]CODE!$E$4:$E$100),"")</f>
        <v/>
      </c>
      <c r="Y588" s="5" t="str">
        <f t="shared" si="68"/>
        <v/>
      </c>
      <c r="Z588" s="5" t="str">
        <f t="shared" si="69"/>
        <v/>
      </c>
      <c r="AA588" s="4">
        <f t="shared" si="70"/>
        <v>0</v>
      </c>
      <c r="AC588" s="2"/>
    </row>
    <row r="589" spans="1:29" ht="15.5">
      <c r="A589" s="13" t="str">
        <f>IF(OR(ISBLANK(C589),ISBLANK(D589),ISBLANK(F589),ISBLANK(G589)),"",COUNTIF($B$5:B589,"JAMBUTU"))</f>
        <v/>
      </c>
      <c r="B589" s="8" t="str">
        <f t="shared" si="65"/>
        <v/>
      </c>
      <c r="C589" s="8"/>
      <c r="D589" s="8"/>
      <c r="E589" s="13"/>
      <c r="F589" s="12"/>
      <c r="G589" s="11"/>
      <c r="H589" s="12"/>
      <c r="I589" s="11"/>
      <c r="J589" s="10">
        <f t="shared" si="64"/>
        <v>0</v>
      </c>
      <c r="K589" s="10">
        <f t="shared" si="66"/>
        <v>0</v>
      </c>
      <c r="L589" s="9" t="str">
        <f t="shared" si="67"/>
        <v/>
      </c>
      <c r="M589" s="8"/>
      <c r="N589" s="8"/>
      <c r="O589" s="8"/>
      <c r="P589" s="8"/>
      <c r="Q589" s="8"/>
      <c r="R589" s="8"/>
      <c r="S589" s="8"/>
      <c r="T589" s="8"/>
      <c r="U589" s="8"/>
      <c r="V589" s="7"/>
      <c r="W589" s="6" t="str">
        <f t="array" ref="W589">IF(NOT(ISBLANK(D589)),_xludf.XLOOKUP(D589,[1]CODE!$A$4:$A$100,[1]CODE!$D$4:$D$100),"")</f>
        <v/>
      </c>
      <c r="X589" s="5" t="str">
        <f t="array" ref="X589">IF(NOT(AND(ISBLANK(D589),ISBLANK(C589))),_xludf.XLOOKUP(D589,[1]CODE!$A$4:$A$100,[1]CODE!$E$4:$E$100),"")</f>
        <v/>
      </c>
      <c r="Y589" s="5" t="str">
        <f t="shared" si="68"/>
        <v/>
      </c>
      <c r="Z589" s="5" t="str">
        <f t="shared" si="69"/>
        <v/>
      </c>
      <c r="AA589" s="4">
        <f t="shared" si="70"/>
        <v>0</v>
      </c>
      <c r="AC589" s="2"/>
    </row>
    <row r="590" spans="1:29" ht="15.5">
      <c r="A590" s="13" t="str">
        <f>IF(OR(ISBLANK(C590),ISBLANK(D590),ISBLANK(F590),ISBLANK(G590)),"",COUNTIF($B$5:B590,"JAMBUTU"))</f>
        <v/>
      </c>
      <c r="B590" s="8" t="str">
        <f t="shared" si="65"/>
        <v/>
      </c>
      <c r="C590" s="8"/>
      <c r="D590" s="8"/>
      <c r="E590" s="13"/>
      <c r="F590" s="12"/>
      <c r="G590" s="11"/>
      <c r="H590" s="12"/>
      <c r="I590" s="11"/>
      <c r="J590" s="10">
        <f t="shared" si="64"/>
        <v>0</v>
      </c>
      <c r="K590" s="10">
        <f t="shared" si="66"/>
        <v>0</v>
      </c>
      <c r="L590" s="9" t="str">
        <f t="shared" si="67"/>
        <v/>
      </c>
      <c r="M590" s="8"/>
      <c r="N590" s="8"/>
      <c r="O590" s="8"/>
      <c r="P590" s="8"/>
      <c r="Q590" s="8"/>
      <c r="R590" s="8"/>
      <c r="S590" s="8"/>
      <c r="T590" s="8"/>
      <c r="U590" s="8"/>
      <c r="V590" s="7"/>
      <c r="W590" s="6" t="str">
        <f t="array" ref="W590">IF(NOT(ISBLANK(D590)),_xludf.XLOOKUP(D590,[1]CODE!$A$4:$A$100,[1]CODE!$D$4:$D$100),"")</f>
        <v/>
      </c>
      <c r="X590" s="5" t="str">
        <f t="array" ref="X590">IF(NOT(AND(ISBLANK(D590),ISBLANK(C590))),_xludf.XLOOKUP(D590,[1]CODE!$A$4:$A$100,[1]CODE!$E$4:$E$100),"")</f>
        <v/>
      </c>
      <c r="Y590" s="5" t="str">
        <f t="shared" si="68"/>
        <v/>
      </c>
      <c r="Z590" s="5" t="str">
        <f t="shared" si="69"/>
        <v/>
      </c>
      <c r="AA590" s="4">
        <f t="shared" si="70"/>
        <v>0</v>
      </c>
      <c r="AC590" s="2"/>
    </row>
    <row r="591" spans="1:29" ht="15.5">
      <c r="A591" s="13" t="str">
        <f>IF(OR(ISBLANK(C591),ISBLANK(D591),ISBLANK(F591),ISBLANK(G591)),"",COUNTIF($B$5:B591,"JAMBUTU"))</f>
        <v/>
      </c>
      <c r="B591" s="8" t="str">
        <f t="shared" si="65"/>
        <v/>
      </c>
      <c r="C591" s="8"/>
      <c r="D591" s="8"/>
      <c r="E591" s="13"/>
      <c r="F591" s="12"/>
      <c r="G591" s="11"/>
      <c r="H591" s="12"/>
      <c r="I591" s="11"/>
      <c r="J591" s="10">
        <f t="shared" si="64"/>
        <v>0</v>
      </c>
      <c r="K591" s="10">
        <f t="shared" si="66"/>
        <v>0</v>
      </c>
      <c r="L591" s="9" t="str">
        <f t="shared" si="67"/>
        <v/>
      </c>
      <c r="M591" s="8"/>
      <c r="N591" s="8"/>
      <c r="O591" s="8"/>
      <c r="P591" s="8"/>
      <c r="Q591" s="8"/>
      <c r="R591" s="8"/>
      <c r="S591" s="8"/>
      <c r="T591" s="8"/>
      <c r="U591" s="8"/>
      <c r="V591" s="7"/>
      <c r="W591" s="6" t="str">
        <f t="array" ref="W591">IF(NOT(ISBLANK(D591)),_xludf.XLOOKUP(D591,[1]CODE!$A$4:$A$100,[1]CODE!$D$4:$D$100),"")</f>
        <v/>
      </c>
      <c r="X591" s="5" t="str">
        <f t="array" ref="X591">IF(NOT(AND(ISBLANK(D591),ISBLANK(C591))),_xludf.XLOOKUP(D591,[1]CODE!$A$4:$A$100,[1]CODE!$E$4:$E$100),"")</f>
        <v/>
      </c>
      <c r="Y591" s="5" t="str">
        <f t="shared" si="68"/>
        <v/>
      </c>
      <c r="Z591" s="5" t="str">
        <f t="shared" si="69"/>
        <v/>
      </c>
      <c r="AA591" s="4">
        <f t="shared" si="70"/>
        <v>0</v>
      </c>
      <c r="AC591" s="2"/>
    </row>
    <row r="592" spans="1:29" ht="15.5">
      <c r="A592" s="13" t="str">
        <f>IF(OR(ISBLANK(C592),ISBLANK(D592),ISBLANK(F592),ISBLANK(G592)),"",COUNTIF($B$5:B592,"JAMBUTU"))</f>
        <v/>
      </c>
      <c r="B592" s="8" t="str">
        <f t="shared" si="65"/>
        <v/>
      </c>
      <c r="C592" s="8"/>
      <c r="D592" s="8"/>
      <c r="E592" s="13"/>
      <c r="F592" s="12"/>
      <c r="G592" s="11"/>
      <c r="H592" s="12"/>
      <c r="I592" s="11"/>
      <c r="J592" s="10">
        <f t="shared" si="64"/>
        <v>0</v>
      </c>
      <c r="K592" s="10">
        <f t="shared" si="66"/>
        <v>0</v>
      </c>
      <c r="L592" s="9" t="str">
        <f t="shared" si="67"/>
        <v/>
      </c>
      <c r="M592" s="8"/>
      <c r="N592" s="8"/>
      <c r="O592" s="8"/>
      <c r="P592" s="8"/>
      <c r="Q592" s="8"/>
      <c r="R592" s="8"/>
      <c r="S592" s="8"/>
      <c r="T592" s="8"/>
      <c r="U592" s="8"/>
      <c r="V592" s="7"/>
      <c r="W592" s="6" t="str">
        <f t="array" ref="W592">IF(NOT(ISBLANK(D592)),_xludf.XLOOKUP(D592,[1]CODE!$A$4:$A$100,[1]CODE!$D$4:$D$100),"")</f>
        <v/>
      </c>
      <c r="X592" s="5" t="str">
        <f t="array" ref="X592">IF(NOT(AND(ISBLANK(D592),ISBLANK(C592))),_xludf.XLOOKUP(D592,[1]CODE!$A$4:$A$100,[1]CODE!$E$4:$E$100),"")</f>
        <v/>
      </c>
      <c r="Y592" s="5" t="str">
        <f t="shared" si="68"/>
        <v/>
      </c>
      <c r="Z592" s="5" t="str">
        <f t="shared" si="69"/>
        <v/>
      </c>
      <c r="AA592" s="4">
        <f t="shared" si="70"/>
        <v>0</v>
      </c>
      <c r="AC592" s="2"/>
    </row>
    <row r="593" spans="1:29" ht="15.5">
      <c r="A593" s="13" t="str">
        <f>IF(OR(ISBLANK(C593),ISBLANK(D593),ISBLANK(F593),ISBLANK(G593)),"",COUNTIF($B$5:B593,"JAMBUTU"))</f>
        <v/>
      </c>
      <c r="B593" s="8" t="str">
        <f t="shared" si="65"/>
        <v/>
      </c>
      <c r="C593" s="8"/>
      <c r="D593" s="8"/>
      <c r="E593" s="13"/>
      <c r="F593" s="12"/>
      <c r="G593" s="11"/>
      <c r="H593" s="12"/>
      <c r="I593" s="11"/>
      <c r="J593" s="10">
        <f t="shared" si="64"/>
        <v>0</v>
      </c>
      <c r="K593" s="10">
        <f t="shared" si="66"/>
        <v>0</v>
      </c>
      <c r="L593" s="9" t="str">
        <f t="shared" si="67"/>
        <v/>
      </c>
      <c r="M593" s="8"/>
      <c r="N593" s="8"/>
      <c r="O593" s="8"/>
      <c r="P593" s="8"/>
      <c r="Q593" s="8"/>
      <c r="R593" s="8"/>
      <c r="S593" s="8"/>
      <c r="T593" s="8"/>
      <c r="U593" s="8"/>
      <c r="V593" s="7"/>
      <c r="W593" s="6" t="str">
        <f t="array" ref="W593">IF(NOT(ISBLANK(D593)),_xludf.XLOOKUP(D593,[1]CODE!$A$4:$A$100,[1]CODE!$D$4:$D$100),"")</f>
        <v/>
      </c>
      <c r="X593" s="5" t="str">
        <f t="array" ref="X593">IF(NOT(AND(ISBLANK(D593),ISBLANK(C593))),_xludf.XLOOKUP(D593,[1]CODE!$A$4:$A$100,[1]CODE!$E$4:$E$100),"")</f>
        <v/>
      </c>
      <c r="Y593" s="5" t="str">
        <f t="shared" si="68"/>
        <v/>
      </c>
      <c r="Z593" s="5" t="str">
        <f t="shared" si="69"/>
        <v/>
      </c>
      <c r="AA593" s="4">
        <f t="shared" si="70"/>
        <v>0</v>
      </c>
      <c r="AC593" s="2"/>
    </row>
    <row r="594" spans="1:29" ht="15.5">
      <c r="A594" s="13" t="str">
        <f>IF(OR(ISBLANK(C594),ISBLANK(D594),ISBLANK(F594),ISBLANK(G594)),"",COUNTIF($B$5:B594,"JAMBUTU"))</f>
        <v/>
      </c>
      <c r="B594" s="8" t="str">
        <f t="shared" si="65"/>
        <v/>
      </c>
      <c r="C594" s="8"/>
      <c r="D594" s="8"/>
      <c r="E594" s="13"/>
      <c r="F594" s="12"/>
      <c r="G594" s="11"/>
      <c r="H594" s="12"/>
      <c r="I594" s="11"/>
      <c r="J594" s="10">
        <f t="shared" si="64"/>
        <v>0</v>
      </c>
      <c r="K594" s="10">
        <f t="shared" si="66"/>
        <v>0</v>
      </c>
      <c r="L594" s="9" t="str">
        <f t="shared" si="67"/>
        <v/>
      </c>
      <c r="M594" s="8"/>
      <c r="N594" s="8"/>
      <c r="O594" s="8"/>
      <c r="P594" s="8"/>
      <c r="Q594" s="8"/>
      <c r="R594" s="8"/>
      <c r="S594" s="8"/>
      <c r="T594" s="8"/>
      <c r="U594" s="8"/>
      <c r="V594" s="7"/>
      <c r="W594" s="6" t="str">
        <f t="array" ref="W594">IF(NOT(ISBLANK(D594)),_xludf.XLOOKUP(D594,[1]CODE!$A$4:$A$100,[1]CODE!$D$4:$D$100),"")</f>
        <v/>
      </c>
      <c r="X594" s="5" t="str">
        <f t="array" ref="X594">IF(NOT(AND(ISBLANK(D594),ISBLANK(C594))),_xludf.XLOOKUP(D594,[1]CODE!$A$4:$A$100,[1]CODE!$E$4:$E$100),"")</f>
        <v/>
      </c>
      <c r="Y594" s="5" t="str">
        <f t="shared" si="68"/>
        <v/>
      </c>
      <c r="Z594" s="5" t="str">
        <f t="shared" si="69"/>
        <v/>
      </c>
      <c r="AA594" s="4">
        <f t="shared" si="70"/>
        <v>0</v>
      </c>
      <c r="AC594" s="2"/>
    </row>
    <row r="595" spans="1:29" ht="15.5">
      <c r="A595" s="13" t="str">
        <f>IF(OR(ISBLANK(C595),ISBLANK(D595),ISBLANK(F595),ISBLANK(G595)),"",COUNTIF($B$5:B595,"JAMBUTU"))</f>
        <v/>
      </c>
      <c r="B595" s="8" t="str">
        <f t="shared" si="65"/>
        <v/>
      </c>
      <c r="C595" s="8"/>
      <c r="D595" s="8"/>
      <c r="E595" s="13"/>
      <c r="F595" s="12"/>
      <c r="G595" s="11"/>
      <c r="H595" s="12"/>
      <c r="I595" s="11"/>
      <c r="J595" s="10">
        <f t="shared" si="64"/>
        <v>0</v>
      </c>
      <c r="K595" s="10">
        <f t="shared" si="66"/>
        <v>0</v>
      </c>
      <c r="L595" s="9" t="str">
        <f t="shared" si="67"/>
        <v/>
      </c>
      <c r="M595" s="8"/>
      <c r="N595" s="8"/>
      <c r="O595" s="8"/>
      <c r="P595" s="8"/>
      <c r="Q595" s="8"/>
      <c r="R595" s="8"/>
      <c r="S595" s="8"/>
      <c r="T595" s="8"/>
      <c r="U595" s="8"/>
      <c r="V595" s="7"/>
      <c r="W595" s="6" t="str">
        <f t="array" ref="W595">IF(NOT(ISBLANK(D595)),_xludf.XLOOKUP(D595,[1]CODE!$A$4:$A$100,[1]CODE!$D$4:$D$100),"")</f>
        <v/>
      </c>
      <c r="X595" s="5" t="str">
        <f t="array" ref="X595">IF(NOT(AND(ISBLANK(D595),ISBLANK(C595))),_xludf.XLOOKUP(D595,[1]CODE!$A$4:$A$100,[1]CODE!$E$4:$E$100),"")</f>
        <v/>
      </c>
      <c r="Y595" s="5" t="str">
        <f t="shared" si="68"/>
        <v/>
      </c>
      <c r="Z595" s="5" t="str">
        <f t="shared" si="69"/>
        <v/>
      </c>
      <c r="AA595" s="4">
        <f t="shared" si="70"/>
        <v>0</v>
      </c>
      <c r="AC595" s="2"/>
    </row>
    <row r="596" spans="1:29" ht="15.5">
      <c r="A596" s="13" t="str">
        <f>IF(OR(ISBLANK(C596),ISBLANK(D596),ISBLANK(F596),ISBLANK(G596)),"",COUNTIF($B$5:B596,"JAMBUTU"))</f>
        <v/>
      </c>
      <c r="B596" s="8" t="str">
        <f t="shared" si="65"/>
        <v/>
      </c>
      <c r="C596" s="8"/>
      <c r="D596" s="8"/>
      <c r="E596" s="13"/>
      <c r="F596" s="12"/>
      <c r="G596" s="11"/>
      <c r="H596" s="12"/>
      <c r="I596" s="11"/>
      <c r="J596" s="10">
        <f t="shared" si="64"/>
        <v>0</v>
      </c>
      <c r="K596" s="10">
        <f t="shared" si="66"/>
        <v>0</v>
      </c>
      <c r="L596" s="9" t="str">
        <f t="shared" si="67"/>
        <v/>
      </c>
      <c r="M596" s="8"/>
      <c r="N596" s="8"/>
      <c r="O596" s="8"/>
      <c r="P596" s="8"/>
      <c r="Q596" s="8"/>
      <c r="R596" s="8"/>
      <c r="S596" s="8"/>
      <c r="T596" s="8"/>
      <c r="U596" s="8"/>
      <c r="V596" s="7"/>
      <c r="W596" s="6" t="str">
        <f t="array" ref="W596">IF(NOT(ISBLANK(D596)),_xludf.XLOOKUP(D596,[1]CODE!$A$4:$A$100,[1]CODE!$D$4:$D$100),"")</f>
        <v/>
      </c>
      <c r="X596" s="5" t="str">
        <f t="array" ref="X596">IF(NOT(AND(ISBLANK(D596),ISBLANK(C596))),_xludf.XLOOKUP(D596,[1]CODE!$A$4:$A$100,[1]CODE!$E$4:$E$100),"")</f>
        <v/>
      </c>
      <c r="Y596" s="5" t="str">
        <f t="shared" si="68"/>
        <v/>
      </c>
      <c r="Z596" s="5" t="str">
        <f t="shared" si="69"/>
        <v/>
      </c>
      <c r="AA596" s="4">
        <f t="shared" si="70"/>
        <v>0</v>
      </c>
      <c r="AC596" s="2"/>
    </row>
    <row r="597" spans="1:29" ht="15.5">
      <c r="A597" s="13" t="str">
        <f>IF(OR(ISBLANK(C597),ISBLANK(D597),ISBLANK(F597),ISBLANK(G597)),"",COUNTIF($B$5:B597,"JAMBUTU"))</f>
        <v/>
      </c>
      <c r="B597" s="8" t="str">
        <f t="shared" si="65"/>
        <v/>
      </c>
      <c r="C597" s="8"/>
      <c r="D597" s="8"/>
      <c r="E597" s="13"/>
      <c r="F597" s="12"/>
      <c r="G597" s="11"/>
      <c r="H597" s="12"/>
      <c r="I597" s="11"/>
      <c r="J597" s="10">
        <f t="shared" si="64"/>
        <v>0</v>
      </c>
      <c r="K597" s="10">
        <f t="shared" si="66"/>
        <v>0</v>
      </c>
      <c r="L597" s="9" t="str">
        <f t="shared" si="67"/>
        <v/>
      </c>
      <c r="M597" s="8"/>
      <c r="N597" s="8"/>
      <c r="O597" s="8"/>
      <c r="P597" s="8"/>
      <c r="Q597" s="8"/>
      <c r="R597" s="8"/>
      <c r="S597" s="8"/>
      <c r="T597" s="8"/>
      <c r="U597" s="8"/>
      <c r="V597" s="7"/>
      <c r="W597" s="6" t="str">
        <f t="array" ref="W597">IF(NOT(ISBLANK(D597)),_xludf.XLOOKUP(D597,[1]CODE!$A$4:$A$100,[1]CODE!$D$4:$D$100),"")</f>
        <v/>
      </c>
      <c r="X597" s="5" t="str">
        <f t="array" ref="X597">IF(NOT(AND(ISBLANK(D597),ISBLANK(C597))),_xludf.XLOOKUP(D597,[1]CODE!$A$4:$A$100,[1]CODE!$E$4:$E$100),"")</f>
        <v/>
      </c>
      <c r="Y597" s="5" t="str">
        <f t="shared" si="68"/>
        <v/>
      </c>
      <c r="Z597" s="5" t="str">
        <f t="shared" si="69"/>
        <v/>
      </c>
      <c r="AA597" s="4">
        <f t="shared" si="70"/>
        <v>0</v>
      </c>
      <c r="AC597" s="2"/>
    </row>
    <row r="598" spans="1:29" ht="15.5">
      <c r="A598" s="13" t="str">
        <f>IF(OR(ISBLANK(C598),ISBLANK(D598),ISBLANK(F598),ISBLANK(G598)),"",COUNTIF($B$5:B598,"JAMBUTU"))</f>
        <v/>
      </c>
      <c r="B598" s="8" t="str">
        <f t="shared" si="65"/>
        <v/>
      </c>
      <c r="C598" s="8"/>
      <c r="D598" s="8"/>
      <c r="E598" s="13"/>
      <c r="F598" s="12"/>
      <c r="G598" s="11"/>
      <c r="H598" s="12"/>
      <c r="I598" s="11"/>
      <c r="J598" s="10">
        <f t="shared" si="64"/>
        <v>0</v>
      </c>
      <c r="K598" s="10">
        <f t="shared" si="66"/>
        <v>0</v>
      </c>
      <c r="L598" s="9" t="str">
        <f t="shared" si="67"/>
        <v/>
      </c>
      <c r="M598" s="8"/>
      <c r="N598" s="8"/>
      <c r="O598" s="8"/>
      <c r="P598" s="8"/>
      <c r="Q598" s="8"/>
      <c r="R598" s="8"/>
      <c r="S598" s="8"/>
      <c r="T598" s="8"/>
      <c r="U598" s="8"/>
      <c r="V598" s="7"/>
      <c r="W598" s="6" t="str">
        <f t="array" ref="W598">IF(NOT(ISBLANK(D598)),_xludf.XLOOKUP(D598,[1]CODE!$A$4:$A$100,[1]CODE!$D$4:$D$100),"")</f>
        <v/>
      </c>
      <c r="X598" s="5" t="str">
        <f t="array" ref="X598">IF(NOT(AND(ISBLANK(D598),ISBLANK(C598))),_xludf.XLOOKUP(D598,[1]CODE!$A$4:$A$100,[1]CODE!$E$4:$E$100),"")</f>
        <v/>
      </c>
      <c r="Y598" s="5" t="str">
        <f t="shared" si="68"/>
        <v/>
      </c>
      <c r="Z598" s="5" t="str">
        <f t="shared" si="69"/>
        <v/>
      </c>
      <c r="AA598" s="4">
        <f t="shared" si="70"/>
        <v>0</v>
      </c>
      <c r="AC598" s="2"/>
    </row>
    <row r="599" spans="1:29" ht="13">
      <c r="E599" s="2"/>
      <c r="F599" s="2"/>
      <c r="G599" s="2"/>
      <c r="H599" s="2"/>
      <c r="I599" s="2"/>
    </row>
    <row r="600" spans="1:29" ht="13">
      <c r="E600" s="2"/>
      <c r="F600" s="2"/>
      <c r="G600" s="2"/>
      <c r="H600" s="2"/>
      <c r="I600" s="2"/>
      <c r="L600" s="3">
        <f>SUBTOTAL(9,L5:L598)*24</f>
        <v>88.483333333104383</v>
      </c>
    </row>
    <row r="601" spans="1:29" ht="13">
      <c r="E601" s="2"/>
      <c r="F601" s="2"/>
      <c r="G601" s="2"/>
      <c r="H601" s="2"/>
      <c r="I601" s="2"/>
    </row>
    <row r="602" spans="1:29" ht="13">
      <c r="E602" s="2"/>
      <c r="F602" s="2"/>
      <c r="G602" s="2"/>
      <c r="H602" s="2"/>
      <c r="I602" s="2"/>
    </row>
    <row r="603" spans="1:29" ht="13">
      <c r="E603" s="2"/>
      <c r="F603" s="2"/>
      <c r="G603" s="2"/>
      <c r="H603" s="2"/>
      <c r="I603" s="2"/>
    </row>
    <row r="604" spans="1:29" ht="13">
      <c r="E604" s="2"/>
      <c r="F604" s="2"/>
      <c r="G604" s="2"/>
      <c r="H604" s="2"/>
      <c r="I604" s="2"/>
    </row>
    <row r="605" spans="1:29" ht="13">
      <c r="E605" s="2"/>
      <c r="F605" s="2"/>
      <c r="G605" s="2"/>
      <c r="H605" s="2"/>
      <c r="I605" s="2"/>
    </row>
    <row r="606" spans="1:29" ht="13">
      <c r="E606" s="2"/>
      <c r="F606" s="2"/>
      <c r="G606" s="2"/>
      <c r="H606" s="2"/>
      <c r="I606" s="2"/>
    </row>
    <row r="607" spans="1:29" ht="13">
      <c r="E607" s="2"/>
      <c r="F607" s="2"/>
      <c r="G607" s="2"/>
      <c r="H607" s="2"/>
      <c r="I607" s="2"/>
    </row>
    <row r="608" spans="1:29" ht="13">
      <c r="E608" s="2"/>
      <c r="F608" s="2"/>
      <c r="G608" s="2"/>
      <c r="H608" s="2"/>
      <c r="I608" s="2"/>
    </row>
    <row r="609" spans="5:9" ht="13">
      <c r="E609" s="2"/>
      <c r="F609" s="2"/>
      <c r="G609" s="2"/>
      <c r="H609" s="2"/>
      <c r="I609" s="2"/>
    </row>
    <row r="610" spans="5:9" ht="13">
      <c r="E610" s="2"/>
      <c r="F610" s="2"/>
      <c r="G610" s="2"/>
      <c r="H610" s="2"/>
      <c r="I610" s="2"/>
    </row>
    <row r="611" spans="5:9" ht="13">
      <c r="E611" s="2"/>
      <c r="F611" s="2"/>
      <c r="G611" s="2"/>
      <c r="H611" s="2"/>
      <c r="I611" s="2"/>
    </row>
    <row r="612" spans="5:9" ht="13">
      <c r="E612" s="2"/>
      <c r="F612" s="2"/>
      <c r="G612" s="2"/>
      <c r="H612" s="2"/>
      <c r="I612" s="2"/>
    </row>
    <row r="613" spans="5:9" ht="13">
      <c r="E613" s="2"/>
      <c r="F613" s="2"/>
      <c r="G613" s="2"/>
      <c r="H613" s="2"/>
      <c r="I613" s="2"/>
    </row>
    <row r="614" spans="5:9" ht="13">
      <c r="E614" s="2"/>
      <c r="F614" s="2"/>
      <c r="G614" s="2"/>
      <c r="H614" s="2"/>
      <c r="I614" s="2"/>
    </row>
    <row r="615" spans="5:9" ht="13">
      <c r="E615" s="2"/>
      <c r="F615" s="2"/>
      <c r="G615" s="2"/>
      <c r="H615" s="2"/>
      <c r="I615" s="2"/>
    </row>
    <row r="616" spans="5:9" ht="13">
      <c r="E616" s="2"/>
      <c r="F616" s="2"/>
      <c r="G616" s="2"/>
      <c r="H616" s="2"/>
      <c r="I616" s="2"/>
    </row>
    <row r="617" spans="5:9" ht="13">
      <c r="E617" s="2"/>
      <c r="F617" s="2"/>
      <c r="G617" s="2"/>
      <c r="H617" s="2"/>
      <c r="I617" s="2"/>
    </row>
    <row r="618" spans="5:9" ht="13">
      <c r="E618" s="2"/>
      <c r="F618" s="2"/>
      <c r="G618" s="2"/>
      <c r="H618" s="2"/>
      <c r="I618" s="2"/>
    </row>
    <row r="619" spans="5:9" ht="13">
      <c r="E619" s="2"/>
      <c r="F619" s="2"/>
      <c r="G619" s="2"/>
      <c r="H619" s="2"/>
      <c r="I619" s="2"/>
    </row>
    <row r="620" spans="5:9" ht="13">
      <c r="E620" s="2"/>
      <c r="F620" s="2"/>
      <c r="G620" s="2"/>
      <c r="H620" s="2"/>
      <c r="I620" s="2"/>
    </row>
    <row r="621" spans="5:9" ht="13">
      <c r="E621" s="2"/>
      <c r="F621" s="2"/>
      <c r="G621" s="2"/>
      <c r="H621" s="2"/>
      <c r="I621" s="2"/>
    </row>
    <row r="622" spans="5:9" ht="13">
      <c r="E622" s="2"/>
      <c r="F622" s="2"/>
      <c r="G622" s="2"/>
      <c r="H622" s="2"/>
      <c r="I622" s="2"/>
    </row>
    <row r="623" spans="5:9" ht="13">
      <c r="E623" s="2"/>
      <c r="F623" s="2"/>
      <c r="G623" s="2"/>
      <c r="H623" s="2"/>
      <c r="I623" s="2"/>
    </row>
    <row r="624" spans="5:9" ht="13">
      <c r="E624" s="2"/>
      <c r="F624" s="2"/>
      <c r="G624" s="2"/>
      <c r="H624" s="2"/>
      <c r="I624" s="2"/>
    </row>
    <row r="625" spans="5:9" ht="13">
      <c r="E625" s="2"/>
      <c r="F625" s="2"/>
      <c r="G625" s="2"/>
      <c r="H625" s="2"/>
      <c r="I625" s="2"/>
    </row>
    <row r="626" spans="5:9" ht="13">
      <c r="E626" s="2"/>
      <c r="F626" s="2"/>
      <c r="G626" s="2"/>
      <c r="H626" s="2"/>
      <c r="I626" s="2"/>
    </row>
    <row r="627" spans="5:9" ht="13">
      <c r="E627" s="2"/>
      <c r="F627" s="2"/>
      <c r="G627" s="2"/>
      <c r="H627" s="2"/>
      <c r="I627" s="2"/>
    </row>
    <row r="628" spans="5:9" ht="13">
      <c r="E628" s="2"/>
      <c r="F628" s="2"/>
      <c r="G628" s="2"/>
      <c r="H628" s="2"/>
      <c r="I628" s="2"/>
    </row>
    <row r="629" spans="5:9" ht="13">
      <c r="E629" s="2"/>
      <c r="F629" s="2"/>
      <c r="G629" s="2"/>
      <c r="H629" s="2"/>
      <c r="I629" s="2"/>
    </row>
    <row r="630" spans="5:9" ht="13">
      <c r="E630" s="2"/>
      <c r="F630" s="2"/>
      <c r="G630" s="2"/>
      <c r="H630" s="2"/>
      <c r="I630" s="2"/>
    </row>
    <row r="631" spans="5:9" ht="13">
      <c r="E631" s="2"/>
      <c r="F631" s="2"/>
      <c r="G631" s="2"/>
      <c r="H631" s="2"/>
      <c r="I631" s="2"/>
    </row>
    <row r="632" spans="5:9" ht="13">
      <c r="E632" s="2"/>
      <c r="F632" s="2"/>
      <c r="G632" s="2"/>
      <c r="H632" s="2"/>
      <c r="I632" s="2"/>
    </row>
    <row r="633" spans="5:9" ht="13">
      <c r="E633" s="2"/>
      <c r="F633" s="2"/>
      <c r="G633" s="2"/>
      <c r="H633" s="2"/>
      <c r="I633" s="2"/>
    </row>
    <row r="634" spans="5:9" ht="13">
      <c r="E634" s="2"/>
      <c r="F634" s="2"/>
      <c r="G634" s="2"/>
      <c r="H634" s="2"/>
      <c r="I634" s="2"/>
    </row>
    <row r="635" spans="5:9" ht="13">
      <c r="E635" s="2"/>
      <c r="F635" s="2"/>
      <c r="G635" s="2"/>
      <c r="H635" s="2"/>
      <c r="I635" s="2"/>
    </row>
    <row r="636" spans="5:9" ht="13">
      <c r="E636" s="2"/>
      <c r="F636" s="2"/>
      <c r="G636" s="2"/>
      <c r="H636" s="2"/>
      <c r="I636" s="2"/>
    </row>
    <row r="637" spans="5:9" ht="13">
      <c r="E637" s="2"/>
      <c r="F637" s="2"/>
      <c r="G637" s="2"/>
      <c r="H637" s="2"/>
      <c r="I637" s="2"/>
    </row>
    <row r="638" spans="5:9" ht="13">
      <c r="E638" s="2"/>
      <c r="F638" s="2"/>
      <c r="G638" s="2"/>
      <c r="H638" s="2"/>
      <c r="I638" s="2"/>
    </row>
    <row r="639" spans="5:9" ht="13">
      <c r="E639" s="2"/>
      <c r="F639" s="2"/>
      <c r="G639" s="2"/>
      <c r="H639" s="2"/>
      <c r="I639" s="2"/>
    </row>
    <row r="640" spans="5:9" ht="13">
      <c r="E640" s="2"/>
      <c r="F640" s="2"/>
      <c r="G640" s="2"/>
      <c r="H640" s="2"/>
      <c r="I640" s="2"/>
    </row>
    <row r="641" spans="5:9" ht="13">
      <c r="E641" s="2"/>
      <c r="F641" s="2"/>
      <c r="G641" s="2"/>
      <c r="H641" s="2"/>
      <c r="I641" s="2"/>
    </row>
    <row r="642" spans="5:9" ht="13">
      <c r="E642" s="2"/>
      <c r="F642" s="2"/>
      <c r="G642" s="2"/>
      <c r="H642" s="2"/>
      <c r="I642" s="2"/>
    </row>
    <row r="643" spans="5:9" ht="13">
      <c r="E643" s="2"/>
      <c r="F643" s="2"/>
      <c r="G643" s="2"/>
      <c r="H643" s="2"/>
      <c r="I643" s="2"/>
    </row>
    <row r="644" spans="5:9" ht="13">
      <c r="E644" s="2"/>
      <c r="F644" s="2"/>
      <c r="G644" s="2"/>
      <c r="H644" s="2"/>
      <c r="I644" s="2"/>
    </row>
    <row r="645" spans="5:9" ht="13">
      <c r="E645" s="2"/>
      <c r="F645" s="2"/>
      <c r="G645" s="2"/>
      <c r="H645" s="2"/>
      <c r="I645" s="2"/>
    </row>
    <row r="646" spans="5:9" ht="13">
      <c r="E646" s="2"/>
      <c r="F646" s="2"/>
      <c r="G646" s="2"/>
      <c r="H646" s="2"/>
      <c r="I646" s="2"/>
    </row>
    <row r="647" spans="5:9" ht="13">
      <c r="E647" s="2"/>
      <c r="F647" s="2"/>
      <c r="G647" s="2"/>
      <c r="H647" s="2"/>
      <c r="I647" s="2"/>
    </row>
    <row r="648" spans="5:9" ht="13">
      <c r="E648" s="2"/>
      <c r="F648" s="2"/>
      <c r="G648" s="2"/>
      <c r="H648" s="2"/>
      <c r="I648" s="2"/>
    </row>
    <row r="649" spans="5:9" ht="13">
      <c r="E649" s="2"/>
      <c r="F649" s="2"/>
      <c r="G649" s="2"/>
      <c r="H649" s="2"/>
      <c r="I649" s="2"/>
    </row>
    <row r="650" spans="5:9" ht="13">
      <c r="E650" s="2"/>
      <c r="F650" s="2"/>
      <c r="G650" s="2"/>
      <c r="H650" s="2"/>
      <c r="I650" s="2"/>
    </row>
    <row r="651" spans="5:9" ht="13">
      <c r="E651" s="2"/>
      <c r="F651" s="2"/>
      <c r="G651" s="2"/>
      <c r="H651" s="2"/>
      <c r="I651" s="2"/>
    </row>
    <row r="652" spans="5:9" ht="13">
      <c r="E652" s="2"/>
      <c r="F652" s="2"/>
      <c r="G652" s="2"/>
      <c r="H652" s="2"/>
      <c r="I652" s="2"/>
    </row>
    <row r="653" spans="5:9" ht="13">
      <c r="E653" s="2"/>
      <c r="F653" s="2"/>
      <c r="G653" s="2"/>
      <c r="H653" s="2"/>
      <c r="I653" s="2"/>
    </row>
    <row r="654" spans="5:9" ht="13">
      <c r="E654" s="2"/>
      <c r="F654" s="2"/>
      <c r="G654" s="2"/>
      <c r="H654" s="2"/>
      <c r="I654" s="2"/>
    </row>
    <row r="655" spans="5:9" ht="13">
      <c r="E655" s="2"/>
      <c r="F655" s="2"/>
      <c r="G655" s="2"/>
      <c r="H655" s="2"/>
      <c r="I655" s="2"/>
    </row>
    <row r="656" spans="5:9" ht="13">
      <c r="E656" s="2"/>
      <c r="F656" s="2"/>
      <c r="G656" s="2"/>
      <c r="H656" s="2"/>
      <c r="I656" s="2"/>
    </row>
    <row r="657" spans="5:9" ht="13">
      <c r="E657" s="2"/>
      <c r="F657" s="2"/>
      <c r="G657" s="2"/>
      <c r="H657" s="2"/>
      <c r="I657" s="2"/>
    </row>
    <row r="658" spans="5:9" ht="13">
      <c r="E658" s="2"/>
      <c r="F658" s="2"/>
      <c r="G658" s="2"/>
      <c r="H658" s="2"/>
      <c r="I658" s="2"/>
    </row>
    <row r="659" spans="5:9" ht="13">
      <c r="E659" s="2"/>
      <c r="F659" s="2"/>
      <c r="G659" s="2"/>
      <c r="H659" s="2"/>
      <c r="I659" s="2"/>
    </row>
    <row r="660" spans="5:9" ht="13">
      <c r="E660" s="2"/>
      <c r="F660" s="2"/>
      <c r="G660" s="2"/>
      <c r="H660" s="2"/>
      <c r="I660" s="2"/>
    </row>
    <row r="661" spans="5:9" ht="13">
      <c r="E661" s="2"/>
      <c r="F661" s="2"/>
      <c r="G661" s="2"/>
      <c r="H661" s="2"/>
      <c r="I661" s="2"/>
    </row>
    <row r="662" spans="5:9" ht="13">
      <c r="E662" s="2"/>
      <c r="F662" s="2"/>
      <c r="G662" s="2"/>
      <c r="H662" s="2"/>
      <c r="I662" s="2"/>
    </row>
    <row r="663" spans="5:9" ht="13">
      <c r="E663" s="2"/>
      <c r="F663" s="2"/>
      <c r="G663" s="2"/>
      <c r="H663" s="2"/>
      <c r="I663" s="2"/>
    </row>
    <row r="664" spans="5:9" ht="13">
      <c r="E664" s="2"/>
      <c r="F664" s="2"/>
      <c r="G664" s="2"/>
      <c r="H664" s="2"/>
      <c r="I664" s="2"/>
    </row>
    <row r="665" spans="5:9" ht="13">
      <c r="E665" s="2"/>
      <c r="F665" s="2"/>
      <c r="G665" s="2"/>
      <c r="H665" s="2"/>
      <c r="I665" s="2"/>
    </row>
    <row r="666" spans="5:9" ht="13">
      <c r="E666" s="2"/>
      <c r="F666" s="2"/>
      <c r="G666" s="2"/>
      <c r="H666" s="2"/>
      <c r="I666" s="2"/>
    </row>
    <row r="667" spans="5:9" ht="13">
      <c r="E667" s="2"/>
      <c r="F667" s="2"/>
      <c r="G667" s="2"/>
      <c r="H667" s="2"/>
      <c r="I667" s="2"/>
    </row>
    <row r="668" spans="5:9" ht="13">
      <c r="E668" s="2"/>
      <c r="F668" s="2"/>
      <c r="G668" s="2"/>
      <c r="H668" s="2"/>
      <c r="I668" s="2"/>
    </row>
    <row r="669" spans="5:9" ht="13">
      <c r="E669" s="2"/>
      <c r="F669" s="2"/>
      <c r="G669" s="2"/>
      <c r="H669" s="2"/>
      <c r="I669" s="2"/>
    </row>
    <row r="670" spans="5:9" ht="13">
      <c r="E670" s="2"/>
      <c r="F670" s="2"/>
      <c r="G670" s="2"/>
      <c r="H670" s="2"/>
      <c r="I670" s="2"/>
    </row>
    <row r="671" spans="5:9" ht="13">
      <c r="E671" s="2"/>
      <c r="F671" s="2"/>
      <c r="G671" s="2"/>
      <c r="H671" s="2"/>
      <c r="I671" s="2"/>
    </row>
    <row r="672" spans="5:9" ht="13">
      <c r="E672" s="2"/>
      <c r="F672" s="2"/>
      <c r="G672" s="2"/>
      <c r="H672" s="2"/>
      <c r="I672" s="2"/>
    </row>
    <row r="673" spans="5:9" ht="13">
      <c r="E673" s="2"/>
      <c r="F673" s="2"/>
      <c r="G673" s="2"/>
      <c r="H673" s="2"/>
      <c r="I673" s="2"/>
    </row>
    <row r="674" spans="5:9" ht="13">
      <c r="E674" s="2"/>
      <c r="F674" s="2"/>
      <c r="G674" s="2"/>
      <c r="H674" s="2"/>
      <c r="I674" s="2"/>
    </row>
    <row r="675" spans="5:9" ht="13">
      <c r="E675" s="2"/>
      <c r="F675" s="2"/>
      <c r="G675" s="2"/>
      <c r="H675" s="2"/>
      <c r="I675" s="2"/>
    </row>
    <row r="676" spans="5:9" ht="13">
      <c r="E676" s="2"/>
      <c r="F676" s="2"/>
      <c r="G676" s="2"/>
      <c r="H676" s="2"/>
      <c r="I676" s="2"/>
    </row>
    <row r="677" spans="5:9" ht="13">
      <c r="E677" s="2"/>
      <c r="F677" s="2"/>
      <c r="G677" s="2"/>
      <c r="H677" s="2"/>
      <c r="I677" s="2"/>
    </row>
    <row r="678" spans="5:9" ht="13">
      <c r="E678" s="2"/>
      <c r="F678" s="2"/>
      <c r="G678" s="2"/>
      <c r="H678" s="2"/>
      <c r="I678" s="2"/>
    </row>
    <row r="679" spans="5:9" ht="13">
      <c r="E679" s="2"/>
      <c r="F679" s="2"/>
      <c r="G679" s="2"/>
      <c r="H679" s="2"/>
      <c r="I679" s="2"/>
    </row>
    <row r="680" spans="5:9" ht="13">
      <c r="E680" s="2"/>
      <c r="F680" s="2"/>
      <c r="G680" s="2"/>
      <c r="H680" s="2"/>
      <c r="I680" s="2"/>
    </row>
    <row r="681" spans="5:9" ht="13">
      <c r="E681" s="2"/>
      <c r="F681" s="2"/>
      <c r="G681" s="2"/>
      <c r="H681" s="2"/>
      <c r="I681" s="2"/>
    </row>
    <row r="682" spans="5:9" ht="13">
      <c r="E682" s="2"/>
      <c r="F682" s="2"/>
      <c r="G682" s="2"/>
      <c r="H682" s="2"/>
      <c r="I682" s="2"/>
    </row>
    <row r="683" spans="5:9" ht="13">
      <c r="E683" s="2"/>
      <c r="F683" s="2"/>
      <c r="G683" s="2"/>
      <c r="H683" s="2"/>
      <c r="I683" s="2"/>
    </row>
    <row r="684" spans="5:9" ht="13">
      <c r="E684" s="2"/>
      <c r="F684" s="2"/>
      <c r="G684" s="2"/>
      <c r="H684" s="2"/>
      <c r="I684" s="2"/>
    </row>
    <row r="685" spans="5:9" ht="13">
      <c r="E685" s="2"/>
      <c r="F685" s="2"/>
      <c r="G685" s="2"/>
      <c r="H685" s="2"/>
      <c r="I685" s="2"/>
    </row>
    <row r="686" spans="5:9" ht="13">
      <c r="E686" s="2"/>
      <c r="F686" s="2"/>
      <c r="G686" s="2"/>
      <c r="H686" s="2"/>
      <c r="I686" s="2"/>
    </row>
    <row r="687" spans="5:9" ht="13">
      <c r="E687" s="2"/>
      <c r="F687" s="2"/>
      <c r="G687" s="2"/>
      <c r="H687" s="2"/>
      <c r="I687" s="2"/>
    </row>
    <row r="688" spans="5:9" ht="13">
      <c r="E688" s="2"/>
      <c r="F688" s="2"/>
      <c r="G688" s="2"/>
      <c r="H688" s="2"/>
      <c r="I688" s="2"/>
    </row>
    <row r="689" spans="5:9" ht="13">
      <c r="E689" s="2"/>
      <c r="F689" s="2"/>
      <c r="G689" s="2"/>
      <c r="H689" s="2"/>
      <c r="I689" s="2"/>
    </row>
    <row r="690" spans="5:9" ht="13">
      <c r="E690" s="2"/>
      <c r="F690" s="2"/>
      <c r="G690" s="2"/>
      <c r="H690" s="2"/>
      <c r="I690" s="2"/>
    </row>
    <row r="691" spans="5:9" ht="13">
      <c r="E691" s="2"/>
      <c r="F691" s="2"/>
      <c r="G691" s="2"/>
      <c r="H691" s="2"/>
      <c r="I691" s="2"/>
    </row>
    <row r="692" spans="5:9" ht="13">
      <c r="E692" s="2"/>
      <c r="F692" s="2"/>
      <c r="G692" s="2"/>
      <c r="H692" s="2"/>
      <c r="I692" s="2"/>
    </row>
    <row r="693" spans="5:9" ht="13">
      <c r="E693" s="2"/>
      <c r="F693" s="2"/>
      <c r="G693" s="2"/>
      <c r="H693" s="2"/>
      <c r="I693" s="2"/>
    </row>
    <row r="694" spans="5:9" ht="13">
      <c r="E694" s="2"/>
      <c r="F694" s="2"/>
      <c r="G694" s="2"/>
      <c r="H694" s="2"/>
      <c r="I694" s="2"/>
    </row>
    <row r="695" spans="5:9" ht="13">
      <c r="E695" s="2"/>
      <c r="F695" s="2"/>
      <c r="G695" s="2"/>
      <c r="H695" s="2"/>
      <c r="I695" s="2"/>
    </row>
    <row r="696" spans="5:9" ht="13">
      <c r="E696" s="2"/>
      <c r="F696" s="2"/>
      <c r="G696" s="2"/>
      <c r="H696" s="2"/>
      <c r="I696" s="2"/>
    </row>
    <row r="697" spans="5:9" ht="13">
      <c r="E697" s="2"/>
      <c r="F697" s="2"/>
      <c r="G697" s="2"/>
      <c r="H697" s="2"/>
      <c r="I697" s="2"/>
    </row>
    <row r="698" spans="5:9" ht="13">
      <c r="E698" s="2"/>
      <c r="F698" s="2"/>
      <c r="G698" s="2"/>
      <c r="H698" s="2"/>
      <c r="I698" s="2"/>
    </row>
    <row r="699" spans="5:9" ht="13">
      <c r="E699" s="2"/>
      <c r="F699" s="2"/>
      <c r="G699" s="2"/>
      <c r="H699" s="2"/>
      <c r="I699" s="2"/>
    </row>
    <row r="700" spans="5:9" ht="13">
      <c r="E700" s="2"/>
      <c r="F700" s="2"/>
      <c r="G700" s="2"/>
      <c r="H700" s="2"/>
      <c r="I700" s="2"/>
    </row>
    <row r="701" spans="5:9" ht="13">
      <c r="E701" s="2"/>
      <c r="F701" s="2"/>
      <c r="G701" s="2"/>
      <c r="H701" s="2"/>
      <c r="I701" s="2"/>
    </row>
    <row r="702" spans="5:9" ht="13">
      <c r="E702" s="2"/>
      <c r="F702" s="2"/>
      <c r="G702" s="2"/>
      <c r="H702" s="2"/>
      <c r="I702" s="2"/>
    </row>
    <row r="703" spans="5:9" ht="13">
      <c r="E703" s="2"/>
      <c r="F703" s="2"/>
      <c r="G703" s="2"/>
      <c r="H703" s="2"/>
      <c r="I703" s="2"/>
    </row>
    <row r="704" spans="5:9" ht="13">
      <c r="E704" s="2"/>
      <c r="F704" s="2"/>
      <c r="G704" s="2"/>
      <c r="H704" s="2"/>
      <c r="I704" s="2"/>
    </row>
    <row r="705" spans="5:9" ht="13">
      <c r="E705" s="2"/>
      <c r="F705" s="2"/>
      <c r="G705" s="2"/>
      <c r="H705" s="2"/>
      <c r="I705" s="2"/>
    </row>
    <row r="706" spans="5:9" ht="13">
      <c r="E706" s="2"/>
      <c r="F706" s="2"/>
      <c r="G706" s="2"/>
      <c r="H706" s="2"/>
      <c r="I706" s="2"/>
    </row>
    <row r="707" spans="5:9" ht="13">
      <c r="E707" s="2"/>
      <c r="F707" s="2"/>
      <c r="G707" s="2"/>
      <c r="H707" s="2"/>
      <c r="I707" s="2"/>
    </row>
    <row r="708" spans="5:9" ht="13">
      <c r="E708" s="2"/>
      <c r="F708" s="2"/>
      <c r="G708" s="2"/>
      <c r="H708" s="2"/>
      <c r="I708" s="2"/>
    </row>
    <row r="709" spans="5:9" ht="13">
      <c r="E709" s="2"/>
      <c r="F709" s="2"/>
      <c r="G709" s="2"/>
      <c r="H709" s="2"/>
      <c r="I709" s="2"/>
    </row>
    <row r="710" spans="5:9" ht="13">
      <c r="E710" s="2"/>
      <c r="F710" s="2"/>
      <c r="G710" s="2"/>
      <c r="H710" s="2"/>
      <c r="I710" s="2"/>
    </row>
    <row r="711" spans="5:9" ht="13">
      <c r="E711" s="2"/>
      <c r="F711" s="2"/>
      <c r="G711" s="2"/>
      <c r="H711" s="2"/>
      <c r="I711" s="2"/>
    </row>
    <row r="712" spans="5:9" ht="13">
      <c r="E712" s="2"/>
      <c r="F712" s="2"/>
      <c r="G712" s="2"/>
      <c r="H712" s="2"/>
      <c r="I712" s="2"/>
    </row>
    <row r="713" spans="5:9" ht="13">
      <c r="E713" s="2"/>
      <c r="F713" s="2"/>
      <c r="G713" s="2"/>
      <c r="H713" s="2"/>
      <c r="I713" s="2"/>
    </row>
    <row r="714" spans="5:9" ht="13">
      <c r="E714" s="2"/>
      <c r="F714" s="2"/>
      <c r="G714" s="2"/>
      <c r="H714" s="2"/>
      <c r="I714" s="2"/>
    </row>
    <row r="715" spans="5:9" ht="13">
      <c r="E715" s="2"/>
      <c r="F715" s="2"/>
      <c r="G715" s="2"/>
      <c r="H715" s="2"/>
      <c r="I715" s="2"/>
    </row>
    <row r="716" spans="5:9" ht="13">
      <c r="E716" s="2"/>
      <c r="F716" s="2"/>
      <c r="G716" s="2"/>
      <c r="H716" s="2"/>
      <c r="I716" s="2"/>
    </row>
    <row r="717" spans="5:9" ht="13">
      <c r="E717" s="2"/>
      <c r="F717" s="2"/>
      <c r="G717" s="2"/>
      <c r="H717" s="2"/>
      <c r="I717" s="2"/>
    </row>
    <row r="718" spans="5:9" ht="13">
      <c r="E718" s="2"/>
      <c r="F718" s="2"/>
      <c r="G718" s="2"/>
      <c r="H718" s="2"/>
      <c r="I718" s="2"/>
    </row>
    <row r="719" spans="5:9" ht="13">
      <c r="E719" s="2"/>
      <c r="F719" s="2"/>
      <c r="G719" s="2"/>
      <c r="H719" s="2"/>
      <c r="I719" s="2"/>
    </row>
    <row r="720" spans="5:9" ht="13">
      <c r="E720" s="2"/>
      <c r="F720" s="2"/>
      <c r="G720" s="2"/>
      <c r="H720" s="2"/>
      <c r="I720" s="2"/>
    </row>
    <row r="721" spans="5:9" ht="13">
      <c r="E721" s="2"/>
      <c r="F721" s="2"/>
      <c r="G721" s="2"/>
      <c r="H721" s="2"/>
      <c r="I721" s="2"/>
    </row>
    <row r="722" spans="5:9" ht="13">
      <c r="E722" s="2"/>
      <c r="F722" s="2"/>
      <c r="G722" s="2"/>
      <c r="H722" s="2"/>
      <c r="I722" s="2"/>
    </row>
    <row r="723" spans="5:9" ht="13">
      <c r="E723" s="2"/>
      <c r="F723" s="2"/>
      <c r="G723" s="2"/>
      <c r="H723" s="2"/>
      <c r="I723" s="2"/>
    </row>
    <row r="724" spans="5:9" ht="13">
      <c r="E724" s="2"/>
      <c r="F724" s="2"/>
      <c r="G724" s="2"/>
      <c r="H724" s="2"/>
      <c r="I724" s="2"/>
    </row>
    <row r="725" spans="5:9" ht="13">
      <c r="E725" s="2"/>
      <c r="F725" s="2"/>
      <c r="G725" s="2"/>
      <c r="H725" s="2"/>
      <c r="I725" s="2"/>
    </row>
    <row r="726" spans="5:9" ht="13">
      <c r="E726" s="2"/>
      <c r="F726" s="2"/>
      <c r="G726" s="2"/>
      <c r="H726" s="2"/>
      <c r="I726" s="2"/>
    </row>
    <row r="727" spans="5:9" ht="13">
      <c r="E727" s="2"/>
      <c r="F727" s="2"/>
      <c r="G727" s="2"/>
      <c r="H727" s="2"/>
      <c r="I727" s="2"/>
    </row>
    <row r="728" spans="5:9" ht="13">
      <c r="E728" s="2"/>
      <c r="F728" s="2"/>
      <c r="G728" s="2"/>
      <c r="H728" s="2"/>
      <c r="I728" s="2"/>
    </row>
    <row r="729" spans="5:9" ht="13">
      <c r="E729" s="2"/>
      <c r="F729" s="2"/>
      <c r="G729" s="2"/>
      <c r="H729" s="2"/>
      <c r="I729" s="2"/>
    </row>
    <row r="730" spans="5:9" ht="13">
      <c r="E730" s="2"/>
      <c r="F730" s="2"/>
      <c r="G730" s="2"/>
      <c r="H730" s="2"/>
      <c r="I730" s="2"/>
    </row>
    <row r="731" spans="5:9" ht="13">
      <c r="E731" s="2"/>
      <c r="F731" s="2"/>
      <c r="G731" s="2"/>
      <c r="H731" s="2"/>
      <c r="I731" s="2"/>
    </row>
    <row r="732" spans="5:9" ht="13">
      <c r="E732" s="2"/>
      <c r="F732" s="2"/>
      <c r="G732" s="2"/>
      <c r="H732" s="2"/>
      <c r="I732" s="2"/>
    </row>
    <row r="733" spans="5:9" ht="13">
      <c r="E733" s="2"/>
      <c r="F733" s="2"/>
      <c r="G733" s="2"/>
      <c r="H733" s="2"/>
      <c r="I733" s="2"/>
    </row>
    <row r="734" spans="5:9" ht="13">
      <c r="E734" s="2"/>
      <c r="F734" s="2"/>
      <c r="G734" s="2"/>
      <c r="H734" s="2"/>
      <c r="I734" s="2"/>
    </row>
    <row r="735" spans="5:9" ht="13">
      <c r="E735" s="2"/>
      <c r="F735" s="2"/>
      <c r="G735" s="2"/>
      <c r="H735" s="2"/>
      <c r="I735" s="2"/>
    </row>
    <row r="736" spans="5:9" ht="13">
      <c r="E736" s="2"/>
      <c r="F736" s="2"/>
      <c r="G736" s="2"/>
      <c r="H736" s="2"/>
      <c r="I736" s="2"/>
    </row>
    <row r="737" spans="5:9" ht="13">
      <c r="E737" s="2"/>
      <c r="F737" s="2"/>
      <c r="G737" s="2"/>
      <c r="H737" s="2"/>
      <c r="I737" s="2"/>
    </row>
    <row r="738" spans="5:9" ht="13">
      <c r="E738" s="2"/>
      <c r="F738" s="2"/>
      <c r="G738" s="2"/>
      <c r="H738" s="2"/>
      <c r="I738" s="2"/>
    </row>
    <row r="739" spans="5:9" ht="13">
      <c r="E739" s="2"/>
      <c r="F739" s="2"/>
      <c r="G739" s="2"/>
      <c r="H739" s="2"/>
      <c r="I739" s="2"/>
    </row>
    <row r="740" spans="5:9" ht="13">
      <c r="E740" s="2"/>
      <c r="F740" s="2"/>
      <c r="G740" s="2"/>
      <c r="H740" s="2"/>
      <c r="I740" s="2"/>
    </row>
    <row r="741" spans="5:9" ht="13">
      <c r="E741" s="2"/>
      <c r="F741" s="2"/>
      <c r="G741" s="2"/>
      <c r="H741" s="2"/>
      <c r="I741" s="2"/>
    </row>
    <row r="742" spans="5:9" ht="13">
      <c r="E742" s="2"/>
      <c r="F742" s="2"/>
      <c r="G742" s="2"/>
      <c r="H742" s="2"/>
      <c r="I742" s="2"/>
    </row>
    <row r="743" spans="5:9" ht="13">
      <c r="E743" s="2"/>
      <c r="F743" s="2"/>
      <c r="G743" s="2"/>
      <c r="H743" s="2"/>
      <c r="I743" s="2"/>
    </row>
    <row r="744" spans="5:9" ht="13">
      <c r="E744" s="2"/>
      <c r="F744" s="2"/>
      <c r="G744" s="2"/>
      <c r="H744" s="2"/>
      <c r="I744" s="2"/>
    </row>
    <row r="745" spans="5:9" ht="13">
      <c r="E745" s="2"/>
      <c r="F745" s="2"/>
      <c r="G745" s="2"/>
      <c r="H745" s="2"/>
      <c r="I745" s="2"/>
    </row>
    <row r="746" spans="5:9" ht="13">
      <c r="E746" s="2"/>
      <c r="F746" s="2"/>
      <c r="G746" s="2"/>
      <c r="H746" s="2"/>
      <c r="I746" s="2"/>
    </row>
    <row r="747" spans="5:9" ht="13">
      <c r="E747" s="2"/>
      <c r="F747" s="2"/>
      <c r="G747" s="2"/>
      <c r="H747" s="2"/>
      <c r="I747" s="2"/>
    </row>
    <row r="748" spans="5:9" ht="13">
      <c r="E748" s="2"/>
      <c r="F748" s="2"/>
      <c r="G748" s="2"/>
      <c r="H748" s="2"/>
      <c r="I748" s="2"/>
    </row>
    <row r="749" spans="5:9" ht="13">
      <c r="E749" s="2"/>
      <c r="F749" s="2"/>
      <c r="G749" s="2"/>
      <c r="H749" s="2"/>
      <c r="I749" s="2"/>
    </row>
    <row r="750" spans="5:9" ht="13">
      <c r="E750" s="2"/>
      <c r="F750" s="2"/>
      <c r="G750" s="2"/>
      <c r="H750" s="2"/>
      <c r="I750" s="2"/>
    </row>
    <row r="751" spans="5:9" ht="13">
      <c r="E751" s="2"/>
      <c r="F751" s="2"/>
      <c r="G751" s="2"/>
      <c r="H751" s="2"/>
      <c r="I751" s="2"/>
    </row>
    <row r="752" spans="5:9" ht="13">
      <c r="E752" s="2"/>
      <c r="F752" s="2"/>
      <c r="G752" s="2"/>
      <c r="H752" s="2"/>
      <c r="I752" s="2"/>
    </row>
    <row r="753" spans="5:9" ht="13">
      <c r="E753" s="2"/>
      <c r="F753" s="2"/>
      <c r="G753" s="2"/>
      <c r="H753" s="2"/>
      <c r="I753" s="2"/>
    </row>
    <row r="754" spans="5:9" ht="13">
      <c r="E754" s="2"/>
      <c r="F754" s="2"/>
      <c r="G754" s="2"/>
      <c r="H754" s="2"/>
      <c r="I754" s="2"/>
    </row>
    <row r="755" spans="5:9" ht="13">
      <c r="E755" s="2"/>
      <c r="F755" s="2"/>
      <c r="G755" s="2"/>
      <c r="H755" s="2"/>
      <c r="I755" s="2"/>
    </row>
    <row r="756" spans="5:9" ht="13">
      <c r="E756" s="2"/>
      <c r="F756" s="2"/>
      <c r="G756" s="2"/>
      <c r="H756" s="2"/>
      <c r="I756" s="2"/>
    </row>
    <row r="757" spans="5:9" ht="13">
      <c r="E757" s="2"/>
      <c r="F757" s="2"/>
      <c r="G757" s="2"/>
      <c r="H757" s="2"/>
      <c r="I757" s="2"/>
    </row>
    <row r="758" spans="5:9" ht="13">
      <c r="E758" s="2"/>
      <c r="F758" s="2"/>
      <c r="G758" s="2"/>
      <c r="H758" s="2"/>
      <c r="I758" s="2"/>
    </row>
    <row r="759" spans="5:9" ht="13">
      <c r="E759" s="2"/>
      <c r="F759" s="2"/>
      <c r="G759" s="2"/>
      <c r="H759" s="2"/>
      <c r="I759" s="2"/>
    </row>
    <row r="760" spans="5:9" ht="13">
      <c r="E760" s="2"/>
      <c r="F760" s="2"/>
      <c r="G760" s="2"/>
      <c r="H760" s="2"/>
      <c r="I760" s="2"/>
    </row>
    <row r="761" spans="5:9" ht="13">
      <c r="E761" s="2"/>
      <c r="F761" s="2"/>
      <c r="G761" s="2"/>
      <c r="H761" s="2"/>
      <c r="I761" s="2"/>
    </row>
    <row r="762" spans="5:9" ht="13">
      <c r="E762" s="2"/>
      <c r="F762" s="2"/>
      <c r="G762" s="2"/>
      <c r="H762" s="2"/>
      <c r="I762" s="2"/>
    </row>
    <row r="763" spans="5:9" ht="13">
      <c r="E763" s="2"/>
      <c r="F763" s="2"/>
      <c r="G763" s="2"/>
      <c r="H763" s="2"/>
      <c r="I763" s="2"/>
    </row>
    <row r="764" spans="5:9" ht="13">
      <c r="E764" s="2"/>
      <c r="F764" s="2"/>
      <c r="G764" s="2"/>
      <c r="H764" s="2"/>
      <c r="I764" s="2"/>
    </row>
    <row r="765" spans="5:9" ht="13">
      <c r="E765" s="2"/>
      <c r="F765" s="2"/>
      <c r="G765" s="2"/>
      <c r="H765" s="2"/>
      <c r="I765" s="2"/>
    </row>
    <row r="766" spans="5:9" ht="13">
      <c r="E766" s="2"/>
      <c r="F766" s="2"/>
      <c r="G766" s="2"/>
      <c r="H766" s="2"/>
      <c r="I766" s="2"/>
    </row>
    <row r="767" spans="5:9" ht="13">
      <c r="E767" s="2"/>
      <c r="F767" s="2"/>
      <c r="G767" s="2"/>
      <c r="H767" s="2"/>
      <c r="I767" s="2"/>
    </row>
    <row r="768" spans="5:9" ht="13">
      <c r="E768" s="2"/>
      <c r="F768" s="2"/>
      <c r="G768" s="2"/>
      <c r="H768" s="2"/>
      <c r="I768" s="2"/>
    </row>
    <row r="769" spans="5:9" ht="13">
      <c r="E769" s="2"/>
      <c r="F769" s="2"/>
      <c r="G769" s="2"/>
      <c r="H769" s="2"/>
      <c r="I769" s="2"/>
    </row>
    <row r="770" spans="5:9" ht="13">
      <c r="E770" s="2"/>
      <c r="F770" s="2"/>
      <c r="G770" s="2"/>
      <c r="H770" s="2"/>
      <c r="I770" s="2"/>
    </row>
    <row r="771" spans="5:9" ht="13">
      <c r="E771" s="2"/>
      <c r="F771" s="2"/>
      <c r="G771" s="2"/>
      <c r="H771" s="2"/>
      <c r="I771" s="2"/>
    </row>
    <row r="772" spans="5:9" ht="13">
      <c r="E772" s="2"/>
      <c r="F772" s="2"/>
      <c r="G772" s="2"/>
      <c r="H772" s="2"/>
      <c r="I772" s="2"/>
    </row>
    <row r="773" spans="5:9" ht="13">
      <c r="E773" s="2"/>
      <c r="F773" s="2"/>
      <c r="G773" s="2"/>
      <c r="H773" s="2"/>
      <c r="I773" s="2"/>
    </row>
    <row r="774" spans="5:9" ht="13">
      <c r="E774" s="2"/>
      <c r="F774" s="2"/>
      <c r="G774" s="2"/>
      <c r="H774" s="2"/>
      <c r="I774" s="2"/>
    </row>
    <row r="775" spans="5:9" ht="13">
      <c r="E775" s="2"/>
      <c r="F775" s="2"/>
      <c r="G775" s="2"/>
      <c r="H775" s="2"/>
      <c r="I775" s="2"/>
    </row>
    <row r="776" spans="5:9" ht="13">
      <c r="E776" s="2"/>
      <c r="F776" s="2"/>
      <c r="G776" s="2"/>
      <c r="H776" s="2"/>
      <c r="I776" s="2"/>
    </row>
    <row r="777" spans="5:9" ht="13">
      <c r="E777" s="2"/>
      <c r="F777" s="2"/>
      <c r="G777" s="2"/>
      <c r="H777" s="2"/>
      <c r="I777" s="2"/>
    </row>
    <row r="778" spans="5:9" ht="13">
      <c r="E778" s="2"/>
      <c r="F778" s="2"/>
      <c r="G778" s="2"/>
      <c r="H778" s="2"/>
      <c r="I778" s="2"/>
    </row>
    <row r="779" spans="5:9" ht="13">
      <c r="E779" s="2"/>
      <c r="F779" s="2"/>
      <c r="G779" s="2"/>
      <c r="H779" s="2"/>
      <c r="I779" s="2"/>
    </row>
    <row r="780" spans="5:9" ht="13">
      <c r="E780" s="2"/>
      <c r="F780" s="2"/>
      <c r="G780" s="2"/>
      <c r="H780" s="2"/>
      <c r="I780" s="2"/>
    </row>
    <row r="781" spans="5:9" ht="13">
      <c r="E781" s="2"/>
      <c r="F781" s="2"/>
      <c r="G781" s="2"/>
      <c r="H781" s="2"/>
      <c r="I781" s="2"/>
    </row>
    <row r="782" spans="5:9" ht="13">
      <c r="E782" s="2"/>
      <c r="F782" s="2"/>
      <c r="G782" s="2"/>
      <c r="H782" s="2"/>
      <c r="I782" s="2"/>
    </row>
    <row r="783" spans="5:9" ht="13">
      <c r="E783" s="2"/>
      <c r="F783" s="2"/>
      <c r="G783" s="2"/>
      <c r="H783" s="2"/>
      <c r="I783" s="2"/>
    </row>
    <row r="784" spans="5:9" ht="13">
      <c r="E784" s="2"/>
      <c r="F784" s="2"/>
      <c r="G784" s="2"/>
      <c r="H784" s="2"/>
      <c r="I784" s="2"/>
    </row>
    <row r="785" spans="5:9" ht="13">
      <c r="E785" s="2"/>
      <c r="F785" s="2"/>
      <c r="G785" s="2"/>
      <c r="H785" s="2"/>
      <c r="I785" s="2"/>
    </row>
    <row r="786" spans="5:9" ht="13">
      <c r="E786" s="2"/>
      <c r="F786" s="2"/>
      <c r="G786" s="2"/>
      <c r="H786" s="2"/>
      <c r="I786" s="2"/>
    </row>
    <row r="787" spans="5:9" ht="13">
      <c r="E787" s="2"/>
      <c r="F787" s="2"/>
      <c r="G787" s="2"/>
      <c r="H787" s="2"/>
      <c r="I787" s="2"/>
    </row>
    <row r="788" spans="5:9" ht="13">
      <c r="E788" s="2"/>
      <c r="F788" s="2"/>
      <c r="G788" s="2"/>
      <c r="H788" s="2"/>
      <c r="I788" s="2"/>
    </row>
    <row r="789" spans="5:9" ht="13">
      <c r="E789" s="2"/>
      <c r="F789" s="2"/>
      <c r="G789" s="2"/>
      <c r="H789" s="2"/>
      <c r="I789" s="2"/>
    </row>
    <row r="790" spans="5:9" ht="13">
      <c r="E790" s="2"/>
      <c r="F790" s="2"/>
      <c r="G790" s="2"/>
      <c r="H790" s="2"/>
      <c r="I790" s="2"/>
    </row>
    <row r="791" spans="5:9" ht="13">
      <c r="E791" s="2"/>
      <c r="F791" s="2"/>
      <c r="G791" s="2"/>
      <c r="H791" s="2"/>
      <c r="I791" s="2"/>
    </row>
    <row r="792" spans="5:9" ht="13">
      <c r="E792" s="2"/>
      <c r="F792" s="2"/>
      <c r="G792" s="2"/>
      <c r="H792" s="2"/>
      <c r="I792" s="2"/>
    </row>
    <row r="793" spans="5:9" ht="13">
      <c r="E793" s="2"/>
      <c r="F793" s="2"/>
      <c r="G793" s="2"/>
      <c r="H793" s="2"/>
      <c r="I793" s="2"/>
    </row>
    <row r="794" spans="5:9" ht="13">
      <c r="E794" s="2"/>
      <c r="F794" s="2"/>
      <c r="G794" s="2"/>
      <c r="H794" s="2"/>
      <c r="I794" s="2"/>
    </row>
    <row r="795" spans="5:9" ht="13">
      <c r="E795" s="2"/>
      <c r="F795" s="2"/>
      <c r="G795" s="2"/>
      <c r="H795" s="2"/>
      <c r="I795" s="2"/>
    </row>
    <row r="796" spans="5:9" ht="13">
      <c r="E796" s="2"/>
      <c r="F796" s="2"/>
      <c r="G796" s="2"/>
      <c r="H796" s="2"/>
      <c r="I796" s="2"/>
    </row>
    <row r="797" spans="5:9" ht="13">
      <c r="E797" s="2"/>
      <c r="F797" s="2"/>
      <c r="G797" s="2"/>
      <c r="H797" s="2"/>
      <c r="I797" s="2"/>
    </row>
    <row r="798" spans="5:9" ht="13">
      <c r="E798" s="2"/>
      <c r="F798" s="2"/>
      <c r="G798" s="2"/>
      <c r="H798" s="2"/>
      <c r="I798" s="2"/>
    </row>
    <row r="799" spans="5:9" ht="13">
      <c r="E799" s="2"/>
      <c r="F799" s="2"/>
      <c r="G799" s="2"/>
      <c r="H799" s="2"/>
      <c r="I799" s="2"/>
    </row>
    <row r="800" spans="5:9" ht="13">
      <c r="E800" s="2"/>
      <c r="F800" s="2"/>
      <c r="G800" s="2"/>
      <c r="H800" s="2"/>
      <c r="I800" s="2"/>
    </row>
    <row r="801" spans="5:9" ht="13">
      <c r="E801" s="2"/>
      <c r="F801" s="2"/>
      <c r="G801" s="2"/>
      <c r="H801" s="2"/>
      <c r="I801" s="2"/>
    </row>
    <row r="802" spans="5:9" ht="13">
      <c r="E802" s="2"/>
      <c r="F802" s="2"/>
      <c r="G802" s="2"/>
      <c r="H802" s="2"/>
      <c r="I802" s="2"/>
    </row>
    <row r="803" spans="5:9" ht="13">
      <c r="E803" s="2"/>
      <c r="F803" s="2"/>
      <c r="G803" s="2"/>
      <c r="H803" s="2"/>
      <c r="I803" s="2"/>
    </row>
    <row r="804" spans="5:9" ht="13">
      <c r="E804" s="2"/>
      <c r="F804" s="2"/>
      <c r="G804" s="2"/>
      <c r="H804" s="2"/>
      <c r="I804" s="2"/>
    </row>
    <row r="805" spans="5:9" ht="13">
      <c r="E805" s="2"/>
      <c r="F805" s="2"/>
      <c r="G805" s="2"/>
      <c r="H805" s="2"/>
      <c r="I805" s="2"/>
    </row>
    <row r="806" spans="5:9" ht="13">
      <c r="E806" s="2"/>
      <c r="F806" s="2"/>
      <c r="G806" s="2"/>
      <c r="H806" s="2"/>
      <c r="I806" s="2"/>
    </row>
    <row r="807" spans="5:9" ht="13">
      <c r="E807" s="2"/>
      <c r="F807" s="2"/>
      <c r="G807" s="2"/>
      <c r="H807" s="2"/>
      <c r="I807" s="2"/>
    </row>
    <row r="808" spans="5:9" ht="13">
      <c r="E808" s="2"/>
      <c r="F808" s="2"/>
      <c r="G808" s="2"/>
      <c r="H808" s="2"/>
      <c r="I808" s="2"/>
    </row>
    <row r="809" spans="5:9" ht="13">
      <c r="E809" s="2"/>
      <c r="F809" s="2"/>
      <c r="G809" s="2"/>
      <c r="H809" s="2"/>
      <c r="I809" s="2"/>
    </row>
    <row r="810" spans="5:9" ht="13">
      <c r="E810" s="2"/>
      <c r="F810" s="2"/>
      <c r="G810" s="2"/>
      <c r="H810" s="2"/>
      <c r="I810" s="2"/>
    </row>
    <row r="811" spans="5:9" ht="13">
      <c r="E811" s="2"/>
      <c r="F811" s="2"/>
      <c r="G811" s="2"/>
      <c r="H811" s="2"/>
      <c r="I811" s="2"/>
    </row>
    <row r="812" spans="5:9" ht="13">
      <c r="E812" s="2"/>
      <c r="F812" s="2"/>
      <c r="G812" s="2"/>
      <c r="H812" s="2"/>
      <c r="I812" s="2"/>
    </row>
    <row r="813" spans="5:9" ht="13">
      <c r="E813" s="2"/>
      <c r="F813" s="2"/>
      <c r="G813" s="2"/>
      <c r="H813" s="2"/>
      <c r="I813" s="2"/>
    </row>
    <row r="814" spans="5:9" ht="13">
      <c r="E814" s="2"/>
      <c r="F814" s="2"/>
      <c r="G814" s="2"/>
      <c r="H814" s="2"/>
      <c r="I814" s="2"/>
    </row>
    <row r="815" spans="5:9" ht="13">
      <c r="E815" s="2"/>
      <c r="F815" s="2"/>
      <c r="G815" s="2"/>
      <c r="H815" s="2"/>
      <c r="I815" s="2"/>
    </row>
    <row r="816" spans="5:9" ht="13">
      <c r="E816" s="2"/>
      <c r="F816" s="2"/>
      <c r="G816" s="2"/>
      <c r="H816" s="2"/>
      <c r="I816" s="2"/>
    </row>
    <row r="817" spans="5:9" ht="13">
      <c r="E817" s="2"/>
      <c r="F817" s="2"/>
      <c r="G817" s="2"/>
      <c r="H817" s="2"/>
      <c r="I817" s="2"/>
    </row>
    <row r="818" spans="5:9" ht="13">
      <c r="E818" s="2"/>
      <c r="F818" s="2"/>
      <c r="G818" s="2"/>
      <c r="H818" s="2"/>
      <c r="I818" s="2"/>
    </row>
    <row r="819" spans="5:9" ht="13">
      <c r="E819" s="2"/>
      <c r="F819" s="2"/>
      <c r="G819" s="2"/>
      <c r="H819" s="2"/>
      <c r="I819" s="2"/>
    </row>
    <row r="820" spans="5:9" ht="13">
      <c r="E820" s="2"/>
      <c r="F820" s="2"/>
      <c r="G820" s="2"/>
      <c r="H820" s="2"/>
      <c r="I820" s="2"/>
    </row>
    <row r="821" spans="5:9" ht="13">
      <c r="E821" s="2"/>
      <c r="F821" s="2"/>
      <c r="G821" s="2"/>
      <c r="H821" s="2"/>
      <c r="I821" s="2"/>
    </row>
    <row r="822" spans="5:9" ht="13">
      <c r="E822" s="2"/>
      <c r="F822" s="2"/>
      <c r="G822" s="2"/>
      <c r="H822" s="2"/>
      <c r="I822" s="2"/>
    </row>
    <row r="823" spans="5:9" ht="13">
      <c r="E823" s="2"/>
      <c r="F823" s="2"/>
      <c r="G823" s="2"/>
      <c r="H823" s="2"/>
      <c r="I823" s="2"/>
    </row>
    <row r="824" spans="5:9" ht="13">
      <c r="E824" s="2"/>
      <c r="F824" s="2"/>
      <c r="G824" s="2"/>
      <c r="H824" s="2"/>
      <c r="I824" s="2"/>
    </row>
    <row r="825" spans="5:9" ht="13">
      <c r="E825" s="2"/>
      <c r="F825" s="2"/>
      <c r="G825" s="2"/>
      <c r="H825" s="2"/>
      <c r="I825" s="2"/>
    </row>
    <row r="826" spans="5:9" ht="13">
      <c r="E826" s="2"/>
      <c r="F826" s="2"/>
      <c r="G826" s="2"/>
      <c r="H826" s="2"/>
      <c r="I826" s="2"/>
    </row>
    <row r="827" spans="5:9" ht="13">
      <c r="E827" s="2"/>
      <c r="F827" s="2"/>
      <c r="G827" s="2"/>
      <c r="H827" s="2"/>
      <c r="I827" s="2"/>
    </row>
    <row r="828" spans="5:9" ht="13">
      <c r="E828" s="2"/>
      <c r="F828" s="2"/>
      <c r="G828" s="2"/>
      <c r="H828" s="2"/>
      <c r="I828" s="2"/>
    </row>
    <row r="829" spans="5:9" ht="13">
      <c r="E829" s="2"/>
      <c r="F829" s="2"/>
      <c r="G829" s="2"/>
      <c r="H829" s="2"/>
      <c r="I829" s="2"/>
    </row>
    <row r="830" spans="5:9" ht="13">
      <c r="E830" s="2"/>
      <c r="F830" s="2"/>
      <c r="G830" s="2"/>
      <c r="H830" s="2"/>
      <c r="I830" s="2"/>
    </row>
    <row r="831" spans="5:9" ht="13">
      <c r="E831" s="2"/>
      <c r="F831" s="2"/>
      <c r="G831" s="2"/>
      <c r="H831" s="2"/>
      <c r="I831" s="2"/>
    </row>
    <row r="832" spans="5:9" ht="13">
      <c r="E832" s="2"/>
      <c r="F832" s="2"/>
      <c r="G832" s="2"/>
      <c r="H832" s="2"/>
      <c r="I832" s="2"/>
    </row>
    <row r="833" spans="5:9" ht="13">
      <c r="E833" s="2"/>
      <c r="F833" s="2"/>
      <c r="G833" s="2"/>
      <c r="H833" s="2"/>
      <c r="I833" s="2"/>
    </row>
    <row r="834" spans="5:9" ht="13">
      <c r="E834" s="2"/>
      <c r="F834" s="2"/>
      <c r="G834" s="2"/>
      <c r="H834" s="2"/>
      <c r="I834" s="2"/>
    </row>
    <row r="835" spans="5:9" ht="13">
      <c r="E835" s="2"/>
      <c r="F835" s="2"/>
      <c r="G835" s="2"/>
      <c r="H835" s="2"/>
      <c r="I835" s="2"/>
    </row>
    <row r="836" spans="5:9" ht="13">
      <c r="E836" s="2"/>
      <c r="F836" s="2"/>
      <c r="G836" s="2"/>
      <c r="H836" s="2"/>
      <c r="I836" s="2"/>
    </row>
    <row r="837" spans="5:9" ht="13">
      <c r="E837" s="2"/>
      <c r="F837" s="2"/>
      <c r="G837" s="2"/>
      <c r="H837" s="2"/>
      <c r="I837" s="2"/>
    </row>
    <row r="838" spans="5:9" ht="13">
      <c r="E838" s="2"/>
      <c r="F838" s="2"/>
      <c r="G838" s="2"/>
      <c r="H838" s="2"/>
      <c r="I838" s="2"/>
    </row>
    <row r="839" spans="5:9" ht="13">
      <c r="E839" s="2"/>
      <c r="F839" s="2"/>
      <c r="G839" s="2"/>
      <c r="H839" s="2"/>
      <c r="I839" s="2"/>
    </row>
    <row r="840" spans="5:9" ht="13">
      <c r="E840" s="2"/>
      <c r="F840" s="2"/>
      <c r="G840" s="2"/>
      <c r="H840" s="2"/>
      <c r="I840" s="2"/>
    </row>
    <row r="841" spans="5:9" ht="13">
      <c r="E841" s="2"/>
      <c r="F841" s="2"/>
      <c r="G841" s="2"/>
      <c r="H841" s="2"/>
      <c r="I841" s="2"/>
    </row>
    <row r="842" spans="5:9" ht="13">
      <c r="E842" s="2"/>
      <c r="F842" s="2"/>
      <c r="G842" s="2"/>
      <c r="H842" s="2"/>
      <c r="I842" s="2"/>
    </row>
    <row r="843" spans="5:9" ht="13">
      <c r="E843" s="2"/>
      <c r="F843" s="2"/>
      <c r="G843" s="2"/>
      <c r="H843" s="2"/>
      <c r="I843" s="2"/>
    </row>
    <row r="844" spans="5:9" ht="13">
      <c r="E844" s="2"/>
      <c r="F844" s="2"/>
      <c r="G844" s="2"/>
      <c r="H844" s="2"/>
      <c r="I844" s="2"/>
    </row>
    <row r="845" spans="5:9" ht="13">
      <c r="E845" s="2"/>
      <c r="F845" s="2"/>
      <c r="G845" s="2"/>
      <c r="H845" s="2"/>
      <c r="I845" s="2"/>
    </row>
    <row r="846" spans="5:9" ht="13">
      <c r="E846" s="2"/>
      <c r="F846" s="2"/>
      <c r="G846" s="2"/>
      <c r="H846" s="2"/>
      <c r="I846" s="2"/>
    </row>
    <row r="847" spans="5:9" ht="13">
      <c r="E847" s="2"/>
      <c r="F847" s="2"/>
      <c r="G847" s="2"/>
      <c r="H847" s="2"/>
      <c r="I847" s="2"/>
    </row>
    <row r="848" spans="5:9" ht="13">
      <c r="E848" s="2"/>
      <c r="F848" s="2"/>
      <c r="G848" s="2"/>
      <c r="H848" s="2"/>
      <c r="I848" s="2"/>
    </row>
    <row r="849" spans="5:9" ht="13">
      <c r="E849" s="2"/>
      <c r="F849" s="2"/>
      <c r="G849" s="2"/>
      <c r="H849" s="2"/>
      <c r="I849" s="2"/>
    </row>
    <row r="850" spans="5:9" ht="13">
      <c r="E850" s="2"/>
      <c r="F850" s="2"/>
      <c r="G850" s="2"/>
      <c r="H850" s="2"/>
      <c r="I850" s="2"/>
    </row>
    <row r="851" spans="5:9" ht="13">
      <c r="E851" s="2"/>
      <c r="F851" s="2"/>
      <c r="G851" s="2"/>
      <c r="H851" s="2"/>
      <c r="I851" s="2"/>
    </row>
    <row r="852" spans="5:9" ht="13">
      <c r="E852" s="2"/>
      <c r="F852" s="2"/>
      <c r="G852" s="2"/>
      <c r="H852" s="2"/>
      <c r="I852" s="2"/>
    </row>
    <row r="853" spans="5:9" ht="13">
      <c r="E853" s="2"/>
      <c r="F853" s="2"/>
      <c r="G853" s="2"/>
      <c r="H853" s="2"/>
      <c r="I853" s="2"/>
    </row>
    <row r="854" spans="5:9" ht="13">
      <c r="E854" s="2"/>
      <c r="F854" s="2"/>
      <c r="G854" s="2"/>
      <c r="H854" s="2"/>
      <c r="I854" s="2"/>
    </row>
    <row r="855" spans="5:9" ht="13">
      <c r="E855" s="2"/>
      <c r="F855" s="2"/>
      <c r="G855" s="2"/>
      <c r="H855" s="2"/>
      <c r="I855" s="2"/>
    </row>
    <row r="856" spans="5:9" ht="13">
      <c r="E856" s="2"/>
      <c r="F856" s="2"/>
      <c r="G856" s="2"/>
      <c r="H856" s="2"/>
      <c r="I856" s="2"/>
    </row>
    <row r="857" spans="5:9" ht="13">
      <c r="E857" s="2"/>
      <c r="F857" s="2"/>
      <c r="G857" s="2"/>
      <c r="H857" s="2"/>
      <c r="I857" s="2"/>
    </row>
    <row r="858" spans="5:9" ht="13">
      <c r="E858" s="2"/>
      <c r="F858" s="2"/>
      <c r="G858" s="2"/>
      <c r="H858" s="2"/>
      <c r="I858" s="2"/>
    </row>
    <row r="859" spans="5:9" ht="13">
      <c r="E859" s="2"/>
      <c r="F859" s="2"/>
      <c r="G859" s="2"/>
      <c r="H859" s="2"/>
      <c r="I859" s="2"/>
    </row>
    <row r="860" spans="5:9" ht="13">
      <c r="E860" s="2"/>
      <c r="F860" s="2"/>
      <c r="G860" s="2"/>
      <c r="H860" s="2"/>
      <c r="I860" s="2"/>
    </row>
    <row r="861" spans="5:9" ht="13">
      <c r="E861" s="2"/>
      <c r="F861" s="2"/>
      <c r="G861" s="2"/>
      <c r="H861" s="2"/>
      <c r="I861" s="2"/>
    </row>
    <row r="862" spans="5:9" ht="13">
      <c r="E862" s="2"/>
      <c r="F862" s="2"/>
      <c r="G862" s="2"/>
      <c r="H862" s="2"/>
      <c r="I862" s="2"/>
    </row>
    <row r="863" spans="5:9" ht="13">
      <c r="E863" s="2"/>
      <c r="F863" s="2"/>
      <c r="G863" s="2"/>
      <c r="H863" s="2"/>
      <c r="I863" s="2"/>
    </row>
    <row r="864" spans="5:9" ht="13">
      <c r="E864" s="2"/>
      <c r="F864" s="2"/>
      <c r="G864" s="2"/>
      <c r="H864" s="2"/>
      <c r="I864" s="2"/>
    </row>
    <row r="865" spans="5:9" ht="13">
      <c r="E865" s="2"/>
      <c r="F865" s="2"/>
      <c r="G865" s="2"/>
      <c r="H865" s="2"/>
      <c r="I865" s="2"/>
    </row>
    <row r="866" spans="5:9" ht="13">
      <c r="E866" s="2"/>
      <c r="F866" s="2"/>
      <c r="G866" s="2"/>
      <c r="H866" s="2"/>
      <c r="I866" s="2"/>
    </row>
    <row r="867" spans="5:9" ht="13">
      <c r="E867" s="2"/>
      <c r="F867" s="2"/>
      <c r="G867" s="2"/>
      <c r="H867" s="2"/>
      <c r="I867" s="2"/>
    </row>
    <row r="868" spans="5:9" ht="13">
      <c r="E868" s="2"/>
      <c r="F868" s="2"/>
      <c r="G868" s="2"/>
      <c r="H868" s="2"/>
      <c r="I868" s="2"/>
    </row>
    <row r="869" spans="5:9" ht="13">
      <c r="E869" s="2"/>
      <c r="F869" s="2"/>
      <c r="G869" s="2"/>
      <c r="H869" s="2"/>
      <c r="I869" s="2"/>
    </row>
    <row r="870" spans="5:9" ht="13">
      <c r="E870" s="2"/>
      <c r="F870" s="2"/>
      <c r="G870" s="2"/>
      <c r="H870" s="2"/>
      <c r="I870" s="2"/>
    </row>
    <row r="871" spans="5:9" ht="13">
      <c r="E871" s="2"/>
      <c r="F871" s="2"/>
      <c r="G871" s="2"/>
      <c r="H871" s="2"/>
      <c r="I871" s="2"/>
    </row>
    <row r="872" spans="5:9" ht="13">
      <c r="E872" s="2"/>
      <c r="F872" s="2"/>
      <c r="G872" s="2"/>
      <c r="H872" s="2"/>
      <c r="I872" s="2"/>
    </row>
    <row r="873" spans="5:9" ht="13">
      <c r="E873" s="2"/>
      <c r="F873" s="2"/>
      <c r="G873" s="2"/>
      <c r="H873" s="2"/>
      <c r="I873" s="2"/>
    </row>
    <row r="874" spans="5:9" ht="13">
      <c r="E874" s="2"/>
      <c r="F874" s="2"/>
      <c r="G874" s="2"/>
      <c r="H874" s="2"/>
      <c r="I874" s="2"/>
    </row>
    <row r="875" spans="5:9" ht="13">
      <c r="E875" s="2"/>
      <c r="F875" s="2"/>
      <c r="G875" s="2"/>
      <c r="H875" s="2"/>
      <c r="I875" s="2"/>
    </row>
    <row r="876" spans="5:9" ht="13">
      <c r="E876" s="2"/>
      <c r="F876" s="2"/>
      <c r="G876" s="2"/>
      <c r="H876" s="2"/>
      <c r="I876" s="2"/>
    </row>
    <row r="877" spans="5:9" ht="13">
      <c r="E877" s="2"/>
      <c r="F877" s="2"/>
      <c r="G877" s="2"/>
      <c r="H877" s="2"/>
      <c r="I877" s="2"/>
    </row>
    <row r="878" spans="5:9" ht="13">
      <c r="E878" s="2"/>
      <c r="F878" s="2"/>
      <c r="G878" s="2"/>
      <c r="H878" s="2"/>
      <c r="I878" s="2"/>
    </row>
    <row r="879" spans="5:9" ht="13">
      <c r="E879" s="2"/>
      <c r="F879" s="2"/>
      <c r="G879" s="2"/>
      <c r="H879" s="2"/>
      <c r="I879" s="2"/>
    </row>
    <row r="880" spans="5:9" ht="13">
      <c r="E880" s="2"/>
      <c r="F880" s="2"/>
      <c r="G880" s="2"/>
      <c r="H880" s="2"/>
      <c r="I880" s="2"/>
    </row>
    <row r="881" spans="5:9" ht="13">
      <c r="E881" s="2"/>
      <c r="F881" s="2"/>
      <c r="G881" s="2"/>
      <c r="H881" s="2"/>
      <c r="I881" s="2"/>
    </row>
    <row r="882" spans="5:9" ht="13">
      <c r="E882" s="2"/>
      <c r="F882" s="2"/>
      <c r="G882" s="2"/>
      <c r="H882" s="2"/>
      <c r="I882" s="2"/>
    </row>
    <row r="883" spans="5:9" ht="13">
      <c r="E883" s="2"/>
      <c r="F883" s="2"/>
      <c r="G883" s="2"/>
      <c r="H883" s="2"/>
      <c r="I883" s="2"/>
    </row>
    <row r="884" spans="5:9" ht="13">
      <c r="E884" s="2"/>
      <c r="F884" s="2"/>
      <c r="G884" s="2"/>
      <c r="H884" s="2"/>
      <c r="I884" s="2"/>
    </row>
    <row r="885" spans="5:9" ht="13">
      <c r="E885" s="2"/>
      <c r="F885" s="2"/>
      <c r="G885" s="2"/>
      <c r="H885" s="2"/>
      <c r="I885" s="2"/>
    </row>
    <row r="886" spans="5:9" ht="13">
      <c r="E886" s="2"/>
      <c r="F886" s="2"/>
      <c r="G886" s="2"/>
      <c r="H886" s="2"/>
      <c r="I886" s="2"/>
    </row>
    <row r="887" spans="5:9" ht="13">
      <c r="E887" s="2"/>
      <c r="F887" s="2"/>
      <c r="G887" s="2"/>
      <c r="H887" s="2"/>
      <c r="I887" s="2"/>
    </row>
    <row r="888" spans="5:9" ht="13">
      <c r="E888" s="2"/>
      <c r="F888" s="2"/>
      <c r="G888" s="2"/>
      <c r="H888" s="2"/>
      <c r="I888" s="2"/>
    </row>
    <row r="889" spans="5:9" ht="13">
      <c r="E889" s="2"/>
      <c r="F889" s="2"/>
      <c r="G889" s="2"/>
      <c r="H889" s="2"/>
      <c r="I889" s="2"/>
    </row>
    <row r="890" spans="5:9" ht="13">
      <c r="E890" s="2"/>
      <c r="F890" s="2"/>
      <c r="G890" s="2"/>
      <c r="H890" s="2"/>
      <c r="I890" s="2"/>
    </row>
    <row r="891" spans="5:9" ht="13">
      <c r="E891" s="2"/>
      <c r="F891" s="2"/>
      <c r="G891" s="2"/>
      <c r="H891" s="2"/>
      <c r="I891" s="2"/>
    </row>
    <row r="892" spans="5:9" ht="13">
      <c r="E892" s="2"/>
      <c r="F892" s="2"/>
      <c r="G892" s="2"/>
      <c r="H892" s="2"/>
      <c r="I892" s="2"/>
    </row>
    <row r="893" spans="5:9" ht="13">
      <c r="E893" s="2"/>
      <c r="F893" s="2"/>
      <c r="G893" s="2"/>
      <c r="H893" s="2"/>
      <c r="I893" s="2"/>
    </row>
    <row r="894" spans="5:9" ht="13">
      <c r="E894" s="2"/>
      <c r="F894" s="2"/>
      <c r="G894" s="2"/>
      <c r="H894" s="2"/>
      <c r="I894" s="2"/>
    </row>
    <row r="895" spans="5:9" ht="13">
      <c r="E895" s="2"/>
      <c r="F895" s="2"/>
      <c r="G895" s="2"/>
      <c r="H895" s="2"/>
      <c r="I895" s="2"/>
    </row>
    <row r="896" spans="5:9" ht="13">
      <c r="E896" s="2"/>
      <c r="F896" s="2"/>
      <c r="G896" s="2"/>
      <c r="H896" s="2"/>
      <c r="I896" s="2"/>
    </row>
    <row r="897" spans="5:9" ht="13">
      <c r="E897" s="2"/>
      <c r="F897" s="2"/>
      <c r="G897" s="2"/>
      <c r="H897" s="2"/>
      <c r="I897" s="2"/>
    </row>
    <row r="898" spans="5:9" ht="13">
      <c r="E898" s="2"/>
      <c r="F898" s="2"/>
      <c r="G898" s="2"/>
      <c r="H898" s="2"/>
      <c r="I898" s="2"/>
    </row>
    <row r="899" spans="5:9" ht="13">
      <c r="E899" s="2"/>
      <c r="F899" s="2"/>
      <c r="G899" s="2"/>
      <c r="H899" s="2"/>
      <c r="I899" s="2"/>
    </row>
    <row r="900" spans="5:9" ht="13">
      <c r="E900" s="2"/>
      <c r="F900" s="2"/>
      <c r="G900" s="2"/>
      <c r="H900" s="2"/>
      <c r="I900" s="2"/>
    </row>
    <row r="901" spans="5:9" ht="13">
      <c r="E901" s="2"/>
      <c r="F901" s="2"/>
      <c r="G901" s="2"/>
      <c r="H901" s="2"/>
      <c r="I901" s="2"/>
    </row>
    <row r="902" spans="5:9" ht="13">
      <c r="E902" s="2"/>
      <c r="F902" s="2"/>
      <c r="G902" s="2"/>
      <c r="H902" s="2"/>
      <c r="I902" s="2"/>
    </row>
    <row r="903" spans="5:9" ht="13">
      <c r="E903" s="2"/>
      <c r="F903" s="2"/>
      <c r="G903" s="2"/>
      <c r="H903" s="2"/>
      <c r="I903" s="2"/>
    </row>
    <row r="904" spans="5:9" ht="13">
      <c r="E904" s="2"/>
      <c r="F904" s="2"/>
      <c r="G904" s="2"/>
      <c r="H904" s="2"/>
      <c r="I904" s="2"/>
    </row>
    <row r="905" spans="5:9" ht="13">
      <c r="E905" s="2"/>
      <c r="F905" s="2"/>
      <c r="G905" s="2"/>
      <c r="H905" s="2"/>
      <c r="I905" s="2"/>
    </row>
    <row r="906" spans="5:9" ht="13">
      <c r="E906" s="2"/>
      <c r="F906" s="2"/>
      <c r="G906" s="2"/>
      <c r="H906" s="2"/>
      <c r="I906" s="2"/>
    </row>
    <row r="907" spans="5:9" ht="13">
      <c r="E907" s="2"/>
      <c r="F907" s="2"/>
      <c r="G907" s="2"/>
      <c r="H907" s="2"/>
      <c r="I907" s="2"/>
    </row>
    <row r="908" spans="5:9" ht="13">
      <c r="E908" s="2"/>
      <c r="F908" s="2"/>
      <c r="G908" s="2"/>
      <c r="H908" s="2"/>
      <c r="I908" s="2"/>
    </row>
    <row r="909" spans="5:9" ht="13">
      <c r="E909" s="2"/>
      <c r="F909" s="2"/>
      <c r="G909" s="2"/>
      <c r="H909" s="2"/>
      <c r="I909" s="2"/>
    </row>
    <row r="910" spans="5:9" ht="13">
      <c r="E910" s="2"/>
      <c r="F910" s="2"/>
      <c r="G910" s="2"/>
      <c r="H910" s="2"/>
      <c r="I910" s="2"/>
    </row>
    <row r="911" spans="5:9" ht="13">
      <c r="E911" s="2"/>
      <c r="F911" s="2"/>
      <c r="G911" s="2"/>
      <c r="H911" s="2"/>
      <c r="I911" s="2"/>
    </row>
    <row r="912" spans="5:9" ht="13">
      <c r="E912" s="2"/>
      <c r="F912" s="2"/>
      <c r="G912" s="2"/>
      <c r="H912" s="2"/>
      <c r="I912" s="2"/>
    </row>
    <row r="913" spans="5:9" ht="13">
      <c r="E913" s="2"/>
      <c r="F913" s="2"/>
      <c r="G913" s="2"/>
      <c r="H913" s="2"/>
      <c r="I913" s="2"/>
    </row>
    <row r="914" spans="5:9" ht="13">
      <c r="E914" s="2"/>
      <c r="F914" s="2"/>
      <c r="G914" s="2"/>
      <c r="H914" s="2"/>
      <c r="I914" s="2"/>
    </row>
    <row r="915" spans="5:9" ht="13">
      <c r="E915" s="2"/>
      <c r="F915" s="2"/>
      <c r="G915" s="2"/>
      <c r="H915" s="2"/>
      <c r="I915" s="2"/>
    </row>
    <row r="916" spans="5:9" ht="13">
      <c r="E916" s="2"/>
      <c r="F916" s="2"/>
      <c r="G916" s="2"/>
      <c r="H916" s="2"/>
      <c r="I916" s="2"/>
    </row>
    <row r="917" spans="5:9" ht="13">
      <c r="E917" s="2"/>
      <c r="F917" s="2"/>
      <c r="G917" s="2"/>
      <c r="H917" s="2"/>
      <c r="I917" s="2"/>
    </row>
    <row r="918" spans="5:9" ht="13">
      <c r="E918" s="2"/>
      <c r="F918" s="2"/>
      <c r="G918" s="2"/>
      <c r="H918" s="2"/>
      <c r="I918" s="2"/>
    </row>
    <row r="919" spans="5:9" ht="13">
      <c r="E919" s="2"/>
      <c r="F919" s="2"/>
      <c r="G919" s="2"/>
      <c r="H919" s="2"/>
      <c r="I919" s="2"/>
    </row>
    <row r="920" spans="5:9" ht="13">
      <c r="E920" s="2"/>
      <c r="F920" s="2"/>
      <c r="G920" s="2"/>
      <c r="H920" s="2"/>
      <c r="I920" s="2"/>
    </row>
    <row r="921" spans="5:9" ht="13">
      <c r="E921" s="2"/>
      <c r="F921" s="2"/>
      <c r="G921" s="2"/>
      <c r="H921" s="2"/>
      <c r="I921" s="2"/>
    </row>
    <row r="922" spans="5:9" ht="13">
      <c r="E922" s="2"/>
      <c r="F922" s="2"/>
      <c r="G922" s="2"/>
      <c r="H922" s="2"/>
      <c r="I922" s="2"/>
    </row>
    <row r="923" spans="5:9" ht="13">
      <c r="E923" s="2"/>
      <c r="F923" s="2"/>
      <c r="G923" s="2"/>
      <c r="H923" s="2"/>
      <c r="I923" s="2"/>
    </row>
    <row r="924" spans="5:9" ht="13">
      <c r="E924" s="2"/>
      <c r="F924" s="2"/>
      <c r="G924" s="2"/>
      <c r="H924" s="2"/>
      <c r="I924" s="2"/>
    </row>
    <row r="925" spans="5:9" ht="13">
      <c r="E925" s="2"/>
      <c r="F925" s="2"/>
      <c r="G925" s="2"/>
      <c r="H925" s="2"/>
      <c r="I925" s="2"/>
    </row>
    <row r="926" spans="5:9" ht="13">
      <c r="E926" s="2"/>
      <c r="F926" s="2"/>
      <c r="G926" s="2"/>
      <c r="H926" s="2"/>
      <c r="I926" s="2"/>
    </row>
    <row r="927" spans="5:9" ht="13">
      <c r="E927" s="2"/>
      <c r="F927" s="2"/>
      <c r="G927" s="2"/>
      <c r="H927" s="2"/>
      <c r="I927" s="2"/>
    </row>
    <row r="928" spans="5:9" ht="13">
      <c r="E928" s="2"/>
      <c r="F928" s="2"/>
      <c r="G928" s="2"/>
      <c r="H928" s="2"/>
      <c r="I928" s="2"/>
    </row>
    <row r="929" spans="5:9" ht="13">
      <c r="E929" s="2"/>
      <c r="F929" s="2"/>
      <c r="G929" s="2"/>
      <c r="H929" s="2"/>
      <c r="I929" s="2"/>
    </row>
    <row r="930" spans="5:9" ht="13">
      <c r="E930" s="2"/>
      <c r="F930" s="2"/>
      <c r="G930" s="2"/>
      <c r="H930" s="2"/>
      <c r="I930" s="2"/>
    </row>
    <row r="931" spans="5:9" ht="13">
      <c r="E931" s="2"/>
      <c r="F931" s="2"/>
      <c r="G931" s="2"/>
      <c r="H931" s="2"/>
      <c r="I931" s="2"/>
    </row>
    <row r="932" spans="5:9" ht="13">
      <c r="E932" s="2"/>
      <c r="F932" s="2"/>
      <c r="G932" s="2"/>
      <c r="H932" s="2"/>
      <c r="I932" s="2"/>
    </row>
    <row r="933" spans="5:9" ht="13">
      <c r="E933" s="2"/>
      <c r="F933" s="2"/>
      <c r="G933" s="2"/>
      <c r="H933" s="2"/>
      <c r="I933" s="2"/>
    </row>
    <row r="934" spans="5:9" ht="13">
      <c r="E934" s="2"/>
      <c r="F934" s="2"/>
      <c r="G934" s="2"/>
      <c r="H934" s="2"/>
      <c r="I934" s="2"/>
    </row>
    <row r="935" spans="5:9" ht="13">
      <c r="E935" s="2"/>
      <c r="F935" s="2"/>
      <c r="G935" s="2"/>
      <c r="H935" s="2"/>
      <c r="I935" s="2"/>
    </row>
    <row r="936" spans="5:9" ht="13">
      <c r="E936" s="2"/>
      <c r="F936" s="2"/>
      <c r="G936" s="2"/>
      <c r="H936" s="2"/>
      <c r="I936" s="2"/>
    </row>
    <row r="937" spans="5:9" ht="13">
      <c r="E937" s="2"/>
      <c r="F937" s="2"/>
      <c r="G937" s="2"/>
      <c r="H937" s="2"/>
      <c r="I937" s="2"/>
    </row>
    <row r="938" spans="5:9" ht="13">
      <c r="E938" s="2"/>
      <c r="F938" s="2"/>
      <c r="G938" s="2"/>
      <c r="H938" s="2"/>
      <c r="I938" s="2"/>
    </row>
    <row r="939" spans="5:9" ht="13">
      <c r="E939" s="2"/>
      <c r="F939" s="2"/>
      <c r="G939" s="2"/>
      <c r="H939" s="2"/>
      <c r="I939" s="2"/>
    </row>
    <row r="940" spans="5:9" ht="13">
      <c r="E940" s="2"/>
      <c r="F940" s="2"/>
      <c r="G940" s="2"/>
      <c r="H940" s="2"/>
      <c r="I940" s="2"/>
    </row>
    <row r="941" spans="5:9" ht="13">
      <c r="E941" s="2"/>
      <c r="F941" s="2"/>
      <c r="G941" s="2"/>
      <c r="H941" s="2"/>
      <c r="I941" s="2"/>
    </row>
    <row r="942" spans="5:9" ht="13">
      <c r="E942" s="2"/>
      <c r="F942" s="2"/>
      <c r="G942" s="2"/>
      <c r="H942" s="2"/>
      <c r="I942" s="2"/>
    </row>
    <row r="943" spans="5:9" ht="13">
      <c r="E943" s="2"/>
      <c r="F943" s="2"/>
      <c r="G943" s="2"/>
      <c r="H943" s="2"/>
      <c r="I943" s="2"/>
    </row>
    <row r="944" spans="5:9" ht="13">
      <c r="E944" s="2"/>
      <c r="F944" s="2"/>
      <c r="G944" s="2"/>
      <c r="H944" s="2"/>
      <c r="I944" s="2"/>
    </row>
    <row r="945" spans="5:9" ht="13">
      <c r="E945" s="2"/>
      <c r="F945" s="2"/>
      <c r="G945" s="2"/>
      <c r="H945" s="2"/>
      <c r="I945" s="2"/>
    </row>
    <row r="946" spans="5:9" ht="13">
      <c r="E946" s="2"/>
      <c r="F946" s="2"/>
      <c r="G946" s="2"/>
      <c r="H946" s="2"/>
      <c r="I946" s="2"/>
    </row>
    <row r="947" spans="5:9" ht="13">
      <c r="E947" s="2"/>
      <c r="F947" s="2"/>
      <c r="G947" s="2"/>
      <c r="H947" s="2"/>
      <c r="I947" s="2"/>
    </row>
    <row r="948" spans="5:9" ht="13">
      <c r="E948" s="2"/>
      <c r="F948" s="2"/>
      <c r="G948" s="2"/>
      <c r="H948" s="2"/>
      <c r="I948" s="2"/>
    </row>
    <row r="949" spans="5:9" ht="13">
      <c r="E949" s="2"/>
      <c r="F949" s="2"/>
      <c r="G949" s="2"/>
      <c r="H949" s="2"/>
      <c r="I949" s="2"/>
    </row>
    <row r="950" spans="5:9" ht="13">
      <c r="E950" s="2"/>
      <c r="F950" s="2"/>
      <c r="G950" s="2"/>
      <c r="H950" s="2"/>
      <c r="I950" s="2"/>
    </row>
    <row r="951" spans="5:9" ht="13">
      <c r="E951" s="2"/>
      <c r="F951" s="2"/>
      <c r="G951" s="2"/>
      <c r="H951" s="2"/>
      <c r="I951" s="2"/>
    </row>
    <row r="952" spans="5:9" ht="13">
      <c r="E952" s="2"/>
      <c r="F952" s="2"/>
      <c r="G952" s="2"/>
      <c r="H952" s="2"/>
      <c r="I952" s="2"/>
    </row>
    <row r="953" spans="5:9" ht="13">
      <c r="E953" s="2"/>
      <c r="F953" s="2"/>
      <c r="G953" s="2"/>
      <c r="H953" s="2"/>
      <c r="I953" s="2"/>
    </row>
    <row r="954" spans="5:9" ht="13">
      <c r="E954" s="2"/>
      <c r="F954" s="2"/>
      <c r="G954" s="2"/>
      <c r="H954" s="2"/>
      <c r="I954" s="2"/>
    </row>
    <row r="955" spans="5:9" ht="13">
      <c r="E955" s="2"/>
      <c r="F955" s="2"/>
      <c r="G955" s="2"/>
      <c r="H955" s="2"/>
      <c r="I955" s="2"/>
    </row>
    <row r="956" spans="5:9" ht="13">
      <c r="E956" s="2"/>
      <c r="F956" s="2"/>
      <c r="G956" s="2"/>
      <c r="H956" s="2"/>
      <c r="I956" s="2"/>
    </row>
    <row r="957" spans="5:9" ht="13">
      <c r="E957" s="2"/>
      <c r="F957" s="2"/>
      <c r="G957" s="2"/>
      <c r="H957" s="2"/>
      <c r="I957" s="2"/>
    </row>
    <row r="958" spans="5:9" ht="13">
      <c r="E958" s="2"/>
      <c r="F958" s="2"/>
      <c r="G958" s="2"/>
      <c r="H958" s="2"/>
      <c r="I958" s="2"/>
    </row>
    <row r="959" spans="5:9" ht="13">
      <c r="E959" s="2"/>
      <c r="F959" s="2"/>
      <c r="G959" s="2"/>
      <c r="H959" s="2"/>
      <c r="I959" s="2"/>
    </row>
    <row r="960" spans="5:9" ht="13">
      <c r="E960" s="2"/>
      <c r="F960" s="2"/>
      <c r="G960" s="2"/>
      <c r="H960" s="2"/>
      <c r="I960" s="2"/>
    </row>
    <row r="961" spans="5:9" ht="13">
      <c r="E961" s="2"/>
      <c r="F961" s="2"/>
      <c r="G961" s="2"/>
      <c r="H961" s="2"/>
      <c r="I961" s="2"/>
    </row>
    <row r="962" spans="5:9" ht="13">
      <c r="E962" s="2"/>
      <c r="F962" s="2"/>
      <c r="G962" s="2"/>
      <c r="H962" s="2"/>
      <c r="I962" s="2"/>
    </row>
    <row r="963" spans="5:9" ht="13">
      <c r="E963" s="2"/>
      <c r="F963" s="2"/>
      <c r="G963" s="2"/>
      <c r="H963" s="2"/>
      <c r="I963" s="2"/>
    </row>
    <row r="964" spans="5:9" ht="13">
      <c r="E964" s="2"/>
      <c r="F964" s="2"/>
      <c r="G964" s="2"/>
      <c r="H964" s="2"/>
      <c r="I964" s="2"/>
    </row>
    <row r="965" spans="5:9" ht="13">
      <c r="E965" s="2"/>
      <c r="F965" s="2"/>
      <c r="G965" s="2"/>
      <c r="H965" s="2"/>
      <c r="I965" s="2"/>
    </row>
    <row r="966" spans="5:9" ht="13">
      <c r="E966" s="2"/>
      <c r="F966" s="2"/>
      <c r="G966" s="2"/>
      <c r="H966" s="2"/>
      <c r="I966" s="2"/>
    </row>
    <row r="967" spans="5:9" ht="13">
      <c r="E967" s="2"/>
      <c r="F967" s="2"/>
      <c r="G967" s="2"/>
      <c r="H967" s="2"/>
      <c r="I967" s="2"/>
    </row>
    <row r="968" spans="5:9" ht="13">
      <c r="E968" s="2"/>
      <c r="F968" s="2"/>
      <c r="G968" s="2"/>
      <c r="H968" s="2"/>
      <c r="I968" s="2"/>
    </row>
    <row r="969" spans="5:9" ht="13">
      <c r="E969" s="2"/>
      <c r="F969" s="2"/>
      <c r="G969" s="2"/>
      <c r="H969" s="2"/>
      <c r="I969" s="2"/>
    </row>
    <row r="970" spans="5:9" ht="13">
      <c r="E970" s="2"/>
      <c r="F970" s="2"/>
      <c r="G970" s="2"/>
      <c r="H970" s="2"/>
      <c r="I970" s="2"/>
    </row>
    <row r="971" spans="5:9" ht="13">
      <c r="E971" s="2"/>
      <c r="F971" s="2"/>
      <c r="G971" s="2"/>
      <c r="H971" s="2"/>
      <c r="I971" s="2"/>
    </row>
    <row r="972" spans="5:9" ht="13">
      <c r="E972" s="2"/>
      <c r="F972" s="2"/>
      <c r="G972" s="2"/>
      <c r="H972" s="2"/>
      <c r="I972" s="2"/>
    </row>
    <row r="973" spans="5:9" ht="13">
      <c r="E973" s="2"/>
      <c r="F973" s="2"/>
      <c r="G973" s="2"/>
      <c r="H973" s="2"/>
      <c r="I973" s="2"/>
    </row>
    <row r="974" spans="5:9" ht="13">
      <c r="E974" s="2"/>
      <c r="F974" s="2"/>
      <c r="G974" s="2"/>
      <c r="H974" s="2"/>
      <c r="I974" s="2"/>
    </row>
    <row r="975" spans="5:9" ht="13">
      <c r="E975" s="2"/>
      <c r="F975" s="2"/>
      <c r="G975" s="2"/>
      <c r="H975" s="2"/>
      <c r="I975" s="2"/>
    </row>
    <row r="976" spans="5:9" ht="13">
      <c r="E976" s="2"/>
      <c r="F976" s="2"/>
      <c r="G976" s="2"/>
      <c r="H976" s="2"/>
      <c r="I976" s="2"/>
    </row>
    <row r="977" spans="5:9" ht="13">
      <c r="E977" s="2"/>
      <c r="F977" s="2"/>
      <c r="G977" s="2"/>
      <c r="H977" s="2"/>
      <c r="I977" s="2"/>
    </row>
    <row r="978" spans="5:9" ht="13">
      <c r="E978" s="2"/>
      <c r="F978" s="2"/>
      <c r="G978" s="2"/>
      <c r="H978" s="2"/>
      <c r="I978" s="2"/>
    </row>
    <row r="979" spans="5:9" ht="13">
      <c r="E979" s="2"/>
      <c r="F979" s="2"/>
      <c r="G979" s="2"/>
      <c r="H979" s="2"/>
      <c r="I979" s="2"/>
    </row>
    <row r="980" spans="5:9" ht="13">
      <c r="E980" s="2"/>
      <c r="F980" s="2"/>
      <c r="G980" s="2"/>
      <c r="H980" s="2"/>
      <c r="I980" s="2"/>
    </row>
    <row r="981" spans="5:9" ht="13">
      <c r="E981" s="2"/>
      <c r="F981" s="2"/>
      <c r="G981" s="2"/>
      <c r="H981" s="2"/>
      <c r="I981" s="2"/>
    </row>
    <row r="982" spans="5:9" ht="13">
      <c r="E982" s="2"/>
      <c r="F982" s="2"/>
      <c r="G982" s="2"/>
      <c r="H982" s="2"/>
      <c r="I982" s="2"/>
    </row>
    <row r="983" spans="5:9" ht="13">
      <c r="E983" s="2"/>
      <c r="F983" s="2"/>
      <c r="G983" s="2"/>
      <c r="H983" s="2"/>
      <c r="I983" s="2"/>
    </row>
    <row r="984" spans="5:9" ht="13">
      <c r="E984" s="2"/>
      <c r="F984" s="2"/>
      <c r="G984" s="2"/>
      <c r="H984" s="2"/>
      <c r="I984" s="2"/>
    </row>
    <row r="985" spans="5:9" ht="13">
      <c r="E985" s="2"/>
      <c r="F985" s="2"/>
      <c r="G985" s="2"/>
      <c r="H985" s="2"/>
      <c r="I985" s="2"/>
    </row>
    <row r="986" spans="5:9" ht="13">
      <c r="E986" s="2"/>
      <c r="F986" s="2"/>
      <c r="G986" s="2"/>
      <c r="H986" s="2"/>
      <c r="I986" s="2"/>
    </row>
    <row r="987" spans="5:9" ht="13">
      <c r="E987" s="2"/>
      <c r="F987" s="2"/>
      <c r="G987" s="2"/>
      <c r="H987" s="2"/>
      <c r="I987" s="2"/>
    </row>
    <row r="988" spans="5:9" ht="13">
      <c r="E988" s="2"/>
      <c r="F988" s="2"/>
      <c r="G988" s="2"/>
      <c r="H988" s="2"/>
      <c r="I988" s="2"/>
    </row>
    <row r="989" spans="5:9" ht="13">
      <c r="E989" s="2"/>
      <c r="F989" s="2"/>
      <c r="G989" s="2"/>
      <c r="H989" s="2"/>
      <c r="I989" s="2"/>
    </row>
    <row r="990" spans="5:9" ht="13">
      <c r="E990" s="2"/>
      <c r="F990" s="2"/>
      <c r="G990" s="2"/>
      <c r="H990" s="2"/>
      <c r="I990" s="2"/>
    </row>
    <row r="991" spans="5:9" ht="13">
      <c r="E991" s="2"/>
      <c r="F991" s="2"/>
      <c r="G991" s="2"/>
      <c r="H991" s="2"/>
      <c r="I991" s="2"/>
    </row>
    <row r="992" spans="5:9" ht="13">
      <c r="E992" s="2"/>
      <c r="F992" s="2"/>
      <c r="G992" s="2"/>
      <c r="H992" s="2"/>
      <c r="I992" s="2"/>
    </row>
    <row r="993" spans="5:9" ht="13">
      <c r="E993" s="2"/>
      <c r="F993" s="2"/>
      <c r="G993" s="2"/>
      <c r="H993" s="2"/>
      <c r="I993" s="2"/>
    </row>
    <row r="994" spans="5:9" ht="13">
      <c r="E994" s="2"/>
      <c r="F994" s="2"/>
      <c r="G994" s="2"/>
      <c r="H994" s="2"/>
      <c r="I994" s="2"/>
    </row>
    <row r="995" spans="5:9" ht="13">
      <c r="E995" s="2"/>
      <c r="F995" s="2"/>
      <c r="G995" s="2"/>
      <c r="H995" s="2"/>
      <c r="I995" s="2"/>
    </row>
    <row r="996" spans="5:9" ht="13">
      <c r="E996" s="2"/>
      <c r="F996" s="2"/>
      <c r="G996" s="2"/>
      <c r="H996" s="2"/>
      <c r="I996" s="2"/>
    </row>
    <row r="997" spans="5:9" ht="13">
      <c r="E997" s="2"/>
      <c r="F997" s="2"/>
      <c r="G997" s="2"/>
      <c r="H997" s="2"/>
      <c r="I997" s="2"/>
    </row>
    <row r="998" spans="5:9" ht="13">
      <c r="E998" s="2"/>
      <c r="F998" s="2"/>
      <c r="G998" s="2"/>
      <c r="H998" s="2"/>
      <c r="I998" s="2"/>
    </row>
    <row r="999" spans="5:9" ht="13">
      <c r="E999" s="2"/>
      <c r="F999" s="2"/>
      <c r="G999" s="2"/>
      <c r="H999" s="2"/>
      <c r="I999" s="2"/>
    </row>
    <row r="1000" spans="5:9" ht="13">
      <c r="E1000" s="2"/>
      <c r="F1000" s="2"/>
      <c r="G1000" s="2"/>
      <c r="H1000" s="2"/>
      <c r="I1000" s="2"/>
    </row>
  </sheetData>
  <autoFilter ref="A4:AA598" xr:uid="{00000000-0009-0000-0000-000003000000}"/>
  <mergeCells count="6">
    <mergeCell ref="AJ5:AL6"/>
    <mergeCell ref="A1:A3"/>
    <mergeCell ref="B1:AA3"/>
    <mergeCell ref="AC5:AC6"/>
    <mergeCell ref="AD5:AF6"/>
    <mergeCell ref="AG5:AI6"/>
  </mergeCells>
  <conditionalFormatting sqref="AF7:AF37 AI7:AI37 AL7:AL37">
    <cfRule type="cellIs" dxfId="35" priority="1" operator="equal">
      <formula>"✅✅✅✅✅"</formula>
    </cfRule>
  </conditionalFormatting>
  <conditionalFormatting sqref="AF7:AF37 AI7:AI37 AL7:AL37">
    <cfRule type="cellIs" dxfId="34" priority="2" operator="equal">
      <formula>"❌❌❌❌❌"</formula>
    </cfRule>
  </conditionalFormatting>
  <conditionalFormatting sqref="AF7:AF37 AI7:AI37 AL7:AL37">
    <cfRule type="cellIs" dxfId="33" priority="3" operator="between">
      <formula>23.995</formula>
      <formula>24.01</formula>
    </cfRule>
  </conditionalFormatting>
  <conditionalFormatting sqref="AF7:AF37 AI7:AI37 AL7:AL37">
    <cfRule type="cellIs" dxfId="32" priority="4" operator="between">
      <formula>0.1</formula>
      <formula>23.984</formula>
    </cfRule>
  </conditionalFormatting>
  <conditionalFormatting sqref="AF7:AF37 AI7:AI37 AL7:AL37">
    <cfRule type="cellIs" dxfId="31" priority="5" operator="equal">
      <formula>0</formula>
    </cfRule>
  </conditionalFormatting>
  <conditionalFormatting sqref="L5:L598">
    <cfRule type="cellIs" dxfId="30" priority="6" operator="greaterThanOrEqual">
      <formula>"3:00:00 AM"</formula>
    </cfRule>
  </conditionalFormatting>
  <conditionalFormatting sqref="L5:L598">
    <cfRule type="cellIs" dxfId="29" priority="7" operator="greaterThanOrEqual">
      <formula>"3:00"</formula>
    </cfRule>
  </conditionalFormatting>
  <conditionalFormatting sqref="L5:L598">
    <cfRule type="cellIs" dxfId="28" priority="8" operator="greaterThanOrEqual">
      <formula>"3:00"</formula>
    </cfRule>
  </conditionalFormatting>
  <conditionalFormatting sqref="AF7:AF37 AI7:AI37 AL7:AL37">
    <cfRule type="cellIs" dxfId="27" priority="9" operator="greaterThan">
      <formula>24.01</formula>
    </cfRule>
  </conditionalFormatting>
  <dataValidations count="2">
    <dataValidation type="custom" allowBlank="1" showDropDown="1" showErrorMessage="1" sqref="F5:F194 H5:H194 F195:H196 F197 H197 F198:H199 F200:F598 H200:H598" xr:uid="{00000000-0002-0000-0300-000003000000}">
      <formula1>OR(NOT(ISERROR(DATEVALUE(F5))), AND(ISNUMBER(F5), LEFT(CELL("format", F5))="D"))</formula1>
    </dataValidation>
    <dataValidation type="decimal" operator="notEqual" allowBlank="1" showDropDown="1" showInputMessage="1" showErrorMessage="1" prompt="Load loss CANNOT be Zero (0)" sqref="E5:E1000" xr:uid="{00000000-0002-0000-0300-000002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7CB7-C26B-4670-AB2F-D2AE9846C326}">
  <sheetPr>
    <outlinePr summaryBelow="0" summaryRight="0"/>
  </sheetPr>
  <dimension ref="A1:AM1000"/>
  <sheetViews>
    <sheetView topLeftCell="E37" workbookViewId="0">
      <selection activeCell="D11" sqref="D11"/>
    </sheetView>
  </sheetViews>
  <sheetFormatPr defaultColWidth="12.6328125" defaultRowHeight="15.75" customHeight="1" outlineLevelCol="1"/>
  <cols>
    <col min="1" max="1" width="5.90625" style="1" customWidth="1"/>
    <col min="2" max="2" width="17.08984375" style="1" customWidth="1"/>
    <col min="3" max="3" width="18.36328125" style="1" customWidth="1"/>
    <col min="4" max="4" width="15.453125" style="1" customWidth="1"/>
    <col min="5" max="5" width="11.7265625" style="1" customWidth="1"/>
    <col min="6" max="6" width="13.90625" style="1" customWidth="1"/>
    <col min="7" max="7" width="14" style="1" customWidth="1"/>
    <col min="8" max="9" width="12.6328125" style="1"/>
    <col min="10" max="11" width="12.6328125" style="1" outlineLevel="1"/>
    <col min="12" max="12" width="12.6328125" style="1"/>
    <col min="13" max="13" width="60.26953125" style="1" customWidth="1"/>
    <col min="14" max="14" width="14.6328125" style="1" customWidth="1"/>
    <col min="15" max="15" width="20.36328125" style="1" customWidth="1"/>
    <col min="16" max="16" width="12.6328125" style="1" outlineLevel="1"/>
    <col min="17" max="17" width="15.26953125" style="1" customWidth="1" outlineLevel="1"/>
    <col min="18" max="18" width="14.08984375" style="1" customWidth="1" outlineLevel="1"/>
    <col min="19" max="21" width="12.6328125" style="1" outlineLevel="1"/>
    <col min="22" max="22" width="14.6328125" style="1" customWidth="1" outlineLevel="1"/>
    <col min="23" max="23" width="18.90625" style="1" customWidth="1"/>
    <col min="24" max="28" width="12.6328125" style="1"/>
    <col min="29" max="29" width="14.36328125" style="1" customWidth="1"/>
    <col min="30" max="31" width="12.6328125" style="1" outlineLevel="1"/>
    <col min="32" max="32" width="12.6328125" style="1"/>
    <col min="33" max="34" width="12.6328125" style="1" outlineLevel="1"/>
    <col min="35" max="35" width="12.6328125" style="1"/>
    <col min="36" max="37" width="12.6328125" style="1" outlineLevel="1"/>
    <col min="38" max="16384" width="12.6328125" style="1"/>
  </cols>
  <sheetData>
    <row r="1" spans="1:39" ht="15.75" customHeight="1">
      <c r="A1" s="56"/>
      <c r="B1" s="59" t="s">
        <v>52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47"/>
      <c r="AC1" s="48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spans="1:39" ht="15.75" customHeight="1">
      <c r="A2" s="57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3"/>
      <c r="AB2" s="47"/>
      <c r="AC2" s="48"/>
      <c r="AD2" s="47"/>
      <c r="AE2" s="47"/>
      <c r="AF2" s="47"/>
      <c r="AG2" s="47"/>
      <c r="AH2" s="47"/>
      <c r="AI2" s="47"/>
      <c r="AJ2" s="47"/>
      <c r="AK2" s="47"/>
      <c r="AL2" s="47"/>
      <c r="AM2" s="47"/>
    </row>
    <row r="3" spans="1:39" ht="15.75" customHeight="1">
      <c r="A3" s="58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5"/>
      <c r="AB3" s="47"/>
      <c r="AC3" s="48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ht="15.75" customHeight="1" thickBot="1">
      <c r="A4" s="46" t="s">
        <v>51</v>
      </c>
      <c r="B4" s="40" t="s">
        <v>50</v>
      </c>
      <c r="C4" s="40" t="s">
        <v>49</v>
      </c>
      <c r="D4" s="45" t="s">
        <v>48</v>
      </c>
      <c r="E4" s="45" t="s">
        <v>47</v>
      </c>
      <c r="F4" s="44" t="s">
        <v>46</v>
      </c>
      <c r="G4" s="43" t="s">
        <v>45</v>
      </c>
      <c r="H4" s="44" t="s">
        <v>44</v>
      </c>
      <c r="I4" s="43" t="s">
        <v>43</v>
      </c>
      <c r="J4" s="42" t="s">
        <v>42</v>
      </c>
      <c r="K4" s="42" t="s">
        <v>41</v>
      </c>
      <c r="L4" s="41" t="s">
        <v>40</v>
      </c>
      <c r="M4" s="40" t="s">
        <v>39</v>
      </c>
      <c r="N4" s="40" t="s">
        <v>38</v>
      </c>
      <c r="O4" s="39" t="s">
        <v>37</v>
      </c>
      <c r="P4" s="38" t="s">
        <v>36</v>
      </c>
      <c r="Q4" s="38" t="s">
        <v>35</v>
      </c>
      <c r="R4" s="38" t="s">
        <v>34</v>
      </c>
      <c r="S4" s="38" t="s">
        <v>33</v>
      </c>
      <c r="T4" s="38" t="s">
        <v>32</v>
      </c>
      <c r="U4" s="38" t="s">
        <v>31</v>
      </c>
      <c r="V4" s="37" t="s">
        <v>30</v>
      </c>
      <c r="W4" s="36" t="s">
        <v>29</v>
      </c>
      <c r="X4" s="35" t="s">
        <v>28</v>
      </c>
      <c r="Y4" s="35" t="s">
        <v>27</v>
      </c>
      <c r="Z4" s="34" t="s">
        <v>26</v>
      </c>
      <c r="AA4" s="34" t="s">
        <v>25</v>
      </c>
      <c r="AB4" s="32"/>
      <c r="AC4" s="33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pans="1:39" ht="15.75" customHeight="1">
      <c r="A5" s="13" t="str">
        <f>IF(OR(ISBLANK(C5),ISBLANK(D5),ISBLANK(F5),ISBLANK(G5)),"",COUNTIF($B$5:B5,"JAMBUTU"))</f>
        <v/>
      </c>
      <c r="B5" s="8"/>
      <c r="C5" s="8"/>
      <c r="D5" s="8"/>
      <c r="E5" s="13"/>
      <c r="F5" s="12"/>
      <c r="G5" s="11"/>
      <c r="H5" s="12"/>
      <c r="I5" s="11"/>
      <c r="J5" s="10">
        <f t="shared" ref="J5:J68" si="0">DATE(YEAR(F5),MONTH(F5),DAY(F5))+TIME(HOUR(G5),MINUTE(G5), SECOND(G5))</f>
        <v>0</v>
      </c>
      <c r="K5" s="10">
        <f t="shared" ref="K5:K68" si="1">DATE(YEAR(H5),MONTH(H5),DAY(H5))+TIME(HOUR(I5),MINUTE(I5), SECOND(I5))</f>
        <v>0</v>
      </c>
      <c r="L5" s="9" t="str">
        <f t="shared" ref="L5:L68" si="2">IF(ISBLANK(I5),"",IF(J5&gt;K5,(K5+1)-J5,K5-J5))</f>
        <v/>
      </c>
      <c r="M5" s="8"/>
      <c r="N5" s="8"/>
      <c r="O5" s="8"/>
      <c r="P5" s="8"/>
      <c r="Q5" s="8"/>
      <c r="R5" s="8"/>
      <c r="S5" s="8"/>
      <c r="T5" s="8"/>
      <c r="U5" s="8"/>
      <c r="V5" s="7"/>
      <c r="W5" s="6" t="str">
        <f t="array" ref="W5">IF(NOT(ISBLANK(D5)),_xludf.XLOOKUP(D5,[2]CODE!$A$4:$A$100,[2]CODE!$D$4:$D$100),"")</f>
        <v/>
      </c>
      <c r="X5" s="5" t="str">
        <f t="array" ref="X5">IF(NOT(AND(ISBLANK(D5),ISBLANK(C5))),_xludf.XLOOKUP(D5,[2]CODE!$A$4:$A$100,[2]CODE!$E$4:$E$100),"")</f>
        <v/>
      </c>
      <c r="Y5" s="5" t="str">
        <f t="shared" ref="Y5:Y68" si="3">LEFT(C5,4)</f>
        <v/>
      </c>
      <c r="Z5" s="5" t="str">
        <f t="shared" ref="Z5:Z68" si="4">IF(NOT(ISBLANK(C5)), IF(K5&gt;J5,"YES","NO"),"")</f>
        <v/>
      </c>
      <c r="AA5" s="4">
        <f t="shared" ref="AA5:AA68" si="5">IF(AND(F5=H5,Z5="NO"),1+H5,H5)</f>
        <v>0</v>
      </c>
      <c r="AC5" s="66" t="s">
        <v>24</v>
      </c>
      <c r="AD5" s="50" t="s">
        <v>23</v>
      </c>
      <c r="AE5" s="51"/>
      <c r="AF5" s="52"/>
      <c r="AG5" s="50" t="s">
        <v>22</v>
      </c>
      <c r="AH5" s="51"/>
      <c r="AI5" s="52"/>
      <c r="AJ5" s="50" t="s">
        <v>21</v>
      </c>
      <c r="AK5" s="51"/>
      <c r="AL5" s="52"/>
    </row>
    <row r="6" spans="1:39" ht="15.75" customHeight="1" thickBot="1">
      <c r="A6" s="13" t="str">
        <f>IF(OR(ISBLANK(C6),ISBLANK(D6),ISBLANK(F6),ISBLANK(G6)),"",COUNTIF($B$5:B6,"JAMBUTU"))</f>
        <v/>
      </c>
      <c r="B6" s="8"/>
      <c r="C6" s="8"/>
      <c r="D6" s="8"/>
      <c r="E6" s="13"/>
      <c r="F6" s="12"/>
      <c r="G6" s="11"/>
      <c r="H6" s="12"/>
      <c r="I6" s="11"/>
      <c r="J6" s="10">
        <f t="shared" si="0"/>
        <v>0</v>
      </c>
      <c r="K6" s="10">
        <f t="shared" si="1"/>
        <v>0</v>
      </c>
      <c r="L6" s="9" t="str">
        <f t="shared" si="2"/>
        <v/>
      </c>
      <c r="M6" s="8"/>
      <c r="N6" s="8"/>
      <c r="O6" s="8"/>
      <c r="P6" s="8"/>
      <c r="Q6" s="8"/>
      <c r="R6" s="8"/>
      <c r="S6" s="8"/>
      <c r="T6" s="8"/>
      <c r="U6" s="8"/>
      <c r="V6" s="7"/>
      <c r="W6" s="6" t="str">
        <f t="array" ref="W6">IF(NOT(ISBLANK(D6)),_xludf.XLOOKUP(D6,[2]CODE!$A$4:$A$100,[2]CODE!$D$4:$D$100),"")</f>
        <v/>
      </c>
      <c r="X6" s="5" t="str">
        <f t="array" ref="X6">IF(NOT(AND(ISBLANK(D6),ISBLANK(C6))),_xludf.XLOOKUP(D6,[2]CODE!$A$4:$A$100,[2]CODE!$E$4:$E$100),"")</f>
        <v/>
      </c>
      <c r="Y6" s="5" t="str">
        <f t="shared" si="3"/>
        <v/>
      </c>
      <c r="Z6" s="5" t="str">
        <f t="shared" si="4"/>
        <v/>
      </c>
      <c r="AA6" s="4">
        <f t="shared" si="5"/>
        <v>0</v>
      </c>
      <c r="AC6" s="67"/>
      <c r="AD6" s="53"/>
      <c r="AE6" s="54"/>
      <c r="AF6" s="55"/>
      <c r="AG6" s="53"/>
      <c r="AH6" s="54"/>
      <c r="AI6" s="55"/>
      <c r="AJ6" s="53"/>
      <c r="AK6" s="54"/>
      <c r="AL6" s="55"/>
    </row>
    <row r="7" spans="1:39" ht="15.75" customHeight="1">
      <c r="A7" s="13">
        <f>IF(OR(ISBLANK(C7),ISBLANK(D7),ISBLANK(F7),ISBLANK(G7)),"",COUNTIF($B$5:B7,"JAMBUTU"))</f>
        <v>1</v>
      </c>
      <c r="B7" s="8" t="str">
        <f>IF(C7&lt;&gt;"","Jambutu","")</f>
        <v>Jambutu</v>
      </c>
      <c r="C7" s="8" t="s">
        <v>3</v>
      </c>
      <c r="D7" s="8" t="s">
        <v>55</v>
      </c>
      <c r="E7" s="13">
        <v>2.7</v>
      </c>
      <c r="F7" s="12">
        <v>46054</v>
      </c>
      <c r="G7" s="11">
        <v>0.2638888888888889</v>
      </c>
      <c r="H7" s="12">
        <v>46054</v>
      </c>
      <c r="I7" s="11">
        <v>0.67361111111111116</v>
      </c>
      <c r="J7" s="10">
        <f t="shared" si="0"/>
        <v>46054.263888888891</v>
      </c>
      <c r="K7" s="10">
        <f t="shared" si="1"/>
        <v>46054.673611111109</v>
      </c>
      <c r="L7" s="9">
        <f t="shared" si="2"/>
        <v>0.40972222221898846</v>
      </c>
      <c r="M7" s="8" t="s">
        <v>2</v>
      </c>
      <c r="N7" s="8" t="s">
        <v>53</v>
      </c>
      <c r="O7" s="8" t="s">
        <v>0</v>
      </c>
      <c r="P7" s="8"/>
      <c r="Q7" s="8"/>
      <c r="R7" s="8"/>
      <c r="S7" s="8"/>
      <c r="T7" s="8"/>
      <c r="U7" s="8"/>
      <c r="V7" s="7"/>
      <c r="W7" s="6" t="e">
        <f t="array" aca="1" ref="W7" ca="1">IF(NOT(ISBLANK(D7)),_xludf.XLOOKUP(D7,[2]CODE!$A$4:$A$100,[2]CODE!$D$4:$D$100),"")</f>
        <v>#NAME?</v>
      </c>
      <c r="X7" s="5" t="e">
        <f t="array" aca="1" ref="X7" ca="1">IF(NOT(AND(ISBLANK(D7),ISBLANK(C7))),_xludf.XLOOKUP(D7,[2]CODE!$A$4:$A$100,[2]CODE!$E$4:$E$100),"")</f>
        <v>#NAME?</v>
      </c>
      <c r="Y7" s="5" t="str">
        <f t="shared" si="3"/>
        <v>11kV</v>
      </c>
      <c r="Z7" s="5" t="str">
        <f t="shared" si="4"/>
        <v>YES</v>
      </c>
      <c r="AA7" s="4">
        <f t="shared" si="5"/>
        <v>46054</v>
      </c>
      <c r="AC7" s="26">
        <v>46054</v>
      </c>
      <c r="AD7" s="25">
        <f ca="1">IFERROR(__xludf.DUMMYFUNCTION("IFERROR(SUM(FILTER($L$5:$L$1002,$C$5:$C$1002=$AD$5,$F$5:$F$1002=AC7))*24,0)"),0)</f>
        <v>0</v>
      </c>
      <c r="AE7" s="30">
        <f t="array" ref="AE7:AE37">TRANSPOSE('[2]ENERGY ACCOUNT'!E19:AI19)</f>
        <v>24</v>
      </c>
      <c r="AF7" s="29" t="str">
        <f t="shared" ref="AF7:AF37" ca="1" si="6">IF(SUM(AD7+AE7)=0,"",IF(ABS(24-SUM(AD7+AE7))&lt;0.004,REPT("✅",5),REPT("❌",5)))</f>
        <v>✅✅✅✅✅</v>
      </c>
      <c r="AG7" s="25">
        <f ca="1">IFERROR(__xludf.DUMMYFUNCTION("IFERROR(SUM(FILTER($L$5:$L$1002,$C$5:$C$1002=$AG$5,$F$5:$F$1002=AC7))*24,0)"),20.9999999998253)</f>
        <v>20.999999999825299</v>
      </c>
      <c r="AH7" s="31">
        <f t="array" ref="AH7:AH37">TRANSPOSE('[2]ENERGY ACCOUNT'!E22:AI22)</f>
        <v>3</v>
      </c>
      <c r="AI7" s="29" t="str">
        <f t="shared" ref="AI7:AI37" ca="1" si="7">IF(SUM(AG7+AH7)=0,"",IF(ABS(24-SUM(AG7+AH7))&lt;0.004,REPT("✅",5),REPT("❌",5)))</f>
        <v>✅✅✅✅✅</v>
      </c>
      <c r="AJ7" s="25">
        <f ca="1">IFERROR(__xludf.DUMMYFUNCTION("IFERROR(SUM(FILTER($L$5:$L$1002,$C$5:$C$1002=$AJ$5,$F$5:$F$1002=AC7))*24,0)"),21.9999999999417)</f>
        <v>21.9999999999417</v>
      </c>
      <c r="AK7" s="30">
        <f t="array" ref="AK7:AK37">TRANSPOSE('[2]ENERGY ACCOUNT'!E25:AI25)</f>
        <v>2</v>
      </c>
      <c r="AL7" s="29" t="str">
        <f t="shared" ref="AL7:AL37" ca="1" si="8">IF(SUM(AJ7+AK7)=0,"",IF(ABS(24-SUM(AJ7+AK7))&lt;0.004,REPT("✅",5),REPT("❌",5)))</f>
        <v>✅✅✅✅✅</v>
      </c>
    </row>
    <row r="8" spans="1:39" ht="15.75" customHeight="1">
      <c r="A8" s="13" t="str">
        <f>IF(OR(ISBLANK(C8),ISBLANK(D8),ISBLANK(F8),ISBLANK(G8)),"",COUNTIF($B$5:B8,"JAMBUTU"))</f>
        <v/>
      </c>
      <c r="B8" s="8"/>
      <c r="C8" s="8"/>
      <c r="D8" s="8"/>
      <c r="E8" s="13"/>
      <c r="F8" s="12"/>
      <c r="G8" s="11"/>
      <c r="H8" s="12"/>
      <c r="I8" s="11"/>
      <c r="J8" s="10">
        <f t="shared" si="0"/>
        <v>0</v>
      </c>
      <c r="K8" s="10">
        <f t="shared" si="1"/>
        <v>0</v>
      </c>
      <c r="L8" s="9" t="str">
        <f t="shared" si="2"/>
        <v/>
      </c>
      <c r="M8" s="8"/>
      <c r="N8" s="8"/>
      <c r="O8" s="8"/>
      <c r="P8" s="8"/>
      <c r="Q8" s="8"/>
      <c r="R8" s="8"/>
      <c r="S8" s="8"/>
      <c r="T8" s="8"/>
      <c r="U8" s="8"/>
      <c r="V8" s="7"/>
      <c r="W8" s="6" t="str">
        <f t="array" ref="W8">IF(NOT(ISBLANK(D8)),_xludf.XLOOKUP(D8,[2]CODE!$A$4:$A$100,[2]CODE!$D$4:$D$100),"")</f>
        <v/>
      </c>
      <c r="X8" s="5" t="str">
        <f t="array" ref="X8">IF(NOT(AND(ISBLANK(D8),ISBLANK(C8))),_xludf.XLOOKUP(D8,[2]CODE!$A$4:$A$100,[2]CODE!$E$4:$E$100),"")</f>
        <v/>
      </c>
      <c r="Y8" s="5" t="str">
        <f t="shared" si="3"/>
        <v/>
      </c>
      <c r="Z8" s="5" t="str">
        <f t="shared" si="4"/>
        <v/>
      </c>
      <c r="AA8" s="4">
        <f t="shared" si="5"/>
        <v>0</v>
      </c>
      <c r="AC8" s="26">
        <v>46055</v>
      </c>
      <c r="AD8" s="25">
        <f ca="1">IFERROR(__xludf.DUMMYFUNCTION("IFERROR(SUM(FILTER($L$5:$L$1002,$C$5:$C$1002=$AD$5,$F$5:$F$1002=AC8))*24,0)"),0.250000000116415)</f>
        <v>0.25000000011641499</v>
      </c>
      <c r="AE8" s="28">
        <v>23.75</v>
      </c>
      <c r="AF8" s="27" t="str">
        <f t="shared" ca="1" si="6"/>
        <v>✅✅✅✅✅</v>
      </c>
      <c r="AG8" s="25">
        <f ca="1">IFERROR(__xludf.DUMMYFUNCTION("IFERROR(SUM(FILTER($L$5:$L$1002,$C$5:$C$1002=$AG$5,$F$5:$F$1002=AC8))*24,0)"),21.166666666686)</f>
        <v>21.166666666686002</v>
      </c>
      <c r="AH8" s="28">
        <v>2.8333333333333335</v>
      </c>
      <c r="AI8" s="27" t="str">
        <f t="shared" ca="1" si="7"/>
        <v>✅✅✅✅✅</v>
      </c>
      <c r="AJ8" s="25">
        <f ca="1">IFERROR(__xludf.DUMMYFUNCTION("IFERROR(SUM(FILTER($L$5:$L$1002,$C$5:$C$1002=$AJ$5,$F$5:$F$1002=AC8))*24,0)"),21.9999999999417)</f>
        <v>21.9999999999417</v>
      </c>
      <c r="AK8" s="28">
        <v>2</v>
      </c>
      <c r="AL8" s="27" t="str">
        <f t="shared" ca="1" si="8"/>
        <v>✅✅✅✅✅</v>
      </c>
    </row>
    <row r="9" spans="1:39" ht="15.75" customHeight="1">
      <c r="A9" s="13" t="str">
        <f>IF(OR(ISBLANK(C9),ISBLANK(D9),ISBLANK(F9),ISBLANK(G9)),"",COUNTIF($B$5:B9,"JAMBUTU"))</f>
        <v/>
      </c>
      <c r="B9" s="8"/>
      <c r="C9" s="8"/>
      <c r="D9" s="8"/>
      <c r="E9" s="13"/>
      <c r="F9" s="12"/>
      <c r="G9" s="11"/>
      <c r="H9" s="12"/>
      <c r="I9" s="11"/>
      <c r="J9" s="10">
        <f t="shared" si="0"/>
        <v>0</v>
      </c>
      <c r="K9" s="10">
        <f t="shared" si="1"/>
        <v>0</v>
      </c>
      <c r="L9" s="9" t="str">
        <f t="shared" si="2"/>
        <v/>
      </c>
      <c r="M9" s="8"/>
      <c r="N9" s="8"/>
      <c r="O9" s="8"/>
      <c r="P9" s="8"/>
      <c r="Q9" s="8"/>
      <c r="R9" s="8"/>
      <c r="S9" s="8"/>
      <c r="T9" s="8"/>
      <c r="U9" s="8"/>
      <c r="V9" s="7"/>
      <c r="W9" s="6" t="str">
        <f t="array" ref="W9">IF(NOT(ISBLANK(D9)),_xludf.XLOOKUP(D9,[2]CODE!$A$4:$A$100,[2]CODE!$D$4:$D$100),"")</f>
        <v/>
      </c>
      <c r="X9" s="5" t="str">
        <f t="array" ref="X9">IF(NOT(AND(ISBLANK(D9),ISBLANK(C9))),_xludf.XLOOKUP(D9,[2]CODE!$A$4:$A$100,[2]CODE!$E$4:$E$100),"")</f>
        <v/>
      </c>
      <c r="Y9" s="5" t="str">
        <f t="shared" si="3"/>
        <v/>
      </c>
      <c r="Z9" s="5" t="str">
        <f t="shared" si="4"/>
        <v/>
      </c>
      <c r="AA9" s="4">
        <f t="shared" si="5"/>
        <v>0</v>
      </c>
      <c r="AC9" s="26">
        <v>46056</v>
      </c>
      <c r="AD9" s="25">
        <f ca="1">IFERROR(__xludf.DUMMYFUNCTION("IFERROR(SUM(FILTER($L$5:$L$1002,$C$5:$C$1002=$AD$5,$F$5:$F$1002=AC9))*24,0)"),9.99999999976716)</f>
        <v>9.9999999997671605</v>
      </c>
      <c r="AE9" s="28">
        <v>14</v>
      </c>
      <c r="AF9" s="27" t="str">
        <f t="shared" ca="1" si="6"/>
        <v>✅✅✅✅✅</v>
      </c>
      <c r="AG9" s="25">
        <f ca="1">IFERROR(__xludf.DUMMYFUNCTION("IFERROR(SUM(FILTER($L$5:$L$1002,$C$5:$C$1002=$AG$5,$F$5:$F$1002=AC9))*24,0)"),23.3333333334303)</f>
        <v>23.3333333334303</v>
      </c>
      <c r="AH9" s="28">
        <v>0.66666666666666663</v>
      </c>
      <c r="AI9" s="27" t="str">
        <f t="shared" ca="1" si="7"/>
        <v>✅✅✅✅✅</v>
      </c>
      <c r="AJ9" s="25">
        <f ca="1">IFERROR(__xludf.DUMMYFUNCTION("IFERROR(SUM(FILTER($L$5:$L$1002,$C$5:$C$1002=$AJ$5,$F$5:$F$1002=AC9))*24,0)"),24)</f>
        <v>24</v>
      </c>
      <c r="AK9" s="28">
        <v>0</v>
      </c>
      <c r="AL9" s="27" t="str">
        <f t="shared" ca="1" si="8"/>
        <v>✅✅✅✅✅</v>
      </c>
    </row>
    <row r="10" spans="1:39" ht="15.75" customHeight="1">
      <c r="A10" s="13" t="str">
        <f>IF(OR(ISBLANK(C10),ISBLANK(D10),ISBLANK(F10),ISBLANK(G10)),"",COUNTIF($B$5:B10,"JAMBUTU"))</f>
        <v/>
      </c>
      <c r="B10" s="8"/>
      <c r="C10" s="8"/>
      <c r="D10" s="8"/>
      <c r="E10" s="13"/>
      <c r="F10" s="12"/>
      <c r="G10" s="11"/>
      <c r="H10" s="12"/>
      <c r="I10" s="11"/>
      <c r="J10" s="10">
        <f t="shared" si="0"/>
        <v>0</v>
      </c>
      <c r="K10" s="10">
        <f t="shared" si="1"/>
        <v>0</v>
      </c>
      <c r="L10" s="9" t="str">
        <f t="shared" si="2"/>
        <v/>
      </c>
      <c r="M10" s="8"/>
      <c r="N10" s="8"/>
      <c r="O10" s="8"/>
      <c r="P10" s="8"/>
      <c r="Q10" s="8"/>
      <c r="R10" s="8"/>
      <c r="S10" s="8"/>
      <c r="T10" s="8"/>
      <c r="U10" s="8"/>
      <c r="V10" s="7"/>
      <c r="W10" s="6" t="str">
        <f t="array" ref="W10">IF(NOT(ISBLANK(D10)),_xludf.XLOOKUP(D10,[2]CODE!$A$4:$A$100,[2]CODE!$D$4:$D$100),"")</f>
        <v/>
      </c>
      <c r="X10" s="5" t="str">
        <f t="array" ref="X10">IF(NOT(AND(ISBLANK(D10),ISBLANK(C10))),_xludf.XLOOKUP(D10,[2]CODE!$A$4:$A$100,[2]CODE!$E$4:$E$100),"")</f>
        <v/>
      </c>
      <c r="Y10" s="5" t="str">
        <f t="shared" si="3"/>
        <v/>
      </c>
      <c r="Z10" s="5" t="str">
        <f t="shared" si="4"/>
        <v/>
      </c>
      <c r="AA10" s="4">
        <f t="shared" si="5"/>
        <v>0</v>
      </c>
      <c r="AC10" s="26">
        <v>46057</v>
      </c>
      <c r="AD10" s="25">
        <f ca="1">IFERROR(__xludf.DUMMYFUNCTION("IFERROR(SUM(FILTER($L$5:$L$1002,$C$5:$C$1002=$AD$5,$F$5:$F$1002=AC10))*24,0)"),0.383333333360496)</f>
        <v>0.38333333336049602</v>
      </c>
      <c r="AE10" s="28">
        <v>23.616666666666667</v>
      </c>
      <c r="AF10" s="27" t="str">
        <f t="shared" ca="1" si="6"/>
        <v>✅✅✅✅✅</v>
      </c>
      <c r="AG10" s="25">
        <f ca="1">IFERROR(__xludf.DUMMYFUNCTION("IFERROR(SUM(FILTER($L$5:$L$1002,$C$5:$C$1002=$AG$5,$F$5:$F$1002=AC10))*24,0)"),20.966666666558)</f>
        <v>20.966666666558002</v>
      </c>
      <c r="AH10" s="28">
        <v>3.0333333333333332</v>
      </c>
      <c r="AI10" s="27" t="str">
        <f t="shared" ca="1" si="7"/>
        <v>✅✅✅✅✅</v>
      </c>
      <c r="AJ10" s="25">
        <f ca="1">IFERROR(__xludf.DUMMYFUNCTION("IFERROR(SUM(FILTER($L$5:$L$1002,$C$5:$C$1002=$AJ$5,$F$5:$F$1002=AC10))*24,0)"),20.4666666664998)</f>
        <v>20.466666666499801</v>
      </c>
      <c r="AK10" s="28">
        <v>3.5333333333333332</v>
      </c>
      <c r="AL10" s="27" t="str">
        <f t="shared" ca="1" si="8"/>
        <v>✅✅✅✅✅</v>
      </c>
    </row>
    <row r="11" spans="1:39" ht="15.75" customHeight="1">
      <c r="A11" s="13" t="str">
        <f>IF(OR(ISBLANK(C11),ISBLANK(D11),ISBLANK(F11),ISBLANK(G11)),"",COUNTIF($B$5:B11,"JAMBUTU"))</f>
        <v/>
      </c>
      <c r="B11" s="8"/>
      <c r="C11" s="8"/>
      <c r="D11" s="8"/>
      <c r="E11" s="13"/>
      <c r="F11" s="12"/>
      <c r="G11" s="11"/>
      <c r="H11" s="12"/>
      <c r="I11" s="11"/>
      <c r="J11" s="10">
        <f t="shared" si="0"/>
        <v>0</v>
      </c>
      <c r="K11" s="10">
        <f t="shared" si="1"/>
        <v>0</v>
      </c>
      <c r="L11" s="9" t="str">
        <f t="shared" si="2"/>
        <v/>
      </c>
      <c r="M11" s="8"/>
      <c r="N11" s="8"/>
      <c r="O11" s="8"/>
      <c r="P11" s="8"/>
      <c r="Q11" s="8"/>
      <c r="R11" s="8"/>
      <c r="S11" s="8"/>
      <c r="T11" s="8"/>
      <c r="U11" s="8"/>
      <c r="V11" s="7"/>
      <c r="W11" s="6" t="str">
        <f t="array" ref="W11">IF(NOT(ISBLANK(D11)),_xludf.XLOOKUP(D11,[2]CODE!$A$4:$A$100,[2]CODE!$D$4:$D$100),"")</f>
        <v/>
      </c>
      <c r="X11" s="5" t="str">
        <f t="array" ref="X11">IF(NOT(AND(ISBLANK(D11),ISBLANK(C11))),_xludf.XLOOKUP(D11,[2]CODE!$A$4:$A$100,[2]CODE!$E$4:$E$100),"")</f>
        <v/>
      </c>
      <c r="Y11" s="5" t="str">
        <f t="shared" si="3"/>
        <v/>
      </c>
      <c r="Z11" s="5" t="str">
        <f t="shared" si="4"/>
        <v/>
      </c>
      <c r="AA11" s="4">
        <f t="shared" si="5"/>
        <v>0</v>
      </c>
      <c r="AC11" s="26">
        <v>46058</v>
      </c>
      <c r="AD11" s="25">
        <f ca="1">IFERROR(__xludf.DUMMYFUNCTION("IFERROR(SUM(FILTER($L$5:$L$1002,$C$5:$C$1002=$AD$5,$F$5:$F$1002=AC11))*24,0)"),0.216666666674427)</f>
        <v>0.21666666667442699</v>
      </c>
      <c r="AE11" s="28">
        <v>23.783333333333335</v>
      </c>
      <c r="AF11" s="27" t="str">
        <f t="shared" ca="1" si="6"/>
        <v>✅✅✅✅✅</v>
      </c>
      <c r="AG11" s="25">
        <f ca="1">IFERROR(__xludf.DUMMYFUNCTION("IFERROR(SUM(FILTER($L$5:$L$1002,$C$5:$C$1002=$AG$5,$F$5:$F$1002=AC11))*24,0)"),21.1000000001513)</f>
        <v>21.100000000151301</v>
      </c>
      <c r="AH11" s="28">
        <v>2.9</v>
      </c>
      <c r="AI11" s="27" t="str">
        <f t="shared" ca="1" si="7"/>
        <v>✅✅✅✅✅</v>
      </c>
      <c r="AJ11" s="25">
        <f ca="1">IFERROR(__xludf.DUMMYFUNCTION("IFERROR(SUM(FILTER($L$5:$L$1002,$C$5:$C$1002=$AJ$5,$F$5:$F$1002=AC11))*24,0)"),21.6166666667559)</f>
        <v>21.616666666755901</v>
      </c>
      <c r="AK11" s="28">
        <v>2.3833333333333333</v>
      </c>
      <c r="AL11" s="27" t="str">
        <f t="shared" ca="1" si="8"/>
        <v>✅✅✅✅✅</v>
      </c>
    </row>
    <row r="12" spans="1:39" ht="15.75" customHeight="1">
      <c r="A12" s="13" t="str">
        <f>IF(OR(ISBLANK(C12),ISBLANK(D12),ISBLANK(F12),ISBLANK(G12)),"",COUNTIF($B$5:B12,"JAMBUTU"))</f>
        <v/>
      </c>
      <c r="B12" s="8"/>
      <c r="C12" s="8"/>
      <c r="D12" s="8"/>
      <c r="E12" s="13"/>
      <c r="F12" s="12"/>
      <c r="G12" s="11"/>
      <c r="H12" s="12"/>
      <c r="I12" s="11"/>
      <c r="J12" s="10">
        <f t="shared" si="0"/>
        <v>0</v>
      </c>
      <c r="K12" s="10">
        <f t="shared" si="1"/>
        <v>0</v>
      </c>
      <c r="L12" s="9" t="str">
        <f t="shared" si="2"/>
        <v/>
      </c>
      <c r="M12" s="8"/>
      <c r="N12" s="8"/>
      <c r="O12" s="8"/>
      <c r="P12" s="8"/>
      <c r="Q12" s="8"/>
      <c r="R12" s="8"/>
      <c r="S12" s="8"/>
      <c r="T12" s="8"/>
      <c r="U12" s="8"/>
      <c r="V12" s="7"/>
      <c r="W12" s="6" t="str">
        <f t="array" ref="W12">IF(NOT(ISBLANK(D12)),_xludf.XLOOKUP(D12,[2]CODE!$A$4:$A$100,[2]CODE!$D$4:$D$100),"")</f>
        <v/>
      </c>
      <c r="X12" s="5" t="str">
        <f t="array" ref="X12">IF(NOT(AND(ISBLANK(D12),ISBLANK(C12))),_xludf.XLOOKUP(D12,[2]CODE!$A$4:$A$100,[2]CODE!$E$4:$E$100),"")</f>
        <v/>
      </c>
      <c r="Y12" s="5" t="str">
        <f t="shared" si="3"/>
        <v/>
      </c>
      <c r="Z12" s="5" t="str">
        <f t="shared" si="4"/>
        <v/>
      </c>
      <c r="AA12" s="4">
        <f t="shared" si="5"/>
        <v>0</v>
      </c>
      <c r="AC12" s="26">
        <v>46059</v>
      </c>
      <c r="AD12" s="25">
        <f ca="1">IFERROR(__xludf.DUMMYFUNCTION("IFERROR(SUM(FILTER($L$5:$L$1002,$C$5:$C$1002=$AD$5,$F$5:$F$1002=AC12))*24,0)"),0)</f>
        <v>0</v>
      </c>
      <c r="AE12" s="28">
        <v>24</v>
      </c>
      <c r="AF12" s="27" t="str">
        <f t="shared" ca="1" si="6"/>
        <v>✅✅✅✅✅</v>
      </c>
      <c r="AG12" s="25">
        <f ca="1">IFERROR(__xludf.DUMMYFUNCTION("IFERROR(SUM(FILTER($L$5:$L$1002,$C$5:$C$1002=$AG$5,$F$5:$F$1002=AC12))*24,0)"),18.9166666668606)</f>
        <v>18.9166666668606</v>
      </c>
      <c r="AH12" s="28">
        <v>5.083333333333333</v>
      </c>
      <c r="AI12" s="27" t="str">
        <f t="shared" ca="1" si="7"/>
        <v>✅✅✅✅✅</v>
      </c>
      <c r="AJ12" s="25">
        <f ca="1">IFERROR(__xludf.DUMMYFUNCTION("IFERROR(SUM(FILTER($L$5:$L$1002,$C$5:$C$1002=$AJ$5,$F$5:$F$1002=AC12))*24,0)"),21.8166666665347)</f>
        <v>21.816666666534701</v>
      </c>
      <c r="AK12" s="28">
        <v>2.1833333333333331</v>
      </c>
      <c r="AL12" s="27" t="str">
        <f t="shared" ca="1" si="8"/>
        <v>✅✅✅✅✅</v>
      </c>
    </row>
    <row r="13" spans="1:39" ht="15.75" customHeight="1">
      <c r="A13" s="13" t="str">
        <f>IF(OR(ISBLANK(C13),ISBLANK(D13),ISBLANK(F13),ISBLANK(G13)),"",COUNTIF($B$5:B13,"JAMBUTU"))</f>
        <v/>
      </c>
      <c r="B13" s="8"/>
      <c r="C13" s="8"/>
      <c r="D13" s="8"/>
      <c r="E13" s="13"/>
      <c r="F13" s="12"/>
      <c r="G13" s="11"/>
      <c r="H13" s="12"/>
      <c r="I13" s="11"/>
      <c r="J13" s="10">
        <f t="shared" si="0"/>
        <v>0</v>
      </c>
      <c r="K13" s="10">
        <f t="shared" si="1"/>
        <v>0</v>
      </c>
      <c r="L13" s="9" t="str">
        <f t="shared" si="2"/>
        <v/>
      </c>
      <c r="M13" s="8"/>
      <c r="N13" s="8"/>
      <c r="O13" s="8"/>
      <c r="P13" s="8"/>
      <c r="Q13" s="8"/>
      <c r="R13" s="8"/>
      <c r="S13" s="8"/>
      <c r="T13" s="8"/>
      <c r="U13" s="8"/>
      <c r="V13" s="7"/>
      <c r="W13" s="6" t="str">
        <f t="array" ref="W13">IF(NOT(ISBLANK(D13)),_xludf.XLOOKUP(D13,[2]CODE!$A$4:$A$100,[2]CODE!$D$4:$D$100),"")</f>
        <v/>
      </c>
      <c r="X13" s="5" t="str">
        <f t="array" ref="X13">IF(NOT(AND(ISBLANK(D13),ISBLANK(C13))),_xludf.XLOOKUP(D13,[2]CODE!$A$4:$A$100,[2]CODE!$E$4:$E$100),"")</f>
        <v/>
      </c>
      <c r="Y13" s="5" t="str">
        <f t="shared" si="3"/>
        <v/>
      </c>
      <c r="Z13" s="5" t="str">
        <f t="shared" si="4"/>
        <v/>
      </c>
      <c r="AA13" s="4">
        <f t="shared" si="5"/>
        <v>0</v>
      </c>
      <c r="AC13" s="26">
        <v>46060</v>
      </c>
      <c r="AD13" s="25">
        <f ca="1">IFERROR(__xludf.DUMMYFUNCTION("IFERROR(SUM(FILTER($L$5:$L$1002,$C$5:$C$1002=$AD$5,$F$5:$F$1002=AC13))*24,0)"),8.94999999983701)</f>
        <v>8.9499999998370097</v>
      </c>
      <c r="AE13" s="28">
        <v>15.05</v>
      </c>
      <c r="AF13" s="27" t="str">
        <f t="shared" ca="1" si="6"/>
        <v>✅✅✅✅✅</v>
      </c>
      <c r="AG13" s="25">
        <f ca="1">IFERROR(__xludf.DUMMYFUNCTION("IFERROR(SUM(FILTER($L$5:$L$1002,$C$5:$C$1002=$AG$5,$F$5:$F$1002=AC13))*24,0)"),22.9833333333372)</f>
        <v>22.9833333333372</v>
      </c>
      <c r="AH13" s="28">
        <v>1.0166666666666666</v>
      </c>
      <c r="AI13" s="27" t="str">
        <f t="shared" ca="1" si="7"/>
        <v>✅✅✅✅✅</v>
      </c>
      <c r="AJ13" s="25">
        <f ca="1">IFERROR(__xludf.DUMMYFUNCTION("IFERROR(SUM(FILTER($L$5:$L$1002,$C$5:$C$1002=$AJ$5,$F$5:$F$1002=AC13))*24,0)"),20.1333333333022)</f>
        <v>20.1333333333022</v>
      </c>
      <c r="AK13" s="28">
        <v>3.8666666666666667</v>
      </c>
      <c r="AL13" s="27" t="str">
        <f t="shared" ca="1" si="8"/>
        <v>✅✅✅✅✅</v>
      </c>
    </row>
    <row r="14" spans="1:39" ht="15.75" customHeight="1">
      <c r="A14" s="13" t="str">
        <f>IF(OR(ISBLANK(C14),ISBLANK(D14),ISBLANK(F14),ISBLANK(G14)),"",COUNTIF($B$5:B14,"JAMBUTU"))</f>
        <v/>
      </c>
      <c r="B14" s="8"/>
      <c r="C14" s="8"/>
      <c r="D14" s="8"/>
      <c r="E14" s="13"/>
      <c r="F14" s="12"/>
      <c r="G14" s="11"/>
      <c r="H14" s="12"/>
      <c r="I14" s="11"/>
      <c r="J14" s="10">
        <f t="shared" si="0"/>
        <v>0</v>
      </c>
      <c r="K14" s="10">
        <f t="shared" si="1"/>
        <v>0</v>
      </c>
      <c r="L14" s="9" t="str">
        <f t="shared" si="2"/>
        <v/>
      </c>
      <c r="M14" s="8"/>
      <c r="N14" s="8"/>
      <c r="O14" s="8"/>
      <c r="P14" s="8"/>
      <c r="Q14" s="8"/>
      <c r="R14" s="8"/>
      <c r="S14" s="8"/>
      <c r="T14" s="8"/>
      <c r="U14" s="8"/>
      <c r="V14" s="7"/>
      <c r="W14" s="6" t="str">
        <f t="array" ref="W14">IF(NOT(ISBLANK(D14)),_xludf.XLOOKUP(D14,[2]CODE!$A$4:$A$100,[2]CODE!$D$4:$D$100),"")</f>
        <v/>
      </c>
      <c r="X14" s="5" t="str">
        <f t="array" ref="X14">IF(NOT(AND(ISBLANK(D14),ISBLANK(C14))),_xludf.XLOOKUP(D14,[2]CODE!$A$4:$A$100,[2]CODE!$E$4:$E$100),"")</f>
        <v/>
      </c>
      <c r="Y14" s="5" t="str">
        <f t="shared" si="3"/>
        <v/>
      </c>
      <c r="Z14" s="5" t="str">
        <f t="shared" si="4"/>
        <v/>
      </c>
      <c r="AA14" s="4">
        <f t="shared" si="5"/>
        <v>0</v>
      </c>
      <c r="AC14" s="26">
        <v>46061</v>
      </c>
      <c r="AD14" s="25">
        <f ca="1">IFERROR(__xludf.DUMMYFUNCTION("IFERROR(SUM(FILTER($L$5:$L$1002,$C$5:$C$1002=$AD$5,$F$5:$F$1002=AC14))*24,0)"),24)</f>
        <v>24</v>
      </c>
      <c r="AE14" s="28">
        <v>0</v>
      </c>
      <c r="AF14" s="27" t="str">
        <f t="shared" ca="1" si="6"/>
        <v>✅✅✅✅✅</v>
      </c>
      <c r="AG14" s="25">
        <f ca="1">IFERROR(__xludf.DUMMYFUNCTION("IFERROR(SUM(FILTER($L$5:$L$1002,$C$5:$C$1002=$AG$5,$F$5:$F$1002=AC14))*24,0)"),24)</f>
        <v>24</v>
      </c>
      <c r="AH14" s="28">
        <v>0</v>
      </c>
      <c r="AI14" s="27" t="str">
        <f t="shared" ca="1" si="7"/>
        <v>✅✅✅✅✅</v>
      </c>
      <c r="AJ14" s="25">
        <f ca="1">IFERROR(__xludf.DUMMYFUNCTION("IFERROR(SUM(FILTER($L$5:$L$1002,$C$5:$C$1002=$AJ$5,$F$5:$F$1002=AC14))*24,0)"),24)</f>
        <v>24</v>
      </c>
      <c r="AK14" s="28">
        <v>0</v>
      </c>
      <c r="AL14" s="27" t="str">
        <f t="shared" ca="1" si="8"/>
        <v>✅✅✅✅✅</v>
      </c>
    </row>
    <row r="15" spans="1:39" ht="15.75" customHeight="1">
      <c r="A15" s="13" t="str">
        <f>IF(OR(ISBLANK(C15),ISBLANK(D15),ISBLANK(F15),ISBLANK(G15)),"",COUNTIF($B$5:B15,"JAMBUTU"))</f>
        <v/>
      </c>
      <c r="B15" s="8"/>
      <c r="C15" s="8"/>
      <c r="D15" s="8"/>
      <c r="E15" s="13"/>
      <c r="F15" s="12"/>
      <c r="G15" s="11"/>
      <c r="H15" s="12"/>
      <c r="I15" s="11"/>
      <c r="J15" s="10">
        <f t="shared" si="0"/>
        <v>0</v>
      </c>
      <c r="K15" s="10">
        <f t="shared" si="1"/>
        <v>0</v>
      </c>
      <c r="L15" s="9" t="str">
        <f t="shared" si="2"/>
        <v/>
      </c>
      <c r="M15" s="8"/>
      <c r="N15" s="8"/>
      <c r="O15" s="8"/>
      <c r="P15" s="8"/>
      <c r="Q15" s="8"/>
      <c r="R15" s="8"/>
      <c r="S15" s="8"/>
      <c r="T15" s="8"/>
      <c r="U15" s="8"/>
      <c r="V15" s="7"/>
      <c r="W15" s="6" t="str">
        <f t="array" ref="W15">IF(NOT(ISBLANK(D15)),_xludf.XLOOKUP(D15,[2]CODE!$A$4:$A$100,[2]CODE!$D$4:$D$100),"")</f>
        <v/>
      </c>
      <c r="X15" s="5" t="str">
        <f t="array" ref="X15">IF(NOT(AND(ISBLANK(D15),ISBLANK(C15))),_xludf.XLOOKUP(D15,[2]CODE!$A$4:$A$100,[2]CODE!$E$4:$E$100),"")</f>
        <v/>
      </c>
      <c r="Y15" s="5" t="str">
        <f t="shared" si="3"/>
        <v/>
      </c>
      <c r="Z15" s="5" t="str">
        <f t="shared" si="4"/>
        <v/>
      </c>
      <c r="AA15" s="4">
        <f t="shared" si="5"/>
        <v>0</v>
      </c>
      <c r="AC15" s="26">
        <v>46062</v>
      </c>
      <c r="AD15" s="25">
        <f ca="1">IFERROR(__xludf.DUMMYFUNCTION("IFERROR(SUM(FILTER($L$5:$L$1002,$C$5:$C$1002=$AD$5,$F$5:$F$1002=AC15))*24,0)"),18.3166666666511)</f>
        <v>18.316666666651098</v>
      </c>
      <c r="AE15" s="28">
        <v>5.6833333333333336</v>
      </c>
      <c r="AF15" s="27" t="str">
        <f t="shared" ca="1" si="6"/>
        <v>✅✅✅✅✅</v>
      </c>
      <c r="AG15" s="25">
        <f ca="1">IFERROR(__xludf.DUMMYFUNCTION("IFERROR(SUM(FILTER($L$5:$L$1002,$C$5:$C$1002=$AG$5,$F$5:$F$1002=AC15))*24,0)"),20.4999999999417)</f>
        <v>20.4999999999417</v>
      </c>
      <c r="AH15" s="28">
        <v>3.5</v>
      </c>
      <c r="AI15" s="27" t="str">
        <f t="shared" ca="1" si="7"/>
        <v>✅✅✅✅✅</v>
      </c>
      <c r="AJ15" s="25">
        <f ca="1">IFERROR(__xludf.DUMMYFUNCTION("IFERROR(SUM(FILTER($L$5:$L$1002,$C$5:$C$1002=$AJ$5,$F$5:$F$1002=AC15))*24,0)"),21.2333333333954)</f>
        <v>21.2333333333954</v>
      </c>
      <c r="AK15" s="28">
        <v>2.7666666666666666</v>
      </c>
      <c r="AL15" s="27" t="str">
        <f t="shared" ca="1" si="8"/>
        <v>✅✅✅✅✅</v>
      </c>
    </row>
    <row r="16" spans="1:39" ht="15.75" customHeight="1">
      <c r="A16" s="13" t="str">
        <f>IF(OR(ISBLANK(C16),ISBLANK(D16),ISBLANK(F16),ISBLANK(G16)),"",COUNTIF($B$5:B16,"JAMBUTU"))</f>
        <v/>
      </c>
      <c r="B16" s="8"/>
      <c r="C16" s="8"/>
      <c r="D16" s="8"/>
      <c r="E16" s="13"/>
      <c r="F16" s="12"/>
      <c r="G16" s="11"/>
      <c r="H16" s="12"/>
      <c r="I16" s="11"/>
      <c r="J16" s="10">
        <f t="shared" si="0"/>
        <v>0</v>
      </c>
      <c r="K16" s="10">
        <f t="shared" si="1"/>
        <v>0</v>
      </c>
      <c r="L16" s="9" t="str">
        <f t="shared" si="2"/>
        <v/>
      </c>
      <c r="M16" s="8"/>
      <c r="N16" s="8"/>
      <c r="O16" s="8"/>
      <c r="P16" s="8"/>
      <c r="Q16" s="8"/>
      <c r="R16" s="8"/>
      <c r="S16" s="8"/>
      <c r="T16" s="8"/>
      <c r="U16" s="8"/>
      <c r="V16" s="7"/>
      <c r="W16" s="6" t="str">
        <f t="array" ref="W16">IF(NOT(ISBLANK(D16)),_xludf.XLOOKUP(D16,[2]CODE!$A$4:$A$100,[2]CODE!$D$4:$D$100),"")</f>
        <v/>
      </c>
      <c r="X16" s="5" t="str">
        <f t="array" ref="X16">IF(NOT(AND(ISBLANK(D16),ISBLANK(C16))),_xludf.XLOOKUP(D16,[2]CODE!$A$4:$A$100,[2]CODE!$E$4:$E$100),"")</f>
        <v/>
      </c>
      <c r="Y16" s="5" t="str">
        <f t="shared" si="3"/>
        <v/>
      </c>
      <c r="Z16" s="5" t="str">
        <f t="shared" si="4"/>
        <v/>
      </c>
      <c r="AA16" s="4">
        <f t="shared" si="5"/>
        <v>0</v>
      </c>
      <c r="AC16" s="26">
        <v>46063</v>
      </c>
      <c r="AD16" s="25">
        <f ca="1">IFERROR(__xludf.DUMMYFUNCTION("IFERROR(SUM(FILTER($L$5:$L$1002,$C$5:$C$1002=$AD$5,$F$5:$F$1002=AC16))*24,0)"),0.199999999953433)</f>
        <v>0.19999999995343301</v>
      </c>
      <c r="AE16" s="28">
        <v>23.8</v>
      </c>
      <c r="AF16" s="27" t="str">
        <f t="shared" ca="1" si="6"/>
        <v>✅✅✅✅✅</v>
      </c>
      <c r="AG16" s="25">
        <f ca="1">IFERROR(__xludf.DUMMYFUNCTION("IFERROR(SUM(FILTER($L$5:$L$1002,$C$5:$C$1002=$AG$5,$F$5:$F$1002=AC16))*24,0)"),18.4833333331625)</f>
        <v>18.483333333162498</v>
      </c>
      <c r="AH16" s="28">
        <v>5.5166666666666666</v>
      </c>
      <c r="AI16" s="27" t="str">
        <f t="shared" ca="1" si="7"/>
        <v>✅✅✅✅✅</v>
      </c>
      <c r="AJ16" s="25">
        <f ca="1">IFERROR(__xludf.DUMMYFUNCTION("IFERROR(SUM(FILTER($L$5:$L$1002,$C$5:$C$1002=$AJ$5,$F$5:$F$1002=AC16))*24,0)"),19.9833333333372)</f>
        <v>19.9833333333372</v>
      </c>
      <c r="AK16" s="28">
        <v>4.0166666666666666</v>
      </c>
      <c r="AL16" s="27" t="str">
        <f t="shared" ca="1" si="8"/>
        <v>✅✅✅✅✅</v>
      </c>
    </row>
    <row r="17" spans="1:38" ht="15.5">
      <c r="A17" s="13" t="str">
        <f>IF(OR(ISBLANK(C17),ISBLANK(D17),ISBLANK(F17),ISBLANK(G17)),"",COUNTIF($B$5:B17,"JAMBUTU"))</f>
        <v/>
      </c>
      <c r="B17" s="8"/>
      <c r="C17" s="8"/>
      <c r="D17" s="8"/>
      <c r="E17" s="13"/>
      <c r="F17" s="12"/>
      <c r="G17" s="11"/>
      <c r="H17" s="12"/>
      <c r="I17" s="11"/>
      <c r="J17" s="10">
        <f t="shared" si="0"/>
        <v>0</v>
      </c>
      <c r="K17" s="10">
        <f t="shared" si="1"/>
        <v>0</v>
      </c>
      <c r="L17" s="9" t="str">
        <f t="shared" si="2"/>
        <v/>
      </c>
      <c r="M17" s="8"/>
      <c r="N17" s="8"/>
      <c r="O17" s="8"/>
      <c r="P17" s="8"/>
      <c r="Q17" s="8"/>
      <c r="R17" s="8"/>
      <c r="S17" s="8"/>
      <c r="T17" s="8"/>
      <c r="U17" s="8"/>
      <c r="V17" s="7"/>
      <c r="W17" s="6" t="str">
        <f t="array" ref="W17">IF(NOT(ISBLANK(D17)),_xludf.XLOOKUP(D17,[2]CODE!$A$4:$A$100,[2]CODE!$D$4:$D$100),"")</f>
        <v/>
      </c>
      <c r="X17" s="5" t="str">
        <f t="array" ref="X17">IF(NOT(AND(ISBLANK(D17),ISBLANK(C17))),_xludf.XLOOKUP(D17,[2]CODE!$A$4:$A$100,[2]CODE!$E$4:$E$100),"")</f>
        <v/>
      </c>
      <c r="Y17" s="5" t="str">
        <f t="shared" si="3"/>
        <v/>
      </c>
      <c r="Z17" s="5" t="str">
        <f t="shared" si="4"/>
        <v/>
      </c>
      <c r="AA17" s="4">
        <f t="shared" si="5"/>
        <v>0</v>
      </c>
      <c r="AC17" s="26">
        <v>46064</v>
      </c>
      <c r="AD17" s="25">
        <f ca="1">IFERROR(__xludf.DUMMYFUNCTION("IFERROR(SUM(FILTER($L$5:$L$1002,$C$5:$C$1002=$AD$5,$F$5:$F$1002=AC17))*24,0)"),1.00000000011641)</f>
        <v>1.00000000011641</v>
      </c>
      <c r="AE17" s="28">
        <v>23</v>
      </c>
      <c r="AF17" s="27" t="str">
        <f t="shared" ca="1" si="6"/>
        <v>✅✅✅✅✅</v>
      </c>
      <c r="AG17" s="25">
        <f ca="1">IFERROR(__xludf.DUMMYFUNCTION("IFERROR(SUM(FILTER($L$5:$L$1002,$C$5:$C$1002=$AG$5,$F$5:$F$1002=AC17))*24,0)"),23.433333333407)</f>
        <v>23.433333333406999</v>
      </c>
      <c r="AH17" s="28">
        <v>0.56666666666666665</v>
      </c>
      <c r="AI17" s="27" t="str">
        <f t="shared" ca="1" si="7"/>
        <v>✅✅✅✅✅</v>
      </c>
      <c r="AJ17" s="25">
        <f ca="1">IFERROR(__xludf.DUMMYFUNCTION("IFERROR(SUM(FILTER($L$5:$L$1002,$C$5:$C$1002=$AJ$5,$F$5:$F$1002=AC17))*24,0)"),24)</f>
        <v>24</v>
      </c>
      <c r="AK17" s="28">
        <v>0</v>
      </c>
      <c r="AL17" s="27" t="str">
        <f t="shared" ca="1" si="8"/>
        <v>✅✅✅✅✅</v>
      </c>
    </row>
    <row r="18" spans="1:38" ht="15.5">
      <c r="A18" s="13" t="str">
        <f>IF(OR(ISBLANK(C18),ISBLANK(D18),ISBLANK(F18),ISBLANK(G18)),"",COUNTIF($B$5:B18,"JAMBUTU"))</f>
        <v/>
      </c>
      <c r="B18" s="8"/>
      <c r="C18" s="8"/>
      <c r="D18" s="8"/>
      <c r="E18" s="13"/>
      <c r="F18" s="12"/>
      <c r="G18" s="11"/>
      <c r="H18" s="12"/>
      <c r="I18" s="11"/>
      <c r="J18" s="10">
        <f t="shared" si="0"/>
        <v>0</v>
      </c>
      <c r="K18" s="10">
        <f t="shared" si="1"/>
        <v>0</v>
      </c>
      <c r="L18" s="9" t="str">
        <f t="shared" si="2"/>
        <v/>
      </c>
      <c r="M18" s="8"/>
      <c r="N18" s="8"/>
      <c r="O18" s="8"/>
      <c r="P18" s="8"/>
      <c r="Q18" s="8"/>
      <c r="R18" s="8"/>
      <c r="S18" s="8"/>
      <c r="T18" s="8"/>
      <c r="U18" s="8"/>
      <c r="V18" s="7"/>
      <c r="W18" s="6" t="str">
        <f t="array" ref="W18">IF(NOT(ISBLANK(D18)),_xludf.XLOOKUP(D18,[2]CODE!$A$4:$A$100,[2]CODE!$D$4:$D$100),"")</f>
        <v/>
      </c>
      <c r="X18" s="5" t="str">
        <f t="array" ref="X18">IF(NOT(AND(ISBLANK(D18),ISBLANK(C18))),_xludf.XLOOKUP(D18,[2]CODE!$A$4:$A$100,[2]CODE!$E$4:$E$100),"")</f>
        <v/>
      </c>
      <c r="Y18" s="5" t="str">
        <f t="shared" si="3"/>
        <v/>
      </c>
      <c r="Z18" s="5" t="str">
        <f t="shared" si="4"/>
        <v/>
      </c>
      <c r="AA18" s="4">
        <f t="shared" si="5"/>
        <v>0</v>
      </c>
      <c r="AC18" s="26">
        <v>46065</v>
      </c>
      <c r="AD18" s="25">
        <f ca="1">IFERROR(__xludf.DUMMYFUNCTION("IFERROR(SUM(FILTER($L$5:$L$1002,$C$5:$C$1002=$AD$5,$F$5:$F$1002=AC18))*24,0)"),0.666666666569653)</f>
        <v>0.66666666656965301</v>
      </c>
      <c r="AE18" s="28">
        <v>23.333333333333332</v>
      </c>
      <c r="AF18" s="27" t="str">
        <f t="shared" ca="1" si="6"/>
        <v>✅✅✅✅✅</v>
      </c>
      <c r="AG18" s="25">
        <f ca="1">IFERROR(__xludf.DUMMYFUNCTION("IFERROR(SUM(FILTER($L$5:$L$1002,$C$5:$C$1002=$AG$5,$F$5:$F$1002=AC18))*24,0)"),20.233333333279)</f>
        <v>20.233333333278999</v>
      </c>
      <c r="AH18" s="28">
        <v>3.7666666666666666</v>
      </c>
      <c r="AI18" s="27" t="str">
        <f t="shared" ca="1" si="7"/>
        <v>✅✅✅✅✅</v>
      </c>
      <c r="AJ18" s="25">
        <f ca="1">IFERROR(__xludf.DUMMYFUNCTION("IFERROR(SUM(FILTER($L$5:$L$1002,$C$5:$C$1002=$AJ$5,$F$5:$F$1002=AC18))*24,0)"),20.0333333331509)</f>
        <v>20.0333333331509</v>
      </c>
      <c r="AK18" s="28">
        <v>3.9666666666666668</v>
      </c>
      <c r="AL18" s="27" t="str">
        <f t="shared" ca="1" si="8"/>
        <v>✅✅✅✅✅</v>
      </c>
    </row>
    <row r="19" spans="1:38" ht="15.5">
      <c r="A19" s="13" t="str">
        <f>IF(OR(ISBLANK(C19),ISBLANK(D19),ISBLANK(F19),ISBLANK(G19)),"",COUNTIF($B$5:B19,"JAMBUTU"))</f>
        <v/>
      </c>
      <c r="B19" s="8"/>
      <c r="C19" s="8"/>
      <c r="D19" s="8"/>
      <c r="E19" s="13"/>
      <c r="F19" s="12"/>
      <c r="G19" s="11"/>
      <c r="H19" s="12"/>
      <c r="I19" s="11"/>
      <c r="J19" s="10">
        <f t="shared" si="0"/>
        <v>0</v>
      </c>
      <c r="K19" s="10">
        <f t="shared" si="1"/>
        <v>0</v>
      </c>
      <c r="L19" s="9" t="str">
        <f t="shared" si="2"/>
        <v/>
      </c>
      <c r="M19" s="8"/>
      <c r="N19" s="8"/>
      <c r="O19" s="8"/>
      <c r="P19" s="8"/>
      <c r="Q19" s="8"/>
      <c r="R19" s="8"/>
      <c r="S19" s="8"/>
      <c r="T19" s="8"/>
      <c r="U19" s="8"/>
      <c r="V19" s="7"/>
      <c r="W19" s="6" t="str">
        <f t="array" ref="W19">IF(NOT(ISBLANK(D19)),_xludf.XLOOKUP(D19,[2]CODE!$A$4:$A$100,[2]CODE!$D$4:$D$100),"")</f>
        <v/>
      </c>
      <c r="X19" s="5" t="str">
        <f t="array" ref="X19">IF(NOT(AND(ISBLANK(D19),ISBLANK(C19))),_xludf.XLOOKUP(D19,[2]CODE!$A$4:$A$100,[2]CODE!$E$4:$E$100),"")</f>
        <v/>
      </c>
      <c r="Y19" s="5" t="str">
        <f t="shared" si="3"/>
        <v/>
      </c>
      <c r="Z19" s="5" t="str">
        <f t="shared" si="4"/>
        <v/>
      </c>
      <c r="AA19" s="4">
        <f t="shared" si="5"/>
        <v>0</v>
      </c>
      <c r="AC19" s="26">
        <v>46066</v>
      </c>
      <c r="AD19" s="25">
        <f ca="1">IFERROR(__xludf.DUMMYFUNCTION("IFERROR(SUM(FILTER($L$5:$L$1002,$C$5:$C$1002=$AD$5,$F$5:$F$1002=AC19))*24,0)"),0)</f>
        <v>0</v>
      </c>
      <c r="AE19" s="28">
        <v>24</v>
      </c>
      <c r="AF19" s="27" t="str">
        <f t="shared" ca="1" si="6"/>
        <v>✅✅✅✅✅</v>
      </c>
      <c r="AG19" s="25">
        <f ca="1">IFERROR(__xludf.DUMMYFUNCTION("IFERROR(SUM(FILTER($L$5:$L$1002,$C$5:$C$1002=$AG$5,$F$5:$F$1002=AC19))*24,0)"),19.633333333244)</f>
        <v>19.633333333244</v>
      </c>
      <c r="AH19" s="28">
        <v>4.3666666666666663</v>
      </c>
      <c r="AI19" s="27" t="str">
        <f t="shared" ca="1" si="7"/>
        <v>✅✅✅✅✅</v>
      </c>
      <c r="AJ19" s="25">
        <f ca="1">IFERROR(__xludf.DUMMYFUNCTION("IFERROR(SUM(FILTER($L$5:$L$1002,$C$5:$C$1002=$AJ$5,$F$5:$F$1002=AC19))*24,0)"),21.0166666665463)</f>
        <v>21.0166666665463</v>
      </c>
      <c r="AK19" s="28">
        <v>2.9833333333333334</v>
      </c>
      <c r="AL19" s="27" t="str">
        <f t="shared" ca="1" si="8"/>
        <v>✅✅✅✅✅</v>
      </c>
    </row>
    <row r="20" spans="1:38" ht="15.5">
      <c r="A20" s="13" t="str">
        <f>IF(OR(ISBLANK(C20),ISBLANK(D20),ISBLANK(F20),ISBLANK(G20)),"",COUNTIF($B$5:B20,"JAMBUTU"))</f>
        <v/>
      </c>
      <c r="B20" s="8"/>
      <c r="C20" s="8"/>
      <c r="D20" s="8"/>
      <c r="E20" s="13"/>
      <c r="F20" s="12"/>
      <c r="G20" s="11"/>
      <c r="H20" s="12"/>
      <c r="I20" s="11"/>
      <c r="J20" s="10">
        <f t="shared" si="0"/>
        <v>0</v>
      </c>
      <c r="K20" s="10">
        <f t="shared" si="1"/>
        <v>0</v>
      </c>
      <c r="L20" s="9" t="str">
        <f t="shared" si="2"/>
        <v/>
      </c>
      <c r="M20" s="8"/>
      <c r="N20" s="8"/>
      <c r="O20" s="8"/>
      <c r="P20" s="8"/>
      <c r="Q20" s="8"/>
      <c r="R20" s="8"/>
      <c r="S20" s="8"/>
      <c r="T20" s="8"/>
      <c r="U20" s="8"/>
      <c r="V20" s="7"/>
      <c r="W20" s="6" t="str">
        <f t="array" ref="W20">IF(NOT(ISBLANK(D20)),_xludf.XLOOKUP(D20,[2]CODE!$A$4:$A$100,[2]CODE!$D$4:$D$100),"")</f>
        <v/>
      </c>
      <c r="X20" s="5" t="str">
        <f t="array" ref="X20">IF(NOT(AND(ISBLANK(D20),ISBLANK(C20))),_xludf.XLOOKUP(D20,[2]CODE!$A$4:$A$100,[2]CODE!$E$4:$E$100),"")</f>
        <v/>
      </c>
      <c r="Y20" s="5" t="str">
        <f t="shared" si="3"/>
        <v/>
      </c>
      <c r="Z20" s="5" t="str">
        <f t="shared" si="4"/>
        <v/>
      </c>
      <c r="AA20" s="4">
        <f t="shared" si="5"/>
        <v>0</v>
      </c>
      <c r="AC20" s="26">
        <v>46067</v>
      </c>
      <c r="AD20" s="25">
        <f ca="1">IFERROR(__xludf.DUMMYFUNCTION("IFERROR(SUM(FILTER($L$5:$L$1002,$C$5:$C$1002=$AD$5,$F$5:$F$1002=AC20))*24,0)"),0)</f>
        <v>0</v>
      </c>
      <c r="AE20" s="28">
        <v>24</v>
      </c>
      <c r="AF20" s="27" t="str">
        <f t="shared" ca="1" si="6"/>
        <v>✅✅✅✅✅</v>
      </c>
      <c r="AG20" s="25">
        <f ca="1">IFERROR(__xludf.DUMMYFUNCTION("IFERROR(SUM(FILTER($L$5:$L$1002,$C$5:$C$1002=$AG$5,$F$5:$F$1002=AC20))*24,0)"),20.0000000000582)</f>
        <v>20.000000000058201</v>
      </c>
      <c r="AH20" s="28">
        <v>4</v>
      </c>
      <c r="AI20" s="27" t="str">
        <f t="shared" ca="1" si="7"/>
        <v>✅✅✅✅✅</v>
      </c>
      <c r="AJ20" s="25">
        <f ca="1">IFERROR(__xludf.DUMMYFUNCTION("IFERROR(SUM(FILTER($L$5:$L$1002,$C$5:$C$1002=$AJ$5,$F$5:$F$1002=AC20))*24,0)"),17.0000000000582)</f>
        <v>17.000000000058201</v>
      </c>
      <c r="AK20" s="28">
        <v>7</v>
      </c>
      <c r="AL20" s="27" t="str">
        <f t="shared" ca="1" si="8"/>
        <v>✅✅✅✅✅</v>
      </c>
    </row>
    <row r="21" spans="1:38" ht="15.5">
      <c r="A21" s="13" t="str">
        <f>IF(OR(ISBLANK(C21),ISBLANK(D21),ISBLANK(F21),ISBLANK(G21)),"",COUNTIF($B$5:B21,"JAMBUTU"))</f>
        <v/>
      </c>
      <c r="B21" s="8"/>
      <c r="C21" s="8"/>
      <c r="D21" s="8"/>
      <c r="E21" s="13"/>
      <c r="F21" s="12"/>
      <c r="G21" s="11"/>
      <c r="H21" s="12"/>
      <c r="I21" s="11"/>
      <c r="J21" s="10">
        <f t="shared" si="0"/>
        <v>0</v>
      </c>
      <c r="K21" s="10">
        <f t="shared" si="1"/>
        <v>0</v>
      </c>
      <c r="L21" s="9" t="str">
        <f t="shared" si="2"/>
        <v/>
      </c>
      <c r="M21" s="8"/>
      <c r="N21" s="8"/>
      <c r="O21" s="8"/>
      <c r="P21" s="8"/>
      <c r="Q21" s="8"/>
      <c r="R21" s="8"/>
      <c r="S21" s="8"/>
      <c r="T21" s="8"/>
      <c r="U21" s="8"/>
      <c r="V21" s="7"/>
      <c r="W21" s="6" t="str">
        <f t="array" ref="W21">IF(NOT(ISBLANK(D21)),_xludf.XLOOKUP(D21,[2]CODE!$A$4:$A$100,[2]CODE!$D$4:$D$100),"")</f>
        <v/>
      </c>
      <c r="X21" s="5" t="str">
        <f t="array" ref="X21">IF(NOT(AND(ISBLANK(D21),ISBLANK(C21))),_xludf.XLOOKUP(D21,[2]CODE!$A$4:$A$100,[2]CODE!$E$4:$E$100),"")</f>
        <v/>
      </c>
      <c r="Y21" s="5" t="str">
        <f t="shared" si="3"/>
        <v/>
      </c>
      <c r="Z21" s="5" t="str">
        <f t="shared" si="4"/>
        <v/>
      </c>
      <c r="AA21" s="4">
        <f t="shared" si="5"/>
        <v>0</v>
      </c>
      <c r="AC21" s="26">
        <v>46068</v>
      </c>
      <c r="AD21" s="25">
        <f ca="1">IFERROR(__xludf.DUMMYFUNCTION("IFERROR(SUM(FILTER($L$5:$L$1002,$C$5:$C$1002=$AD$5,$F$5:$F$1002=AC21))*24,0)"),0.616666666755918)</f>
        <v>0.61666666675591797</v>
      </c>
      <c r="AE21" s="28">
        <v>23.383333333333333</v>
      </c>
      <c r="AF21" s="27" t="str">
        <f t="shared" ca="1" si="6"/>
        <v>✅✅✅✅✅</v>
      </c>
      <c r="AG21" s="25">
        <f ca="1">IFERROR(__xludf.DUMMYFUNCTION("IFERROR(SUM(FILTER($L$5:$L$1002,$C$5:$C$1002=$AG$5,$F$5:$F$1002=AC21))*24,0)"),20.0000000000582)</f>
        <v>20.000000000058201</v>
      </c>
      <c r="AH21" s="28">
        <v>4</v>
      </c>
      <c r="AI21" s="27" t="str">
        <f t="shared" ca="1" si="7"/>
        <v>✅✅✅✅✅</v>
      </c>
      <c r="AJ21" s="25">
        <f ca="1">IFERROR(__xludf.DUMMYFUNCTION("IFERROR(SUM(FILTER($L$5:$L$1002,$C$5:$C$1002=$AJ$5,$F$5:$F$1002=AC21))*24,0)"),21)</f>
        <v>21</v>
      </c>
      <c r="AK21" s="28">
        <v>3</v>
      </c>
      <c r="AL21" s="27" t="str">
        <f t="shared" ca="1" si="8"/>
        <v>✅✅✅✅✅</v>
      </c>
    </row>
    <row r="22" spans="1:38" ht="15.5">
      <c r="A22" s="13" t="str">
        <f>IF(OR(ISBLANK(C22),ISBLANK(D22),ISBLANK(F22),ISBLANK(G22)),"",COUNTIF($B$5:B22,"JAMBUTU"))</f>
        <v/>
      </c>
      <c r="B22" s="8"/>
      <c r="C22" s="8"/>
      <c r="D22" s="8"/>
      <c r="E22" s="13"/>
      <c r="F22" s="12"/>
      <c r="G22" s="11"/>
      <c r="H22" s="12"/>
      <c r="I22" s="11"/>
      <c r="J22" s="10">
        <f t="shared" si="0"/>
        <v>0</v>
      </c>
      <c r="K22" s="10">
        <f t="shared" si="1"/>
        <v>0</v>
      </c>
      <c r="L22" s="9" t="str">
        <f t="shared" si="2"/>
        <v/>
      </c>
      <c r="M22" s="8"/>
      <c r="N22" s="8"/>
      <c r="O22" s="8"/>
      <c r="P22" s="8"/>
      <c r="Q22" s="8"/>
      <c r="R22" s="8"/>
      <c r="S22" s="8"/>
      <c r="T22" s="8"/>
      <c r="U22" s="8"/>
      <c r="V22" s="7"/>
      <c r="W22" s="6" t="str">
        <f t="array" ref="W22">IF(NOT(ISBLANK(D22)),_xludf.XLOOKUP(D22,[2]CODE!$A$4:$A$100,[2]CODE!$D$4:$D$100),"")</f>
        <v/>
      </c>
      <c r="X22" s="5" t="str">
        <f t="array" ref="X22">IF(NOT(AND(ISBLANK(D22),ISBLANK(C22))),_xludf.XLOOKUP(D22,[2]CODE!$A$4:$A$100,[2]CODE!$E$4:$E$100),"")</f>
        <v/>
      </c>
      <c r="Y22" s="5" t="str">
        <f t="shared" si="3"/>
        <v/>
      </c>
      <c r="Z22" s="5" t="str">
        <f t="shared" si="4"/>
        <v/>
      </c>
      <c r="AA22" s="4">
        <f t="shared" si="5"/>
        <v>0</v>
      </c>
      <c r="AC22" s="26">
        <v>46069</v>
      </c>
      <c r="AD22" s="25">
        <f ca="1">IFERROR(__xludf.DUMMYFUNCTION("IFERROR(SUM(FILTER($L$5:$L$1002,$C$5:$C$1002=$AD$5,$F$5:$F$1002=AC22))*24,0)"),0.0833333332557231)</f>
        <v>8.3333333255723105E-2</v>
      </c>
      <c r="AE22" s="28">
        <v>23.916666666666668</v>
      </c>
      <c r="AF22" s="27" t="str">
        <f t="shared" ca="1" si="6"/>
        <v>✅✅✅✅✅</v>
      </c>
      <c r="AG22" s="25">
        <f ca="1">IFERROR(__xludf.DUMMYFUNCTION("IFERROR(SUM(FILTER($L$5:$L$1002,$C$5:$C$1002=$AG$5,$F$5:$F$1002=AC22))*24,0)"),21.0000000001746)</f>
        <v>21.000000000174602</v>
      </c>
      <c r="AH22" s="28">
        <v>3</v>
      </c>
      <c r="AI22" s="27" t="str">
        <f t="shared" ca="1" si="7"/>
        <v>✅✅✅✅✅</v>
      </c>
      <c r="AJ22" s="25">
        <f ca="1">IFERROR(__xludf.DUMMYFUNCTION("IFERROR(SUM(FILTER($L$5:$L$1002,$C$5:$C$1002=$AJ$5,$F$5:$F$1002=AC22))*24,0)"),21.0000000001746)</f>
        <v>21.000000000174602</v>
      </c>
      <c r="AK22" s="28">
        <v>3</v>
      </c>
      <c r="AL22" s="27" t="str">
        <f t="shared" ca="1" si="8"/>
        <v>✅✅✅✅✅</v>
      </c>
    </row>
    <row r="23" spans="1:38" ht="15.5">
      <c r="A23" s="13" t="str">
        <f>IF(OR(ISBLANK(C23),ISBLANK(D23),ISBLANK(F23),ISBLANK(G23)),"",COUNTIF($B$5:B23,"JAMBUTU"))</f>
        <v/>
      </c>
      <c r="B23" s="8"/>
      <c r="C23" s="8"/>
      <c r="D23" s="8"/>
      <c r="E23" s="13"/>
      <c r="F23" s="12"/>
      <c r="G23" s="11"/>
      <c r="H23" s="12"/>
      <c r="I23" s="11"/>
      <c r="J23" s="10">
        <f t="shared" si="0"/>
        <v>0</v>
      </c>
      <c r="K23" s="10">
        <f t="shared" si="1"/>
        <v>0</v>
      </c>
      <c r="L23" s="9" t="str">
        <f t="shared" si="2"/>
        <v/>
      </c>
      <c r="M23" s="8"/>
      <c r="N23" s="8"/>
      <c r="O23" s="8"/>
      <c r="P23" s="8"/>
      <c r="Q23" s="8"/>
      <c r="R23" s="8"/>
      <c r="S23" s="8"/>
      <c r="T23" s="8"/>
      <c r="U23" s="8"/>
      <c r="V23" s="7"/>
      <c r="W23" s="6" t="str">
        <f t="array" ref="W23">IF(NOT(ISBLANK(D23)),_xludf.XLOOKUP(D23,[2]CODE!$A$4:$A$100,[2]CODE!$D$4:$D$100),"")</f>
        <v/>
      </c>
      <c r="X23" s="5" t="str">
        <f t="array" ref="X23">IF(NOT(AND(ISBLANK(D23),ISBLANK(C23))),_xludf.XLOOKUP(D23,[2]CODE!$A$4:$A$100,[2]CODE!$E$4:$E$100),"")</f>
        <v/>
      </c>
      <c r="Y23" s="5" t="str">
        <f t="shared" si="3"/>
        <v/>
      </c>
      <c r="Z23" s="5" t="str">
        <f t="shared" si="4"/>
        <v/>
      </c>
      <c r="AA23" s="4">
        <f t="shared" si="5"/>
        <v>0</v>
      </c>
      <c r="AC23" s="26">
        <v>46070</v>
      </c>
      <c r="AD23" s="25">
        <f ca="1">IFERROR(__xludf.DUMMYFUNCTION("IFERROR(SUM(FILTER($L$5:$L$1002,$C$5:$C$1002=$AD$5,$F$5:$F$1002=AC23))*24,0)"),1.11666666646488)</f>
        <v>1.1166666664648801</v>
      </c>
      <c r="AE23" s="28">
        <v>22.883333333333333</v>
      </c>
      <c r="AF23" s="27" t="str">
        <f t="shared" ca="1" si="6"/>
        <v>✅✅✅✅✅</v>
      </c>
      <c r="AG23" s="25">
        <f ca="1">IFERROR(__xludf.DUMMYFUNCTION("IFERROR(SUM(FILTER($L$5:$L$1002,$C$5:$C$1002=$AG$5,$F$5:$F$1002=AC23))*24,0)"),19.3333333333139)</f>
        <v>19.333333333313899</v>
      </c>
      <c r="AH23" s="28">
        <v>4.666666666666667</v>
      </c>
      <c r="AI23" s="27" t="str">
        <f t="shared" ca="1" si="7"/>
        <v>✅✅✅✅✅</v>
      </c>
      <c r="AJ23" s="25">
        <f ca="1">IFERROR(__xludf.DUMMYFUNCTION("IFERROR(SUM(FILTER($L$5:$L$1002,$C$5:$C$1002=$AJ$5,$F$5:$F$1002=AC23))*24,0)"),20.8333333333139)</f>
        <v>20.833333333313899</v>
      </c>
      <c r="AK23" s="28">
        <v>3.1666666666666665</v>
      </c>
      <c r="AL23" s="27" t="str">
        <f t="shared" ca="1" si="8"/>
        <v>✅✅✅✅✅</v>
      </c>
    </row>
    <row r="24" spans="1:38" ht="15.5">
      <c r="A24" s="13" t="str">
        <f>IF(OR(ISBLANK(C24),ISBLANK(D24),ISBLANK(F24),ISBLANK(G24)),"",COUNTIF($B$5:B24,"JAMBUTU"))</f>
        <v/>
      </c>
      <c r="B24" s="8"/>
      <c r="C24" s="8"/>
      <c r="D24" s="8"/>
      <c r="E24" s="13"/>
      <c r="F24" s="12"/>
      <c r="G24" s="11"/>
      <c r="H24" s="12"/>
      <c r="I24" s="11"/>
      <c r="J24" s="10">
        <f t="shared" si="0"/>
        <v>0</v>
      </c>
      <c r="K24" s="10">
        <f t="shared" si="1"/>
        <v>0</v>
      </c>
      <c r="L24" s="9" t="str">
        <f t="shared" si="2"/>
        <v/>
      </c>
      <c r="M24" s="8"/>
      <c r="N24" s="8"/>
      <c r="O24" s="8"/>
      <c r="P24" s="8"/>
      <c r="Q24" s="8"/>
      <c r="R24" s="8"/>
      <c r="S24" s="8"/>
      <c r="T24" s="8"/>
      <c r="U24" s="8"/>
      <c r="V24" s="7"/>
      <c r="W24" s="6" t="str">
        <f t="array" ref="W24">IF(NOT(ISBLANK(D24)),_xludf.XLOOKUP(D24,[2]CODE!$A$4:$A$100,[2]CODE!$D$4:$D$100),"")</f>
        <v/>
      </c>
      <c r="X24" s="5" t="str">
        <f t="array" ref="X24">IF(NOT(AND(ISBLANK(D24),ISBLANK(C24))),_xludf.XLOOKUP(D24,[2]CODE!$A$4:$A$100,[2]CODE!$E$4:$E$100),"")</f>
        <v/>
      </c>
      <c r="Y24" s="5" t="str">
        <f t="shared" si="3"/>
        <v/>
      </c>
      <c r="Z24" s="5" t="str">
        <f t="shared" si="4"/>
        <v/>
      </c>
      <c r="AA24" s="4">
        <f t="shared" si="5"/>
        <v>0</v>
      </c>
      <c r="AC24" s="26">
        <v>46071</v>
      </c>
      <c r="AD24" s="25">
        <f ca="1">IFERROR(__xludf.DUMMYFUNCTION("IFERROR(SUM(FILTER($L$5:$L$1002,$C$5:$C$1002=$AD$5,$F$5:$F$1002=AC24))*24,0)"),0)</f>
        <v>0</v>
      </c>
      <c r="AE24" s="28">
        <v>24</v>
      </c>
      <c r="AF24" s="27" t="str">
        <f t="shared" ca="1" si="6"/>
        <v>✅✅✅✅✅</v>
      </c>
      <c r="AG24" s="25">
        <f ca="1">IFERROR(__xludf.DUMMYFUNCTION("IFERROR(SUM(FILTER($L$5:$L$1002,$C$5:$C$1002=$AG$5,$F$5:$F$1002=AC24))*24,0)"),19.9999999998835)</f>
        <v>19.999999999883499</v>
      </c>
      <c r="AH24" s="28">
        <v>4</v>
      </c>
      <c r="AI24" s="27" t="str">
        <f t="shared" ca="1" si="7"/>
        <v>✅✅✅✅✅</v>
      </c>
      <c r="AJ24" s="25">
        <f ca="1">IFERROR(__xludf.DUMMYFUNCTION("IFERROR(SUM(FILTER($L$5:$L$1002,$C$5:$C$1002=$AJ$5,$F$5:$F$1002=AC24))*24,0)"),21.0000000001746)</f>
        <v>21.000000000174602</v>
      </c>
      <c r="AK24" s="28">
        <v>3</v>
      </c>
      <c r="AL24" s="27" t="str">
        <f t="shared" ca="1" si="8"/>
        <v>✅✅✅✅✅</v>
      </c>
    </row>
    <row r="25" spans="1:38" ht="15.5">
      <c r="A25" s="13">
        <f>IF(OR(ISBLANK(C25),ISBLANK(D25),ISBLANK(F25),ISBLANK(G25)),"",COUNTIF($B$5:B25,"JAMBUTU"))</f>
        <v>2</v>
      </c>
      <c r="B25" s="8" t="str">
        <f>IF(C25&lt;&gt;"","Jambutu","")</f>
        <v>Jambutu</v>
      </c>
      <c r="C25" s="8" t="s">
        <v>4</v>
      </c>
      <c r="D25" s="8" t="s">
        <v>6</v>
      </c>
      <c r="E25" s="13">
        <v>3.5</v>
      </c>
      <c r="F25" s="12">
        <v>46057</v>
      </c>
      <c r="G25" s="11">
        <v>0.33124999999999999</v>
      </c>
      <c r="H25" s="12">
        <v>46057</v>
      </c>
      <c r="I25" s="11">
        <v>0.33750000000000002</v>
      </c>
      <c r="J25" s="10">
        <f t="shared" si="0"/>
        <v>46057.331250000003</v>
      </c>
      <c r="K25" s="10">
        <f t="shared" si="1"/>
        <v>46057.337500000001</v>
      </c>
      <c r="L25" s="9">
        <f t="shared" si="2"/>
        <v>6.2499999985448085E-3</v>
      </c>
      <c r="M25" s="8" t="s">
        <v>63</v>
      </c>
      <c r="N25" s="8" t="s">
        <v>53</v>
      </c>
      <c r="O25" s="8" t="s">
        <v>0</v>
      </c>
      <c r="P25" s="8"/>
      <c r="Q25" s="8"/>
      <c r="R25" s="8"/>
      <c r="S25" s="8"/>
      <c r="T25" s="8"/>
      <c r="U25" s="8"/>
      <c r="V25" s="7"/>
      <c r="W25" s="6" t="e">
        <f t="array" aca="1" ref="W25" ca="1">IF(NOT(ISBLANK(D25)),_xludf.XLOOKUP(D25,[2]CODE!$A$4:$A$100,[2]CODE!$D$4:$D$100),"")</f>
        <v>#NAME?</v>
      </c>
      <c r="X25" s="5" t="e">
        <f t="array" aca="1" ref="X25" ca="1">IF(NOT(AND(ISBLANK(D25),ISBLANK(C25))),_xludf.XLOOKUP(D25,[2]CODE!$A$4:$A$100,[2]CODE!$E$4:$E$100),"")</f>
        <v>#NAME?</v>
      </c>
      <c r="Y25" s="5" t="str">
        <f t="shared" si="3"/>
        <v>33KV</v>
      </c>
      <c r="Z25" s="5" t="str">
        <f t="shared" si="4"/>
        <v>YES</v>
      </c>
      <c r="AA25" s="4">
        <f t="shared" si="5"/>
        <v>46057</v>
      </c>
      <c r="AC25" s="26">
        <v>46072</v>
      </c>
      <c r="AD25" s="25">
        <f ca="1">IFERROR(__xludf.DUMMYFUNCTION("IFERROR(SUM(FILTER($L$5:$L$1002,$C$5:$C$1002=$AD$5,$F$5:$F$1002=AC25))*24,0)"),2.74999999988358)</f>
        <v>2.7499999998835798</v>
      </c>
      <c r="AE25" s="28">
        <v>21.25</v>
      </c>
      <c r="AF25" s="27" t="str">
        <f t="shared" ca="1" si="6"/>
        <v>✅✅✅✅✅</v>
      </c>
      <c r="AG25" s="25">
        <f ca="1">IFERROR(__xludf.DUMMYFUNCTION("IFERROR(SUM(FILTER($L$5:$L$1002,$C$5:$C$1002=$AG$5,$F$5:$F$1002=AC25))*24,0)"),21.916666666686)</f>
        <v>21.916666666686002</v>
      </c>
      <c r="AH25" s="28">
        <v>2.0833333333333335</v>
      </c>
      <c r="AI25" s="27" t="str">
        <f t="shared" ca="1" si="7"/>
        <v>✅✅✅✅✅</v>
      </c>
      <c r="AJ25" s="25">
        <f ca="1">IFERROR(__xludf.DUMMYFUNCTION("IFERROR(SUM(FILTER($L$5:$L$1002,$C$5:$C$1002=$AJ$5,$F$5:$F$1002=AC25))*24,0)"),23.5833333331975)</f>
        <v>23.583333333197501</v>
      </c>
      <c r="AK25" s="28">
        <v>0.41666666666666669</v>
      </c>
      <c r="AL25" s="27" t="str">
        <f t="shared" ca="1" si="8"/>
        <v>✅✅✅✅✅</v>
      </c>
    </row>
    <row r="26" spans="1:38" ht="15.5">
      <c r="A26" s="13" t="str">
        <f>IF(OR(ISBLANK(C26),ISBLANK(D26),ISBLANK(F26),ISBLANK(G26)),"",COUNTIF($B$5:B26,"JAMBUTU"))</f>
        <v/>
      </c>
      <c r="B26" s="8"/>
      <c r="C26" s="8"/>
      <c r="D26" s="8"/>
      <c r="E26" s="13"/>
      <c r="F26" s="12"/>
      <c r="G26" s="11"/>
      <c r="H26" s="12"/>
      <c r="I26" s="11"/>
      <c r="J26" s="10">
        <f t="shared" si="0"/>
        <v>0</v>
      </c>
      <c r="K26" s="10">
        <f t="shared" si="1"/>
        <v>0</v>
      </c>
      <c r="L26" s="9" t="str">
        <f t="shared" si="2"/>
        <v/>
      </c>
      <c r="M26" s="8"/>
      <c r="N26" s="8"/>
      <c r="O26" s="8"/>
      <c r="P26" s="8"/>
      <c r="Q26" s="8"/>
      <c r="R26" s="8"/>
      <c r="S26" s="8"/>
      <c r="T26" s="8"/>
      <c r="U26" s="8"/>
      <c r="V26" s="7"/>
      <c r="W26" s="6" t="str">
        <f t="array" ref="W26">IF(NOT(ISBLANK(D26)),_xludf.XLOOKUP(D26,[2]CODE!$A$4:$A$100,[2]CODE!$D$4:$D$100),"")</f>
        <v/>
      </c>
      <c r="X26" s="5" t="str">
        <f t="array" ref="X26">IF(NOT(AND(ISBLANK(D26),ISBLANK(C26))),_xludf.XLOOKUP(D26,[2]CODE!$A$4:$A$100,[2]CODE!$E$4:$E$100),"")</f>
        <v/>
      </c>
      <c r="Y26" s="5" t="str">
        <f t="shared" si="3"/>
        <v/>
      </c>
      <c r="Z26" s="5" t="str">
        <f t="shared" si="4"/>
        <v/>
      </c>
      <c r="AA26" s="4">
        <f t="shared" si="5"/>
        <v>0</v>
      </c>
      <c r="AC26" s="26">
        <v>46073</v>
      </c>
      <c r="AD26" s="25">
        <f ca="1">IFERROR(__xludf.DUMMYFUNCTION("IFERROR(SUM(FILTER($L$5:$L$1002,$C$5:$C$1002=$AD$5,$F$5:$F$1002=AC26))*24,0)"),0)</f>
        <v>0</v>
      </c>
      <c r="AE26" s="28">
        <v>24</v>
      </c>
      <c r="AF26" s="27" t="str">
        <f t="shared" ca="1" si="6"/>
        <v>✅✅✅✅✅</v>
      </c>
      <c r="AG26" s="25">
        <f ca="1">IFERROR(__xludf.DUMMYFUNCTION("IFERROR(SUM(FILTER($L$5:$L$1002,$C$5:$C$1002=$AG$5,$F$5:$F$1002=AC26))*24,0)"),19.9999999998835)</f>
        <v>19.999999999883499</v>
      </c>
      <c r="AH26" s="28">
        <v>4</v>
      </c>
      <c r="AI26" s="27" t="str">
        <f t="shared" ca="1" si="7"/>
        <v>✅✅✅✅✅</v>
      </c>
      <c r="AJ26" s="25">
        <f ca="1">IFERROR(__xludf.DUMMYFUNCTION("IFERROR(SUM(FILTER($L$5:$L$1002,$C$5:$C$1002=$AJ$5,$F$5:$F$1002=AC26))*24,0)"),19.9833333333372)</f>
        <v>19.9833333333372</v>
      </c>
      <c r="AK26" s="28">
        <v>4.0166666666666666</v>
      </c>
      <c r="AL26" s="27" t="str">
        <f t="shared" ca="1" si="8"/>
        <v>✅✅✅✅✅</v>
      </c>
    </row>
    <row r="27" spans="1:38" ht="15.5">
      <c r="A27" s="13" t="str">
        <f>IF(OR(ISBLANK(C27),ISBLANK(D27),ISBLANK(F27),ISBLANK(G27)),"",COUNTIF($B$5:B27,"JAMBUTU"))</f>
        <v/>
      </c>
      <c r="B27" s="8"/>
      <c r="C27" s="8"/>
      <c r="D27" s="8"/>
      <c r="E27" s="13"/>
      <c r="F27" s="12"/>
      <c r="G27" s="11"/>
      <c r="H27" s="12"/>
      <c r="I27" s="11"/>
      <c r="J27" s="10">
        <f t="shared" si="0"/>
        <v>0</v>
      </c>
      <c r="K27" s="10">
        <f t="shared" si="1"/>
        <v>0</v>
      </c>
      <c r="L27" s="9" t="str">
        <f t="shared" si="2"/>
        <v/>
      </c>
      <c r="M27" s="8"/>
      <c r="N27" s="8"/>
      <c r="O27" s="8"/>
      <c r="P27" s="8"/>
      <c r="Q27" s="8"/>
      <c r="R27" s="8"/>
      <c r="S27" s="8"/>
      <c r="T27" s="8"/>
      <c r="U27" s="8"/>
      <c r="V27" s="7"/>
      <c r="W27" s="6" t="str">
        <f t="array" ref="W27">IF(NOT(ISBLANK(D27)),_xludf.XLOOKUP(D27,[2]CODE!$A$4:$A$100,[2]CODE!$D$4:$D$100),"")</f>
        <v/>
      </c>
      <c r="X27" s="5" t="str">
        <f t="array" ref="X27">IF(NOT(AND(ISBLANK(D27),ISBLANK(C27))),_xludf.XLOOKUP(D27,[2]CODE!$A$4:$A$100,[2]CODE!$E$4:$E$100),"")</f>
        <v/>
      </c>
      <c r="Y27" s="5" t="str">
        <f t="shared" si="3"/>
        <v/>
      </c>
      <c r="Z27" s="5" t="str">
        <f t="shared" si="4"/>
        <v/>
      </c>
      <c r="AA27" s="4">
        <f t="shared" si="5"/>
        <v>0</v>
      </c>
      <c r="AC27" s="26">
        <v>46074</v>
      </c>
      <c r="AD27" s="25">
        <f ca="1">IFERROR(__xludf.DUMMYFUNCTION("IFERROR(SUM(FILTER($L$5:$L$1002,$C$5:$C$1002=$AD$5,$F$5:$F$1002=AC27))*24,0)"),8.23333333345363)</f>
        <v>8.2333333334536292</v>
      </c>
      <c r="AE27" s="28">
        <v>15.766666666666667</v>
      </c>
      <c r="AF27" s="27" t="str">
        <f t="shared" ca="1" si="6"/>
        <v>✅✅✅✅✅</v>
      </c>
      <c r="AG27" s="25">
        <f ca="1">IFERROR(__xludf.DUMMYFUNCTION("IFERROR(SUM(FILTER($L$5:$L$1002,$C$5:$C$1002=$AG$5,$F$5:$F$1002=AC27))*24,0)"),20.0000000000582)</f>
        <v>20.000000000058201</v>
      </c>
      <c r="AH27" s="28">
        <v>4</v>
      </c>
      <c r="AI27" s="27" t="str">
        <f t="shared" ca="1" si="7"/>
        <v>✅✅✅✅✅</v>
      </c>
      <c r="AJ27" s="25">
        <f ca="1">IFERROR(__xludf.DUMMYFUNCTION("IFERROR(SUM(FILTER($L$5:$L$1002,$C$5:$C$1002=$AJ$5,$F$5:$F$1002=AC27))*24,0)"),19.0000000001164)</f>
        <v>19.000000000116401</v>
      </c>
      <c r="AK27" s="28">
        <v>5</v>
      </c>
      <c r="AL27" s="27" t="str">
        <f t="shared" ca="1" si="8"/>
        <v>✅✅✅✅✅</v>
      </c>
    </row>
    <row r="28" spans="1:38" ht="15.5">
      <c r="A28" s="13" t="str">
        <f>IF(OR(ISBLANK(C28),ISBLANK(D28),ISBLANK(F28),ISBLANK(G28)),"",COUNTIF($B$5:B28,"JAMBUTU"))</f>
        <v/>
      </c>
      <c r="B28" s="8"/>
      <c r="C28" s="8"/>
      <c r="D28" s="8"/>
      <c r="E28" s="13"/>
      <c r="F28" s="12"/>
      <c r="G28" s="11"/>
      <c r="H28" s="12"/>
      <c r="I28" s="11"/>
      <c r="J28" s="10">
        <f t="shared" si="0"/>
        <v>0</v>
      </c>
      <c r="K28" s="10">
        <f t="shared" si="1"/>
        <v>0</v>
      </c>
      <c r="L28" s="9" t="str">
        <f t="shared" si="2"/>
        <v/>
      </c>
      <c r="M28" s="8"/>
      <c r="N28" s="8"/>
      <c r="O28" s="8"/>
      <c r="P28" s="8"/>
      <c r="Q28" s="8"/>
      <c r="R28" s="8"/>
      <c r="S28" s="8"/>
      <c r="T28" s="8"/>
      <c r="U28" s="8"/>
      <c r="V28" s="7"/>
      <c r="W28" s="6" t="str">
        <f t="array" ref="W28">IF(NOT(ISBLANK(D28)),_xludf.XLOOKUP(D28,[2]CODE!$A$4:$A$100,[2]CODE!$D$4:$D$100),"")</f>
        <v/>
      </c>
      <c r="X28" s="5" t="str">
        <f t="array" ref="X28">IF(NOT(AND(ISBLANK(D28),ISBLANK(C28))),_xludf.XLOOKUP(D28,[2]CODE!$A$4:$A$100,[2]CODE!$E$4:$E$100),"")</f>
        <v/>
      </c>
      <c r="Y28" s="5" t="str">
        <f t="shared" si="3"/>
        <v/>
      </c>
      <c r="Z28" s="5" t="str">
        <f t="shared" si="4"/>
        <v/>
      </c>
      <c r="AA28" s="4">
        <f t="shared" si="5"/>
        <v>0</v>
      </c>
      <c r="AC28" s="26">
        <v>46075</v>
      </c>
      <c r="AD28" s="25">
        <f ca="1">IFERROR(__xludf.DUMMYFUNCTION("IFERROR(SUM(FILTER($L$5:$L$1002,$C$5:$C$1002=$AD$5,$F$5:$F$1002=AC28))*24,0)"),0)</f>
        <v>0</v>
      </c>
      <c r="AE28" s="28">
        <v>24</v>
      </c>
      <c r="AF28" s="27" t="str">
        <f t="shared" ca="1" si="6"/>
        <v>✅✅✅✅✅</v>
      </c>
      <c r="AG28" s="25">
        <f ca="1">IFERROR(__xludf.DUMMYFUNCTION("IFERROR(SUM(FILTER($L$5:$L$1002,$C$5:$C$1002=$AG$5,$F$5:$F$1002=AC28))*24,0)"),20.0166666666045)</f>
        <v>20.0166666666045</v>
      </c>
      <c r="AH28" s="28">
        <v>3.9833333333333334</v>
      </c>
      <c r="AI28" s="27" t="str">
        <f t="shared" ca="1" si="7"/>
        <v>✅✅✅✅✅</v>
      </c>
      <c r="AJ28" s="25">
        <f ca="1">IFERROR(__xludf.DUMMYFUNCTION("IFERROR(SUM(FILTER($L$5:$L$1002,$C$5:$C$1002=$AJ$5,$F$5:$F$1002=AC28))*24,0)"),21)</f>
        <v>21</v>
      </c>
      <c r="AK28" s="28">
        <v>3</v>
      </c>
      <c r="AL28" s="27" t="str">
        <f t="shared" ca="1" si="8"/>
        <v>✅✅✅✅✅</v>
      </c>
    </row>
    <row r="29" spans="1:38" ht="15.5">
      <c r="A29" s="13" t="str">
        <f>IF(OR(ISBLANK(C29),ISBLANK(D29),ISBLANK(F29),ISBLANK(G29)),"",COUNTIF($B$5:B29,"JAMBUTU"))</f>
        <v/>
      </c>
      <c r="B29" s="8"/>
      <c r="C29" s="8"/>
      <c r="D29" s="8"/>
      <c r="E29" s="13"/>
      <c r="F29" s="12"/>
      <c r="G29" s="11"/>
      <c r="H29" s="12"/>
      <c r="I29" s="11"/>
      <c r="J29" s="10">
        <f t="shared" si="0"/>
        <v>0</v>
      </c>
      <c r="K29" s="10">
        <f t="shared" si="1"/>
        <v>0</v>
      </c>
      <c r="L29" s="9" t="str">
        <f t="shared" si="2"/>
        <v/>
      </c>
      <c r="M29" s="8"/>
      <c r="N29" s="8"/>
      <c r="O29" s="8"/>
      <c r="P29" s="8"/>
      <c r="Q29" s="8"/>
      <c r="R29" s="8"/>
      <c r="S29" s="8"/>
      <c r="T29" s="8"/>
      <c r="U29" s="8"/>
      <c r="V29" s="7"/>
      <c r="W29" s="6" t="str">
        <f t="array" ref="W29">IF(NOT(ISBLANK(D29)),_xludf.XLOOKUP(D29,[2]CODE!$A$4:$A$100,[2]CODE!$D$4:$D$100),"")</f>
        <v/>
      </c>
      <c r="X29" s="5" t="str">
        <f t="array" ref="X29">IF(NOT(AND(ISBLANK(D29),ISBLANK(C29))),_xludf.XLOOKUP(D29,[2]CODE!$A$4:$A$100,[2]CODE!$E$4:$E$100),"")</f>
        <v/>
      </c>
      <c r="Y29" s="5" t="str">
        <f t="shared" si="3"/>
        <v/>
      </c>
      <c r="Z29" s="5" t="str">
        <f t="shared" si="4"/>
        <v/>
      </c>
      <c r="AA29" s="4">
        <f t="shared" si="5"/>
        <v>0</v>
      </c>
      <c r="AC29" s="26">
        <v>46076</v>
      </c>
      <c r="AD29" s="25">
        <f ca="1">IFERROR(__xludf.DUMMYFUNCTION("IFERROR(SUM(FILTER($L$5:$L$1002,$C$5:$C$1002=$AD$5,$F$5:$F$1002=AC29))*24,0)"),0.349999999918509)</f>
        <v>0.349999999918509</v>
      </c>
      <c r="AE29" s="28">
        <v>23.65</v>
      </c>
      <c r="AF29" s="27" t="str">
        <f t="shared" ca="1" si="6"/>
        <v>✅✅✅✅✅</v>
      </c>
      <c r="AG29" s="25">
        <f ca="1">IFERROR(__xludf.DUMMYFUNCTION("IFERROR(SUM(FILTER($L$5:$L$1002,$C$5:$C$1002=$AG$5,$F$5:$F$1002=AC29))*24,0)"),20.0000000000582)</f>
        <v>20.000000000058201</v>
      </c>
      <c r="AH29" s="28">
        <v>4</v>
      </c>
      <c r="AI29" s="27" t="str">
        <f t="shared" ca="1" si="7"/>
        <v>✅✅✅✅✅</v>
      </c>
      <c r="AJ29" s="25">
        <f ca="1">IFERROR(__xludf.DUMMYFUNCTION("IFERROR(SUM(FILTER($L$5:$L$1002,$C$5:$C$1002=$AJ$5,$F$5:$F$1002=AC29))*24,0)"),21)</f>
        <v>21</v>
      </c>
      <c r="AK29" s="28">
        <v>3</v>
      </c>
      <c r="AL29" s="27" t="str">
        <f t="shared" ca="1" si="8"/>
        <v>✅✅✅✅✅</v>
      </c>
    </row>
    <row r="30" spans="1:38" ht="15.5">
      <c r="A30" s="13" t="str">
        <f>IF(OR(ISBLANK(C30),ISBLANK(D30),ISBLANK(F30),ISBLANK(G30)),"",COUNTIF($B$5:B30,"JAMBUTU"))</f>
        <v/>
      </c>
      <c r="B30" s="8"/>
      <c r="C30" s="8"/>
      <c r="D30" s="8"/>
      <c r="E30" s="13"/>
      <c r="F30" s="12"/>
      <c r="G30" s="11"/>
      <c r="H30" s="12"/>
      <c r="I30" s="11"/>
      <c r="J30" s="10">
        <f t="shared" si="0"/>
        <v>0</v>
      </c>
      <c r="K30" s="10">
        <f t="shared" si="1"/>
        <v>0</v>
      </c>
      <c r="L30" s="9" t="str">
        <f t="shared" si="2"/>
        <v/>
      </c>
      <c r="M30" s="8"/>
      <c r="N30" s="8"/>
      <c r="O30" s="8"/>
      <c r="P30" s="8"/>
      <c r="Q30" s="8"/>
      <c r="R30" s="8"/>
      <c r="S30" s="8"/>
      <c r="T30" s="8"/>
      <c r="U30" s="8"/>
      <c r="V30" s="7"/>
      <c r="W30" s="6" t="str">
        <f t="array" ref="W30">IF(NOT(ISBLANK(D30)),_xludf.XLOOKUP(D30,[2]CODE!$A$4:$A$100,[2]CODE!$D$4:$D$100),"")</f>
        <v/>
      </c>
      <c r="X30" s="5" t="str">
        <f t="array" ref="X30">IF(NOT(AND(ISBLANK(D30),ISBLANK(C30))),_xludf.XLOOKUP(D30,[2]CODE!$A$4:$A$100,[2]CODE!$E$4:$E$100),"")</f>
        <v/>
      </c>
      <c r="Y30" s="5" t="str">
        <f t="shared" si="3"/>
        <v/>
      </c>
      <c r="Z30" s="5" t="str">
        <f t="shared" si="4"/>
        <v/>
      </c>
      <c r="AA30" s="4">
        <f t="shared" si="5"/>
        <v>0</v>
      </c>
      <c r="AC30" s="26">
        <v>46077</v>
      </c>
      <c r="AD30" s="25">
        <f ca="1">IFERROR(__xludf.DUMMYFUNCTION("IFERROR(SUM(FILTER($L$5:$L$1002,$C$5:$C$1002=$AD$5,$F$5:$F$1002=AC30))*24,0)"),0.816666666709352)</f>
        <v>0.81666666670935195</v>
      </c>
      <c r="AE30" s="28">
        <v>23.183333333333334</v>
      </c>
      <c r="AF30" s="27" t="str">
        <f t="shared" ca="1" si="6"/>
        <v>✅✅✅✅✅</v>
      </c>
      <c r="AG30" s="25">
        <f ca="1">IFERROR(__xludf.DUMMYFUNCTION("IFERROR(SUM(FILTER($L$5:$L$1002,$C$5:$C$1002=$AG$5,$F$5:$F$1002=AC30))*24,0)"),19.9166666666278)</f>
        <v>19.916666666627801</v>
      </c>
      <c r="AH30" s="28">
        <v>4.083333333333333</v>
      </c>
      <c r="AI30" s="27" t="str">
        <f t="shared" ca="1" si="7"/>
        <v>✅✅✅✅✅</v>
      </c>
      <c r="AJ30" s="25">
        <f ca="1">IFERROR(__xludf.DUMMYFUNCTION("IFERROR(SUM(FILTER($L$5:$L$1002,$C$5:$C$1002=$AJ$5,$F$5:$F$1002=AC30))*24,0)"),21)</f>
        <v>21</v>
      </c>
      <c r="AK30" s="28">
        <v>3</v>
      </c>
      <c r="AL30" s="27" t="str">
        <f t="shared" ca="1" si="8"/>
        <v>✅✅✅✅✅</v>
      </c>
    </row>
    <row r="31" spans="1:38" ht="15.5">
      <c r="A31" s="13" t="str">
        <f>IF(OR(ISBLANK(C31),ISBLANK(D31),ISBLANK(F31),ISBLANK(G31)),"",COUNTIF($B$5:B31,"JAMBUTU"))</f>
        <v/>
      </c>
      <c r="B31" s="8"/>
      <c r="C31" s="8"/>
      <c r="D31" s="8"/>
      <c r="E31" s="13"/>
      <c r="F31" s="12"/>
      <c r="G31" s="11"/>
      <c r="H31" s="12"/>
      <c r="I31" s="11"/>
      <c r="J31" s="10">
        <f t="shared" si="0"/>
        <v>0</v>
      </c>
      <c r="K31" s="10">
        <f t="shared" si="1"/>
        <v>0</v>
      </c>
      <c r="L31" s="9" t="str">
        <f t="shared" si="2"/>
        <v/>
      </c>
      <c r="M31" s="8"/>
      <c r="N31" s="8"/>
      <c r="O31" s="8"/>
      <c r="P31" s="8"/>
      <c r="Q31" s="8"/>
      <c r="R31" s="8"/>
      <c r="S31" s="8"/>
      <c r="T31" s="8"/>
      <c r="U31" s="8"/>
      <c r="V31" s="7"/>
      <c r="W31" s="6" t="str">
        <f t="array" ref="W31">IF(NOT(ISBLANK(D31)),_xludf.XLOOKUP(D31,[2]CODE!$A$4:$A$100,[2]CODE!$D$4:$D$100),"")</f>
        <v/>
      </c>
      <c r="X31" s="5" t="str">
        <f t="array" ref="X31">IF(NOT(AND(ISBLANK(D31),ISBLANK(C31))),_xludf.XLOOKUP(D31,[2]CODE!$A$4:$A$100,[2]CODE!$E$4:$E$100),"")</f>
        <v/>
      </c>
      <c r="Y31" s="5" t="str">
        <f t="shared" si="3"/>
        <v/>
      </c>
      <c r="Z31" s="5" t="str">
        <f t="shared" si="4"/>
        <v/>
      </c>
      <c r="AA31" s="4">
        <f t="shared" si="5"/>
        <v>0</v>
      </c>
      <c r="AC31" s="26">
        <v>46078</v>
      </c>
      <c r="AD31" s="25">
        <f ca="1">IFERROR(__xludf.DUMMYFUNCTION("IFERROR(SUM(FILTER($L$5:$L$1002,$C$5:$C$1002=$AD$5,$F$5:$F$1002=AC31))*24,0)"),0.0833333334303461)</f>
        <v>8.3333333430346102E-2</v>
      </c>
      <c r="AE31" s="28">
        <v>23.916666666666668</v>
      </c>
      <c r="AF31" s="27" t="str">
        <f t="shared" ca="1" si="6"/>
        <v>✅✅✅✅✅</v>
      </c>
      <c r="AG31" s="25">
        <f ca="1">IFERROR(__xludf.DUMMYFUNCTION("IFERROR(SUM(FILTER($L$5:$L$1002,$C$5:$C$1002=$AG$5,$F$5:$F$1002=AC31))*24,0)"),19.7333333332208)</f>
        <v>19.733333333220799</v>
      </c>
      <c r="AH31" s="28">
        <v>4.2666666666666666</v>
      </c>
      <c r="AI31" s="27" t="str">
        <f t="shared" ca="1" si="7"/>
        <v>✅✅✅✅✅</v>
      </c>
      <c r="AJ31" s="25">
        <f ca="1">IFERROR(__xludf.DUMMYFUNCTION("IFERROR(SUM(FILTER($L$5:$L$1002,$C$5:$C$1002=$AJ$5,$F$5:$F$1002=AC31))*24,0)"),20.3666666666977)</f>
        <v>20.3666666666977</v>
      </c>
      <c r="AK31" s="28">
        <v>3.6333333333333333</v>
      </c>
      <c r="AL31" s="27" t="str">
        <f t="shared" ca="1" si="8"/>
        <v>✅✅✅✅✅</v>
      </c>
    </row>
    <row r="32" spans="1:38" ht="15.5">
      <c r="A32" s="13" t="str">
        <f>IF(OR(ISBLANK(C32),ISBLANK(D32),ISBLANK(F32),ISBLANK(G32)),"",COUNTIF($B$5:B32,"JAMBUTU"))</f>
        <v/>
      </c>
      <c r="B32" s="8"/>
      <c r="C32" s="8"/>
      <c r="D32" s="8"/>
      <c r="E32" s="13"/>
      <c r="F32" s="12"/>
      <c r="G32" s="11"/>
      <c r="H32" s="12"/>
      <c r="I32" s="11"/>
      <c r="J32" s="10">
        <f t="shared" si="0"/>
        <v>0</v>
      </c>
      <c r="K32" s="10">
        <f t="shared" si="1"/>
        <v>0</v>
      </c>
      <c r="L32" s="9" t="str">
        <f t="shared" si="2"/>
        <v/>
      </c>
      <c r="M32" s="8"/>
      <c r="N32" s="8"/>
      <c r="O32" s="8"/>
      <c r="P32" s="8"/>
      <c r="Q32" s="8"/>
      <c r="R32" s="8"/>
      <c r="S32" s="8"/>
      <c r="T32" s="8"/>
      <c r="U32" s="8"/>
      <c r="V32" s="7"/>
      <c r="W32" s="6" t="str">
        <f t="array" ref="W32">IF(NOT(ISBLANK(D32)),_xludf.XLOOKUP(D32,[2]CODE!$A$4:$A$100,[2]CODE!$D$4:$D$100),"")</f>
        <v/>
      </c>
      <c r="X32" s="5" t="str">
        <f t="array" ref="X32">IF(NOT(AND(ISBLANK(D32),ISBLANK(C32))),_xludf.XLOOKUP(D32,[2]CODE!$A$4:$A$100,[2]CODE!$E$4:$E$100),"")</f>
        <v/>
      </c>
      <c r="Y32" s="5" t="str">
        <f t="shared" si="3"/>
        <v/>
      </c>
      <c r="Z32" s="5" t="str">
        <f t="shared" si="4"/>
        <v/>
      </c>
      <c r="AA32" s="4">
        <f t="shared" si="5"/>
        <v>0</v>
      </c>
      <c r="AC32" s="26">
        <v>46079</v>
      </c>
      <c r="AD32" s="25">
        <f ca="1">IFERROR(__xludf.DUMMYFUNCTION("IFERROR(SUM(FILTER($L$5:$L$1002,$C$5:$C$1002=$AD$5,$F$5:$F$1002=AC32))*24,0)"),0.533333333325572)</f>
        <v>0.53333333332557198</v>
      </c>
      <c r="AE32" s="28">
        <v>23.466666666666665</v>
      </c>
      <c r="AF32" s="27" t="str">
        <f t="shared" ca="1" si="6"/>
        <v>✅✅✅✅✅</v>
      </c>
      <c r="AG32" s="25">
        <f ca="1">IFERROR(__xludf.DUMMYFUNCTION("IFERROR(SUM(FILTER($L$5:$L$1002,$C$5:$C$1002=$AG$5,$F$5:$F$1002=AC32))*24,0)"),20.0000000000582)</f>
        <v>20.000000000058201</v>
      </c>
      <c r="AH32" s="28">
        <v>4</v>
      </c>
      <c r="AI32" s="27" t="str">
        <f t="shared" ca="1" si="7"/>
        <v>✅✅✅✅✅</v>
      </c>
      <c r="AJ32" s="25">
        <f ca="1">IFERROR(__xludf.DUMMYFUNCTION("IFERROR(SUM(FILTER($L$5:$L$1002,$C$5:$C$1002=$AJ$5,$F$5:$F$1002=AC32))*24,0)"),20.9333333334652)</f>
        <v>20.9333333334652</v>
      </c>
      <c r="AK32" s="28">
        <v>3.0666666666666669</v>
      </c>
      <c r="AL32" s="27" t="str">
        <f t="shared" ca="1" si="8"/>
        <v>✅✅✅✅✅</v>
      </c>
    </row>
    <row r="33" spans="1:38" ht="15.5">
      <c r="A33" s="13" t="str">
        <f>IF(OR(ISBLANK(C33),ISBLANK(D33),ISBLANK(F33),ISBLANK(G33)),"",COUNTIF($B$5:B33,"JAMBUTU"))</f>
        <v/>
      </c>
      <c r="B33" s="8"/>
      <c r="C33" s="8"/>
      <c r="D33" s="8"/>
      <c r="E33" s="13"/>
      <c r="F33" s="12"/>
      <c r="G33" s="11"/>
      <c r="H33" s="12"/>
      <c r="I33" s="11"/>
      <c r="J33" s="10">
        <f t="shared" si="0"/>
        <v>0</v>
      </c>
      <c r="K33" s="10">
        <f t="shared" si="1"/>
        <v>0</v>
      </c>
      <c r="L33" s="9" t="str">
        <f t="shared" si="2"/>
        <v/>
      </c>
      <c r="M33" s="8"/>
      <c r="N33" s="8"/>
      <c r="O33" s="8"/>
      <c r="P33" s="8"/>
      <c r="Q33" s="8"/>
      <c r="R33" s="8"/>
      <c r="S33" s="8"/>
      <c r="T33" s="8"/>
      <c r="U33" s="8"/>
      <c r="V33" s="7"/>
      <c r="W33" s="6" t="str">
        <f t="array" ref="W33">IF(NOT(ISBLANK(D33)),_xludf.XLOOKUP(D33,[2]CODE!$A$4:$A$100,[2]CODE!$D$4:$D$100),"")</f>
        <v/>
      </c>
      <c r="X33" s="5" t="str">
        <f t="array" ref="X33">IF(NOT(AND(ISBLANK(D33),ISBLANK(C33))),_xludf.XLOOKUP(D33,[2]CODE!$A$4:$A$100,[2]CODE!$E$4:$E$100),"")</f>
        <v/>
      </c>
      <c r="Y33" s="5" t="str">
        <f t="shared" si="3"/>
        <v/>
      </c>
      <c r="Z33" s="5" t="str">
        <f t="shared" si="4"/>
        <v/>
      </c>
      <c r="AA33" s="4">
        <f t="shared" si="5"/>
        <v>0</v>
      </c>
      <c r="AC33" s="26">
        <v>46080</v>
      </c>
      <c r="AD33" s="25">
        <f ca="1">IFERROR(__xludf.DUMMYFUNCTION("IFERROR(SUM(FILTER($L$5:$L$1002,$C$5:$C$1002=$AD$5,$F$5:$F$1002=AC33))*24,0)"),11.0666666665929)</f>
        <v>11.0666666665929</v>
      </c>
      <c r="AE33" s="28">
        <v>12.933333333333334</v>
      </c>
      <c r="AF33" s="27" t="str">
        <f t="shared" ca="1" si="6"/>
        <v>✅✅✅✅✅</v>
      </c>
      <c r="AG33" s="25">
        <f ca="1">IFERROR(__xludf.DUMMYFUNCTION("IFERROR(SUM(FILTER($L$5:$L$1002,$C$5:$C$1002=$AG$5,$F$5:$F$1002=AC33))*24,0)"),20.0166666667792)</f>
        <v>20.016666666779201</v>
      </c>
      <c r="AH33" s="28">
        <v>3.9833333333333334</v>
      </c>
      <c r="AI33" s="27" t="str">
        <f t="shared" ca="1" si="7"/>
        <v>✅✅✅✅✅</v>
      </c>
      <c r="AJ33" s="25">
        <f ca="1">IFERROR(__xludf.DUMMYFUNCTION("IFERROR(SUM(FILTER($L$5:$L$1002,$C$5:$C$1002=$AJ$5,$F$5:$F$1002=AC33))*24,0)"),21.5999999998603)</f>
        <v>21.599999999860302</v>
      </c>
      <c r="AK33" s="28">
        <v>2.4</v>
      </c>
      <c r="AL33" s="27" t="str">
        <f t="shared" ca="1" si="8"/>
        <v>✅✅✅✅✅</v>
      </c>
    </row>
    <row r="34" spans="1:38" ht="15.5">
      <c r="A34" s="13" t="str">
        <f>IF(OR(ISBLANK(C34),ISBLANK(D34),ISBLANK(F34),ISBLANK(G34)),"",COUNTIF($B$5:B34,"JAMBUTU"))</f>
        <v/>
      </c>
      <c r="B34" s="8"/>
      <c r="C34" s="8"/>
      <c r="D34" s="8"/>
      <c r="E34" s="13"/>
      <c r="F34" s="12"/>
      <c r="G34" s="11"/>
      <c r="H34" s="12"/>
      <c r="I34" s="11"/>
      <c r="J34" s="10">
        <f t="shared" si="0"/>
        <v>0</v>
      </c>
      <c r="K34" s="10">
        <f t="shared" si="1"/>
        <v>0</v>
      </c>
      <c r="L34" s="9" t="str">
        <f t="shared" si="2"/>
        <v/>
      </c>
      <c r="M34" s="8"/>
      <c r="N34" s="8"/>
      <c r="O34" s="8"/>
      <c r="P34" s="8"/>
      <c r="Q34" s="8"/>
      <c r="R34" s="8"/>
      <c r="S34" s="8"/>
      <c r="T34" s="8"/>
      <c r="U34" s="8"/>
      <c r="V34" s="7"/>
      <c r="W34" s="6" t="str">
        <f t="array" ref="W34">IF(NOT(ISBLANK(D34)),_xludf.XLOOKUP(D34,[2]CODE!$A$4:$A$100,[2]CODE!$D$4:$D$100),"")</f>
        <v/>
      </c>
      <c r="X34" s="5" t="str">
        <f t="array" ref="X34">IF(NOT(AND(ISBLANK(D34),ISBLANK(C34))),_xludf.XLOOKUP(D34,[2]CODE!$A$4:$A$100,[2]CODE!$E$4:$E$100),"")</f>
        <v/>
      </c>
      <c r="Y34" s="5" t="str">
        <f t="shared" si="3"/>
        <v/>
      </c>
      <c r="Z34" s="5" t="str">
        <f t="shared" si="4"/>
        <v/>
      </c>
      <c r="AA34" s="4">
        <f t="shared" si="5"/>
        <v>0</v>
      </c>
      <c r="AC34" s="26">
        <v>46081</v>
      </c>
      <c r="AD34" s="25">
        <f ca="1">IFERROR(__xludf.DUMMYFUNCTION("IFERROR(SUM(FILTER($L$5:$L$1002,$C$5:$C$1002=$AD$5,$F$5:$F$1002=AC34))*24,0)"),0.249999999941792)</f>
        <v>0.24999999994179201</v>
      </c>
      <c r="AE34" s="28">
        <v>23.75</v>
      </c>
      <c r="AF34" s="27" t="str">
        <f t="shared" ca="1" si="6"/>
        <v>✅✅✅✅✅</v>
      </c>
      <c r="AG34" s="25">
        <f ca="1">IFERROR(__xludf.DUMMYFUNCTION("IFERROR(SUM(FILTER($L$5:$L$1002,$C$5:$C$1002=$AG$5,$F$5:$F$1002=AC34))*24,0)"),19.4999999998253)</f>
        <v>19.499999999825299</v>
      </c>
      <c r="AH34" s="28">
        <v>4.5</v>
      </c>
      <c r="AI34" s="27" t="str">
        <f t="shared" ca="1" si="7"/>
        <v>✅✅✅✅✅</v>
      </c>
      <c r="AJ34" s="25">
        <f ca="1">IFERROR(__xludf.DUMMYFUNCTION("IFERROR(SUM(FILTER($L$5:$L$1002,$C$5:$C$1002=$AJ$5,$F$5:$F$1002=AC34))*24,0)"),16.9999999998835)</f>
        <v>16.999999999883499</v>
      </c>
      <c r="AK34" s="28">
        <v>7</v>
      </c>
      <c r="AL34" s="27" t="str">
        <f t="shared" ca="1" si="8"/>
        <v>✅✅✅✅✅</v>
      </c>
    </row>
    <row r="35" spans="1:38" ht="15.5">
      <c r="A35" s="13" t="str">
        <f>IF(OR(ISBLANK(C35),ISBLANK(D35),ISBLANK(F35),ISBLANK(G35)),"",COUNTIF($B$5:B35,"JAMBUTU"))</f>
        <v/>
      </c>
      <c r="B35" s="8"/>
      <c r="C35" s="8"/>
      <c r="D35" s="8"/>
      <c r="E35" s="13"/>
      <c r="F35" s="12"/>
      <c r="G35" s="11"/>
      <c r="H35" s="12"/>
      <c r="I35" s="11"/>
      <c r="J35" s="10">
        <f t="shared" si="0"/>
        <v>0</v>
      </c>
      <c r="K35" s="10">
        <f t="shared" si="1"/>
        <v>0</v>
      </c>
      <c r="L35" s="9" t="str">
        <f t="shared" si="2"/>
        <v/>
      </c>
      <c r="M35" s="8"/>
      <c r="N35" s="8"/>
      <c r="O35" s="8"/>
      <c r="P35" s="8"/>
      <c r="Q35" s="8"/>
      <c r="R35" s="8"/>
      <c r="S35" s="8"/>
      <c r="T35" s="8"/>
      <c r="U35" s="8"/>
      <c r="V35" s="7"/>
      <c r="W35" s="6" t="str">
        <f t="array" ref="W35">IF(NOT(ISBLANK(D35)),_xludf.XLOOKUP(D35,[2]CODE!$A$4:$A$100,[2]CODE!$D$4:$D$100),"")</f>
        <v/>
      </c>
      <c r="X35" s="5" t="str">
        <f t="array" ref="X35">IF(NOT(AND(ISBLANK(D35),ISBLANK(C35))),_xludf.XLOOKUP(D35,[2]CODE!$A$4:$A$100,[2]CODE!$E$4:$E$100),"")</f>
        <v/>
      </c>
      <c r="Y35" s="5" t="str">
        <f t="shared" si="3"/>
        <v/>
      </c>
      <c r="Z35" s="5" t="str">
        <f t="shared" si="4"/>
        <v/>
      </c>
      <c r="AA35" s="4">
        <f t="shared" si="5"/>
        <v>0</v>
      </c>
      <c r="AC35" s="26"/>
      <c r="AD35" s="25">
        <f ca="1">IFERROR(__xludf.DUMMYFUNCTION("IFERROR(SUM(FILTER($L$5:$L$1002,$C$5:$C$1002=$AD$5,$F$5:$F$1002=AC35))*24,0)"),0)</f>
        <v>0</v>
      </c>
      <c r="AE35" s="28">
        <v>0</v>
      </c>
      <c r="AF35" s="27" t="str">
        <f t="shared" ca="1" si="6"/>
        <v/>
      </c>
      <c r="AG35" s="25">
        <f ca="1">IFERROR(__xludf.DUMMYFUNCTION("IFERROR(SUM(FILTER($L$5:$L$1002,$C$5:$C$1002=$AG$5,$F$5:$F$1002=AC35))*24,0)"),0)</f>
        <v>0</v>
      </c>
      <c r="AH35" s="28">
        <v>0</v>
      </c>
      <c r="AI35" s="27" t="str">
        <f t="shared" ca="1" si="7"/>
        <v/>
      </c>
      <c r="AJ35" s="25">
        <f ca="1">IFERROR(__xludf.DUMMYFUNCTION("IFERROR(SUM(FILTER($L$5:$L$1002,$C$5:$C$1002=$AJ$5,$F$5:$F$1002=AC35))*24,0)"),0)</f>
        <v>0</v>
      </c>
      <c r="AK35" s="28">
        <v>0</v>
      </c>
      <c r="AL35" s="27" t="str">
        <f t="shared" ca="1" si="8"/>
        <v/>
      </c>
    </row>
    <row r="36" spans="1:38" ht="15.5">
      <c r="A36" s="13" t="str">
        <f>IF(OR(ISBLANK(C36),ISBLANK(D36),ISBLANK(F36),ISBLANK(G36)),"",COUNTIF($B$5:B36,"JAMBUTU"))</f>
        <v/>
      </c>
      <c r="B36" s="8"/>
      <c r="C36" s="8"/>
      <c r="D36" s="8"/>
      <c r="E36" s="13"/>
      <c r="F36" s="12"/>
      <c r="G36" s="11"/>
      <c r="H36" s="12"/>
      <c r="I36" s="11"/>
      <c r="J36" s="10">
        <f t="shared" si="0"/>
        <v>0</v>
      </c>
      <c r="K36" s="10">
        <f t="shared" si="1"/>
        <v>0</v>
      </c>
      <c r="L36" s="9" t="str">
        <f t="shared" si="2"/>
        <v/>
      </c>
      <c r="M36" s="8"/>
      <c r="N36" s="8"/>
      <c r="O36" s="8"/>
      <c r="P36" s="8"/>
      <c r="Q36" s="8"/>
      <c r="R36" s="8"/>
      <c r="S36" s="8"/>
      <c r="T36" s="8"/>
      <c r="U36" s="8"/>
      <c r="V36" s="7"/>
      <c r="W36" s="6" t="str">
        <f t="array" ref="W36">IF(NOT(ISBLANK(D36)),_xludf.XLOOKUP(D36,[2]CODE!$A$4:$A$100,[2]CODE!$D$4:$D$100),"")</f>
        <v/>
      </c>
      <c r="X36" s="5" t="str">
        <f t="array" ref="X36">IF(NOT(AND(ISBLANK(D36),ISBLANK(C36))),_xludf.XLOOKUP(D36,[2]CODE!$A$4:$A$100,[2]CODE!$E$4:$E$100),"")</f>
        <v/>
      </c>
      <c r="Y36" s="5" t="str">
        <f t="shared" si="3"/>
        <v/>
      </c>
      <c r="Z36" s="5" t="str">
        <f t="shared" si="4"/>
        <v/>
      </c>
      <c r="AA36" s="4">
        <f t="shared" si="5"/>
        <v>0</v>
      </c>
      <c r="AC36" s="26"/>
      <c r="AD36" s="25">
        <f ca="1">IFERROR(__xludf.DUMMYFUNCTION("IFERROR(SUM(FILTER($L$5:$L$1002,$C$5:$C$1002=$AD$5,$F$5:$F$1002=AC36))*24,0)"),0)</f>
        <v>0</v>
      </c>
      <c r="AE36" s="28">
        <v>0</v>
      </c>
      <c r="AF36" s="27" t="str">
        <f t="shared" ca="1" si="6"/>
        <v/>
      </c>
      <c r="AG36" s="25">
        <f ca="1">IFERROR(__xludf.DUMMYFUNCTION("IFERROR(SUM(FILTER($L$5:$L$1002,$C$5:$C$1002=$AG$5,$F$5:$F$1002=AC36))*24,0)"),0)</f>
        <v>0</v>
      </c>
      <c r="AH36" s="28">
        <v>0</v>
      </c>
      <c r="AI36" s="27" t="str">
        <f t="shared" ca="1" si="7"/>
        <v/>
      </c>
      <c r="AJ36" s="25">
        <f ca="1">IFERROR(__xludf.DUMMYFUNCTION("IFERROR(SUM(FILTER($L$5:$L$1002,$C$5:$C$1002=$AJ$5,$F$5:$F$1002=AC36))*24,0)"),0)</f>
        <v>0</v>
      </c>
      <c r="AK36" s="28">
        <v>0</v>
      </c>
      <c r="AL36" s="27" t="str">
        <f t="shared" ca="1" si="8"/>
        <v/>
      </c>
    </row>
    <row r="37" spans="1:38" ht="16" thickBot="1">
      <c r="A37" s="13" t="str">
        <f>IF(OR(ISBLANK(C37),ISBLANK(D37),ISBLANK(F37),ISBLANK(G37)),"",COUNTIF($B$5:B37,"JAMBUTU"))</f>
        <v/>
      </c>
      <c r="B37" s="8"/>
      <c r="C37" s="8"/>
      <c r="D37" s="8"/>
      <c r="E37" s="13"/>
      <c r="F37" s="12"/>
      <c r="G37" s="11"/>
      <c r="H37" s="12"/>
      <c r="I37" s="11"/>
      <c r="J37" s="10">
        <f t="shared" si="0"/>
        <v>0</v>
      </c>
      <c r="K37" s="10">
        <f t="shared" si="1"/>
        <v>0</v>
      </c>
      <c r="L37" s="9" t="str">
        <f t="shared" si="2"/>
        <v/>
      </c>
      <c r="M37" s="8"/>
      <c r="N37" s="8"/>
      <c r="O37" s="8"/>
      <c r="P37" s="8"/>
      <c r="Q37" s="8"/>
      <c r="R37" s="8"/>
      <c r="S37" s="8"/>
      <c r="T37" s="8"/>
      <c r="U37" s="8"/>
      <c r="V37" s="7"/>
      <c r="W37" s="6" t="str">
        <f t="array" ref="W37">IF(NOT(ISBLANK(D37)),_xludf.XLOOKUP(D37,[2]CODE!$A$4:$A$100,[2]CODE!$D$4:$D$100),"")</f>
        <v/>
      </c>
      <c r="X37" s="5" t="str">
        <f t="array" ref="X37">IF(NOT(AND(ISBLANK(D37),ISBLANK(C37))),_xludf.XLOOKUP(D37,[2]CODE!$A$4:$A$100,[2]CODE!$E$4:$E$100),"")</f>
        <v/>
      </c>
      <c r="Y37" s="5" t="str">
        <f t="shared" si="3"/>
        <v/>
      </c>
      <c r="Z37" s="5" t="str">
        <f t="shared" si="4"/>
        <v/>
      </c>
      <c r="AA37" s="4">
        <f t="shared" si="5"/>
        <v>0</v>
      </c>
      <c r="AC37" s="26"/>
      <c r="AD37" s="25">
        <f ca="1">IFERROR(__xludf.DUMMYFUNCTION("IFERROR(SUM(FILTER($L$5:$L$1002,$C$5:$C$1002=$AD$5,$F$5:$F$1002=AC37))*24,0)"),0)</f>
        <v>0</v>
      </c>
      <c r="AE37" s="24">
        <v>0</v>
      </c>
      <c r="AF37" s="23" t="str">
        <f t="shared" ca="1" si="6"/>
        <v/>
      </c>
      <c r="AG37" s="25">
        <f ca="1">IFERROR(__xludf.DUMMYFUNCTION("IFERROR(SUM(FILTER($L$5:$L$1002,$C$5:$C$1002=$AG$5,$F$5:$F$1002=AC37))*24,0)"),0)</f>
        <v>0</v>
      </c>
      <c r="AH37" s="24">
        <v>0</v>
      </c>
      <c r="AI37" s="23" t="str">
        <f t="shared" ca="1" si="7"/>
        <v/>
      </c>
      <c r="AJ37" s="25">
        <f ca="1">IFERROR(__xludf.DUMMYFUNCTION("IFERROR(SUM(FILTER($L$5:$L$1002,$C$5:$C$1002=$AJ$5,$F$5:$F$1002=AC37))*24,0)"),0)</f>
        <v>0</v>
      </c>
      <c r="AK37" s="24">
        <v>0</v>
      </c>
      <c r="AL37" s="23" t="str">
        <f t="shared" ca="1" si="8"/>
        <v/>
      </c>
    </row>
    <row r="38" spans="1:38" ht="15.5">
      <c r="A38" s="13">
        <f>IF(OR(ISBLANK(C38),ISBLANK(D38),ISBLANK(F38),ISBLANK(G38)),"",COUNTIF($B$5:B38,"JAMBUTU"))</f>
        <v>3</v>
      </c>
      <c r="B38" s="8" t="str">
        <f>IF(C38&lt;&gt;"","Jambutu","")</f>
        <v>Jambutu</v>
      </c>
      <c r="C38" s="8" t="s">
        <v>4</v>
      </c>
      <c r="D38" s="8" t="s">
        <v>6</v>
      </c>
      <c r="E38" s="13">
        <v>4</v>
      </c>
      <c r="F38" s="12">
        <v>46058</v>
      </c>
      <c r="G38" s="11">
        <v>0.61250000000000004</v>
      </c>
      <c r="H38" s="12">
        <v>46058</v>
      </c>
      <c r="I38" s="11">
        <v>0.61597222222222225</v>
      </c>
      <c r="J38" s="10">
        <f t="shared" si="0"/>
        <v>46058.612500000003</v>
      </c>
      <c r="K38" s="10">
        <f t="shared" si="1"/>
        <v>46058.615972222222</v>
      </c>
      <c r="L38" s="9">
        <f t="shared" si="2"/>
        <v>3.4722222189884633E-3</v>
      </c>
      <c r="M38" s="8" t="s">
        <v>16</v>
      </c>
      <c r="N38" s="8" t="s">
        <v>53</v>
      </c>
      <c r="O38" s="8" t="s">
        <v>0</v>
      </c>
      <c r="P38" s="8"/>
      <c r="Q38" s="8"/>
      <c r="R38" s="8"/>
      <c r="S38" s="8"/>
      <c r="T38" s="8"/>
      <c r="U38" s="8"/>
      <c r="V38" s="7"/>
      <c r="W38" s="6" t="e">
        <f t="array" aca="1" ref="W38" ca="1">IF(NOT(ISBLANK(D38)),_xludf.XLOOKUP(D38,[2]CODE!$A$4:$A$100,[2]CODE!$D$4:$D$100),"")</f>
        <v>#NAME?</v>
      </c>
      <c r="X38" s="5" t="e">
        <f t="array" aca="1" ref="X38" ca="1">IF(NOT(AND(ISBLANK(D38),ISBLANK(C38))),_xludf.XLOOKUP(D38,[2]CODE!$A$4:$A$100,[2]CODE!$E$4:$E$100),"")</f>
        <v>#NAME?</v>
      </c>
      <c r="Y38" s="5" t="str">
        <f t="shared" si="3"/>
        <v>33KV</v>
      </c>
      <c r="Z38" s="5" t="str">
        <f t="shared" si="4"/>
        <v>YES</v>
      </c>
      <c r="AA38" s="4">
        <f t="shared" si="5"/>
        <v>46058</v>
      </c>
      <c r="AC38" s="22"/>
    </row>
    <row r="39" spans="1:38" ht="15.5">
      <c r="A39" s="13" t="str">
        <f>IF(OR(ISBLANK(C39),ISBLANK(D39),ISBLANK(F39),ISBLANK(G39)),"",COUNTIF($B$5:B39,"JAMBUTU"))</f>
        <v/>
      </c>
      <c r="B39" s="8"/>
      <c r="C39" s="8"/>
      <c r="D39" s="8"/>
      <c r="E39" s="13"/>
      <c r="F39" s="12"/>
      <c r="G39" s="11"/>
      <c r="H39" s="12"/>
      <c r="I39" s="11"/>
      <c r="J39" s="10">
        <f t="shared" si="0"/>
        <v>0</v>
      </c>
      <c r="K39" s="10">
        <f t="shared" si="1"/>
        <v>0</v>
      </c>
      <c r="L39" s="9" t="str">
        <f t="shared" si="2"/>
        <v/>
      </c>
      <c r="M39" s="8"/>
      <c r="N39" s="8"/>
      <c r="O39" s="8"/>
      <c r="P39" s="8"/>
      <c r="Q39" s="8"/>
      <c r="R39" s="8"/>
      <c r="S39" s="8"/>
      <c r="T39" s="8"/>
      <c r="U39" s="8"/>
      <c r="V39" s="7"/>
      <c r="W39" s="6" t="str">
        <f t="array" ref="W39">IF(NOT(ISBLANK(D39)),_xludf.XLOOKUP(D39,[2]CODE!$A$4:$A$100,[2]CODE!$D$4:$D$100),"")</f>
        <v/>
      </c>
      <c r="X39" s="5" t="str">
        <f t="array" ref="X39">IF(NOT(AND(ISBLANK(D39),ISBLANK(C39))),_xludf.XLOOKUP(D39,[2]CODE!$A$4:$A$100,[2]CODE!$E$4:$E$100),"")</f>
        <v/>
      </c>
      <c r="Y39" s="5" t="str">
        <f t="shared" si="3"/>
        <v/>
      </c>
      <c r="Z39" s="5" t="str">
        <f t="shared" si="4"/>
        <v/>
      </c>
      <c r="AA39" s="4">
        <f t="shared" si="5"/>
        <v>0</v>
      </c>
      <c r="AC39" s="22"/>
    </row>
    <row r="40" spans="1:38" ht="15.5">
      <c r="A40" s="13" t="str">
        <f>IF(OR(ISBLANK(C40),ISBLANK(D40),ISBLANK(F40),ISBLANK(G40)),"",COUNTIF($B$5:B40,"JAMBUTU"))</f>
        <v/>
      </c>
      <c r="B40" s="8"/>
      <c r="C40" s="8"/>
      <c r="D40" s="8"/>
      <c r="E40" s="13"/>
      <c r="F40" s="12"/>
      <c r="G40" s="11"/>
      <c r="H40" s="12"/>
      <c r="I40" s="11"/>
      <c r="J40" s="10">
        <f t="shared" si="0"/>
        <v>0</v>
      </c>
      <c r="K40" s="10">
        <f t="shared" si="1"/>
        <v>0</v>
      </c>
      <c r="L40" s="9" t="str">
        <f t="shared" si="2"/>
        <v/>
      </c>
      <c r="M40" s="8"/>
      <c r="N40" s="8"/>
      <c r="O40" s="8"/>
      <c r="P40" s="8"/>
      <c r="Q40" s="8"/>
      <c r="R40" s="8"/>
      <c r="S40" s="8"/>
      <c r="T40" s="8"/>
      <c r="U40" s="8"/>
      <c r="V40" s="7"/>
      <c r="W40" s="6" t="str">
        <f t="array" ref="W40">IF(NOT(ISBLANK(D40)),_xludf.XLOOKUP(D40,[2]CODE!$A$4:$A$100,[2]CODE!$D$4:$D$100),"")</f>
        <v/>
      </c>
      <c r="X40" s="5" t="str">
        <f t="array" ref="X40">IF(NOT(AND(ISBLANK(D40),ISBLANK(C40))),_xludf.XLOOKUP(D40,[2]CODE!$A$4:$A$100,[2]CODE!$E$4:$E$100),"")</f>
        <v/>
      </c>
      <c r="Y40" s="5" t="str">
        <f t="shared" si="3"/>
        <v/>
      </c>
      <c r="Z40" s="5" t="str">
        <f t="shared" si="4"/>
        <v/>
      </c>
      <c r="AA40" s="4">
        <f t="shared" si="5"/>
        <v>0</v>
      </c>
      <c r="AC40" s="2"/>
    </row>
    <row r="41" spans="1:38" ht="15.5">
      <c r="A41" s="13" t="str">
        <f>IF(OR(ISBLANK(C41),ISBLANK(D41),ISBLANK(F41),ISBLANK(G41)),"",COUNTIF($B$5:B41,"JAMBUTU"))</f>
        <v/>
      </c>
      <c r="B41" s="8"/>
      <c r="C41" s="8"/>
      <c r="D41" s="8"/>
      <c r="E41" s="13"/>
      <c r="F41" s="12"/>
      <c r="G41" s="11"/>
      <c r="H41" s="12"/>
      <c r="I41" s="11"/>
      <c r="J41" s="10">
        <f t="shared" si="0"/>
        <v>0</v>
      </c>
      <c r="K41" s="10">
        <f t="shared" si="1"/>
        <v>0</v>
      </c>
      <c r="L41" s="9" t="str">
        <f t="shared" si="2"/>
        <v/>
      </c>
      <c r="M41" s="8"/>
      <c r="N41" s="8"/>
      <c r="O41" s="8"/>
      <c r="P41" s="8"/>
      <c r="Q41" s="8"/>
      <c r="R41" s="8"/>
      <c r="S41" s="8"/>
      <c r="T41" s="8"/>
      <c r="U41" s="8"/>
      <c r="V41" s="7"/>
      <c r="W41" s="6" t="str">
        <f t="array" ref="W41">IF(NOT(ISBLANK(D41)),_xludf.XLOOKUP(D41,[2]CODE!$A$4:$A$100,[2]CODE!$D$4:$D$100),"")</f>
        <v/>
      </c>
      <c r="X41" s="5" t="str">
        <f t="array" ref="X41">IF(NOT(AND(ISBLANK(D41),ISBLANK(C41))),_xludf.XLOOKUP(D41,[2]CODE!$A$4:$A$100,[2]CODE!$E$4:$E$100),"")</f>
        <v/>
      </c>
      <c r="Y41" s="5" t="str">
        <f t="shared" si="3"/>
        <v/>
      </c>
      <c r="Z41" s="5" t="str">
        <f t="shared" si="4"/>
        <v/>
      </c>
      <c r="AA41" s="4">
        <f t="shared" si="5"/>
        <v>0</v>
      </c>
      <c r="AC41" s="22"/>
    </row>
    <row r="42" spans="1:38" ht="15.5">
      <c r="A42" s="13" t="str">
        <f>IF(OR(ISBLANK(C42),ISBLANK(D42),ISBLANK(F42),ISBLANK(G42)),"",COUNTIF($B$5:B42,"JAMBUTU"))</f>
        <v/>
      </c>
      <c r="B42" s="8"/>
      <c r="C42" s="8"/>
      <c r="D42" s="8"/>
      <c r="E42" s="13"/>
      <c r="F42" s="12"/>
      <c r="G42" s="11"/>
      <c r="H42" s="12"/>
      <c r="I42" s="11"/>
      <c r="J42" s="10">
        <f t="shared" si="0"/>
        <v>0</v>
      </c>
      <c r="K42" s="10">
        <f t="shared" si="1"/>
        <v>0</v>
      </c>
      <c r="L42" s="9" t="str">
        <f t="shared" si="2"/>
        <v/>
      </c>
      <c r="M42" s="8"/>
      <c r="N42" s="8"/>
      <c r="O42" s="8"/>
      <c r="P42" s="8"/>
      <c r="Q42" s="8"/>
      <c r="R42" s="8"/>
      <c r="S42" s="8"/>
      <c r="T42" s="8"/>
      <c r="U42" s="8"/>
      <c r="V42" s="7"/>
      <c r="W42" s="6" t="str">
        <f t="array" ref="W42">IF(NOT(ISBLANK(D42)),_xludf.XLOOKUP(D42,[2]CODE!$A$4:$A$100,[2]CODE!$D$4:$D$100),"")</f>
        <v/>
      </c>
      <c r="X42" s="5" t="str">
        <f t="array" ref="X42">IF(NOT(AND(ISBLANK(D42),ISBLANK(C42))),_xludf.XLOOKUP(D42,[2]CODE!$A$4:$A$100,[2]CODE!$E$4:$E$100),"")</f>
        <v/>
      </c>
      <c r="Y42" s="5" t="str">
        <f t="shared" si="3"/>
        <v/>
      </c>
      <c r="Z42" s="5" t="str">
        <f t="shared" si="4"/>
        <v/>
      </c>
      <c r="AA42" s="4">
        <f t="shared" si="5"/>
        <v>0</v>
      </c>
      <c r="AC42" s="2"/>
    </row>
    <row r="43" spans="1:38" ht="15.5">
      <c r="A43" s="13" t="str">
        <f>IF(OR(ISBLANK(C43),ISBLANK(D43),ISBLANK(F43),ISBLANK(G43)),"",COUNTIF($B$5:B43,"JAMBUTU"))</f>
        <v/>
      </c>
      <c r="B43" s="8"/>
      <c r="C43" s="8"/>
      <c r="D43" s="8"/>
      <c r="E43" s="13"/>
      <c r="F43" s="12"/>
      <c r="G43" s="11"/>
      <c r="H43" s="12"/>
      <c r="I43" s="15"/>
      <c r="J43" s="10">
        <f t="shared" si="0"/>
        <v>0</v>
      </c>
      <c r="K43" s="10">
        <f t="shared" si="1"/>
        <v>0</v>
      </c>
      <c r="L43" s="9" t="str">
        <f t="shared" si="2"/>
        <v/>
      </c>
      <c r="M43" s="8"/>
      <c r="N43" s="8"/>
      <c r="O43" s="8"/>
      <c r="P43" s="8"/>
      <c r="Q43" s="8"/>
      <c r="R43" s="8"/>
      <c r="S43" s="8"/>
      <c r="T43" s="8"/>
      <c r="U43" s="8"/>
      <c r="V43" s="7"/>
      <c r="W43" s="6" t="str">
        <f t="array" ref="W43">IF(NOT(ISBLANK(D43)),_xludf.XLOOKUP(D43,[2]CODE!$A$4:$A$100,[2]CODE!$D$4:$D$100),"")</f>
        <v/>
      </c>
      <c r="X43" s="5" t="str">
        <f t="array" ref="X43">IF(NOT(AND(ISBLANK(D43),ISBLANK(C43))),_xludf.XLOOKUP(D43,[2]CODE!$A$4:$A$100,[2]CODE!$E$4:$E$100),"")</f>
        <v/>
      </c>
      <c r="Y43" s="5" t="str">
        <f t="shared" si="3"/>
        <v/>
      </c>
      <c r="Z43" s="5" t="str">
        <f t="shared" si="4"/>
        <v/>
      </c>
      <c r="AA43" s="4">
        <f t="shared" si="5"/>
        <v>0</v>
      </c>
      <c r="AB43" s="2"/>
      <c r="AC43" s="2"/>
    </row>
    <row r="44" spans="1:38" ht="15.5">
      <c r="A44" s="13" t="str">
        <f>IF(OR(ISBLANK(C44),ISBLANK(D44),ISBLANK(F44),ISBLANK(G44)),"",COUNTIF($B$5:B44,"JAMBUTU"))</f>
        <v/>
      </c>
      <c r="B44" s="8"/>
      <c r="C44" s="8"/>
      <c r="D44" s="8"/>
      <c r="E44" s="13"/>
      <c r="F44" s="12"/>
      <c r="G44" s="11"/>
      <c r="H44" s="12"/>
      <c r="I44" s="11"/>
      <c r="J44" s="10">
        <f t="shared" si="0"/>
        <v>0</v>
      </c>
      <c r="K44" s="10">
        <f t="shared" si="1"/>
        <v>0</v>
      </c>
      <c r="L44" s="9" t="str">
        <f t="shared" si="2"/>
        <v/>
      </c>
      <c r="M44" s="8"/>
      <c r="N44" s="8"/>
      <c r="O44" s="8"/>
      <c r="P44" s="8"/>
      <c r="Q44" s="8"/>
      <c r="R44" s="8"/>
      <c r="S44" s="8"/>
      <c r="T44" s="8"/>
      <c r="U44" s="8"/>
      <c r="V44" s="7"/>
      <c r="W44" s="6" t="str">
        <f t="array" ref="W44">IF(NOT(ISBLANK(D44)),_xludf.XLOOKUP(D44,[2]CODE!$A$4:$A$100,[2]CODE!$D$4:$D$100),"")</f>
        <v/>
      </c>
      <c r="X44" s="5" t="str">
        <f t="array" ref="X44">IF(NOT(AND(ISBLANK(D44),ISBLANK(C44))),_xludf.XLOOKUP(D44,[2]CODE!$A$4:$A$100,[2]CODE!$E$4:$E$100),"")</f>
        <v/>
      </c>
      <c r="Y44" s="5" t="str">
        <f t="shared" si="3"/>
        <v/>
      </c>
      <c r="Z44" s="5" t="str">
        <f t="shared" si="4"/>
        <v/>
      </c>
      <c r="AA44" s="4">
        <f t="shared" si="5"/>
        <v>0</v>
      </c>
      <c r="AC44" s="2"/>
    </row>
    <row r="45" spans="1:38" ht="15.5">
      <c r="A45" s="13" t="str">
        <f>IF(OR(ISBLANK(C45),ISBLANK(D45),ISBLANK(F45),ISBLANK(G45)),"",COUNTIF($B$5:B45,"JAMBUTU"))</f>
        <v/>
      </c>
      <c r="B45" s="8"/>
      <c r="C45" s="8"/>
      <c r="D45" s="8"/>
      <c r="E45" s="13"/>
      <c r="F45" s="12"/>
      <c r="G45" s="11"/>
      <c r="H45" s="12"/>
      <c r="I45" s="11"/>
      <c r="J45" s="10">
        <f t="shared" si="0"/>
        <v>0</v>
      </c>
      <c r="K45" s="10">
        <f t="shared" si="1"/>
        <v>0</v>
      </c>
      <c r="L45" s="9" t="str">
        <f t="shared" si="2"/>
        <v/>
      </c>
      <c r="M45" s="8"/>
      <c r="N45" s="8"/>
      <c r="O45" s="8"/>
      <c r="P45" s="8"/>
      <c r="Q45" s="8"/>
      <c r="R45" s="8"/>
      <c r="S45" s="8"/>
      <c r="T45" s="8"/>
      <c r="U45" s="8"/>
      <c r="V45" s="7"/>
      <c r="W45" s="6" t="str">
        <f t="array" ref="W45">IF(NOT(ISBLANK(D45)),_xludf.XLOOKUP(D45,[2]CODE!$A$4:$A$100,[2]CODE!$D$4:$D$100),"")</f>
        <v/>
      </c>
      <c r="X45" s="5" t="str">
        <f t="array" ref="X45">IF(NOT(AND(ISBLANK(D45),ISBLANK(C45))),_xludf.XLOOKUP(D45,[2]CODE!$A$4:$A$100,[2]CODE!$E$4:$E$100),"")</f>
        <v/>
      </c>
      <c r="Y45" s="5" t="str">
        <f t="shared" si="3"/>
        <v/>
      </c>
      <c r="Z45" s="5" t="str">
        <f t="shared" si="4"/>
        <v/>
      </c>
      <c r="AA45" s="4">
        <f t="shared" si="5"/>
        <v>0</v>
      </c>
      <c r="AC45" s="2"/>
    </row>
    <row r="46" spans="1:38" ht="15.5">
      <c r="A46" s="13" t="str">
        <f>IF(OR(ISBLANK(C46),ISBLANK(D46),ISBLANK(F46),ISBLANK(G46)),"",COUNTIF($B$5:B46,"JAMBUTU"))</f>
        <v/>
      </c>
      <c r="B46" s="8"/>
      <c r="C46" s="8"/>
      <c r="D46" s="8"/>
      <c r="E46" s="13"/>
      <c r="F46" s="12"/>
      <c r="G46" s="11"/>
      <c r="H46" s="12"/>
      <c r="I46" s="11"/>
      <c r="J46" s="10">
        <f t="shared" si="0"/>
        <v>0</v>
      </c>
      <c r="K46" s="10">
        <f t="shared" si="1"/>
        <v>0</v>
      </c>
      <c r="L46" s="9" t="str">
        <f t="shared" si="2"/>
        <v/>
      </c>
      <c r="M46" s="8"/>
      <c r="N46" s="8"/>
      <c r="O46" s="8"/>
      <c r="P46" s="8"/>
      <c r="Q46" s="8"/>
      <c r="R46" s="8"/>
      <c r="S46" s="8"/>
      <c r="T46" s="8"/>
      <c r="U46" s="8"/>
      <c r="V46" s="7"/>
      <c r="W46" s="6" t="str">
        <f t="array" ref="W46">IF(NOT(ISBLANK(D46)),_xludf.XLOOKUP(D46,[2]CODE!$A$4:$A$100,[2]CODE!$D$4:$D$100),"")</f>
        <v/>
      </c>
      <c r="X46" s="5" t="str">
        <f t="array" ref="X46">IF(NOT(AND(ISBLANK(D46),ISBLANK(C46))),_xludf.XLOOKUP(D46,[2]CODE!$A$4:$A$100,[2]CODE!$E$4:$E$100),"")</f>
        <v/>
      </c>
      <c r="Y46" s="5" t="str">
        <f t="shared" si="3"/>
        <v/>
      </c>
      <c r="Z46" s="5" t="str">
        <f t="shared" si="4"/>
        <v/>
      </c>
      <c r="AA46" s="4">
        <f t="shared" si="5"/>
        <v>0</v>
      </c>
      <c r="AC46" s="2"/>
    </row>
    <row r="47" spans="1:38" ht="15.5">
      <c r="A47" s="13" t="str">
        <f>IF(OR(ISBLANK(C47),ISBLANK(D47),ISBLANK(F47),ISBLANK(G47)),"",COUNTIF($B$5:B47,"JAMBUTU"))</f>
        <v/>
      </c>
      <c r="B47" s="8"/>
      <c r="C47" s="8"/>
      <c r="D47" s="8"/>
      <c r="E47" s="13"/>
      <c r="F47" s="12"/>
      <c r="G47" s="11"/>
      <c r="H47" s="12"/>
      <c r="I47" s="11"/>
      <c r="J47" s="10">
        <f t="shared" si="0"/>
        <v>0</v>
      </c>
      <c r="K47" s="10">
        <f t="shared" si="1"/>
        <v>0</v>
      </c>
      <c r="L47" s="9" t="str">
        <f t="shared" si="2"/>
        <v/>
      </c>
      <c r="M47" s="8"/>
      <c r="N47" s="8"/>
      <c r="O47" s="8"/>
      <c r="P47" s="8"/>
      <c r="Q47" s="8"/>
      <c r="R47" s="8"/>
      <c r="S47" s="8"/>
      <c r="T47" s="8"/>
      <c r="U47" s="8"/>
      <c r="V47" s="7"/>
      <c r="W47" s="6" t="str">
        <f t="array" ref="W47">IF(NOT(ISBLANK(D47)),_xludf.XLOOKUP(D47,[2]CODE!$A$4:$A$100,[2]CODE!$D$4:$D$100),"")</f>
        <v/>
      </c>
      <c r="X47" s="5" t="str">
        <f t="array" ref="X47">IF(NOT(AND(ISBLANK(D47),ISBLANK(C47))),_xludf.XLOOKUP(D47,[2]CODE!$A$4:$A$100,[2]CODE!$E$4:$E$100),"")</f>
        <v/>
      </c>
      <c r="Y47" s="5" t="str">
        <f t="shared" si="3"/>
        <v/>
      </c>
      <c r="Z47" s="5" t="str">
        <f t="shared" si="4"/>
        <v/>
      </c>
      <c r="AA47" s="4">
        <f t="shared" si="5"/>
        <v>0</v>
      </c>
      <c r="AC47" s="2"/>
    </row>
    <row r="48" spans="1:38" ht="15.5">
      <c r="A48" s="13" t="str">
        <f>IF(OR(ISBLANK(C48),ISBLANK(D48),ISBLANK(F48),ISBLANK(G48)),"",COUNTIF($B$5:B48,"JAMBUTU"))</f>
        <v/>
      </c>
      <c r="B48" s="8"/>
      <c r="C48" s="8"/>
      <c r="D48" s="8"/>
      <c r="E48" s="13"/>
      <c r="F48" s="12"/>
      <c r="G48" s="11"/>
      <c r="H48" s="12"/>
      <c r="I48" s="11"/>
      <c r="J48" s="10">
        <f t="shared" si="0"/>
        <v>0</v>
      </c>
      <c r="K48" s="10">
        <f t="shared" si="1"/>
        <v>0</v>
      </c>
      <c r="L48" s="9" t="str">
        <f t="shared" si="2"/>
        <v/>
      </c>
      <c r="M48" s="8"/>
      <c r="N48" s="8"/>
      <c r="O48" s="8"/>
      <c r="P48" s="8"/>
      <c r="Q48" s="8"/>
      <c r="R48" s="8"/>
      <c r="S48" s="8"/>
      <c r="T48" s="8"/>
      <c r="U48" s="8"/>
      <c r="V48" s="7"/>
      <c r="W48" s="6" t="str">
        <f t="array" ref="W48">IF(NOT(ISBLANK(D48)),_xludf.XLOOKUP(D48,[2]CODE!$A$4:$A$100,[2]CODE!$D$4:$D$100),"")</f>
        <v/>
      </c>
      <c r="X48" s="5" t="str">
        <f t="array" ref="X48">IF(NOT(AND(ISBLANK(D48),ISBLANK(C48))),_xludf.XLOOKUP(D48,[2]CODE!$A$4:$A$100,[2]CODE!$E$4:$E$100),"")</f>
        <v/>
      </c>
      <c r="Y48" s="5" t="str">
        <f t="shared" si="3"/>
        <v/>
      </c>
      <c r="Z48" s="5" t="str">
        <f t="shared" si="4"/>
        <v/>
      </c>
      <c r="AA48" s="4">
        <f t="shared" si="5"/>
        <v>0</v>
      </c>
      <c r="AC48" s="2"/>
    </row>
    <row r="49" spans="1:29" ht="15.5">
      <c r="A49" s="13" t="str">
        <f>IF(OR(ISBLANK(C49),ISBLANK(D49),ISBLANK(F49),ISBLANK(G49)),"",COUNTIF($B$5:B49,"JAMBUTU"))</f>
        <v/>
      </c>
      <c r="B49" s="8"/>
      <c r="C49" s="8"/>
      <c r="D49" s="8"/>
      <c r="E49" s="13"/>
      <c r="F49" s="12"/>
      <c r="G49" s="11"/>
      <c r="H49" s="12"/>
      <c r="I49" s="11"/>
      <c r="J49" s="10">
        <f t="shared" si="0"/>
        <v>0</v>
      </c>
      <c r="K49" s="10">
        <f t="shared" si="1"/>
        <v>0</v>
      </c>
      <c r="L49" s="9" t="str">
        <f t="shared" si="2"/>
        <v/>
      </c>
      <c r="M49" s="8"/>
      <c r="N49" s="8"/>
      <c r="O49" s="8"/>
      <c r="P49" s="8"/>
      <c r="Q49" s="8"/>
      <c r="R49" s="8"/>
      <c r="S49" s="8"/>
      <c r="T49" s="8"/>
      <c r="U49" s="8"/>
      <c r="V49" s="7"/>
      <c r="W49" s="6" t="str">
        <f t="array" ref="W49">IF(NOT(ISBLANK(D49)),_xludf.XLOOKUP(D49,[2]CODE!$A$4:$A$100,[2]CODE!$D$4:$D$100),"")</f>
        <v/>
      </c>
      <c r="X49" s="5" t="str">
        <f t="array" ref="X49">IF(NOT(AND(ISBLANK(D49),ISBLANK(C49))),_xludf.XLOOKUP(D49,[2]CODE!$A$4:$A$100,[2]CODE!$E$4:$E$100),"")</f>
        <v/>
      </c>
      <c r="Y49" s="5" t="str">
        <f t="shared" si="3"/>
        <v/>
      </c>
      <c r="Z49" s="5" t="str">
        <f t="shared" si="4"/>
        <v/>
      </c>
      <c r="AA49" s="4">
        <f t="shared" si="5"/>
        <v>0</v>
      </c>
      <c r="AC49" s="2"/>
    </row>
    <row r="50" spans="1:29" ht="15.5">
      <c r="A50" s="13" t="str">
        <f>IF(OR(ISBLANK(C50),ISBLANK(D50),ISBLANK(F50),ISBLANK(G50)),"",COUNTIF($B$5:B50,"JAMBUTU"))</f>
        <v/>
      </c>
      <c r="B50" s="8"/>
      <c r="C50" s="8"/>
      <c r="D50" s="8"/>
      <c r="E50" s="13"/>
      <c r="F50" s="12"/>
      <c r="G50" s="11"/>
      <c r="H50" s="12"/>
      <c r="I50" s="11"/>
      <c r="J50" s="10">
        <f t="shared" si="0"/>
        <v>0</v>
      </c>
      <c r="K50" s="10">
        <f t="shared" si="1"/>
        <v>0</v>
      </c>
      <c r="L50" s="9" t="str">
        <f t="shared" si="2"/>
        <v/>
      </c>
      <c r="M50" s="8"/>
      <c r="N50" s="8"/>
      <c r="O50" s="8"/>
      <c r="P50" s="8"/>
      <c r="Q50" s="8"/>
      <c r="R50" s="8"/>
      <c r="S50" s="8"/>
      <c r="T50" s="8"/>
      <c r="U50" s="8"/>
      <c r="V50" s="7"/>
      <c r="W50" s="6" t="str">
        <f t="array" ref="W50">IF(NOT(ISBLANK(D50)),_xludf.XLOOKUP(D50,[2]CODE!$A$4:$A$100,[2]CODE!$D$4:$D$100),"")</f>
        <v/>
      </c>
      <c r="X50" s="5" t="str">
        <f t="array" ref="X50">IF(NOT(AND(ISBLANK(D50),ISBLANK(C50))),_xludf.XLOOKUP(D50,[2]CODE!$A$4:$A$100,[2]CODE!$E$4:$E$100),"")</f>
        <v/>
      </c>
      <c r="Y50" s="5" t="str">
        <f t="shared" si="3"/>
        <v/>
      </c>
      <c r="Z50" s="5" t="str">
        <f t="shared" si="4"/>
        <v/>
      </c>
      <c r="AA50" s="4">
        <f t="shared" si="5"/>
        <v>0</v>
      </c>
      <c r="AC50" s="2"/>
    </row>
    <row r="51" spans="1:29" ht="15.5">
      <c r="A51" s="13" t="str">
        <f>IF(OR(ISBLANK(C51),ISBLANK(D51),ISBLANK(F51),ISBLANK(G51)),"",COUNTIF($B$5:B51,"JAMBUTU"))</f>
        <v/>
      </c>
      <c r="B51" s="8"/>
      <c r="C51" s="8"/>
      <c r="D51" s="8"/>
      <c r="E51" s="13"/>
      <c r="F51" s="12"/>
      <c r="G51" s="11"/>
      <c r="H51" s="12"/>
      <c r="I51" s="11"/>
      <c r="J51" s="10">
        <f t="shared" si="0"/>
        <v>0</v>
      </c>
      <c r="K51" s="10">
        <f t="shared" si="1"/>
        <v>0</v>
      </c>
      <c r="L51" s="9" t="str">
        <f t="shared" si="2"/>
        <v/>
      </c>
      <c r="M51" s="8"/>
      <c r="N51" s="8"/>
      <c r="O51" s="8"/>
      <c r="P51" s="8"/>
      <c r="Q51" s="8"/>
      <c r="R51" s="8"/>
      <c r="S51" s="8"/>
      <c r="T51" s="8"/>
      <c r="U51" s="8"/>
      <c r="V51" s="7"/>
      <c r="W51" s="6" t="str">
        <f t="array" ref="W51">IF(NOT(ISBLANK(D51)),_xludf.XLOOKUP(D51,[2]CODE!$A$4:$A$100,[2]CODE!$D$4:$D$100),"")</f>
        <v/>
      </c>
      <c r="X51" s="5" t="str">
        <f t="array" ref="X51">IF(NOT(AND(ISBLANK(D51),ISBLANK(C51))),_xludf.XLOOKUP(D51,[2]CODE!$A$4:$A$100,[2]CODE!$E$4:$E$100),"")</f>
        <v/>
      </c>
      <c r="Y51" s="5" t="str">
        <f t="shared" si="3"/>
        <v/>
      </c>
      <c r="Z51" s="5" t="str">
        <f t="shared" si="4"/>
        <v/>
      </c>
      <c r="AA51" s="4">
        <f t="shared" si="5"/>
        <v>0</v>
      </c>
      <c r="AC51" s="2"/>
    </row>
    <row r="52" spans="1:29" ht="15.5">
      <c r="A52" s="13" t="str">
        <f>IF(OR(ISBLANK(C52),ISBLANK(D52),ISBLANK(F52),ISBLANK(G52)),"",COUNTIF($B$5:B52,"JAMBUTU"))</f>
        <v/>
      </c>
      <c r="B52" s="8"/>
      <c r="C52" s="8"/>
      <c r="D52" s="8"/>
      <c r="E52" s="13"/>
      <c r="F52" s="12"/>
      <c r="G52" s="11"/>
      <c r="H52" s="12"/>
      <c r="I52" s="11"/>
      <c r="J52" s="10">
        <f t="shared" si="0"/>
        <v>0</v>
      </c>
      <c r="K52" s="10">
        <f t="shared" si="1"/>
        <v>0</v>
      </c>
      <c r="L52" s="9" t="str">
        <f t="shared" si="2"/>
        <v/>
      </c>
      <c r="M52" s="8"/>
      <c r="N52" s="8"/>
      <c r="O52" s="8"/>
      <c r="P52" s="8"/>
      <c r="Q52" s="8"/>
      <c r="R52" s="8"/>
      <c r="S52" s="8"/>
      <c r="T52" s="8"/>
      <c r="U52" s="8"/>
      <c r="V52" s="7"/>
      <c r="W52" s="6" t="str">
        <f t="array" ref="W52">IF(NOT(ISBLANK(D52)),_xludf.XLOOKUP(D52,[2]CODE!$A$4:$A$100,[2]CODE!$D$4:$D$100),"")</f>
        <v/>
      </c>
      <c r="X52" s="5" t="str">
        <f t="array" ref="X52">IF(NOT(AND(ISBLANK(D52),ISBLANK(C52))),_xludf.XLOOKUP(D52,[2]CODE!$A$4:$A$100,[2]CODE!$E$4:$E$100),"")</f>
        <v/>
      </c>
      <c r="Y52" s="5" t="str">
        <f t="shared" si="3"/>
        <v/>
      </c>
      <c r="Z52" s="5" t="str">
        <f t="shared" si="4"/>
        <v/>
      </c>
      <c r="AA52" s="4">
        <f t="shared" si="5"/>
        <v>0</v>
      </c>
      <c r="AC52" s="2"/>
    </row>
    <row r="53" spans="1:29" ht="15.5">
      <c r="A53" s="13">
        <f>IF(OR(ISBLANK(C53),ISBLANK(D53),ISBLANK(F53),ISBLANK(G53)),"",COUNTIF($B$5:B53,"JAMBUTU"))</f>
        <v>4</v>
      </c>
      <c r="B53" s="8" t="str">
        <f>IF(C53&lt;&gt;"","Jambutu","")</f>
        <v>Jambutu</v>
      </c>
      <c r="C53" s="8" t="s">
        <v>4</v>
      </c>
      <c r="D53" s="8" t="s">
        <v>12</v>
      </c>
      <c r="E53" s="13">
        <v>3.4</v>
      </c>
      <c r="F53" s="12">
        <v>46060</v>
      </c>
      <c r="G53" s="11">
        <v>0.59027777777777779</v>
      </c>
      <c r="H53" s="12">
        <v>46061</v>
      </c>
      <c r="I53" s="11">
        <v>0</v>
      </c>
      <c r="J53" s="10">
        <f t="shared" si="0"/>
        <v>46060.590277777781</v>
      </c>
      <c r="K53" s="10">
        <f t="shared" si="1"/>
        <v>46061</v>
      </c>
      <c r="L53" s="9">
        <f t="shared" si="2"/>
        <v>0.40972222221898846</v>
      </c>
      <c r="M53" s="8" t="s">
        <v>62</v>
      </c>
      <c r="N53" s="8" t="s">
        <v>53</v>
      </c>
      <c r="O53" s="8" t="s">
        <v>0</v>
      </c>
      <c r="P53" s="8"/>
      <c r="Q53" s="8"/>
      <c r="R53" s="8"/>
      <c r="S53" s="8"/>
      <c r="T53" s="8"/>
      <c r="U53" s="8"/>
      <c r="V53" s="7"/>
      <c r="W53" s="6" t="e">
        <f t="array" aca="1" ref="W53" ca="1">IF(NOT(ISBLANK(D53)),_xludf.XLOOKUP(D53,[2]CODE!$A$4:$A$100,[2]CODE!$D$4:$D$100),"")</f>
        <v>#NAME?</v>
      </c>
      <c r="X53" s="5" t="e">
        <f t="array" aca="1" ref="X53" ca="1">IF(NOT(AND(ISBLANK(D53),ISBLANK(C53))),_xludf.XLOOKUP(D53,[2]CODE!$A$4:$A$100,[2]CODE!$E$4:$E$100),"")</f>
        <v>#NAME?</v>
      </c>
      <c r="Y53" s="5" t="str">
        <f t="shared" si="3"/>
        <v>33KV</v>
      </c>
      <c r="Z53" s="5" t="str">
        <f t="shared" si="4"/>
        <v>YES</v>
      </c>
      <c r="AA53" s="4">
        <f t="shared" si="5"/>
        <v>46061</v>
      </c>
      <c r="AC53" s="2"/>
    </row>
    <row r="54" spans="1:29" ht="15.5">
      <c r="A54" s="13" t="str">
        <f>IF(OR(ISBLANK(C54),ISBLANK(D54),ISBLANK(F54),ISBLANK(G54)),"",COUNTIF($B$5:B54,"JAMBUTU"))</f>
        <v/>
      </c>
      <c r="B54" s="8"/>
      <c r="C54" s="8"/>
      <c r="D54" s="8"/>
      <c r="E54" s="13"/>
      <c r="F54" s="12"/>
      <c r="G54" s="11"/>
      <c r="H54" s="12"/>
      <c r="I54" s="11"/>
      <c r="J54" s="10">
        <f t="shared" si="0"/>
        <v>0</v>
      </c>
      <c r="K54" s="10">
        <f t="shared" si="1"/>
        <v>0</v>
      </c>
      <c r="L54" s="9" t="str">
        <f t="shared" si="2"/>
        <v/>
      </c>
      <c r="M54" s="8"/>
      <c r="N54" s="8"/>
      <c r="O54" s="8"/>
      <c r="P54" s="8"/>
      <c r="Q54" s="8"/>
      <c r="R54" s="8"/>
      <c r="S54" s="8"/>
      <c r="T54" s="8"/>
      <c r="U54" s="8"/>
      <c r="V54" s="7"/>
      <c r="W54" s="6" t="str">
        <f t="array" ref="W54">IF(NOT(ISBLANK(D54)),_xludf.XLOOKUP(D54,[2]CODE!$A$4:$A$100,[2]CODE!$D$4:$D$100),"")</f>
        <v/>
      </c>
      <c r="X54" s="5" t="str">
        <f t="array" ref="X54">IF(NOT(AND(ISBLANK(D54),ISBLANK(C54))),_xludf.XLOOKUP(D54,[2]CODE!$A$4:$A$100,[2]CODE!$E$4:$E$100),"")</f>
        <v/>
      </c>
      <c r="Y54" s="5" t="str">
        <f t="shared" si="3"/>
        <v/>
      </c>
      <c r="Z54" s="5" t="str">
        <f t="shared" si="4"/>
        <v/>
      </c>
      <c r="AA54" s="4">
        <f t="shared" si="5"/>
        <v>0</v>
      </c>
      <c r="AC54" s="2"/>
    </row>
    <row r="55" spans="1:29" ht="15.5">
      <c r="A55" s="13">
        <f>IF(OR(ISBLANK(C55),ISBLANK(D55),ISBLANK(F55),ISBLANK(G55)),"",COUNTIF($B$5:B55,"JAMBUTU"))</f>
        <v>5</v>
      </c>
      <c r="B55" s="8" t="str">
        <f t="shared" ref="B55:B63" si="9">IF(C55&lt;&gt;"","Jambutu","")</f>
        <v>Jambutu</v>
      </c>
      <c r="C55" s="8" t="s">
        <v>3</v>
      </c>
      <c r="D55" s="8" t="s">
        <v>12</v>
      </c>
      <c r="E55" s="13">
        <v>3.3</v>
      </c>
      <c r="F55" s="12">
        <v>46060</v>
      </c>
      <c r="G55" s="11">
        <v>0.63263888888888886</v>
      </c>
      <c r="H55" s="12">
        <v>46061</v>
      </c>
      <c r="I55" s="11">
        <v>0</v>
      </c>
      <c r="J55" s="10">
        <f t="shared" si="0"/>
        <v>46060.632638888892</v>
      </c>
      <c r="K55" s="10">
        <f t="shared" si="1"/>
        <v>46061</v>
      </c>
      <c r="L55" s="9">
        <f t="shared" si="2"/>
        <v>0.36736111110803904</v>
      </c>
      <c r="M55" s="8" t="s">
        <v>62</v>
      </c>
      <c r="N55" s="8" t="s">
        <v>53</v>
      </c>
      <c r="O55" s="8" t="s">
        <v>0</v>
      </c>
      <c r="P55" s="8"/>
      <c r="Q55" s="8"/>
      <c r="R55" s="8"/>
      <c r="S55" s="8"/>
      <c r="T55" s="8"/>
      <c r="U55" s="8"/>
      <c r="V55" s="7"/>
      <c r="W55" s="6" t="e">
        <f t="array" aca="1" ref="W55" ca="1">IF(NOT(ISBLANK(D55)),_xludf.XLOOKUP(D55,[2]CODE!$A$4:$A$100,[2]CODE!$D$4:$D$100),"")</f>
        <v>#NAME?</v>
      </c>
      <c r="X55" s="5" t="e">
        <f t="array" aca="1" ref="X55" ca="1">IF(NOT(AND(ISBLANK(D55),ISBLANK(C55))),_xludf.XLOOKUP(D55,[2]CODE!$A$4:$A$100,[2]CODE!$E$4:$E$100),"")</f>
        <v>#NAME?</v>
      </c>
      <c r="Y55" s="5" t="str">
        <f t="shared" si="3"/>
        <v>11kV</v>
      </c>
      <c r="Z55" s="5" t="str">
        <f t="shared" si="4"/>
        <v>YES</v>
      </c>
      <c r="AA55" s="4">
        <f t="shared" si="5"/>
        <v>46061</v>
      </c>
      <c r="AC55" s="2"/>
    </row>
    <row r="56" spans="1:29" ht="15.5">
      <c r="A56" s="13">
        <f>IF(OR(ISBLANK(C56),ISBLANK(D56),ISBLANK(F56),ISBLANK(G56)),"",COUNTIF($B$5:B56,"JAMBUTU"))</f>
        <v>6</v>
      </c>
      <c r="B56" s="8" t="str">
        <f t="shared" si="9"/>
        <v>Jambutu</v>
      </c>
      <c r="C56" s="8" t="s">
        <v>8</v>
      </c>
      <c r="D56" s="8" t="s">
        <v>12</v>
      </c>
      <c r="E56" s="13">
        <v>1E-4</v>
      </c>
      <c r="F56" s="12">
        <v>46061</v>
      </c>
      <c r="G56" s="11">
        <v>0</v>
      </c>
      <c r="H56" s="12">
        <v>46062</v>
      </c>
      <c r="I56" s="11">
        <v>0</v>
      </c>
      <c r="J56" s="10">
        <f t="shared" si="0"/>
        <v>46061</v>
      </c>
      <c r="K56" s="10">
        <f t="shared" si="1"/>
        <v>46062</v>
      </c>
      <c r="L56" s="9">
        <f t="shared" si="2"/>
        <v>1</v>
      </c>
      <c r="M56" s="8" t="s">
        <v>62</v>
      </c>
      <c r="N56" s="8" t="s">
        <v>53</v>
      </c>
      <c r="O56" s="8" t="s">
        <v>0</v>
      </c>
      <c r="P56" s="8"/>
      <c r="Q56" s="8"/>
      <c r="R56" s="8"/>
      <c r="S56" s="8"/>
      <c r="T56" s="8"/>
      <c r="U56" s="8"/>
      <c r="V56" s="7"/>
      <c r="W56" s="6" t="e">
        <f t="array" aca="1" ref="W56" ca="1">IF(NOT(ISBLANK(D56)),_xludf.XLOOKUP(D56,[2]CODE!$A$4:$A$100,[2]CODE!$D$4:$D$100),"")</f>
        <v>#NAME?</v>
      </c>
      <c r="X56" s="5" t="e">
        <f t="array" aca="1" ref="X56" ca="1">IF(NOT(AND(ISBLANK(D56),ISBLANK(C56))),_xludf.XLOOKUP(D56,[2]CODE!$A$4:$A$100,[2]CODE!$E$4:$E$100),"")</f>
        <v>#NAME?</v>
      </c>
      <c r="Y56" s="5" t="str">
        <f t="shared" si="3"/>
        <v>11kV</v>
      </c>
      <c r="Z56" s="5" t="str">
        <f t="shared" si="4"/>
        <v>YES</v>
      </c>
      <c r="AA56" s="4">
        <f t="shared" si="5"/>
        <v>46062</v>
      </c>
      <c r="AC56" s="2"/>
    </row>
    <row r="57" spans="1:29" ht="15.5">
      <c r="A57" s="13">
        <f>IF(OR(ISBLANK(C57),ISBLANK(D57),ISBLANK(F57),ISBLANK(G57)),"",COUNTIF($B$5:B57,"JAMBUTU"))</f>
        <v>7</v>
      </c>
      <c r="B57" s="8" t="str">
        <f t="shared" si="9"/>
        <v>Jambutu</v>
      </c>
      <c r="C57" s="8" t="s">
        <v>3</v>
      </c>
      <c r="D57" s="8" t="s">
        <v>12</v>
      </c>
      <c r="E57" s="13">
        <v>3.3</v>
      </c>
      <c r="F57" s="12">
        <v>46061</v>
      </c>
      <c r="G57" s="11">
        <v>0</v>
      </c>
      <c r="H57" s="12">
        <v>46062</v>
      </c>
      <c r="I57" s="11">
        <v>0</v>
      </c>
      <c r="J57" s="10">
        <f t="shared" si="0"/>
        <v>46061</v>
      </c>
      <c r="K57" s="10">
        <f t="shared" si="1"/>
        <v>46062</v>
      </c>
      <c r="L57" s="9">
        <f t="shared" si="2"/>
        <v>1</v>
      </c>
      <c r="M57" s="8" t="s">
        <v>62</v>
      </c>
      <c r="N57" s="8" t="s">
        <v>53</v>
      </c>
      <c r="O57" s="8" t="s">
        <v>0</v>
      </c>
      <c r="P57" s="8"/>
      <c r="Q57" s="8"/>
      <c r="R57" s="8"/>
      <c r="S57" s="8"/>
      <c r="T57" s="8"/>
      <c r="U57" s="8"/>
      <c r="V57" s="7"/>
      <c r="W57" s="6" t="e">
        <f t="array" aca="1" ref="W57" ca="1">IF(NOT(ISBLANK(D57)),_xludf.XLOOKUP(D57,[2]CODE!$A$4:$A$100,[2]CODE!$D$4:$D$100),"")</f>
        <v>#NAME?</v>
      </c>
      <c r="X57" s="5" t="e">
        <f t="array" aca="1" ref="X57" ca="1">IF(NOT(AND(ISBLANK(D57),ISBLANK(C57))),_xludf.XLOOKUP(D57,[2]CODE!$A$4:$A$100,[2]CODE!$E$4:$E$100),"")</f>
        <v>#NAME?</v>
      </c>
      <c r="Y57" s="5" t="str">
        <f t="shared" si="3"/>
        <v>11kV</v>
      </c>
      <c r="Z57" s="5" t="str">
        <f t="shared" si="4"/>
        <v>YES</v>
      </c>
      <c r="AA57" s="4">
        <f t="shared" si="5"/>
        <v>46062</v>
      </c>
      <c r="AC57" s="2"/>
    </row>
    <row r="58" spans="1:29" ht="15.5">
      <c r="A58" s="13">
        <f>IF(OR(ISBLANK(C58),ISBLANK(D58),ISBLANK(F58),ISBLANK(G58)),"",COUNTIF($B$5:B58,"JAMBUTU"))</f>
        <v>8</v>
      </c>
      <c r="B58" s="8" t="str">
        <f t="shared" si="9"/>
        <v>Jambutu</v>
      </c>
      <c r="C58" s="8" t="s">
        <v>4</v>
      </c>
      <c r="D58" s="8" t="s">
        <v>12</v>
      </c>
      <c r="E58" s="13">
        <v>3.4</v>
      </c>
      <c r="F58" s="12">
        <v>46061</v>
      </c>
      <c r="G58" s="11">
        <v>0</v>
      </c>
      <c r="H58" s="12">
        <v>46062</v>
      </c>
      <c r="I58" s="11">
        <v>0</v>
      </c>
      <c r="J58" s="10">
        <f t="shared" si="0"/>
        <v>46061</v>
      </c>
      <c r="K58" s="10">
        <f t="shared" si="1"/>
        <v>46062</v>
      </c>
      <c r="L58" s="9">
        <f t="shared" si="2"/>
        <v>1</v>
      </c>
      <c r="M58" s="8" t="s">
        <v>62</v>
      </c>
      <c r="N58" s="8" t="s">
        <v>53</v>
      </c>
      <c r="O58" s="8" t="s">
        <v>0</v>
      </c>
      <c r="P58" s="8"/>
      <c r="Q58" s="8"/>
      <c r="R58" s="8"/>
      <c r="S58" s="8"/>
      <c r="T58" s="8"/>
      <c r="U58" s="8"/>
      <c r="V58" s="7"/>
      <c r="W58" s="6" t="e">
        <f t="array" aca="1" ref="W58" ca="1">IF(NOT(ISBLANK(D58)),_xludf.XLOOKUP(D58,[2]CODE!$A$4:$A$100,[2]CODE!$D$4:$D$100),"")</f>
        <v>#NAME?</v>
      </c>
      <c r="X58" s="5" t="e">
        <f t="array" aca="1" ref="X58" ca="1">IF(NOT(AND(ISBLANK(D58),ISBLANK(C58))),_xludf.XLOOKUP(D58,[2]CODE!$A$4:$A$100,[2]CODE!$E$4:$E$100),"")</f>
        <v>#NAME?</v>
      </c>
      <c r="Y58" s="5" t="str">
        <f t="shared" si="3"/>
        <v>33KV</v>
      </c>
      <c r="Z58" s="5" t="str">
        <f t="shared" si="4"/>
        <v>YES</v>
      </c>
      <c r="AA58" s="4">
        <f t="shared" si="5"/>
        <v>46062</v>
      </c>
      <c r="AC58" s="2"/>
    </row>
    <row r="59" spans="1:29" ht="15.5">
      <c r="A59" s="13">
        <f>IF(OR(ISBLANK(C59),ISBLANK(D59),ISBLANK(F59),ISBLANK(G59)),"",COUNTIF($B$5:B59,"JAMBUTU"))</f>
        <v>9</v>
      </c>
      <c r="B59" s="8" t="str">
        <f t="shared" si="9"/>
        <v>Jambutu</v>
      </c>
      <c r="C59" s="8" t="s">
        <v>8</v>
      </c>
      <c r="D59" s="8" t="s">
        <v>12</v>
      </c>
      <c r="E59" s="13">
        <v>1E-3</v>
      </c>
      <c r="F59" s="12">
        <v>46060</v>
      </c>
      <c r="G59" s="11">
        <v>0.67569444444444449</v>
      </c>
      <c r="H59" s="12">
        <v>46061</v>
      </c>
      <c r="I59" s="11">
        <v>0</v>
      </c>
      <c r="J59" s="10">
        <f t="shared" si="0"/>
        <v>46060.675694444442</v>
      </c>
      <c r="K59" s="10">
        <f t="shared" si="1"/>
        <v>46061</v>
      </c>
      <c r="L59" s="9">
        <f t="shared" si="2"/>
        <v>0.3243055555576575</v>
      </c>
      <c r="M59" s="8" t="s">
        <v>62</v>
      </c>
      <c r="N59" s="8" t="s">
        <v>53</v>
      </c>
      <c r="O59" s="8" t="s">
        <v>0</v>
      </c>
      <c r="P59" s="8"/>
      <c r="Q59" s="8"/>
      <c r="R59" s="8"/>
      <c r="S59" s="8"/>
      <c r="T59" s="8"/>
      <c r="U59" s="8"/>
      <c r="V59" s="7"/>
      <c r="W59" s="6" t="e">
        <f t="array" aca="1" ref="W59" ca="1">IF(NOT(ISBLANK(D59)),_xludf.XLOOKUP(D59,[2]CODE!$A$4:$A$100,[2]CODE!$D$4:$D$100),"")</f>
        <v>#NAME?</v>
      </c>
      <c r="X59" s="5" t="e">
        <f t="array" aca="1" ref="X59" ca="1">IF(NOT(AND(ISBLANK(D59),ISBLANK(C59))),_xludf.XLOOKUP(D59,[2]CODE!$A$4:$A$100,[2]CODE!$E$4:$E$100),"")</f>
        <v>#NAME?</v>
      </c>
      <c r="Y59" s="5" t="str">
        <f t="shared" si="3"/>
        <v>11kV</v>
      </c>
      <c r="Z59" s="5" t="str">
        <f t="shared" si="4"/>
        <v>YES</v>
      </c>
      <c r="AA59" s="4">
        <f t="shared" si="5"/>
        <v>46061</v>
      </c>
      <c r="AC59" s="2"/>
    </row>
    <row r="60" spans="1:29" ht="15.5">
      <c r="A60" s="13">
        <f>IF(OR(ISBLANK(C60),ISBLANK(D60),ISBLANK(F60),ISBLANK(G60)),"",COUNTIF($B$5:B60,"JAMBUTU"))</f>
        <v>10</v>
      </c>
      <c r="B60" s="8" t="str">
        <f t="shared" si="9"/>
        <v>Jambutu</v>
      </c>
      <c r="C60" s="8" t="s">
        <v>8</v>
      </c>
      <c r="D60" s="8" t="s">
        <v>12</v>
      </c>
      <c r="E60" s="13">
        <v>1E-3</v>
      </c>
      <c r="F60" s="12">
        <v>46062</v>
      </c>
      <c r="G60" s="11">
        <v>0</v>
      </c>
      <c r="H60" s="12">
        <v>46062</v>
      </c>
      <c r="I60" s="11">
        <v>0.76111111111111107</v>
      </c>
      <c r="J60" s="10">
        <f t="shared" si="0"/>
        <v>46062</v>
      </c>
      <c r="K60" s="10">
        <f t="shared" si="1"/>
        <v>46062.761111111111</v>
      </c>
      <c r="L60" s="9">
        <f t="shared" si="2"/>
        <v>0.76111111111094942</v>
      </c>
      <c r="M60" s="8" t="s">
        <v>62</v>
      </c>
      <c r="N60" s="8" t="s">
        <v>53</v>
      </c>
      <c r="O60" s="8" t="s">
        <v>0</v>
      </c>
      <c r="P60" s="8"/>
      <c r="Q60" s="8"/>
      <c r="R60" s="8"/>
      <c r="S60" s="8"/>
      <c r="T60" s="8"/>
      <c r="U60" s="8"/>
      <c r="V60" s="7"/>
      <c r="W60" s="6" t="e">
        <f t="array" aca="1" ref="W60" ca="1">IF(NOT(ISBLANK(D60)),_xludf.XLOOKUP(D60,[2]CODE!$A$4:$A$100,[2]CODE!$D$4:$D$100),"")</f>
        <v>#NAME?</v>
      </c>
      <c r="X60" s="5" t="e">
        <f t="array" aca="1" ref="X60" ca="1">IF(NOT(AND(ISBLANK(D60),ISBLANK(C60))),_xludf.XLOOKUP(D60,[2]CODE!$A$4:$A$100,[2]CODE!$E$4:$E$100),"")</f>
        <v>#NAME?</v>
      </c>
      <c r="Y60" s="5" t="str">
        <f t="shared" si="3"/>
        <v>11kV</v>
      </c>
      <c r="Z60" s="5" t="str">
        <f t="shared" si="4"/>
        <v>YES</v>
      </c>
      <c r="AA60" s="4">
        <f t="shared" si="5"/>
        <v>46062</v>
      </c>
      <c r="AC60" s="2"/>
    </row>
    <row r="61" spans="1:29" ht="15.5">
      <c r="A61" s="13">
        <f>IF(OR(ISBLANK(C61),ISBLANK(D61),ISBLANK(F61),ISBLANK(G61)),"",COUNTIF($B$5:B61,"JAMBUTU"))</f>
        <v>11</v>
      </c>
      <c r="B61" s="8" t="str">
        <f t="shared" si="9"/>
        <v>Jambutu</v>
      </c>
      <c r="C61" s="8" t="s">
        <v>3</v>
      </c>
      <c r="D61" s="8" t="s">
        <v>12</v>
      </c>
      <c r="E61" s="13">
        <v>3.3</v>
      </c>
      <c r="F61" s="12">
        <v>46062</v>
      </c>
      <c r="G61" s="11">
        <v>0</v>
      </c>
      <c r="H61" s="12">
        <v>46062</v>
      </c>
      <c r="I61" s="11">
        <v>0.76180555555555551</v>
      </c>
      <c r="J61" s="10">
        <f t="shared" si="0"/>
        <v>46062</v>
      </c>
      <c r="K61" s="10">
        <f t="shared" si="1"/>
        <v>46062.761805555558</v>
      </c>
      <c r="L61" s="9">
        <f t="shared" si="2"/>
        <v>0.7618055555576575</v>
      </c>
      <c r="M61" s="8" t="s">
        <v>62</v>
      </c>
      <c r="N61" s="8" t="s">
        <v>53</v>
      </c>
      <c r="O61" s="8" t="s">
        <v>0</v>
      </c>
      <c r="P61" s="8"/>
      <c r="Q61" s="8"/>
      <c r="R61" s="8"/>
      <c r="S61" s="8"/>
      <c r="T61" s="8"/>
      <c r="U61" s="8"/>
      <c r="V61" s="7"/>
      <c r="W61" s="6" t="e">
        <f t="array" aca="1" ref="W61" ca="1">IF(NOT(ISBLANK(D61)),_xludf.XLOOKUP(D61,[2]CODE!$A$4:$A$100,[2]CODE!$D$4:$D$100),"")</f>
        <v>#NAME?</v>
      </c>
      <c r="X61" s="5" t="e">
        <f t="array" aca="1" ref="X61" ca="1">IF(NOT(AND(ISBLANK(D61),ISBLANK(C61))),_xludf.XLOOKUP(D61,[2]CODE!$A$4:$A$100,[2]CODE!$E$4:$E$100),"")</f>
        <v>#NAME?</v>
      </c>
      <c r="Y61" s="5" t="str">
        <f t="shared" si="3"/>
        <v>11kV</v>
      </c>
      <c r="Z61" s="5" t="str">
        <f t="shared" si="4"/>
        <v>YES</v>
      </c>
      <c r="AA61" s="4">
        <f t="shared" si="5"/>
        <v>46062</v>
      </c>
      <c r="AC61" s="2"/>
    </row>
    <row r="62" spans="1:29" ht="15.5">
      <c r="A62" s="13">
        <f>IF(OR(ISBLANK(C62),ISBLANK(D62),ISBLANK(F62),ISBLANK(G62)),"",COUNTIF($B$5:B62,"JAMBUTU"))</f>
        <v>12</v>
      </c>
      <c r="B62" s="8" t="str">
        <f t="shared" si="9"/>
        <v>Jambutu</v>
      </c>
      <c r="C62" s="8" t="s">
        <v>4</v>
      </c>
      <c r="D62" s="8" t="s">
        <v>12</v>
      </c>
      <c r="E62" s="13">
        <v>3.4</v>
      </c>
      <c r="F62" s="12">
        <v>46062</v>
      </c>
      <c r="G62" s="11">
        <v>0</v>
      </c>
      <c r="H62" s="12">
        <v>46062</v>
      </c>
      <c r="I62" s="11">
        <v>0.76875000000000004</v>
      </c>
      <c r="J62" s="10">
        <f t="shared" si="0"/>
        <v>46062</v>
      </c>
      <c r="K62" s="10">
        <f t="shared" si="1"/>
        <v>46062.768750000003</v>
      </c>
      <c r="L62" s="9">
        <f t="shared" si="2"/>
        <v>0.76875000000291038</v>
      </c>
      <c r="M62" s="8" t="s">
        <v>62</v>
      </c>
      <c r="N62" s="8" t="s">
        <v>53</v>
      </c>
      <c r="O62" s="8" t="s">
        <v>0</v>
      </c>
      <c r="P62" s="8"/>
      <c r="Q62" s="8"/>
      <c r="R62" s="8"/>
      <c r="S62" s="8"/>
      <c r="T62" s="8"/>
      <c r="U62" s="8"/>
      <c r="V62" s="7"/>
      <c r="W62" s="6" t="e">
        <f t="array" aca="1" ref="W62" ca="1">IF(NOT(ISBLANK(D62)),_xludf.XLOOKUP(D62,[2]CODE!$A$4:$A$100,[2]CODE!$D$4:$D$100),"")</f>
        <v>#NAME?</v>
      </c>
      <c r="X62" s="5" t="e">
        <f t="array" aca="1" ref="X62" ca="1">IF(NOT(AND(ISBLANK(D62),ISBLANK(C62))),_xludf.XLOOKUP(D62,[2]CODE!$A$4:$A$100,[2]CODE!$E$4:$E$100),"")</f>
        <v>#NAME?</v>
      </c>
      <c r="Y62" s="5" t="str">
        <f t="shared" si="3"/>
        <v>33KV</v>
      </c>
      <c r="Z62" s="5" t="str">
        <f t="shared" si="4"/>
        <v>YES</v>
      </c>
      <c r="AA62" s="4">
        <f t="shared" si="5"/>
        <v>46062</v>
      </c>
      <c r="AC62" s="2"/>
    </row>
    <row r="63" spans="1:29" ht="15.5">
      <c r="A63" s="13">
        <f>IF(OR(ISBLANK(C63),ISBLANK(D63),ISBLANK(F63),ISBLANK(G63)),"",COUNTIF($B$5:B63,"JAMBUTU"))</f>
        <v>13</v>
      </c>
      <c r="B63" s="8" t="str">
        <f t="shared" si="9"/>
        <v>Jambutu</v>
      </c>
      <c r="C63" s="8" t="s">
        <v>3</v>
      </c>
      <c r="D63" s="8" t="s">
        <v>6</v>
      </c>
      <c r="E63" s="13">
        <v>3.3</v>
      </c>
      <c r="F63" s="12">
        <v>46062</v>
      </c>
      <c r="G63" s="11">
        <v>0.76180555555555551</v>
      </c>
      <c r="H63" s="12">
        <v>46062</v>
      </c>
      <c r="I63" s="11">
        <v>0.85416666666666663</v>
      </c>
      <c r="J63" s="10">
        <f t="shared" si="0"/>
        <v>46062.761805555558</v>
      </c>
      <c r="K63" s="10">
        <f t="shared" si="1"/>
        <v>46062.854166666664</v>
      </c>
      <c r="L63" s="9">
        <f t="shared" si="2"/>
        <v>9.2361111106583849E-2</v>
      </c>
      <c r="M63" s="8" t="s">
        <v>61</v>
      </c>
      <c r="N63" s="8" t="s">
        <v>53</v>
      </c>
      <c r="O63" s="8" t="s">
        <v>0</v>
      </c>
      <c r="P63" s="8"/>
      <c r="Q63" s="8"/>
      <c r="R63" s="8"/>
      <c r="S63" s="8"/>
      <c r="T63" s="8"/>
      <c r="U63" s="8"/>
      <c r="V63" s="7"/>
      <c r="W63" s="6" t="e">
        <f t="array" aca="1" ref="W63" ca="1">IF(NOT(ISBLANK(D63)),_xludf.XLOOKUP(D63,[2]CODE!$A$4:$A$100,[2]CODE!$D$4:$D$100),"")</f>
        <v>#NAME?</v>
      </c>
      <c r="X63" s="5" t="e">
        <f t="array" aca="1" ref="X63" ca="1">IF(NOT(AND(ISBLANK(D63),ISBLANK(C63))),_xludf.XLOOKUP(D63,[2]CODE!$A$4:$A$100,[2]CODE!$E$4:$E$100),"")</f>
        <v>#NAME?</v>
      </c>
      <c r="Y63" s="5" t="str">
        <f t="shared" si="3"/>
        <v>11kV</v>
      </c>
      <c r="Z63" s="5" t="str">
        <f t="shared" si="4"/>
        <v>YES</v>
      </c>
      <c r="AA63" s="4">
        <f t="shared" si="5"/>
        <v>46062</v>
      </c>
      <c r="AC63" s="2"/>
    </row>
    <row r="64" spans="1:29" ht="15.5">
      <c r="A64" s="13" t="str">
        <f>IF(OR(ISBLANK(C64),ISBLANK(D64),ISBLANK(F64),ISBLANK(G64)),"",COUNTIF($B$5:B64,"JAMBUTU"))</f>
        <v/>
      </c>
      <c r="B64" s="8"/>
      <c r="C64" s="8"/>
      <c r="D64" s="8"/>
      <c r="E64" s="13"/>
      <c r="F64" s="12"/>
      <c r="G64" s="11"/>
      <c r="H64" s="12"/>
      <c r="I64" s="11"/>
      <c r="J64" s="10">
        <f t="shared" si="0"/>
        <v>0</v>
      </c>
      <c r="K64" s="10">
        <f t="shared" si="1"/>
        <v>0</v>
      </c>
      <c r="L64" s="9" t="str">
        <f t="shared" si="2"/>
        <v/>
      </c>
      <c r="M64" s="8"/>
      <c r="N64" s="8"/>
      <c r="O64" s="8"/>
      <c r="P64" s="8"/>
      <c r="Q64" s="8"/>
      <c r="R64" s="8"/>
      <c r="S64" s="8"/>
      <c r="T64" s="8"/>
      <c r="U64" s="8"/>
      <c r="V64" s="7"/>
      <c r="W64" s="6" t="str">
        <f t="array" ref="W64">IF(NOT(ISBLANK(D64)),_xludf.XLOOKUP(D64,[2]CODE!$A$4:$A$100,[2]CODE!$D$4:$D$100),"")</f>
        <v/>
      </c>
      <c r="X64" s="5" t="str">
        <f t="array" ref="X64">IF(NOT(AND(ISBLANK(D64),ISBLANK(C64))),_xludf.XLOOKUP(D64,[2]CODE!$A$4:$A$100,[2]CODE!$E$4:$E$100),"")</f>
        <v/>
      </c>
      <c r="Y64" s="5" t="str">
        <f t="shared" si="3"/>
        <v/>
      </c>
      <c r="Z64" s="5" t="str">
        <f t="shared" si="4"/>
        <v/>
      </c>
      <c r="AA64" s="4">
        <f t="shared" si="5"/>
        <v>0</v>
      </c>
      <c r="AC64" s="2"/>
    </row>
    <row r="65" spans="1:29" ht="15.5">
      <c r="A65" s="13">
        <f>IF(OR(ISBLANK(C65),ISBLANK(D65),ISBLANK(F65),ISBLANK(G65)),"",COUNTIF($B$5:B65,"JAMBUTU"))</f>
        <v>14</v>
      </c>
      <c r="B65" s="8" t="str">
        <f>IF(C65&lt;&gt;"","Jambutu","")</f>
        <v>Jambutu</v>
      </c>
      <c r="C65" s="8" t="s">
        <v>4</v>
      </c>
      <c r="D65" s="8" t="s">
        <v>55</v>
      </c>
      <c r="E65" s="13">
        <v>3.85</v>
      </c>
      <c r="F65" s="12">
        <v>46062</v>
      </c>
      <c r="G65" s="11">
        <v>0.80763888888888891</v>
      </c>
      <c r="H65" s="12">
        <v>46062</v>
      </c>
      <c r="I65" s="11">
        <v>0.92361111111111116</v>
      </c>
      <c r="J65" s="10">
        <f t="shared" si="0"/>
        <v>46062.807638888888</v>
      </c>
      <c r="K65" s="10">
        <f t="shared" si="1"/>
        <v>46062.923611111109</v>
      </c>
      <c r="L65" s="9">
        <f t="shared" si="2"/>
        <v>0.11597222222189885</v>
      </c>
      <c r="M65" s="8" t="s">
        <v>60</v>
      </c>
      <c r="N65" s="8" t="s">
        <v>53</v>
      </c>
      <c r="O65" s="8" t="s">
        <v>0</v>
      </c>
      <c r="P65" s="8"/>
      <c r="Q65" s="8"/>
      <c r="R65" s="8"/>
      <c r="S65" s="8"/>
      <c r="T65" s="8"/>
      <c r="U65" s="8"/>
      <c r="V65" s="7"/>
      <c r="W65" s="6" t="e">
        <f t="array" aca="1" ref="W65" ca="1">IF(NOT(ISBLANK(D65)),_xludf.XLOOKUP(D65,[2]CODE!$A$4:$A$100,[2]CODE!$D$4:$D$100),"")</f>
        <v>#NAME?</v>
      </c>
      <c r="X65" s="5" t="e">
        <f t="array" aca="1" ref="X65" ca="1">IF(NOT(AND(ISBLANK(D65),ISBLANK(C65))),_xludf.XLOOKUP(D65,[2]CODE!$A$4:$A$100,[2]CODE!$E$4:$E$100),"")</f>
        <v>#NAME?</v>
      </c>
      <c r="Y65" s="5" t="str">
        <f t="shared" si="3"/>
        <v>33KV</v>
      </c>
      <c r="Z65" s="5" t="str">
        <f t="shared" si="4"/>
        <v>YES</v>
      </c>
      <c r="AA65" s="4">
        <f t="shared" si="5"/>
        <v>46062</v>
      </c>
      <c r="AC65" s="2"/>
    </row>
    <row r="66" spans="1:29" ht="15.5">
      <c r="A66" s="13" t="str">
        <f>IF(OR(ISBLANK(C66),ISBLANK(D66),ISBLANK(F66),ISBLANK(G66)),"",COUNTIF($B$5:B66,"JAMBUTU"))</f>
        <v/>
      </c>
      <c r="B66" s="8"/>
      <c r="C66" s="8"/>
      <c r="D66" s="8"/>
      <c r="E66" s="13"/>
      <c r="F66" s="12"/>
      <c r="G66" s="11"/>
      <c r="H66" s="12"/>
      <c r="I66" s="11"/>
      <c r="J66" s="10">
        <f t="shared" si="0"/>
        <v>0</v>
      </c>
      <c r="K66" s="10">
        <f t="shared" si="1"/>
        <v>0</v>
      </c>
      <c r="L66" s="9" t="str">
        <f t="shared" si="2"/>
        <v/>
      </c>
      <c r="M66" s="8"/>
      <c r="N66" s="8"/>
      <c r="O66" s="8"/>
      <c r="P66" s="8"/>
      <c r="Q66" s="8"/>
      <c r="R66" s="8"/>
      <c r="S66" s="8"/>
      <c r="T66" s="8"/>
      <c r="U66" s="8"/>
      <c r="V66" s="7"/>
      <c r="W66" s="6" t="str">
        <f t="array" ref="W66">IF(NOT(ISBLANK(D66)),_xludf.XLOOKUP(D66,[2]CODE!$A$4:$A$100,[2]CODE!$D$4:$D$100),"")</f>
        <v/>
      </c>
      <c r="X66" s="5" t="str">
        <f t="array" ref="X66">IF(NOT(AND(ISBLANK(D66),ISBLANK(C66))),_xludf.XLOOKUP(D66,[2]CODE!$A$4:$A$100,[2]CODE!$E$4:$E$100),"")</f>
        <v/>
      </c>
      <c r="Y66" s="5" t="str">
        <f t="shared" si="3"/>
        <v/>
      </c>
      <c r="Z66" s="5" t="str">
        <f t="shared" si="4"/>
        <v/>
      </c>
      <c r="AA66" s="4">
        <f t="shared" si="5"/>
        <v>0</v>
      </c>
      <c r="AC66" s="2"/>
    </row>
    <row r="67" spans="1:29" ht="15.5">
      <c r="A67" s="13" t="str">
        <f>IF(OR(ISBLANK(C67),ISBLANK(D67),ISBLANK(F67),ISBLANK(G67)),"",COUNTIF($B$5:B67,"JAMBUTU"))</f>
        <v/>
      </c>
      <c r="B67" s="8"/>
      <c r="C67" s="8"/>
      <c r="D67" s="8"/>
      <c r="E67" s="13"/>
      <c r="F67" s="12"/>
      <c r="G67" s="11"/>
      <c r="H67" s="12"/>
      <c r="I67" s="11"/>
      <c r="J67" s="10">
        <f t="shared" si="0"/>
        <v>0</v>
      </c>
      <c r="K67" s="10">
        <f t="shared" si="1"/>
        <v>0</v>
      </c>
      <c r="L67" s="9" t="str">
        <f t="shared" si="2"/>
        <v/>
      </c>
      <c r="M67" s="8"/>
      <c r="N67" s="8"/>
      <c r="O67" s="8"/>
      <c r="P67" s="8"/>
      <c r="Q67" s="8"/>
      <c r="R67" s="8"/>
      <c r="S67" s="8"/>
      <c r="T67" s="8"/>
      <c r="U67" s="8"/>
      <c r="V67" s="7"/>
      <c r="W67" s="6" t="str">
        <f t="array" ref="W67">IF(NOT(ISBLANK(D67)),_xludf.XLOOKUP(D67,[2]CODE!$A$4:$A$100,[2]CODE!$D$4:$D$100),"")</f>
        <v/>
      </c>
      <c r="X67" s="5" t="str">
        <f t="array" ref="X67">IF(NOT(AND(ISBLANK(D67),ISBLANK(C67))),_xludf.XLOOKUP(D67,[2]CODE!$A$4:$A$100,[2]CODE!$E$4:$E$100),"")</f>
        <v/>
      </c>
      <c r="Y67" s="5" t="str">
        <f t="shared" si="3"/>
        <v/>
      </c>
      <c r="Z67" s="5" t="str">
        <f t="shared" si="4"/>
        <v/>
      </c>
      <c r="AA67" s="4">
        <f t="shared" si="5"/>
        <v>0</v>
      </c>
      <c r="AC67" s="2"/>
    </row>
    <row r="68" spans="1:29" ht="15.5">
      <c r="A68" s="13" t="str">
        <f>IF(OR(ISBLANK(C68),ISBLANK(D68),ISBLANK(F68),ISBLANK(G68)),"",COUNTIF($B$5:B68,"JAMBUTU"))</f>
        <v/>
      </c>
      <c r="B68" s="8"/>
      <c r="C68" s="8"/>
      <c r="D68" s="8"/>
      <c r="E68" s="13"/>
      <c r="F68" s="12"/>
      <c r="G68" s="11"/>
      <c r="H68" s="12"/>
      <c r="I68" s="11"/>
      <c r="J68" s="10">
        <f t="shared" si="0"/>
        <v>0</v>
      </c>
      <c r="K68" s="10">
        <f t="shared" si="1"/>
        <v>0</v>
      </c>
      <c r="L68" s="9" t="str">
        <f t="shared" si="2"/>
        <v/>
      </c>
      <c r="M68" s="8"/>
      <c r="N68" s="8"/>
      <c r="O68" s="8"/>
      <c r="P68" s="8"/>
      <c r="Q68" s="8"/>
      <c r="R68" s="8"/>
      <c r="S68" s="8"/>
      <c r="T68" s="8"/>
      <c r="U68" s="8"/>
      <c r="V68" s="7"/>
      <c r="W68" s="6" t="str">
        <f t="array" ref="W68">IF(NOT(ISBLANK(D68)),_xludf.XLOOKUP(D68,[2]CODE!$A$4:$A$100,[2]CODE!$D$4:$D$100),"")</f>
        <v/>
      </c>
      <c r="X68" s="5" t="str">
        <f t="array" ref="X68">IF(NOT(AND(ISBLANK(D68),ISBLANK(C68))),_xludf.XLOOKUP(D68,[2]CODE!$A$4:$A$100,[2]CODE!$E$4:$E$100),"")</f>
        <v/>
      </c>
      <c r="Y68" s="5" t="str">
        <f t="shared" si="3"/>
        <v/>
      </c>
      <c r="Z68" s="5" t="str">
        <f t="shared" si="4"/>
        <v/>
      </c>
      <c r="AA68" s="4">
        <f t="shared" si="5"/>
        <v>0</v>
      </c>
      <c r="AC68" s="2"/>
    </row>
    <row r="69" spans="1:29" ht="15.5">
      <c r="A69" s="13" t="str">
        <f>IF(OR(ISBLANK(C69),ISBLANK(D69),ISBLANK(F69),ISBLANK(G69)),"",COUNTIF($B$5:B69,"JAMBUTU"))</f>
        <v/>
      </c>
      <c r="B69" s="8"/>
      <c r="C69" s="8"/>
      <c r="D69" s="8"/>
      <c r="E69" s="13"/>
      <c r="F69" s="12"/>
      <c r="G69" s="11"/>
      <c r="H69" s="12"/>
      <c r="I69" s="11"/>
      <c r="J69" s="10">
        <f t="shared" ref="J69:J132" si="10">DATE(YEAR(F69),MONTH(F69),DAY(F69))+TIME(HOUR(G69),MINUTE(G69), SECOND(G69))</f>
        <v>0</v>
      </c>
      <c r="K69" s="10">
        <f t="shared" ref="K69:K132" si="11">DATE(YEAR(H69),MONTH(H69),DAY(H69))+TIME(HOUR(I69),MINUTE(I69), SECOND(I69))</f>
        <v>0</v>
      </c>
      <c r="L69" s="9" t="str">
        <f t="shared" ref="L69:L132" si="12">IF(ISBLANK(I69),"",IF(J69&gt;K69,(K69+1)-J69,K69-J69))</f>
        <v/>
      </c>
      <c r="M69" s="8"/>
      <c r="N69" s="8"/>
      <c r="O69" s="8"/>
      <c r="P69" s="8"/>
      <c r="Q69" s="8"/>
      <c r="R69" s="8"/>
      <c r="S69" s="8"/>
      <c r="T69" s="8"/>
      <c r="U69" s="8"/>
      <c r="V69" s="7"/>
      <c r="W69" s="6" t="str">
        <f t="array" ref="W69">IF(NOT(ISBLANK(D69)),_xludf.XLOOKUP(D69,[2]CODE!$A$4:$A$100,[2]CODE!$D$4:$D$100),"")</f>
        <v/>
      </c>
      <c r="X69" s="5" t="str">
        <f t="array" ref="X69">IF(NOT(AND(ISBLANK(D69),ISBLANK(C69))),_xludf.XLOOKUP(D69,[2]CODE!$A$4:$A$100,[2]CODE!$E$4:$E$100),"")</f>
        <v/>
      </c>
      <c r="Y69" s="5" t="str">
        <f t="shared" ref="Y69:Y132" si="13">LEFT(C69,4)</f>
        <v/>
      </c>
      <c r="Z69" s="5" t="str">
        <f t="shared" ref="Z69:Z132" si="14">IF(NOT(ISBLANK(C69)), IF(K69&gt;J69,"YES","NO"),"")</f>
        <v/>
      </c>
      <c r="AA69" s="4">
        <f t="shared" ref="AA69:AA132" si="15">IF(AND(F69=H69,Z69="NO"),1+H69,H69)</f>
        <v>0</v>
      </c>
      <c r="AC69" s="2"/>
    </row>
    <row r="70" spans="1:29" ht="15.5">
      <c r="A70" s="13" t="str">
        <f>IF(OR(ISBLANK(C70),ISBLANK(D70),ISBLANK(F70),ISBLANK(G70)),"",COUNTIF($B$5:B70,"JAMBUTU"))</f>
        <v/>
      </c>
      <c r="B70" s="8"/>
      <c r="C70" s="8"/>
      <c r="D70" s="8"/>
      <c r="E70" s="13"/>
      <c r="F70" s="12"/>
      <c r="G70" s="11"/>
      <c r="H70" s="12"/>
      <c r="I70" s="11"/>
      <c r="J70" s="10">
        <f t="shared" si="10"/>
        <v>0</v>
      </c>
      <c r="K70" s="10">
        <f t="shared" si="11"/>
        <v>0</v>
      </c>
      <c r="L70" s="9" t="str">
        <f t="shared" si="12"/>
        <v/>
      </c>
      <c r="M70" s="8"/>
      <c r="N70" s="8"/>
      <c r="O70" s="8"/>
      <c r="P70" s="8"/>
      <c r="Q70" s="8"/>
      <c r="R70" s="8"/>
      <c r="S70" s="8"/>
      <c r="T70" s="8"/>
      <c r="U70" s="8"/>
      <c r="V70" s="7"/>
      <c r="W70" s="6" t="str">
        <f t="array" ref="W70">IF(NOT(ISBLANK(D70)),_xludf.XLOOKUP(D70,[2]CODE!$A$4:$A$100,[2]CODE!$D$4:$D$100),"")</f>
        <v/>
      </c>
      <c r="X70" s="5" t="str">
        <f t="array" ref="X70">IF(NOT(AND(ISBLANK(D70),ISBLANK(C70))),_xludf.XLOOKUP(D70,[2]CODE!$A$4:$A$100,[2]CODE!$E$4:$E$100),"")</f>
        <v/>
      </c>
      <c r="Y70" s="5" t="str">
        <f t="shared" si="13"/>
        <v/>
      </c>
      <c r="Z70" s="5" t="str">
        <f t="shared" si="14"/>
        <v/>
      </c>
      <c r="AA70" s="4">
        <f t="shared" si="15"/>
        <v>0</v>
      </c>
      <c r="AC70" s="2"/>
    </row>
    <row r="71" spans="1:29" ht="15.5">
      <c r="A71" s="13" t="str">
        <f>IF(OR(ISBLANK(C71),ISBLANK(D71),ISBLANK(F71),ISBLANK(G71)),"",COUNTIF($B$5:B71,"JAMBUTU"))</f>
        <v/>
      </c>
      <c r="B71" s="8"/>
      <c r="C71" s="8"/>
      <c r="D71" s="8"/>
      <c r="E71" s="13"/>
      <c r="F71" s="12"/>
      <c r="G71" s="11"/>
      <c r="H71" s="12"/>
      <c r="I71" s="11"/>
      <c r="J71" s="10">
        <f t="shared" si="10"/>
        <v>0</v>
      </c>
      <c r="K71" s="10">
        <f t="shared" si="11"/>
        <v>0</v>
      </c>
      <c r="L71" s="9" t="str">
        <f t="shared" si="12"/>
        <v/>
      </c>
      <c r="M71" s="8"/>
      <c r="N71" s="8"/>
      <c r="O71" s="8"/>
      <c r="P71" s="8"/>
      <c r="Q71" s="8"/>
      <c r="R71" s="8"/>
      <c r="S71" s="8"/>
      <c r="T71" s="8"/>
      <c r="U71" s="8"/>
      <c r="V71" s="7"/>
      <c r="W71" s="6" t="str">
        <f t="array" ref="W71">IF(NOT(ISBLANK(D71)),_xludf.XLOOKUP(D71,[2]CODE!$A$4:$A$100,[2]CODE!$D$4:$D$100),"")</f>
        <v/>
      </c>
      <c r="X71" s="5" t="str">
        <f t="array" ref="X71">IF(NOT(AND(ISBLANK(D71),ISBLANK(C71))),_xludf.XLOOKUP(D71,[2]CODE!$A$4:$A$100,[2]CODE!$E$4:$E$100),"")</f>
        <v/>
      </c>
      <c r="Y71" s="5" t="str">
        <f t="shared" si="13"/>
        <v/>
      </c>
      <c r="Z71" s="5" t="str">
        <f t="shared" si="14"/>
        <v/>
      </c>
      <c r="AA71" s="4">
        <f t="shared" si="15"/>
        <v>0</v>
      </c>
      <c r="AC71" s="2"/>
    </row>
    <row r="72" spans="1:29" ht="15.5">
      <c r="A72" s="13" t="str">
        <f>IF(OR(ISBLANK(C72),ISBLANK(D72),ISBLANK(F72),ISBLANK(G72)),"",COUNTIF($B$5:B72,"JAMBUTU"))</f>
        <v/>
      </c>
      <c r="B72" s="8"/>
      <c r="C72" s="8"/>
      <c r="D72" s="8"/>
      <c r="E72" s="13"/>
      <c r="F72" s="12"/>
      <c r="G72" s="11"/>
      <c r="H72" s="12"/>
      <c r="I72" s="11"/>
      <c r="J72" s="10">
        <f t="shared" si="10"/>
        <v>0</v>
      </c>
      <c r="K72" s="10">
        <f t="shared" si="11"/>
        <v>0</v>
      </c>
      <c r="L72" s="9" t="str">
        <f t="shared" si="12"/>
        <v/>
      </c>
      <c r="M72" s="8"/>
      <c r="N72" s="8"/>
      <c r="O72" s="8"/>
      <c r="P72" s="8"/>
      <c r="Q72" s="8"/>
      <c r="R72" s="8"/>
      <c r="S72" s="8"/>
      <c r="T72" s="8"/>
      <c r="U72" s="8"/>
      <c r="V72" s="7"/>
      <c r="W72" s="6" t="str">
        <f t="array" ref="W72">IF(NOT(ISBLANK(D72)),_xludf.XLOOKUP(D72,[2]CODE!$A$4:$A$100,[2]CODE!$D$4:$D$100),"")</f>
        <v/>
      </c>
      <c r="X72" s="5" t="str">
        <f t="array" ref="X72">IF(NOT(AND(ISBLANK(D72),ISBLANK(C72))),_xludf.XLOOKUP(D72,[2]CODE!$A$4:$A$100,[2]CODE!$E$4:$E$100),"")</f>
        <v/>
      </c>
      <c r="Y72" s="5" t="str">
        <f t="shared" si="13"/>
        <v/>
      </c>
      <c r="Z72" s="5" t="str">
        <f t="shared" si="14"/>
        <v/>
      </c>
      <c r="AA72" s="4">
        <f t="shared" si="15"/>
        <v>0</v>
      </c>
      <c r="AC72" s="2"/>
    </row>
    <row r="73" spans="1:29" ht="15.5">
      <c r="A73" s="13" t="str">
        <f>IF(OR(ISBLANK(C73),ISBLANK(D73),ISBLANK(F73),ISBLANK(G73)),"",COUNTIF($B$5:B73,"JAMBUTU"))</f>
        <v/>
      </c>
      <c r="B73" s="8"/>
      <c r="C73" s="8"/>
      <c r="D73" s="8"/>
      <c r="E73" s="13"/>
      <c r="F73" s="12"/>
      <c r="G73" s="11"/>
      <c r="H73" s="12"/>
      <c r="I73" s="11"/>
      <c r="J73" s="10">
        <f t="shared" si="10"/>
        <v>0</v>
      </c>
      <c r="K73" s="10">
        <f t="shared" si="11"/>
        <v>0</v>
      </c>
      <c r="L73" s="9" t="str">
        <f t="shared" si="12"/>
        <v/>
      </c>
      <c r="M73" s="8"/>
      <c r="N73" s="8"/>
      <c r="O73" s="8"/>
      <c r="P73" s="8"/>
      <c r="Q73" s="8"/>
      <c r="R73" s="8"/>
      <c r="S73" s="8"/>
      <c r="T73" s="8"/>
      <c r="U73" s="8"/>
      <c r="V73" s="7"/>
      <c r="W73" s="6" t="str">
        <f t="array" ref="W73">IF(NOT(ISBLANK(D73)),_xludf.XLOOKUP(D73,[2]CODE!$A$4:$A$100,[2]CODE!$D$4:$D$100),"")</f>
        <v/>
      </c>
      <c r="X73" s="5" t="str">
        <f t="array" ref="X73">IF(NOT(AND(ISBLANK(D73),ISBLANK(C73))),_xludf.XLOOKUP(D73,[2]CODE!$A$4:$A$100,[2]CODE!$E$4:$E$100),"")</f>
        <v/>
      </c>
      <c r="Y73" s="5" t="str">
        <f t="shared" si="13"/>
        <v/>
      </c>
      <c r="Z73" s="5" t="str">
        <f t="shared" si="14"/>
        <v/>
      </c>
      <c r="AA73" s="4">
        <f t="shared" si="15"/>
        <v>0</v>
      </c>
      <c r="AC73" s="2"/>
    </row>
    <row r="74" spans="1:29" ht="15.5">
      <c r="A74" s="13" t="str">
        <f>IF(OR(ISBLANK(C74),ISBLANK(D74),ISBLANK(F74),ISBLANK(G74)),"",COUNTIF($B$5:B74,"JAMBUTU"))</f>
        <v/>
      </c>
      <c r="B74" s="8"/>
      <c r="C74" s="8"/>
      <c r="D74" s="8"/>
      <c r="E74" s="13"/>
      <c r="F74" s="12"/>
      <c r="G74" s="11"/>
      <c r="H74" s="12"/>
      <c r="I74" s="11"/>
      <c r="J74" s="10">
        <f t="shared" si="10"/>
        <v>0</v>
      </c>
      <c r="K74" s="10">
        <f t="shared" si="11"/>
        <v>0</v>
      </c>
      <c r="L74" s="9" t="str">
        <f t="shared" si="12"/>
        <v/>
      </c>
      <c r="M74" s="8"/>
      <c r="N74" s="8"/>
      <c r="O74" s="8"/>
      <c r="P74" s="8"/>
      <c r="Q74" s="8"/>
      <c r="R74" s="8"/>
      <c r="S74" s="8"/>
      <c r="T74" s="8"/>
      <c r="U74" s="8"/>
      <c r="V74" s="7"/>
      <c r="W74" s="6" t="str">
        <f t="array" ref="W74">IF(NOT(ISBLANK(D74)),_xludf.XLOOKUP(D74,[2]CODE!$A$4:$A$100,[2]CODE!$D$4:$D$100),"")</f>
        <v/>
      </c>
      <c r="X74" s="5" t="str">
        <f t="array" ref="X74">IF(NOT(AND(ISBLANK(D74),ISBLANK(C74))),_xludf.XLOOKUP(D74,[2]CODE!$A$4:$A$100,[2]CODE!$E$4:$E$100),"")</f>
        <v/>
      </c>
      <c r="Y74" s="5" t="str">
        <f t="shared" si="13"/>
        <v/>
      </c>
      <c r="Z74" s="5" t="str">
        <f t="shared" si="14"/>
        <v/>
      </c>
      <c r="AA74" s="4">
        <f t="shared" si="15"/>
        <v>0</v>
      </c>
      <c r="AC74" s="2"/>
    </row>
    <row r="75" spans="1:29" ht="15.5">
      <c r="A75" s="13" t="str">
        <f>IF(OR(ISBLANK(C75),ISBLANK(D75),ISBLANK(F75),ISBLANK(G75)),"",COUNTIF($B$5:B75,"JAMBUTU"))</f>
        <v/>
      </c>
      <c r="B75" s="8"/>
      <c r="C75" s="8"/>
      <c r="D75" s="8"/>
      <c r="E75" s="13"/>
      <c r="F75" s="12"/>
      <c r="G75" s="11"/>
      <c r="H75" s="12"/>
      <c r="I75" s="11"/>
      <c r="J75" s="10">
        <f t="shared" si="10"/>
        <v>0</v>
      </c>
      <c r="K75" s="10">
        <f t="shared" si="11"/>
        <v>0</v>
      </c>
      <c r="L75" s="9" t="str">
        <f t="shared" si="12"/>
        <v/>
      </c>
      <c r="M75" s="8"/>
      <c r="N75" s="8"/>
      <c r="O75" s="8"/>
      <c r="P75" s="8"/>
      <c r="Q75" s="8"/>
      <c r="R75" s="8"/>
      <c r="S75" s="8"/>
      <c r="T75" s="8"/>
      <c r="U75" s="8"/>
      <c r="V75" s="7"/>
      <c r="W75" s="6" t="str">
        <f t="array" ref="W75">IF(NOT(ISBLANK(D75)),_xludf.XLOOKUP(D75,[2]CODE!$A$4:$A$100,[2]CODE!$D$4:$D$100),"")</f>
        <v/>
      </c>
      <c r="X75" s="5" t="str">
        <f t="array" ref="X75">IF(NOT(AND(ISBLANK(D75),ISBLANK(C75))),_xludf.XLOOKUP(D75,[2]CODE!$A$4:$A$100,[2]CODE!$E$4:$E$100),"")</f>
        <v/>
      </c>
      <c r="Y75" s="5" t="str">
        <f t="shared" si="13"/>
        <v/>
      </c>
      <c r="Z75" s="5" t="str">
        <f t="shared" si="14"/>
        <v/>
      </c>
      <c r="AA75" s="4">
        <f t="shared" si="15"/>
        <v>0</v>
      </c>
      <c r="AC75" s="2"/>
    </row>
    <row r="76" spans="1:29" ht="15.5">
      <c r="A76" s="13" t="str">
        <f>IF(OR(ISBLANK(C76),ISBLANK(D76),ISBLANK(F76),ISBLANK(G76)),"",COUNTIF($B$5:B76,"JAMBUTU"))</f>
        <v/>
      </c>
      <c r="B76" s="8"/>
      <c r="C76" s="8"/>
      <c r="D76" s="8"/>
      <c r="E76" s="13"/>
      <c r="F76" s="12"/>
      <c r="G76" s="11"/>
      <c r="H76" s="12"/>
      <c r="I76" s="11"/>
      <c r="J76" s="10">
        <f t="shared" si="10"/>
        <v>0</v>
      </c>
      <c r="K76" s="10">
        <f t="shared" si="11"/>
        <v>0</v>
      </c>
      <c r="L76" s="9" t="str">
        <f t="shared" si="12"/>
        <v/>
      </c>
      <c r="M76" s="8"/>
      <c r="N76" s="8"/>
      <c r="O76" s="8"/>
      <c r="P76" s="8"/>
      <c r="Q76" s="8"/>
      <c r="R76" s="8"/>
      <c r="S76" s="8"/>
      <c r="T76" s="8"/>
      <c r="U76" s="8"/>
      <c r="V76" s="7"/>
      <c r="W76" s="6" t="str">
        <f t="array" ref="W76">IF(NOT(ISBLANK(D76)),_xludf.XLOOKUP(D76,[2]CODE!$A$4:$A$100,[2]CODE!$D$4:$D$100),"")</f>
        <v/>
      </c>
      <c r="X76" s="5" t="str">
        <f t="array" ref="X76">IF(NOT(AND(ISBLANK(D76),ISBLANK(C76))),_xludf.XLOOKUP(D76,[2]CODE!$A$4:$A$100,[2]CODE!$E$4:$E$100),"")</f>
        <v/>
      </c>
      <c r="Y76" s="5" t="str">
        <f t="shared" si="13"/>
        <v/>
      </c>
      <c r="Z76" s="5" t="str">
        <f t="shared" si="14"/>
        <v/>
      </c>
      <c r="AA76" s="4">
        <f t="shared" si="15"/>
        <v>0</v>
      </c>
      <c r="AC76" s="2"/>
    </row>
    <row r="77" spans="1:29" ht="15.5">
      <c r="A77" s="13" t="str">
        <f>IF(OR(ISBLANK(C77),ISBLANK(D77),ISBLANK(F77),ISBLANK(G77)),"",COUNTIF($B$5:B77,"JAMBUTU"))</f>
        <v/>
      </c>
      <c r="B77" s="8"/>
      <c r="C77" s="8"/>
      <c r="D77" s="8"/>
      <c r="E77" s="13"/>
      <c r="F77" s="12"/>
      <c r="G77" s="11"/>
      <c r="H77" s="12"/>
      <c r="I77" s="11"/>
      <c r="J77" s="10">
        <f t="shared" si="10"/>
        <v>0</v>
      </c>
      <c r="K77" s="10">
        <f t="shared" si="11"/>
        <v>0</v>
      </c>
      <c r="L77" s="9" t="str">
        <f t="shared" si="12"/>
        <v/>
      </c>
      <c r="M77" s="8"/>
      <c r="N77" s="8"/>
      <c r="O77" s="8"/>
      <c r="P77" s="8"/>
      <c r="Q77" s="8"/>
      <c r="R77" s="8"/>
      <c r="S77" s="8"/>
      <c r="T77" s="8"/>
      <c r="U77" s="8"/>
      <c r="V77" s="7"/>
      <c r="W77" s="6" t="str">
        <f t="array" ref="W77">IF(NOT(ISBLANK(D77)),_xludf.XLOOKUP(D77,[2]CODE!$A$4:$A$100,[2]CODE!$D$4:$D$100),"")</f>
        <v/>
      </c>
      <c r="X77" s="5" t="str">
        <f t="array" ref="X77">IF(NOT(AND(ISBLANK(D77),ISBLANK(C77))),_xludf.XLOOKUP(D77,[2]CODE!$A$4:$A$100,[2]CODE!$E$4:$E$100),"")</f>
        <v/>
      </c>
      <c r="Y77" s="5" t="str">
        <f t="shared" si="13"/>
        <v/>
      </c>
      <c r="Z77" s="5" t="str">
        <f t="shared" si="14"/>
        <v/>
      </c>
      <c r="AA77" s="4">
        <f t="shared" si="15"/>
        <v>0</v>
      </c>
      <c r="AC77" s="2"/>
    </row>
    <row r="78" spans="1:29" ht="15.5">
      <c r="A78" s="13" t="str">
        <f>IF(OR(ISBLANK(C78),ISBLANK(D78),ISBLANK(F78),ISBLANK(G78)),"",COUNTIF($B$5:B78,"JAMBUTU"))</f>
        <v/>
      </c>
      <c r="B78" s="8"/>
      <c r="C78" s="8"/>
      <c r="D78" s="8"/>
      <c r="E78" s="13"/>
      <c r="F78" s="12"/>
      <c r="G78" s="11"/>
      <c r="H78" s="12"/>
      <c r="I78" s="11"/>
      <c r="J78" s="10">
        <f t="shared" si="10"/>
        <v>0</v>
      </c>
      <c r="K78" s="10">
        <f t="shared" si="11"/>
        <v>0</v>
      </c>
      <c r="L78" s="9" t="str">
        <f t="shared" si="12"/>
        <v/>
      </c>
      <c r="M78" s="8"/>
      <c r="N78" s="8"/>
      <c r="O78" s="8"/>
      <c r="P78" s="8"/>
      <c r="Q78" s="8"/>
      <c r="R78" s="8"/>
      <c r="S78" s="8"/>
      <c r="T78" s="8"/>
      <c r="U78" s="8"/>
      <c r="V78" s="7"/>
      <c r="W78" s="6" t="str">
        <f t="array" ref="W78">IF(NOT(ISBLANK(D78)),_xludf.XLOOKUP(D78,[2]CODE!$A$4:$A$100,[2]CODE!$D$4:$D$100),"")</f>
        <v/>
      </c>
      <c r="X78" s="5" t="str">
        <f t="array" ref="X78">IF(NOT(AND(ISBLANK(D78),ISBLANK(C78))),_xludf.XLOOKUP(D78,[2]CODE!$A$4:$A$100,[2]CODE!$E$4:$E$100),"")</f>
        <v/>
      </c>
      <c r="Y78" s="5" t="str">
        <f t="shared" si="13"/>
        <v/>
      </c>
      <c r="Z78" s="5" t="str">
        <f t="shared" si="14"/>
        <v/>
      </c>
      <c r="AA78" s="4">
        <f t="shared" si="15"/>
        <v>0</v>
      </c>
      <c r="AC78" s="2"/>
    </row>
    <row r="79" spans="1:29" ht="15.5">
      <c r="A79" s="13" t="str">
        <f>IF(OR(ISBLANK(C79),ISBLANK(D79),ISBLANK(F79),ISBLANK(G79)),"",COUNTIF($B$5:B79,"JAMBUTU"))</f>
        <v/>
      </c>
      <c r="B79" s="8"/>
      <c r="C79" s="21"/>
      <c r="D79" s="8"/>
      <c r="E79" s="13"/>
      <c r="F79" s="12"/>
      <c r="G79" s="11"/>
      <c r="H79" s="12"/>
      <c r="I79" s="11"/>
      <c r="J79" s="10">
        <f t="shared" si="10"/>
        <v>0</v>
      </c>
      <c r="K79" s="10">
        <f t="shared" si="11"/>
        <v>0</v>
      </c>
      <c r="L79" s="9" t="str">
        <f t="shared" si="12"/>
        <v/>
      </c>
      <c r="M79" s="8"/>
      <c r="N79" s="8"/>
      <c r="O79" s="8"/>
      <c r="P79" s="8"/>
      <c r="Q79" s="8"/>
      <c r="R79" s="8"/>
      <c r="S79" s="8"/>
      <c r="T79" s="8"/>
      <c r="U79" s="8"/>
      <c r="V79" s="7"/>
      <c r="W79" s="6" t="str">
        <f t="array" ref="W79">IF(NOT(ISBLANK(D79)),_xludf.XLOOKUP(D79,[2]CODE!$A$4:$A$100,[2]CODE!$D$4:$D$100),"")</f>
        <v/>
      </c>
      <c r="X79" s="5" t="str">
        <f t="array" ref="X79">IF(NOT(AND(ISBLANK(D79),ISBLANK(C79))),_xludf.XLOOKUP(D79,[2]CODE!$A$4:$A$100,[2]CODE!$E$4:$E$100),"")</f>
        <v/>
      </c>
      <c r="Y79" s="5" t="str">
        <f t="shared" si="13"/>
        <v/>
      </c>
      <c r="Z79" s="5" t="str">
        <f t="shared" si="14"/>
        <v/>
      </c>
      <c r="AA79" s="4">
        <f t="shared" si="15"/>
        <v>0</v>
      </c>
      <c r="AC79" s="2"/>
    </row>
    <row r="80" spans="1:29" ht="15.5">
      <c r="A80" s="13" t="str">
        <f>IF(OR(ISBLANK(C80),ISBLANK(D80),ISBLANK(F80),ISBLANK(G80)),"",COUNTIF($B$5:B80,"JAMBUTU"))</f>
        <v/>
      </c>
      <c r="B80" s="8"/>
      <c r="C80" s="8"/>
      <c r="D80" s="8"/>
      <c r="E80" s="13"/>
      <c r="F80" s="12"/>
      <c r="G80" s="11"/>
      <c r="H80" s="12"/>
      <c r="I80" s="11"/>
      <c r="J80" s="10">
        <f t="shared" si="10"/>
        <v>0</v>
      </c>
      <c r="K80" s="10">
        <f t="shared" si="11"/>
        <v>0</v>
      </c>
      <c r="L80" s="9" t="str">
        <f t="shared" si="12"/>
        <v/>
      </c>
      <c r="M80" s="8"/>
      <c r="N80" s="8"/>
      <c r="O80" s="8"/>
      <c r="P80" s="8"/>
      <c r="Q80" s="8"/>
      <c r="R80" s="8"/>
      <c r="S80" s="8"/>
      <c r="T80" s="8"/>
      <c r="U80" s="8"/>
      <c r="V80" s="7"/>
      <c r="W80" s="6" t="str">
        <f t="array" ref="W80">IF(NOT(ISBLANK(D80)),_xludf.XLOOKUP(D80,[2]CODE!$A$4:$A$100,[2]CODE!$D$4:$D$100),"")</f>
        <v/>
      </c>
      <c r="X80" s="5" t="str">
        <f t="array" ref="X80">IF(NOT(AND(ISBLANK(D80),ISBLANK(C80))),_xludf.XLOOKUP(D80,[2]CODE!$A$4:$A$100,[2]CODE!$E$4:$E$100),"")</f>
        <v/>
      </c>
      <c r="Y80" s="5" t="str">
        <f t="shared" si="13"/>
        <v/>
      </c>
      <c r="Z80" s="5" t="str">
        <f t="shared" si="14"/>
        <v/>
      </c>
      <c r="AA80" s="4">
        <f t="shared" si="15"/>
        <v>0</v>
      </c>
      <c r="AC80" s="2"/>
    </row>
    <row r="81" spans="1:29" ht="15.5">
      <c r="A81" s="13" t="str">
        <f>IF(OR(ISBLANK(C81),ISBLANK(D81),ISBLANK(F81),ISBLANK(G81)),"",COUNTIF($B$5:B81,"JAMBUTU"))</f>
        <v/>
      </c>
      <c r="B81" s="8"/>
      <c r="C81" s="8"/>
      <c r="D81" s="8"/>
      <c r="E81" s="13"/>
      <c r="F81" s="12"/>
      <c r="G81" s="11"/>
      <c r="H81" s="12"/>
      <c r="I81" s="11"/>
      <c r="J81" s="10">
        <f t="shared" si="10"/>
        <v>0</v>
      </c>
      <c r="K81" s="10">
        <f t="shared" si="11"/>
        <v>0</v>
      </c>
      <c r="L81" s="9" t="str">
        <f t="shared" si="12"/>
        <v/>
      </c>
      <c r="M81" s="8"/>
      <c r="N81" s="8"/>
      <c r="O81" s="8"/>
      <c r="P81" s="8"/>
      <c r="Q81" s="8"/>
      <c r="R81" s="8"/>
      <c r="S81" s="8"/>
      <c r="T81" s="8"/>
      <c r="U81" s="8"/>
      <c r="V81" s="7"/>
      <c r="W81" s="6" t="str">
        <f t="array" ref="W81">IF(NOT(ISBLANK(D81)),_xludf.XLOOKUP(D81,[2]CODE!$A$4:$A$100,[2]CODE!$D$4:$D$100),"")</f>
        <v/>
      </c>
      <c r="X81" s="5" t="str">
        <f t="array" ref="X81">IF(NOT(AND(ISBLANK(D81),ISBLANK(C81))),_xludf.XLOOKUP(D81,[2]CODE!$A$4:$A$100,[2]CODE!$E$4:$E$100),"")</f>
        <v/>
      </c>
      <c r="Y81" s="5" t="str">
        <f t="shared" si="13"/>
        <v/>
      </c>
      <c r="Z81" s="5" t="str">
        <f t="shared" si="14"/>
        <v/>
      </c>
      <c r="AA81" s="4">
        <f t="shared" si="15"/>
        <v>0</v>
      </c>
      <c r="AC81" s="2"/>
    </row>
    <row r="82" spans="1:29" ht="15.5">
      <c r="A82" s="13" t="str">
        <f>IF(OR(ISBLANK(C82),ISBLANK(D82),ISBLANK(F82),ISBLANK(G82)),"",COUNTIF($B$5:B82,"JAMBUTU"))</f>
        <v/>
      </c>
      <c r="B82" s="8"/>
      <c r="C82" s="8"/>
      <c r="D82" s="8"/>
      <c r="E82" s="13"/>
      <c r="F82" s="12"/>
      <c r="G82" s="11"/>
      <c r="H82" s="12"/>
      <c r="I82" s="11"/>
      <c r="J82" s="10">
        <f t="shared" si="10"/>
        <v>0</v>
      </c>
      <c r="K82" s="10">
        <f t="shared" si="11"/>
        <v>0</v>
      </c>
      <c r="L82" s="9" t="str">
        <f t="shared" si="12"/>
        <v/>
      </c>
      <c r="M82" s="8"/>
      <c r="N82" s="8"/>
      <c r="O82" s="8"/>
      <c r="P82" s="8"/>
      <c r="Q82" s="8"/>
      <c r="R82" s="8"/>
      <c r="S82" s="8"/>
      <c r="T82" s="8"/>
      <c r="U82" s="8"/>
      <c r="V82" s="7"/>
      <c r="W82" s="6" t="str">
        <f t="array" ref="W82">IF(NOT(ISBLANK(D82)),_xludf.XLOOKUP(D82,[2]CODE!$A$4:$A$100,[2]CODE!$D$4:$D$100),"")</f>
        <v/>
      </c>
      <c r="X82" s="5" t="str">
        <f t="array" ref="X82">IF(NOT(AND(ISBLANK(D82),ISBLANK(C82))),_xludf.XLOOKUP(D82,[2]CODE!$A$4:$A$100,[2]CODE!$E$4:$E$100),"")</f>
        <v/>
      </c>
      <c r="Y82" s="5" t="str">
        <f t="shared" si="13"/>
        <v/>
      </c>
      <c r="Z82" s="5" t="str">
        <f t="shared" si="14"/>
        <v/>
      </c>
      <c r="AA82" s="4">
        <f t="shared" si="15"/>
        <v>0</v>
      </c>
      <c r="AC82" s="2"/>
    </row>
    <row r="83" spans="1:29" ht="15.5">
      <c r="A83" s="13" t="str">
        <f>IF(OR(ISBLANK(C83),ISBLANK(D83),ISBLANK(F83),ISBLANK(G83)),"",COUNTIF($B$5:B83,"JAMBUTU"))</f>
        <v/>
      </c>
      <c r="B83" s="8"/>
      <c r="C83" s="8"/>
      <c r="D83" s="8"/>
      <c r="E83" s="13"/>
      <c r="F83" s="12"/>
      <c r="G83" s="11"/>
      <c r="H83" s="12"/>
      <c r="I83" s="11"/>
      <c r="J83" s="10">
        <f t="shared" si="10"/>
        <v>0</v>
      </c>
      <c r="K83" s="10">
        <f t="shared" si="11"/>
        <v>0</v>
      </c>
      <c r="L83" s="9" t="str">
        <f t="shared" si="12"/>
        <v/>
      </c>
      <c r="M83" s="8"/>
      <c r="N83" s="8"/>
      <c r="O83" s="8"/>
      <c r="P83" s="8"/>
      <c r="Q83" s="8"/>
      <c r="R83" s="8"/>
      <c r="S83" s="8"/>
      <c r="T83" s="8"/>
      <c r="U83" s="8"/>
      <c r="V83" s="7"/>
      <c r="W83" s="6" t="str">
        <f t="array" ref="W83">IF(NOT(ISBLANK(D83)),_xludf.XLOOKUP(D83,[2]CODE!$A$4:$A$100,[2]CODE!$D$4:$D$100),"")</f>
        <v/>
      </c>
      <c r="X83" s="5" t="str">
        <f t="array" ref="X83">IF(NOT(AND(ISBLANK(D83),ISBLANK(C83))),_xludf.XLOOKUP(D83,[2]CODE!$A$4:$A$100,[2]CODE!$E$4:$E$100),"")</f>
        <v/>
      </c>
      <c r="Y83" s="5" t="str">
        <f t="shared" si="13"/>
        <v/>
      </c>
      <c r="Z83" s="5" t="str">
        <f t="shared" si="14"/>
        <v/>
      </c>
      <c r="AA83" s="4">
        <f t="shared" si="15"/>
        <v>0</v>
      </c>
      <c r="AC83" s="2"/>
    </row>
    <row r="84" spans="1:29" ht="15.5">
      <c r="A84" s="13" t="str">
        <f>IF(OR(ISBLANK(C84),ISBLANK(D84),ISBLANK(F84),ISBLANK(G84)),"",COUNTIF($B$5:B84,"JAMBUTU"))</f>
        <v/>
      </c>
      <c r="B84" s="8"/>
      <c r="C84" s="8"/>
      <c r="D84" s="8"/>
      <c r="E84" s="13"/>
      <c r="F84" s="12"/>
      <c r="G84" s="11"/>
      <c r="H84" s="12"/>
      <c r="I84" s="11"/>
      <c r="J84" s="10">
        <f t="shared" si="10"/>
        <v>0</v>
      </c>
      <c r="K84" s="10">
        <f t="shared" si="11"/>
        <v>0</v>
      </c>
      <c r="L84" s="9" t="str">
        <f t="shared" si="12"/>
        <v/>
      </c>
      <c r="M84" s="8"/>
      <c r="N84" s="8"/>
      <c r="O84" s="8"/>
      <c r="P84" s="8"/>
      <c r="Q84" s="8"/>
      <c r="R84" s="8"/>
      <c r="S84" s="8"/>
      <c r="T84" s="8"/>
      <c r="U84" s="8"/>
      <c r="V84" s="7"/>
      <c r="W84" s="6" t="str">
        <f t="array" ref="W84">IF(NOT(ISBLANK(D84)),_xludf.XLOOKUP(D84,[2]CODE!$A$4:$A$100,[2]CODE!$D$4:$D$100),"")</f>
        <v/>
      </c>
      <c r="X84" s="5" t="str">
        <f t="array" ref="X84">IF(NOT(AND(ISBLANK(D84),ISBLANK(C84))),_xludf.XLOOKUP(D84,[2]CODE!$A$4:$A$100,[2]CODE!$E$4:$E$100),"")</f>
        <v/>
      </c>
      <c r="Y84" s="5" t="str">
        <f t="shared" si="13"/>
        <v/>
      </c>
      <c r="Z84" s="5" t="str">
        <f t="shared" si="14"/>
        <v/>
      </c>
      <c r="AA84" s="4">
        <f t="shared" si="15"/>
        <v>0</v>
      </c>
      <c r="AC84" s="2"/>
    </row>
    <row r="85" spans="1:29" ht="15.5">
      <c r="A85" s="13" t="str">
        <f>IF(OR(ISBLANK(C85),ISBLANK(D85),ISBLANK(F85),ISBLANK(G85)),"",COUNTIF($B$5:B85,"JAMBUTU"))</f>
        <v/>
      </c>
      <c r="B85" s="8"/>
      <c r="C85" s="8"/>
      <c r="D85" s="8"/>
      <c r="E85" s="13"/>
      <c r="F85" s="12"/>
      <c r="G85" s="11"/>
      <c r="H85" s="12"/>
      <c r="I85" s="11"/>
      <c r="J85" s="10">
        <f t="shared" si="10"/>
        <v>0</v>
      </c>
      <c r="K85" s="10">
        <f t="shared" si="11"/>
        <v>0</v>
      </c>
      <c r="L85" s="9" t="str">
        <f t="shared" si="12"/>
        <v/>
      </c>
      <c r="M85" s="8"/>
      <c r="N85" s="8"/>
      <c r="O85" s="8"/>
      <c r="P85" s="8"/>
      <c r="Q85" s="8"/>
      <c r="R85" s="8"/>
      <c r="S85" s="8"/>
      <c r="T85" s="8"/>
      <c r="U85" s="8"/>
      <c r="V85" s="7"/>
      <c r="W85" s="6" t="str">
        <f t="array" ref="W85">IF(NOT(ISBLANK(D85)),_xludf.XLOOKUP(D85,[2]CODE!$A$4:$A$100,[2]CODE!$D$4:$D$100),"")</f>
        <v/>
      </c>
      <c r="X85" s="5" t="str">
        <f t="array" ref="X85">IF(NOT(AND(ISBLANK(D85),ISBLANK(C85))),_xludf.XLOOKUP(D85,[2]CODE!$A$4:$A$100,[2]CODE!$E$4:$E$100),"")</f>
        <v/>
      </c>
      <c r="Y85" s="5" t="str">
        <f t="shared" si="13"/>
        <v/>
      </c>
      <c r="Z85" s="5" t="str">
        <f t="shared" si="14"/>
        <v/>
      </c>
      <c r="AA85" s="4">
        <f t="shared" si="15"/>
        <v>0</v>
      </c>
      <c r="AC85" s="2"/>
    </row>
    <row r="86" spans="1:29" ht="15.5">
      <c r="A86" s="13">
        <f>IF(OR(ISBLANK(C86),ISBLANK(D86),ISBLANK(F86),ISBLANK(G86)),"",COUNTIF($B$5:B86,"JAMBUTU"))</f>
        <v>15</v>
      </c>
      <c r="B86" s="8" t="str">
        <f>IF(C86&lt;&gt;"","Jambutu","")</f>
        <v>Jambutu</v>
      </c>
      <c r="C86" s="8" t="s">
        <v>4</v>
      </c>
      <c r="D86" s="8" t="s">
        <v>6</v>
      </c>
      <c r="E86" s="13">
        <v>2.5</v>
      </c>
      <c r="F86" s="12">
        <v>46065</v>
      </c>
      <c r="G86" s="11">
        <v>0.53402777777777777</v>
      </c>
      <c r="H86" s="12">
        <v>46065</v>
      </c>
      <c r="I86" s="11">
        <v>0.59027777777777779</v>
      </c>
      <c r="J86" s="10">
        <f t="shared" si="10"/>
        <v>46065.53402777778</v>
      </c>
      <c r="K86" s="10">
        <f t="shared" si="11"/>
        <v>46065.590277777781</v>
      </c>
      <c r="L86" s="9">
        <f t="shared" si="12"/>
        <v>5.6250000001455192E-2</v>
      </c>
      <c r="M86" s="8" t="s">
        <v>59</v>
      </c>
      <c r="N86" s="8" t="s">
        <v>53</v>
      </c>
      <c r="O86" s="8" t="s">
        <v>0</v>
      </c>
      <c r="P86" s="8"/>
      <c r="Q86" s="8"/>
      <c r="R86" s="8"/>
      <c r="S86" s="8"/>
      <c r="T86" s="8"/>
      <c r="U86" s="8"/>
      <c r="V86" s="7"/>
      <c r="W86" s="6" t="e">
        <f t="array" aca="1" ref="W86" ca="1">IF(NOT(ISBLANK(D86)),_xludf.XLOOKUP(D86,[2]CODE!$A$4:$A$100,[2]CODE!$D$4:$D$100),"")</f>
        <v>#NAME?</v>
      </c>
      <c r="X86" s="5" t="e">
        <f t="array" aca="1" ref="X86" ca="1">IF(NOT(AND(ISBLANK(D86),ISBLANK(C86))),_xludf.XLOOKUP(D86,[2]CODE!$A$4:$A$100,[2]CODE!$E$4:$E$100),"")</f>
        <v>#NAME?</v>
      </c>
      <c r="Y86" s="5" t="str">
        <f t="shared" si="13"/>
        <v>33KV</v>
      </c>
      <c r="Z86" s="5" t="str">
        <f t="shared" si="14"/>
        <v>YES</v>
      </c>
      <c r="AA86" s="4">
        <f t="shared" si="15"/>
        <v>46065</v>
      </c>
      <c r="AC86" s="2"/>
    </row>
    <row r="87" spans="1:29" ht="15.5">
      <c r="A87" s="13" t="str">
        <f>IF(OR(ISBLANK(C87),ISBLANK(D87),ISBLANK(F87),ISBLANK(G87)),"",COUNTIF($B$5:B87,"JAMBUTU"))</f>
        <v/>
      </c>
      <c r="B87" s="8"/>
      <c r="C87" s="8"/>
      <c r="D87" s="8"/>
      <c r="E87" s="13"/>
      <c r="F87" s="12"/>
      <c r="G87" s="11"/>
      <c r="H87" s="12"/>
      <c r="I87" s="11"/>
      <c r="J87" s="10">
        <f t="shared" si="10"/>
        <v>0</v>
      </c>
      <c r="K87" s="10">
        <f t="shared" si="11"/>
        <v>0</v>
      </c>
      <c r="L87" s="9" t="str">
        <f t="shared" si="12"/>
        <v/>
      </c>
      <c r="M87" s="8"/>
      <c r="N87" s="8"/>
      <c r="O87" s="8"/>
      <c r="P87" s="8"/>
      <c r="Q87" s="8"/>
      <c r="R87" s="8"/>
      <c r="S87" s="8"/>
      <c r="T87" s="8"/>
      <c r="U87" s="8"/>
      <c r="V87" s="7"/>
      <c r="W87" s="6" t="str">
        <f t="array" ref="W87">IF(NOT(ISBLANK(D87)),_xludf.XLOOKUP(D87,[2]CODE!$A$4:$A$100,[2]CODE!$D$4:$D$100),"")</f>
        <v/>
      </c>
      <c r="X87" s="5" t="str">
        <f t="array" ref="X87">IF(NOT(AND(ISBLANK(D87),ISBLANK(C87))),_xludf.XLOOKUP(D87,[2]CODE!$A$4:$A$100,[2]CODE!$E$4:$E$100),"")</f>
        <v/>
      </c>
      <c r="Y87" s="5" t="str">
        <f t="shared" si="13"/>
        <v/>
      </c>
      <c r="Z87" s="5" t="str">
        <f t="shared" si="14"/>
        <v/>
      </c>
      <c r="AA87" s="4">
        <f t="shared" si="15"/>
        <v>0</v>
      </c>
      <c r="AC87" s="2"/>
    </row>
    <row r="88" spans="1:29" ht="15.5">
      <c r="A88" s="13" t="str">
        <f>IF(OR(ISBLANK(C88),ISBLANK(D88),ISBLANK(F88),ISBLANK(G88)),"",COUNTIF($B$5:B88,"JAMBUTU"))</f>
        <v/>
      </c>
      <c r="B88" s="8"/>
      <c r="C88" s="8"/>
      <c r="D88" s="8"/>
      <c r="E88" s="13"/>
      <c r="F88" s="12"/>
      <c r="G88" s="11"/>
      <c r="H88" s="12"/>
      <c r="I88" s="15"/>
      <c r="J88" s="10">
        <f t="shared" si="10"/>
        <v>0</v>
      </c>
      <c r="K88" s="10">
        <f t="shared" si="11"/>
        <v>0</v>
      </c>
      <c r="L88" s="9" t="str">
        <f t="shared" si="12"/>
        <v/>
      </c>
      <c r="M88" s="8"/>
      <c r="N88" s="8"/>
      <c r="O88" s="8"/>
      <c r="P88" s="8"/>
      <c r="Q88" s="8"/>
      <c r="R88" s="8"/>
      <c r="S88" s="8"/>
      <c r="T88" s="8"/>
      <c r="U88" s="8"/>
      <c r="V88" s="7"/>
      <c r="W88" s="6" t="str">
        <f t="array" ref="W88">IF(NOT(ISBLANK(D88)),_xludf.XLOOKUP(D88,[2]CODE!$A$4:$A$100,[2]CODE!$D$4:$D$100),"")</f>
        <v/>
      </c>
      <c r="X88" s="5" t="str">
        <f t="array" ref="X88">IF(NOT(AND(ISBLANK(D88),ISBLANK(C88))),_xludf.XLOOKUP(D88,[2]CODE!$A$4:$A$100,[2]CODE!$E$4:$E$100),"")</f>
        <v/>
      </c>
      <c r="Y88" s="5" t="str">
        <f t="shared" si="13"/>
        <v/>
      </c>
      <c r="Z88" s="5" t="str">
        <f t="shared" si="14"/>
        <v/>
      </c>
      <c r="AA88" s="4">
        <f t="shared" si="15"/>
        <v>0</v>
      </c>
      <c r="AC88" s="2"/>
    </row>
    <row r="89" spans="1:29" ht="15.5">
      <c r="A89" s="13" t="str">
        <f>IF(OR(ISBLANK(C89),ISBLANK(D89),ISBLANK(F89),ISBLANK(G89)),"",COUNTIF($B$5:B89,"JAMBUTU"))</f>
        <v/>
      </c>
      <c r="B89" s="8"/>
      <c r="C89" s="8"/>
      <c r="D89" s="8"/>
      <c r="E89" s="13"/>
      <c r="F89" s="12"/>
      <c r="G89" s="11"/>
      <c r="H89" s="12"/>
      <c r="I89" s="15"/>
      <c r="J89" s="10">
        <f t="shared" si="10"/>
        <v>0</v>
      </c>
      <c r="K89" s="10">
        <f t="shared" si="11"/>
        <v>0</v>
      </c>
      <c r="L89" s="9" t="str">
        <f t="shared" si="12"/>
        <v/>
      </c>
      <c r="M89" s="8"/>
      <c r="N89" s="8"/>
      <c r="O89" s="8"/>
      <c r="P89" s="8"/>
      <c r="Q89" s="8"/>
      <c r="R89" s="8"/>
      <c r="S89" s="8"/>
      <c r="T89" s="8"/>
      <c r="U89" s="8"/>
      <c r="V89" s="7"/>
      <c r="W89" s="6" t="str">
        <f t="array" ref="W89">IF(NOT(ISBLANK(D89)),_xludf.XLOOKUP(D89,[2]CODE!$A$4:$A$100,[2]CODE!$D$4:$D$100),"")</f>
        <v/>
      </c>
      <c r="X89" s="5" t="str">
        <f t="array" ref="X89">IF(NOT(AND(ISBLANK(D89),ISBLANK(C89))),_xludf.XLOOKUP(D89,[2]CODE!$A$4:$A$100,[2]CODE!$E$4:$E$100),"")</f>
        <v/>
      </c>
      <c r="Y89" s="5" t="str">
        <f t="shared" si="13"/>
        <v/>
      </c>
      <c r="Z89" s="5" t="str">
        <f t="shared" si="14"/>
        <v/>
      </c>
      <c r="AA89" s="4">
        <f t="shared" si="15"/>
        <v>0</v>
      </c>
      <c r="AC89" s="2"/>
    </row>
    <row r="90" spans="1:29" ht="15.5">
      <c r="A90" s="13" t="str">
        <f>IF(OR(ISBLANK(C90),ISBLANK(D90),ISBLANK(F90),ISBLANK(G90)),"",COUNTIF($B$5:B90,"JAMBUTU"))</f>
        <v/>
      </c>
      <c r="B90" s="8"/>
      <c r="C90" s="8"/>
      <c r="D90" s="8"/>
      <c r="E90" s="13"/>
      <c r="F90" s="12"/>
      <c r="G90" s="11"/>
      <c r="H90" s="12"/>
      <c r="I90" s="15"/>
      <c r="J90" s="10">
        <f t="shared" si="10"/>
        <v>0</v>
      </c>
      <c r="K90" s="10">
        <f t="shared" si="11"/>
        <v>0</v>
      </c>
      <c r="L90" s="9" t="str">
        <f t="shared" si="12"/>
        <v/>
      </c>
      <c r="M90" s="8"/>
      <c r="N90" s="8"/>
      <c r="O90" s="8"/>
      <c r="P90" s="8"/>
      <c r="Q90" s="8"/>
      <c r="R90" s="8"/>
      <c r="S90" s="8"/>
      <c r="T90" s="8"/>
      <c r="U90" s="8"/>
      <c r="V90" s="7"/>
      <c r="W90" s="6" t="str">
        <f t="array" ref="W90">IF(NOT(ISBLANK(D90)),_xludf.XLOOKUP(D90,[2]CODE!$A$4:$A$100,[2]CODE!$D$4:$D$100),"")</f>
        <v/>
      </c>
      <c r="X90" s="5" t="str">
        <f t="array" ref="X90">IF(NOT(AND(ISBLANK(D90),ISBLANK(C90))),_xludf.XLOOKUP(D90,[2]CODE!$A$4:$A$100,[2]CODE!$E$4:$E$100),"")</f>
        <v/>
      </c>
      <c r="Y90" s="5" t="str">
        <f t="shared" si="13"/>
        <v/>
      </c>
      <c r="Z90" s="5" t="str">
        <f t="shared" si="14"/>
        <v/>
      </c>
      <c r="AA90" s="4">
        <f t="shared" si="15"/>
        <v>0</v>
      </c>
      <c r="AC90" s="2"/>
    </row>
    <row r="91" spans="1:29" ht="15.5">
      <c r="A91" s="13" t="str">
        <f>IF(OR(ISBLANK(C91),ISBLANK(D91),ISBLANK(F91),ISBLANK(G91)),"",COUNTIF($B$5:B91,"JAMBUTU"))</f>
        <v/>
      </c>
      <c r="B91" s="8"/>
      <c r="C91" s="8"/>
      <c r="D91" s="8"/>
      <c r="E91" s="13"/>
      <c r="F91" s="12"/>
      <c r="G91" s="11"/>
      <c r="H91" s="12"/>
      <c r="I91" s="15"/>
      <c r="J91" s="10">
        <f t="shared" si="10"/>
        <v>0</v>
      </c>
      <c r="K91" s="10">
        <f t="shared" si="11"/>
        <v>0</v>
      </c>
      <c r="L91" s="9" t="str">
        <f t="shared" si="12"/>
        <v/>
      </c>
      <c r="M91" s="8"/>
      <c r="N91" s="8"/>
      <c r="O91" s="8"/>
      <c r="P91" s="8"/>
      <c r="Q91" s="8"/>
      <c r="R91" s="8"/>
      <c r="S91" s="8"/>
      <c r="T91" s="8"/>
      <c r="U91" s="8"/>
      <c r="V91" s="7"/>
      <c r="W91" s="6" t="str">
        <f t="array" ref="W91">IF(NOT(ISBLANK(D91)),_xludf.XLOOKUP(D91,[2]CODE!$A$4:$A$100,[2]CODE!$D$4:$D$100),"")</f>
        <v/>
      </c>
      <c r="X91" s="5" t="str">
        <f t="array" ref="X91">IF(NOT(AND(ISBLANK(D91),ISBLANK(C91))),_xludf.XLOOKUP(D91,[2]CODE!$A$4:$A$100,[2]CODE!$E$4:$E$100),"")</f>
        <v/>
      </c>
      <c r="Y91" s="5" t="str">
        <f t="shared" si="13"/>
        <v/>
      </c>
      <c r="Z91" s="5" t="str">
        <f t="shared" si="14"/>
        <v/>
      </c>
      <c r="AA91" s="4">
        <f t="shared" si="15"/>
        <v>0</v>
      </c>
      <c r="AC91" s="2"/>
    </row>
    <row r="92" spans="1:29" ht="15.5">
      <c r="A92" s="13" t="str">
        <f>IF(OR(ISBLANK(C92),ISBLANK(D92),ISBLANK(F92),ISBLANK(G92)),"",COUNTIF($B$5:B92,"JAMBUTU"))</f>
        <v/>
      </c>
      <c r="B92" s="8"/>
      <c r="C92" s="8"/>
      <c r="D92" s="8"/>
      <c r="E92" s="13"/>
      <c r="F92" s="12"/>
      <c r="G92" s="11"/>
      <c r="H92" s="12"/>
      <c r="I92" s="11"/>
      <c r="J92" s="10">
        <f t="shared" si="10"/>
        <v>0</v>
      </c>
      <c r="K92" s="10">
        <f t="shared" si="11"/>
        <v>0</v>
      </c>
      <c r="L92" s="9" t="str">
        <f t="shared" si="12"/>
        <v/>
      </c>
      <c r="M92" s="8"/>
      <c r="N92" s="8"/>
      <c r="O92" s="8"/>
      <c r="P92" s="8"/>
      <c r="Q92" s="8"/>
      <c r="R92" s="8"/>
      <c r="S92" s="8"/>
      <c r="T92" s="8"/>
      <c r="U92" s="8"/>
      <c r="V92" s="7"/>
      <c r="W92" s="6" t="str">
        <f t="array" ref="W92">IF(NOT(ISBLANK(D92)),_xludf.XLOOKUP(D92,[2]CODE!$A$4:$A$100,[2]CODE!$D$4:$D$100),"")</f>
        <v/>
      </c>
      <c r="X92" s="5" t="str">
        <f t="array" ref="X92">IF(NOT(AND(ISBLANK(D92),ISBLANK(C92))),_xludf.XLOOKUP(D92,[2]CODE!$A$4:$A$100,[2]CODE!$E$4:$E$100),"")</f>
        <v/>
      </c>
      <c r="Y92" s="5" t="str">
        <f t="shared" si="13"/>
        <v/>
      </c>
      <c r="Z92" s="5" t="str">
        <f t="shared" si="14"/>
        <v/>
      </c>
      <c r="AA92" s="4">
        <f t="shared" si="15"/>
        <v>0</v>
      </c>
      <c r="AC92" s="2"/>
    </row>
    <row r="93" spans="1:29" ht="15.5">
      <c r="A93" s="13" t="str">
        <f>IF(OR(ISBLANK(C93),ISBLANK(D93),ISBLANK(F93),ISBLANK(G93)),"",COUNTIF($B$5:B93,"JAMBUTU"))</f>
        <v/>
      </c>
      <c r="B93" s="8"/>
      <c r="C93" s="8"/>
      <c r="D93" s="8"/>
      <c r="E93" s="13"/>
      <c r="F93" s="12"/>
      <c r="G93" s="11"/>
      <c r="H93" s="12"/>
      <c r="I93" s="11"/>
      <c r="J93" s="10">
        <f t="shared" si="10"/>
        <v>0</v>
      </c>
      <c r="K93" s="10">
        <f t="shared" si="11"/>
        <v>0</v>
      </c>
      <c r="L93" s="9" t="str">
        <f t="shared" si="12"/>
        <v/>
      </c>
      <c r="M93" s="8"/>
      <c r="N93" s="8"/>
      <c r="O93" s="8"/>
      <c r="P93" s="8"/>
      <c r="Q93" s="8"/>
      <c r="R93" s="8"/>
      <c r="S93" s="8"/>
      <c r="T93" s="8"/>
      <c r="U93" s="8"/>
      <c r="V93" s="7"/>
      <c r="W93" s="6" t="str">
        <f t="array" ref="W93">IF(NOT(ISBLANK(D93)),_xludf.XLOOKUP(D93,[2]CODE!$A$4:$A$100,[2]CODE!$D$4:$D$100),"")</f>
        <v/>
      </c>
      <c r="X93" s="5" t="str">
        <f t="array" ref="X93">IF(NOT(AND(ISBLANK(D93),ISBLANK(C93))),_xludf.XLOOKUP(D93,[2]CODE!$A$4:$A$100,[2]CODE!$E$4:$E$100),"")</f>
        <v/>
      </c>
      <c r="Y93" s="5" t="str">
        <f t="shared" si="13"/>
        <v/>
      </c>
      <c r="Z93" s="5" t="str">
        <f t="shared" si="14"/>
        <v/>
      </c>
      <c r="AA93" s="4">
        <f t="shared" si="15"/>
        <v>0</v>
      </c>
      <c r="AC93" s="2"/>
    </row>
    <row r="94" spans="1:29" ht="15.5">
      <c r="A94" s="13" t="str">
        <f>IF(OR(ISBLANK(C94),ISBLANK(D94),ISBLANK(F94),ISBLANK(G94)),"",COUNTIF($B$5:B94,"JAMBUTU"))</f>
        <v/>
      </c>
      <c r="B94" s="8"/>
      <c r="C94" s="8"/>
      <c r="D94" s="8"/>
      <c r="E94" s="13"/>
      <c r="F94" s="12"/>
      <c r="G94" s="11"/>
      <c r="H94" s="12"/>
      <c r="I94" s="11"/>
      <c r="J94" s="10">
        <f t="shared" si="10"/>
        <v>0</v>
      </c>
      <c r="K94" s="10">
        <f t="shared" si="11"/>
        <v>0</v>
      </c>
      <c r="L94" s="9" t="str">
        <f t="shared" si="12"/>
        <v/>
      </c>
      <c r="M94" s="8"/>
      <c r="N94" s="8"/>
      <c r="O94" s="8"/>
      <c r="P94" s="8"/>
      <c r="Q94" s="8"/>
      <c r="R94" s="8"/>
      <c r="S94" s="8"/>
      <c r="T94" s="8"/>
      <c r="U94" s="8"/>
      <c r="V94" s="7"/>
      <c r="W94" s="6" t="str">
        <f t="array" ref="W94">IF(NOT(ISBLANK(D94)),_xludf.XLOOKUP(D94,[2]CODE!$A$4:$A$100,[2]CODE!$D$4:$D$100),"")</f>
        <v/>
      </c>
      <c r="X94" s="5" t="str">
        <f t="array" ref="X94">IF(NOT(AND(ISBLANK(D94),ISBLANK(C94))),_xludf.XLOOKUP(D94,[2]CODE!$A$4:$A$100,[2]CODE!$E$4:$E$100),"")</f>
        <v/>
      </c>
      <c r="Y94" s="5" t="str">
        <f t="shared" si="13"/>
        <v/>
      </c>
      <c r="Z94" s="5" t="str">
        <f t="shared" si="14"/>
        <v/>
      </c>
      <c r="AA94" s="4">
        <f t="shared" si="15"/>
        <v>0</v>
      </c>
      <c r="AC94" s="2"/>
    </row>
    <row r="95" spans="1:29" ht="15.5">
      <c r="A95" s="13" t="str">
        <f>IF(OR(ISBLANK(C95),ISBLANK(D95),ISBLANK(F95),ISBLANK(G95)),"",COUNTIF($B$5:B95,"JAMBUTU"))</f>
        <v/>
      </c>
      <c r="B95" s="8"/>
      <c r="C95" s="8"/>
      <c r="D95" s="8"/>
      <c r="E95" s="13"/>
      <c r="F95" s="12"/>
      <c r="G95" s="11"/>
      <c r="H95" s="12"/>
      <c r="I95" s="11"/>
      <c r="J95" s="10">
        <f t="shared" si="10"/>
        <v>0</v>
      </c>
      <c r="K95" s="10">
        <f t="shared" si="11"/>
        <v>0</v>
      </c>
      <c r="L95" s="9" t="str">
        <f t="shared" si="12"/>
        <v/>
      </c>
      <c r="M95" s="8"/>
      <c r="N95" s="8"/>
      <c r="O95" s="8"/>
      <c r="P95" s="8"/>
      <c r="Q95" s="8"/>
      <c r="R95" s="8"/>
      <c r="S95" s="8"/>
      <c r="T95" s="8"/>
      <c r="U95" s="8"/>
      <c r="V95" s="7"/>
      <c r="W95" s="6" t="str">
        <f t="array" ref="W95">IF(NOT(ISBLANK(D95)),_xludf.XLOOKUP(D95,[2]CODE!$A$4:$A$100,[2]CODE!$D$4:$D$100),"")</f>
        <v/>
      </c>
      <c r="X95" s="5" t="str">
        <f t="array" ref="X95">IF(NOT(AND(ISBLANK(D95),ISBLANK(C95))),_xludf.XLOOKUP(D95,[2]CODE!$A$4:$A$100,[2]CODE!$E$4:$E$100),"")</f>
        <v/>
      </c>
      <c r="Y95" s="5" t="str">
        <f t="shared" si="13"/>
        <v/>
      </c>
      <c r="Z95" s="5" t="str">
        <f t="shared" si="14"/>
        <v/>
      </c>
      <c r="AA95" s="4">
        <f t="shared" si="15"/>
        <v>0</v>
      </c>
      <c r="AC95" s="2"/>
    </row>
    <row r="96" spans="1:29" ht="15.5">
      <c r="A96" s="13" t="str">
        <f>IF(OR(ISBLANK(C96),ISBLANK(D96),ISBLANK(F96),ISBLANK(G96)),"",COUNTIF($B$5:B96,"JAMBUTU"))</f>
        <v/>
      </c>
      <c r="B96" s="8"/>
      <c r="C96" s="8"/>
      <c r="D96" s="8"/>
      <c r="E96" s="13"/>
      <c r="F96" s="12"/>
      <c r="G96" s="11"/>
      <c r="H96" s="12"/>
      <c r="I96" s="11"/>
      <c r="J96" s="10">
        <f t="shared" si="10"/>
        <v>0</v>
      </c>
      <c r="K96" s="10">
        <f t="shared" si="11"/>
        <v>0</v>
      </c>
      <c r="L96" s="9" t="str">
        <f t="shared" si="12"/>
        <v/>
      </c>
      <c r="M96" s="8"/>
      <c r="N96" s="8"/>
      <c r="O96" s="8"/>
      <c r="P96" s="8"/>
      <c r="Q96" s="8"/>
      <c r="R96" s="8"/>
      <c r="S96" s="8"/>
      <c r="T96" s="8"/>
      <c r="U96" s="8"/>
      <c r="V96" s="7"/>
      <c r="W96" s="6" t="str">
        <f t="array" ref="W96">IF(NOT(ISBLANK(D96)),_xludf.XLOOKUP(D96,[2]CODE!$A$4:$A$100,[2]CODE!$D$4:$D$100),"")</f>
        <v/>
      </c>
      <c r="X96" s="5" t="str">
        <f t="array" ref="X96">IF(NOT(AND(ISBLANK(D96),ISBLANK(C96))),_xludf.XLOOKUP(D96,[2]CODE!$A$4:$A$100,[2]CODE!$E$4:$E$100),"")</f>
        <v/>
      </c>
      <c r="Y96" s="5" t="str">
        <f t="shared" si="13"/>
        <v/>
      </c>
      <c r="Z96" s="5" t="str">
        <f t="shared" si="14"/>
        <v/>
      </c>
      <c r="AA96" s="4">
        <f t="shared" si="15"/>
        <v>0</v>
      </c>
      <c r="AC96" s="2"/>
    </row>
    <row r="97" spans="1:29" ht="15.5">
      <c r="A97" s="13" t="str">
        <f>IF(OR(ISBLANK(C97),ISBLANK(D97),ISBLANK(F97),ISBLANK(G97)),"",COUNTIF($B$5:B97,"JAMBUTU"))</f>
        <v/>
      </c>
      <c r="B97" s="8"/>
      <c r="C97" s="8"/>
      <c r="D97" s="8"/>
      <c r="E97" s="13"/>
      <c r="F97" s="12"/>
      <c r="G97" s="11"/>
      <c r="H97" s="12"/>
      <c r="I97" s="11"/>
      <c r="J97" s="10">
        <f t="shared" si="10"/>
        <v>0</v>
      </c>
      <c r="K97" s="10">
        <f t="shared" si="11"/>
        <v>0</v>
      </c>
      <c r="L97" s="9" t="str">
        <f t="shared" si="12"/>
        <v/>
      </c>
      <c r="M97" s="8"/>
      <c r="N97" s="8"/>
      <c r="O97" s="8"/>
      <c r="P97" s="8"/>
      <c r="Q97" s="8"/>
      <c r="R97" s="8"/>
      <c r="S97" s="8"/>
      <c r="T97" s="8"/>
      <c r="U97" s="8"/>
      <c r="V97" s="7"/>
      <c r="W97" s="6" t="str">
        <f t="array" ref="W97">IF(NOT(ISBLANK(D97)),_xludf.XLOOKUP(D97,[2]CODE!$A$4:$A$100,[2]CODE!$D$4:$D$100),"")</f>
        <v/>
      </c>
      <c r="X97" s="5" t="str">
        <f t="array" ref="X97">IF(NOT(AND(ISBLANK(D97),ISBLANK(C97))),_xludf.XLOOKUP(D97,[2]CODE!$A$4:$A$100,[2]CODE!$E$4:$E$100),"")</f>
        <v/>
      </c>
      <c r="Y97" s="5" t="str">
        <f t="shared" si="13"/>
        <v/>
      </c>
      <c r="Z97" s="5" t="str">
        <f t="shared" si="14"/>
        <v/>
      </c>
      <c r="AA97" s="4">
        <f t="shared" si="15"/>
        <v>0</v>
      </c>
      <c r="AC97" s="2"/>
    </row>
    <row r="98" spans="1:29" ht="15.5">
      <c r="A98" s="13" t="str">
        <f>IF(OR(ISBLANK(C98),ISBLANK(D98),ISBLANK(F98),ISBLANK(G98)),"",COUNTIF($B$5:B98,"JAMBUTU"))</f>
        <v/>
      </c>
      <c r="B98" s="8"/>
      <c r="C98" s="8"/>
      <c r="D98" s="8"/>
      <c r="E98" s="13"/>
      <c r="F98" s="12"/>
      <c r="G98" s="11"/>
      <c r="H98" s="12"/>
      <c r="I98" s="11"/>
      <c r="J98" s="10">
        <f t="shared" si="10"/>
        <v>0</v>
      </c>
      <c r="K98" s="10">
        <f t="shared" si="11"/>
        <v>0</v>
      </c>
      <c r="L98" s="9" t="str">
        <f t="shared" si="12"/>
        <v/>
      </c>
      <c r="M98" s="8"/>
      <c r="N98" s="8"/>
      <c r="O98" s="8"/>
      <c r="P98" s="8"/>
      <c r="Q98" s="8"/>
      <c r="R98" s="8"/>
      <c r="S98" s="8"/>
      <c r="T98" s="8"/>
      <c r="U98" s="8"/>
      <c r="V98" s="7"/>
      <c r="W98" s="6" t="str">
        <f t="array" ref="W98">IF(NOT(ISBLANK(D98)),_xludf.XLOOKUP(D98,[2]CODE!$A$4:$A$100,[2]CODE!$D$4:$D$100),"")</f>
        <v/>
      </c>
      <c r="X98" s="5" t="str">
        <f t="array" ref="X98">IF(NOT(AND(ISBLANK(D98),ISBLANK(C98))),_xludf.XLOOKUP(D98,[2]CODE!$A$4:$A$100,[2]CODE!$E$4:$E$100),"")</f>
        <v/>
      </c>
      <c r="Y98" s="5" t="str">
        <f t="shared" si="13"/>
        <v/>
      </c>
      <c r="Z98" s="5" t="str">
        <f t="shared" si="14"/>
        <v/>
      </c>
      <c r="AA98" s="4">
        <f t="shared" si="15"/>
        <v>0</v>
      </c>
      <c r="AC98" s="2"/>
    </row>
    <row r="99" spans="1:29" ht="15.5">
      <c r="A99" s="13">
        <f>IF(OR(ISBLANK(C99),ISBLANK(D99),ISBLANK(F99),ISBLANK(G99)),"",COUNTIF($B$5:B99,"JAMBUTU"))</f>
        <v>16</v>
      </c>
      <c r="B99" s="8" t="str">
        <f>IF(C99&lt;&gt;"","Jambutu","")</f>
        <v>Jambutu</v>
      </c>
      <c r="C99" s="8" t="s">
        <v>4</v>
      </c>
      <c r="D99" s="8" t="s">
        <v>6</v>
      </c>
      <c r="E99" s="13">
        <v>3.9</v>
      </c>
      <c r="F99" s="12">
        <v>46067</v>
      </c>
      <c r="G99" s="11">
        <v>0.4548611111111111</v>
      </c>
      <c r="H99" s="12">
        <v>46067</v>
      </c>
      <c r="I99" s="11">
        <v>0.46388888888888891</v>
      </c>
      <c r="J99" s="10">
        <f t="shared" si="10"/>
        <v>46067.454861111109</v>
      </c>
      <c r="K99" s="10">
        <f t="shared" si="11"/>
        <v>46067.463888888888</v>
      </c>
      <c r="L99" s="9">
        <f t="shared" si="12"/>
        <v>9.0277777781011537E-3</v>
      </c>
      <c r="M99" s="8" t="s">
        <v>59</v>
      </c>
      <c r="N99" s="8" t="s">
        <v>53</v>
      </c>
      <c r="O99" s="8" t="s">
        <v>0</v>
      </c>
      <c r="P99" s="8"/>
      <c r="Q99" s="8"/>
      <c r="R99" s="8"/>
      <c r="S99" s="8"/>
      <c r="T99" s="8"/>
      <c r="U99" s="8"/>
      <c r="V99" s="7"/>
      <c r="W99" s="6" t="e">
        <f t="array" aca="1" ref="W99" ca="1">IF(NOT(ISBLANK(D99)),_xludf.XLOOKUP(D99,[2]CODE!$A$4:$A$100,[2]CODE!$D$4:$D$100),"")</f>
        <v>#NAME?</v>
      </c>
      <c r="X99" s="5" t="e">
        <f t="array" aca="1" ref="X99" ca="1">IF(NOT(AND(ISBLANK(D99),ISBLANK(C99))),_xludf.XLOOKUP(D99,[2]CODE!$A$4:$A$100,[2]CODE!$E$4:$E$100),"")</f>
        <v>#NAME?</v>
      </c>
      <c r="Y99" s="5" t="str">
        <f t="shared" si="13"/>
        <v>33KV</v>
      </c>
      <c r="Z99" s="5" t="str">
        <f t="shared" si="14"/>
        <v>YES</v>
      </c>
      <c r="AA99" s="4">
        <f t="shared" si="15"/>
        <v>46067</v>
      </c>
      <c r="AC99" s="2"/>
    </row>
    <row r="100" spans="1:29" ht="15.5">
      <c r="A100" s="13" t="str">
        <f>IF(OR(ISBLANK(C100),ISBLANK(D100),ISBLANK(F100),ISBLANK(G100)),"",COUNTIF($B$5:B100,"JAMBUTU"))</f>
        <v/>
      </c>
      <c r="B100" s="8"/>
      <c r="C100" s="8"/>
      <c r="D100" s="8"/>
      <c r="E100" s="13"/>
      <c r="F100" s="12"/>
      <c r="G100" s="11"/>
      <c r="H100" s="12"/>
      <c r="I100" s="11"/>
      <c r="J100" s="10">
        <f t="shared" si="10"/>
        <v>0</v>
      </c>
      <c r="K100" s="10">
        <f t="shared" si="11"/>
        <v>0</v>
      </c>
      <c r="L100" s="9" t="str">
        <f t="shared" si="12"/>
        <v/>
      </c>
      <c r="M100" s="8"/>
      <c r="N100" s="8"/>
      <c r="O100" s="8"/>
      <c r="P100" s="8"/>
      <c r="Q100" s="8"/>
      <c r="R100" s="8"/>
      <c r="S100" s="8"/>
      <c r="T100" s="8"/>
      <c r="U100" s="8"/>
      <c r="V100" s="7"/>
      <c r="W100" s="6" t="str">
        <f t="array" ref="W100">IF(NOT(ISBLANK(D100)),_xludf.XLOOKUP(D100,[2]CODE!$A$4:$A$100,[2]CODE!$D$4:$D$100),"")</f>
        <v/>
      </c>
      <c r="X100" s="5" t="str">
        <f t="array" ref="X100">IF(NOT(AND(ISBLANK(D100),ISBLANK(C100))),_xludf.XLOOKUP(D100,[2]CODE!$A$4:$A$100,[2]CODE!$E$4:$E$100),"")</f>
        <v/>
      </c>
      <c r="Y100" s="5" t="str">
        <f t="shared" si="13"/>
        <v/>
      </c>
      <c r="Z100" s="5" t="str">
        <f t="shared" si="14"/>
        <v/>
      </c>
      <c r="AA100" s="4">
        <f t="shared" si="15"/>
        <v>0</v>
      </c>
      <c r="AC100" s="2"/>
    </row>
    <row r="101" spans="1:29" ht="15.5">
      <c r="A101" s="13" t="str">
        <f>IF(OR(ISBLANK(C101),ISBLANK(D101),ISBLANK(F101),ISBLANK(G101)),"",COUNTIF($B$5:B101,"JAMBUTU"))</f>
        <v/>
      </c>
      <c r="B101" s="8"/>
      <c r="C101" s="8"/>
      <c r="D101" s="8"/>
      <c r="E101" s="13"/>
      <c r="F101" s="12"/>
      <c r="G101" s="11"/>
      <c r="H101" s="12"/>
      <c r="I101" s="15"/>
      <c r="J101" s="10">
        <f t="shared" si="10"/>
        <v>0</v>
      </c>
      <c r="K101" s="10">
        <f t="shared" si="11"/>
        <v>0</v>
      </c>
      <c r="L101" s="9" t="str">
        <f t="shared" si="12"/>
        <v/>
      </c>
      <c r="M101" s="8"/>
      <c r="N101" s="8"/>
      <c r="O101" s="8"/>
      <c r="P101" s="8"/>
      <c r="Q101" s="8"/>
      <c r="R101" s="8"/>
      <c r="S101" s="8"/>
      <c r="T101" s="8"/>
      <c r="U101" s="8"/>
      <c r="V101" s="7"/>
      <c r="W101" s="6" t="str">
        <f t="array" ref="W101">IF(NOT(ISBLANK(D101)),_xludf.XLOOKUP(D101,[2]CODE!$A$4:$A$100,[2]CODE!$D$4:$D$100),"")</f>
        <v/>
      </c>
      <c r="X101" s="5" t="str">
        <f t="array" ref="X101">IF(NOT(AND(ISBLANK(D101),ISBLANK(C101))),_xludf.XLOOKUP(D101,[2]CODE!$A$4:$A$100,[2]CODE!$E$4:$E$100),"")</f>
        <v/>
      </c>
      <c r="Y101" s="5" t="str">
        <f t="shared" si="13"/>
        <v/>
      </c>
      <c r="Z101" s="5" t="str">
        <f t="shared" si="14"/>
        <v/>
      </c>
      <c r="AA101" s="4">
        <f t="shared" si="15"/>
        <v>0</v>
      </c>
      <c r="AC101" s="2"/>
    </row>
    <row r="102" spans="1:29" ht="15.5">
      <c r="A102" s="13" t="str">
        <f>IF(OR(ISBLANK(C102),ISBLANK(D102),ISBLANK(F102),ISBLANK(G102)),"",COUNTIF($B$5:B102,"JAMBUTU"))</f>
        <v/>
      </c>
      <c r="B102" s="8"/>
      <c r="C102" s="8"/>
      <c r="D102" s="8"/>
      <c r="E102" s="13"/>
      <c r="F102" s="12"/>
      <c r="G102" s="11"/>
      <c r="H102" s="12"/>
      <c r="I102" s="15"/>
      <c r="J102" s="10">
        <f t="shared" si="10"/>
        <v>0</v>
      </c>
      <c r="K102" s="10">
        <f t="shared" si="11"/>
        <v>0</v>
      </c>
      <c r="L102" s="9" t="str">
        <f t="shared" si="12"/>
        <v/>
      </c>
      <c r="M102" s="8"/>
      <c r="N102" s="8"/>
      <c r="O102" s="8"/>
      <c r="P102" s="8"/>
      <c r="Q102" s="8"/>
      <c r="R102" s="8"/>
      <c r="S102" s="8"/>
      <c r="T102" s="8"/>
      <c r="U102" s="8"/>
      <c r="V102" s="7"/>
      <c r="W102" s="6" t="str">
        <f t="array" ref="W102">IF(NOT(ISBLANK(D102)),_xludf.XLOOKUP(D102,[2]CODE!$A$4:$A$100,[2]CODE!$D$4:$D$100),"")</f>
        <v/>
      </c>
      <c r="X102" s="5" t="str">
        <f t="array" ref="X102">IF(NOT(AND(ISBLANK(D102),ISBLANK(C102))),_xludf.XLOOKUP(D102,[2]CODE!$A$4:$A$100,[2]CODE!$E$4:$E$100),"")</f>
        <v/>
      </c>
      <c r="Y102" s="5" t="str">
        <f t="shared" si="13"/>
        <v/>
      </c>
      <c r="Z102" s="5" t="str">
        <f t="shared" si="14"/>
        <v/>
      </c>
      <c r="AA102" s="4">
        <f t="shared" si="15"/>
        <v>0</v>
      </c>
      <c r="AC102" s="2"/>
    </row>
    <row r="103" spans="1:29" ht="15.5">
      <c r="A103" s="13" t="str">
        <f>IF(OR(ISBLANK(C103),ISBLANK(D103),ISBLANK(F103),ISBLANK(G103)),"",COUNTIF($B$5:B103,"JAMBUTU"))</f>
        <v/>
      </c>
      <c r="B103" s="8"/>
      <c r="C103" s="8"/>
      <c r="D103" s="8"/>
      <c r="E103" s="13"/>
      <c r="F103" s="12"/>
      <c r="G103" s="11"/>
      <c r="H103" s="12"/>
      <c r="I103" s="11"/>
      <c r="J103" s="10">
        <f t="shared" si="10"/>
        <v>0</v>
      </c>
      <c r="K103" s="10">
        <f t="shared" si="11"/>
        <v>0</v>
      </c>
      <c r="L103" s="9" t="str">
        <f t="shared" si="12"/>
        <v/>
      </c>
      <c r="M103" s="8"/>
      <c r="N103" s="8"/>
      <c r="O103" s="8"/>
      <c r="P103" s="8"/>
      <c r="Q103" s="8"/>
      <c r="R103" s="8"/>
      <c r="S103" s="8"/>
      <c r="T103" s="8"/>
      <c r="U103" s="8"/>
      <c r="V103" s="7"/>
      <c r="W103" s="6" t="str">
        <f t="array" ref="W103">IF(NOT(ISBLANK(D103)),_xludf.XLOOKUP(D103,[2]CODE!$A$4:$A$100,[2]CODE!$D$4:$D$100),"")</f>
        <v/>
      </c>
      <c r="X103" s="5" t="str">
        <f t="array" ref="X103">IF(NOT(AND(ISBLANK(D103),ISBLANK(C103))),_xludf.XLOOKUP(D103,[2]CODE!$A$4:$A$100,[2]CODE!$E$4:$E$100),"")</f>
        <v/>
      </c>
      <c r="Y103" s="5" t="str">
        <f t="shared" si="13"/>
        <v/>
      </c>
      <c r="Z103" s="5" t="str">
        <f t="shared" si="14"/>
        <v/>
      </c>
      <c r="AA103" s="4">
        <f t="shared" si="15"/>
        <v>0</v>
      </c>
      <c r="AC103" s="2"/>
    </row>
    <row r="104" spans="1:29" ht="15.5">
      <c r="A104" s="13" t="str">
        <f>IF(OR(ISBLANK(C104),ISBLANK(D104),ISBLANK(F104),ISBLANK(G104)),"",COUNTIF($B$5:B104,"JAMBUTU"))</f>
        <v/>
      </c>
      <c r="B104" s="8"/>
      <c r="C104" s="8"/>
      <c r="D104" s="8"/>
      <c r="E104" s="13"/>
      <c r="F104" s="12"/>
      <c r="G104" s="11"/>
      <c r="H104" s="12"/>
      <c r="I104" s="11"/>
      <c r="J104" s="10">
        <f t="shared" si="10"/>
        <v>0</v>
      </c>
      <c r="K104" s="10">
        <f t="shared" si="11"/>
        <v>0</v>
      </c>
      <c r="L104" s="9" t="str">
        <f t="shared" si="12"/>
        <v/>
      </c>
      <c r="M104" s="8"/>
      <c r="N104" s="8"/>
      <c r="O104" s="8"/>
      <c r="P104" s="8"/>
      <c r="Q104" s="8"/>
      <c r="R104" s="8"/>
      <c r="S104" s="8"/>
      <c r="T104" s="8"/>
      <c r="U104" s="8"/>
      <c r="V104" s="7"/>
      <c r="W104" s="6" t="str">
        <f t="array" ref="W104">IF(NOT(ISBLANK(D104)),_xludf.XLOOKUP(D104,[2]CODE!$A$4:$A$100,[2]CODE!$D$4:$D$100),"")</f>
        <v/>
      </c>
      <c r="X104" s="5" t="str">
        <f t="array" ref="X104">IF(NOT(AND(ISBLANK(D104),ISBLANK(C104))),_xludf.XLOOKUP(D104,[2]CODE!$A$4:$A$100,[2]CODE!$E$4:$E$100),"")</f>
        <v/>
      </c>
      <c r="Y104" s="5" t="str">
        <f t="shared" si="13"/>
        <v/>
      </c>
      <c r="Z104" s="5" t="str">
        <f t="shared" si="14"/>
        <v/>
      </c>
      <c r="AA104" s="4">
        <f t="shared" si="15"/>
        <v>0</v>
      </c>
      <c r="AC104" s="2"/>
    </row>
    <row r="105" spans="1:29" ht="15.5">
      <c r="A105" s="13" t="str">
        <f>IF(OR(ISBLANK(C105),ISBLANK(D105),ISBLANK(F105),ISBLANK(G105)),"",COUNTIF($B$5:B105,"JAMBUTU"))</f>
        <v/>
      </c>
      <c r="B105" s="8"/>
      <c r="C105" s="8"/>
      <c r="D105" s="8"/>
      <c r="E105" s="13"/>
      <c r="F105" s="12"/>
      <c r="G105" s="11"/>
      <c r="H105" s="12"/>
      <c r="I105" s="11"/>
      <c r="J105" s="10">
        <f t="shared" si="10"/>
        <v>0</v>
      </c>
      <c r="K105" s="10">
        <f t="shared" si="11"/>
        <v>0</v>
      </c>
      <c r="L105" s="9" t="str">
        <f t="shared" si="12"/>
        <v/>
      </c>
      <c r="M105" s="8"/>
      <c r="N105" s="8"/>
      <c r="O105" s="8"/>
      <c r="P105" s="8"/>
      <c r="Q105" s="8"/>
      <c r="R105" s="8"/>
      <c r="S105" s="8"/>
      <c r="T105" s="8"/>
      <c r="U105" s="8"/>
      <c r="V105" s="7"/>
      <c r="W105" s="6" t="str">
        <f t="array" ref="W105">IF(NOT(ISBLANK(D105)),_xludf.XLOOKUP(D105,[2]CODE!$A$4:$A$100,[2]CODE!$D$4:$D$100),"")</f>
        <v/>
      </c>
      <c r="X105" s="5" t="str">
        <f t="array" ref="X105">IF(NOT(AND(ISBLANK(D105),ISBLANK(C105))),_xludf.XLOOKUP(D105,[2]CODE!$A$4:$A$100,[2]CODE!$E$4:$E$100),"")</f>
        <v/>
      </c>
      <c r="Y105" s="5" t="str">
        <f t="shared" si="13"/>
        <v/>
      </c>
      <c r="Z105" s="5" t="str">
        <f t="shared" si="14"/>
        <v/>
      </c>
      <c r="AA105" s="4">
        <f t="shared" si="15"/>
        <v>0</v>
      </c>
      <c r="AC105" s="2"/>
    </row>
    <row r="106" spans="1:29" ht="15.5">
      <c r="A106" s="13" t="str">
        <f>IF(OR(ISBLANK(C106),ISBLANK(D106),ISBLANK(F106),ISBLANK(G106)),"",COUNTIF($B$5:B106,"JAMBUTU"))</f>
        <v/>
      </c>
      <c r="B106" s="8"/>
      <c r="C106" s="8"/>
      <c r="D106" s="8"/>
      <c r="E106" s="13"/>
      <c r="F106" s="12"/>
      <c r="G106" s="11"/>
      <c r="H106" s="12"/>
      <c r="I106" s="11"/>
      <c r="J106" s="10">
        <f t="shared" si="10"/>
        <v>0</v>
      </c>
      <c r="K106" s="10">
        <f t="shared" si="11"/>
        <v>0</v>
      </c>
      <c r="L106" s="9" t="str">
        <f t="shared" si="12"/>
        <v/>
      </c>
      <c r="M106" s="8"/>
      <c r="N106" s="8"/>
      <c r="O106" s="8"/>
      <c r="P106" s="8"/>
      <c r="Q106" s="8"/>
      <c r="R106" s="8"/>
      <c r="S106" s="8"/>
      <c r="T106" s="8"/>
      <c r="U106" s="8"/>
      <c r="V106" s="7"/>
      <c r="W106" s="6" t="str">
        <f t="array" ref="W106">IF(NOT(ISBLANK(D106)),_xludf.XLOOKUP(D106,[2]CODE!$A$4:$A$100,[2]CODE!$D$4:$D$100),"")</f>
        <v/>
      </c>
      <c r="X106" s="5" t="str">
        <f t="array" ref="X106">IF(NOT(AND(ISBLANK(D106),ISBLANK(C106))),_xludf.XLOOKUP(D106,[2]CODE!$A$4:$A$100,[2]CODE!$E$4:$E$100),"")</f>
        <v/>
      </c>
      <c r="Y106" s="5" t="str">
        <f t="shared" si="13"/>
        <v/>
      </c>
      <c r="Z106" s="5" t="str">
        <f t="shared" si="14"/>
        <v/>
      </c>
      <c r="AA106" s="4">
        <f t="shared" si="15"/>
        <v>0</v>
      </c>
      <c r="AC106" s="2"/>
    </row>
    <row r="107" spans="1:29" ht="15.5">
      <c r="A107" s="13">
        <f>IF(OR(ISBLANK(C107),ISBLANK(D107),ISBLANK(F107),ISBLANK(G107)),"",COUNTIF($B$5:B107,"JAMBUTU"))</f>
        <v>17</v>
      </c>
      <c r="B107" s="8" t="str">
        <f>IF(C107&lt;&gt;"","Jambutu","")</f>
        <v>Jambutu</v>
      </c>
      <c r="C107" s="8" t="s">
        <v>4</v>
      </c>
      <c r="D107" s="8" t="s">
        <v>6</v>
      </c>
      <c r="E107" s="13">
        <v>3.8</v>
      </c>
      <c r="F107" s="12">
        <v>46068</v>
      </c>
      <c r="G107" s="11">
        <v>0.70694444444444449</v>
      </c>
      <c r="H107" s="12">
        <v>46068</v>
      </c>
      <c r="I107" s="15">
        <v>0.73819444444444449</v>
      </c>
      <c r="J107" s="10">
        <f t="shared" si="10"/>
        <v>46068.706944444442</v>
      </c>
      <c r="K107" s="10">
        <f t="shared" si="11"/>
        <v>46068.738194444442</v>
      </c>
      <c r="L107" s="9">
        <f t="shared" si="12"/>
        <v>3.125E-2</v>
      </c>
      <c r="M107" s="8" t="s">
        <v>59</v>
      </c>
      <c r="N107" s="8" t="s">
        <v>53</v>
      </c>
      <c r="O107" s="8" t="s">
        <v>0</v>
      </c>
      <c r="P107" s="8"/>
      <c r="Q107" s="8"/>
      <c r="R107" s="8"/>
      <c r="S107" s="8"/>
      <c r="T107" s="8"/>
      <c r="U107" s="8"/>
      <c r="V107" s="7"/>
      <c r="W107" s="6" t="e">
        <f t="array" aca="1" ref="W107" ca="1">IF(NOT(ISBLANK(D107)),_xludf.XLOOKUP(D107,[2]CODE!$A$4:$A$100,[2]CODE!$D$4:$D$100),"")</f>
        <v>#NAME?</v>
      </c>
      <c r="X107" s="5" t="e">
        <f t="array" aca="1" ref="X107" ca="1">IF(NOT(AND(ISBLANK(D107),ISBLANK(C107))),_xludf.XLOOKUP(D107,[2]CODE!$A$4:$A$100,[2]CODE!$E$4:$E$100),"")</f>
        <v>#NAME?</v>
      </c>
      <c r="Y107" s="5" t="str">
        <f t="shared" si="13"/>
        <v>33KV</v>
      </c>
      <c r="Z107" s="5" t="str">
        <f t="shared" si="14"/>
        <v>YES</v>
      </c>
      <c r="AA107" s="4">
        <f t="shared" si="15"/>
        <v>46068</v>
      </c>
      <c r="AC107" s="2"/>
    </row>
    <row r="108" spans="1:29" ht="15.5">
      <c r="A108" s="13" t="str">
        <f>IF(OR(ISBLANK(C108),ISBLANK(D108),ISBLANK(F108),ISBLANK(G108)),"",COUNTIF($B$5:B108,"JAMBUTU"))</f>
        <v/>
      </c>
      <c r="B108" s="8"/>
      <c r="C108" s="8"/>
      <c r="D108" s="8"/>
      <c r="E108" s="13"/>
      <c r="F108" s="12"/>
      <c r="G108" s="11"/>
      <c r="H108" s="12"/>
      <c r="I108" s="15"/>
      <c r="J108" s="10">
        <f t="shared" si="10"/>
        <v>0</v>
      </c>
      <c r="K108" s="10">
        <f t="shared" si="11"/>
        <v>0</v>
      </c>
      <c r="L108" s="9" t="str">
        <f t="shared" si="12"/>
        <v/>
      </c>
      <c r="M108" s="8"/>
      <c r="N108" s="8"/>
      <c r="O108" s="8"/>
      <c r="P108" s="8"/>
      <c r="Q108" s="8"/>
      <c r="R108" s="8"/>
      <c r="S108" s="8"/>
      <c r="T108" s="8"/>
      <c r="U108" s="8"/>
      <c r="V108" s="7"/>
      <c r="W108" s="6" t="str">
        <f t="array" ref="W108">IF(NOT(ISBLANK(D108)),_xludf.XLOOKUP(D108,[2]CODE!$A$4:$A$100,[2]CODE!$D$4:$D$100),"")</f>
        <v/>
      </c>
      <c r="X108" s="5" t="str">
        <f t="array" ref="X108">IF(NOT(AND(ISBLANK(D108),ISBLANK(C108))),_xludf.XLOOKUP(D108,[2]CODE!$A$4:$A$100,[2]CODE!$E$4:$E$100),"")</f>
        <v/>
      </c>
      <c r="Y108" s="5" t="str">
        <f t="shared" si="13"/>
        <v/>
      </c>
      <c r="Z108" s="5" t="str">
        <f t="shared" si="14"/>
        <v/>
      </c>
      <c r="AA108" s="4">
        <f t="shared" si="15"/>
        <v>0</v>
      </c>
      <c r="AC108" s="2"/>
    </row>
    <row r="109" spans="1:29" ht="15.5">
      <c r="A109" s="13" t="str">
        <f>IF(OR(ISBLANK(C109),ISBLANK(D109),ISBLANK(F109),ISBLANK(G109)),"",COUNTIF($B$5:B109,"JAMBUTU"))</f>
        <v/>
      </c>
      <c r="B109" s="8"/>
      <c r="C109" s="8"/>
      <c r="D109" s="8"/>
      <c r="E109" s="13"/>
      <c r="F109" s="12"/>
      <c r="G109" s="11"/>
      <c r="H109" s="12"/>
      <c r="I109" s="15"/>
      <c r="J109" s="10">
        <f t="shared" si="10"/>
        <v>0</v>
      </c>
      <c r="K109" s="10">
        <f t="shared" si="11"/>
        <v>0</v>
      </c>
      <c r="L109" s="9" t="str">
        <f t="shared" si="12"/>
        <v/>
      </c>
      <c r="M109" s="8"/>
      <c r="N109" s="8"/>
      <c r="O109" s="8"/>
      <c r="P109" s="8"/>
      <c r="Q109" s="8"/>
      <c r="R109" s="8"/>
      <c r="S109" s="8"/>
      <c r="T109" s="8"/>
      <c r="U109" s="8"/>
      <c r="V109" s="7"/>
      <c r="W109" s="6" t="str">
        <f t="array" ref="W109">IF(NOT(ISBLANK(D109)),_xludf.XLOOKUP(D109,[2]CODE!$A$4:$A$100,[2]CODE!$D$4:$D$100),"")</f>
        <v/>
      </c>
      <c r="X109" s="5" t="str">
        <f t="array" ref="X109">IF(NOT(AND(ISBLANK(D109),ISBLANK(C109))),_xludf.XLOOKUP(D109,[2]CODE!$A$4:$A$100,[2]CODE!$E$4:$E$100),"")</f>
        <v/>
      </c>
      <c r="Y109" s="5" t="str">
        <f t="shared" si="13"/>
        <v/>
      </c>
      <c r="Z109" s="5" t="str">
        <f t="shared" si="14"/>
        <v/>
      </c>
      <c r="AA109" s="4">
        <f t="shared" si="15"/>
        <v>0</v>
      </c>
      <c r="AC109" s="2"/>
    </row>
    <row r="110" spans="1:29" ht="15.5">
      <c r="A110" s="13" t="str">
        <f>IF(OR(ISBLANK(C110),ISBLANK(D110),ISBLANK(F110),ISBLANK(G110)),"",COUNTIF($B$5:B110,"JAMBUTU"))</f>
        <v/>
      </c>
      <c r="B110" s="8"/>
      <c r="C110" s="8"/>
      <c r="D110" s="8"/>
      <c r="E110" s="13"/>
      <c r="F110" s="12"/>
      <c r="G110" s="11"/>
      <c r="H110" s="12"/>
      <c r="I110" s="11"/>
      <c r="J110" s="10">
        <f t="shared" si="10"/>
        <v>0</v>
      </c>
      <c r="K110" s="10">
        <f t="shared" si="11"/>
        <v>0</v>
      </c>
      <c r="L110" s="9" t="str">
        <f t="shared" si="12"/>
        <v/>
      </c>
      <c r="M110" s="8"/>
      <c r="N110" s="8"/>
      <c r="O110" s="8"/>
      <c r="P110" s="8"/>
      <c r="Q110" s="8"/>
      <c r="R110" s="8"/>
      <c r="S110" s="8"/>
      <c r="T110" s="8"/>
      <c r="U110" s="8"/>
      <c r="V110" s="7"/>
      <c r="W110" s="6" t="str">
        <f t="array" ref="W110">IF(NOT(ISBLANK(D110)),_xludf.XLOOKUP(D110,[2]CODE!$A$4:$A$100,[2]CODE!$D$4:$D$100),"")</f>
        <v/>
      </c>
      <c r="X110" s="5" t="str">
        <f t="array" ref="X110">IF(NOT(AND(ISBLANK(D110),ISBLANK(C110))),_xludf.XLOOKUP(D110,[2]CODE!$A$4:$A$100,[2]CODE!$E$4:$E$100),"")</f>
        <v/>
      </c>
      <c r="Y110" s="5" t="str">
        <f t="shared" si="13"/>
        <v/>
      </c>
      <c r="Z110" s="5" t="str">
        <f t="shared" si="14"/>
        <v/>
      </c>
      <c r="AA110" s="4">
        <f t="shared" si="15"/>
        <v>0</v>
      </c>
      <c r="AC110" s="2"/>
    </row>
    <row r="111" spans="1:29" ht="15.5">
      <c r="A111" s="13" t="str">
        <f>IF(OR(ISBLANK(C111),ISBLANK(D111),ISBLANK(F111),ISBLANK(G111)),"",COUNTIF($B$5:B111,"JAMBUTU"))</f>
        <v/>
      </c>
      <c r="B111" s="8"/>
      <c r="C111" s="8"/>
      <c r="D111" s="8"/>
      <c r="E111" s="13"/>
      <c r="F111" s="12"/>
      <c r="G111" s="11"/>
      <c r="H111" s="12"/>
      <c r="I111" s="15"/>
      <c r="J111" s="10">
        <f t="shared" si="10"/>
        <v>0</v>
      </c>
      <c r="K111" s="10">
        <f t="shared" si="11"/>
        <v>0</v>
      </c>
      <c r="L111" s="9" t="str">
        <f t="shared" si="12"/>
        <v/>
      </c>
      <c r="M111" s="8"/>
      <c r="N111" s="8"/>
      <c r="O111" s="8"/>
      <c r="P111" s="8"/>
      <c r="Q111" s="8"/>
      <c r="R111" s="8"/>
      <c r="S111" s="8"/>
      <c r="T111" s="8"/>
      <c r="U111" s="8"/>
      <c r="V111" s="7"/>
      <c r="W111" s="6" t="str">
        <f t="array" ref="W111">IF(NOT(ISBLANK(D111)),_xludf.XLOOKUP(D111,[2]CODE!$A$4:$A$100,[2]CODE!$D$4:$D$100),"")</f>
        <v/>
      </c>
      <c r="X111" s="5" t="str">
        <f t="array" ref="X111">IF(NOT(AND(ISBLANK(D111),ISBLANK(C111))),_xludf.XLOOKUP(D111,[2]CODE!$A$4:$A$100,[2]CODE!$E$4:$E$100),"")</f>
        <v/>
      </c>
      <c r="Y111" s="5" t="str">
        <f t="shared" si="13"/>
        <v/>
      </c>
      <c r="Z111" s="5" t="str">
        <f t="shared" si="14"/>
        <v/>
      </c>
      <c r="AA111" s="4">
        <f t="shared" si="15"/>
        <v>0</v>
      </c>
      <c r="AC111" s="2"/>
    </row>
    <row r="112" spans="1:29" ht="15.5">
      <c r="A112" s="13" t="str">
        <f>IF(OR(ISBLANK(C112),ISBLANK(D112),ISBLANK(F112),ISBLANK(G112)),"",COUNTIF($B$5:B112,"JAMBUTU"))</f>
        <v/>
      </c>
      <c r="B112" s="8"/>
      <c r="C112" s="8"/>
      <c r="D112" s="8"/>
      <c r="E112" s="13"/>
      <c r="F112" s="12"/>
      <c r="G112" s="11"/>
      <c r="H112" s="12"/>
      <c r="I112" s="11"/>
      <c r="J112" s="10">
        <f t="shared" si="10"/>
        <v>0</v>
      </c>
      <c r="K112" s="10">
        <f t="shared" si="11"/>
        <v>0</v>
      </c>
      <c r="L112" s="9" t="str">
        <f t="shared" si="12"/>
        <v/>
      </c>
      <c r="M112" s="8"/>
      <c r="N112" s="8"/>
      <c r="O112" s="8"/>
      <c r="P112" s="8"/>
      <c r="Q112" s="8"/>
      <c r="R112" s="8"/>
      <c r="S112" s="8"/>
      <c r="T112" s="8"/>
      <c r="U112" s="8"/>
      <c r="V112" s="7"/>
      <c r="W112" s="6" t="str">
        <f t="array" ref="W112">IF(NOT(ISBLANK(D112)),_xludf.XLOOKUP(D112,[2]CODE!$A$4:$A$100,[2]CODE!$D$4:$D$100),"")</f>
        <v/>
      </c>
      <c r="X112" s="5" t="str">
        <f t="array" ref="X112">IF(NOT(AND(ISBLANK(D112),ISBLANK(C112))),_xludf.XLOOKUP(D112,[2]CODE!$A$4:$A$100,[2]CODE!$E$4:$E$100),"")</f>
        <v/>
      </c>
      <c r="Y112" s="5" t="str">
        <f t="shared" si="13"/>
        <v/>
      </c>
      <c r="Z112" s="5" t="str">
        <f t="shared" si="14"/>
        <v/>
      </c>
      <c r="AA112" s="4">
        <f t="shared" si="15"/>
        <v>0</v>
      </c>
      <c r="AC112" s="2"/>
    </row>
    <row r="113" spans="1:29" ht="15.5">
      <c r="A113" s="13" t="str">
        <f>IF(OR(ISBLANK(C113),ISBLANK(D113),ISBLANK(F113),ISBLANK(G113)),"",COUNTIF($B$5:B113,"JAMBUTU"))</f>
        <v/>
      </c>
      <c r="B113" s="8"/>
      <c r="C113" s="8"/>
      <c r="D113" s="8"/>
      <c r="E113" s="13"/>
      <c r="F113" s="12"/>
      <c r="G113" s="11"/>
      <c r="H113" s="12"/>
      <c r="I113" s="15"/>
      <c r="J113" s="10">
        <f t="shared" si="10"/>
        <v>0</v>
      </c>
      <c r="K113" s="10">
        <f t="shared" si="11"/>
        <v>0</v>
      </c>
      <c r="L113" s="9" t="str">
        <f t="shared" si="12"/>
        <v/>
      </c>
      <c r="M113" s="8"/>
      <c r="N113" s="8"/>
      <c r="O113" s="8"/>
      <c r="P113" s="8"/>
      <c r="Q113" s="8"/>
      <c r="R113" s="8"/>
      <c r="S113" s="8"/>
      <c r="T113" s="8"/>
      <c r="U113" s="8"/>
      <c r="V113" s="7"/>
      <c r="W113" s="6" t="str">
        <f t="array" ref="W113">IF(NOT(ISBLANK(D113)),_xludf.XLOOKUP(D113,[2]CODE!$A$4:$A$100,[2]CODE!$D$4:$D$100),"")</f>
        <v/>
      </c>
      <c r="X113" s="5" t="str">
        <f t="array" ref="X113">IF(NOT(AND(ISBLANK(D113),ISBLANK(C113))),_xludf.XLOOKUP(D113,[2]CODE!$A$4:$A$100,[2]CODE!$E$4:$E$100),"")</f>
        <v/>
      </c>
      <c r="Y113" s="5" t="str">
        <f t="shared" si="13"/>
        <v/>
      </c>
      <c r="Z113" s="5" t="str">
        <f t="shared" si="14"/>
        <v/>
      </c>
      <c r="AA113" s="4">
        <f t="shared" si="15"/>
        <v>0</v>
      </c>
      <c r="AC113" s="2"/>
    </row>
    <row r="114" spans="1:29" ht="15.5">
      <c r="A114" s="13" t="str">
        <f>IF(OR(ISBLANK(C114),ISBLANK(D114),ISBLANK(F114),ISBLANK(G114)),"",COUNTIF($B$5:B114,"JAMBUTU"))</f>
        <v/>
      </c>
      <c r="B114" s="8"/>
      <c r="C114" s="8"/>
      <c r="D114" s="8"/>
      <c r="E114" s="13"/>
      <c r="F114" s="12"/>
      <c r="G114" s="11"/>
      <c r="H114" s="12"/>
      <c r="I114" s="15"/>
      <c r="J114" s="10">
        <f t="shared" si="10"/>
        <v>0</v>
      </c>
      <c r="K114" s="10">
        <f t="shared" si="11"/>
        <v>0</v>
      </c>
      <c r="L114" s="9" t="str">
        <f t="shared" si="12"/>
        <v/>
      </c>
      <c r="M114" s="8"/>
      <c r="N114" s="8"/>
      <c r="O114" s="8"/>
      <c r="P114" s="8"/>
      <c r="Q114" s="8"/>
      <c r="R114" s="8"/>
      <c r="S114" s="8"/>
      <c r="T114" s="8"/>
      <c r="U114" s="8"/>
      <c r="V114" s="7"/>
      <c r="W114" s="6" t="str">
        <f t="array" ref="W114">IF(NOT(ISBLANK(D114)),_xludf.XLOOKUP(D114,[2]CODE!$A$4:$A$100,[2]CODE!$D$4:$D$100),"")</f>
        <v/>
      </c>
      <c r="X114" s="5" t="str">
        <f t="array" ref="X114">IF(NOT(AND(ISBLANK(D114),ISBLANK(C114))),_xludf.XLOOKUP(D114,[2]CODE!$A$4:$A$100,[2]CODE!$E$4:$E$100),"")</f>
        <v/>
      </c>
      <c r="Y114" s="5" t="str">
        <f t="shared" si="13"/>
        <v/>
      </c>
      <c r="Z114" s="5" t="str">
        <f t="shared" si="14"/>
        <v/>
      </c>
      <c r="AA114" s="4">
        <f t="shared" si="15"/>
        <v>0</v>
      </c>
      <c r="AC114" s="2"/>
    </row>
    <row r="115" spans="1:29" ht="15.5">
      <c r="A115" s="13" t="str">
        <f>IF(OR(ISBLANK(C115),ISBLANK(D115),ISBLANK(F115),ISBLANK(G115)),"",COUNTIF($B$5:B115,"JAMBUTU"))</f>
        <v/>
      </c>
      <c r="B115" s="8"/>
      <c r="C115" s="8"/>
      <c r="D115" s="8"/>
      <c r="E115" s="13"/>
      <c r="F115" s="12"/>
      <c r="G115" s="11"/>
      <c r="H115" s="12"/>
      <c r="I115" s="11"/>
      <c r="J115" s="10">
        <f t="shared" si="10"/>
        <v>0</v>
      </c>
      <c r="K115" s="10">
        <f t="shared" si="11"/>
        <v>0</v>
      </c>
      <c r="L115" s="9" t="str">
        <f t="shared" si="12"/>
        <v/>
      </c>
      <c r="M115" s="8"/>
      <c r="N115" s="8"/>
      <c r="O115" s="8"/>
      <c r="P115" s="8"/>
      <c r="Q115" s="8"/>
      <c r="R115" s="8"/>
      <c r="S115" s="8"/>
      <c r="T115" s="8"/>
      <c r="U115" s="8"/>
      <c r="V115" s="7"/>
      <c r="W115" s="6" t="str">
        <f t="array" ref="W115">IF(NOT(ISBLANK(D115)),_xludf.XLOOKUP(D115,[2]CODE!$A$4:$A$100,[2]CODE!$D$4:$D$100),"")</f>
        <v/>
      </c>
      <c r="X115" s="5" t="str">
        <f t="array" ref="X115">IF(NOT(AND(ISBLANK(D115),ISBLANK(C115))),_xludf.XLOOKUP(D115,[2]CODE!$A$4:$A$100,[2]CODE!$E$4:$E$100),"")</f>
        <v/>
      </c>
      <c r="Y115" s="5" t="str">
        <f t="shared" si="13"/>
        <v/>
      </c>
      <c r="Z115" s="5" t="str">
        <f t="shared" si="14"/>
        <v/>
      </c>
      <c r="AA115" s="4">
        <f t="shared" si="15"/>
        <v>0</v>
      </c>
      <c r="AC115" s="2"/>
    </row>
    <row r="116" spans="1:29" ht="15.5">
      <c r="A116" s="13" t="str">
        <f>IF(OR(ISBLANK(C116),ISBLANK(D116),ISBLANK(F116),ISBLANK(G116)),"",COUNTIF($B$5:B116,"JAMBUTU"))</f>
        <v/>
      </c>
      <c r="B116" s="8"/>
      <c r="C116" s="8"/>
      <c r="D116" s="8"/>
      <c r="E116" s="13"/>
      <c r="F116" s="12"/>
      <c r="G116" s="11"/>
      <c r="H116" s="12"/>
      <c r="I116" s="11"/>
      <c r="J116" s="10">
        <f t="shared" si="10"/>
        <v>0</v>
      </c>
      <c r="K116" s="10">
        <f t="shared" si="11"/>
        <v>0</v>
      </c>
      <c r="L116" s="9" t="str">
        <f t="shared" si="12"/>
        <v/>
      </c>
      <c r="M116" s="8"/>
      <c r="N116" s="8"/>
      <c r="O116" s="8"/>
      <c r="P116" s="8"/>
      <c r="Q116" s="8"/>
      <c r="R116" s="8"/>
      <c r="S116" s="8"/>
      <c r="T116" s="8"/>
      <c r="U116" s="8"/>
      <c r="V116" s="7"/>
      <c r="W116" s="6" t="str">
        <f t="array" ref="W116">IF(NOT(ISBLANK(D116)),_xludf.XLOOKUP(D116,[2]CODE!$A$4:$A$100,[2]CODE!$D$4:$D$100),"")</f>
        <v/>
      </c>
      <c r="X116" s="5" t="str">
        <f t="array" ref="X116">IF(NOT(AND(ISBLANK(D116),ISBLANK(C116))),_xludf.XLOOKUP(D116,[2]CODE!$A$4:$A$100,[2]CODE!$E$4:$E$100),"")</f>
        <v/>
      </c>
      <c r="Y116" s="5" t="str">
        <f t="shared" si="13"/>
        <v/>
      </c>
      <c r="Z116" s="5" t="str">
        <f t="shared" si="14"/>
        <v/>
      </c>
      <c r="AA116" s="4">
        <f t="shared" si="15"/>
        <v>0</v>
      </c>
      <c r="AC116" s="2"/>
    </row>
    <row r="117" spans="1:29" ht="15.5">
      <c r="A117" s="13" t="str">
        <f>IF(OR(ISBLANK(C117),ISBLANK(D117),ISBLANK(F117),ISBLANK(G117)),"",COUNTIF($B$5:B117,"JAMBUTU"))</f>
        <v/>
      </c>
      <c r="B117" s="8"/>
      <c r="C117" s="8"/>
      <c r="D117" s="8"/>
      <c r="E117" s="13"/>
      <c r="F117" s="12"/>
      <c r="G117" s="11"/>
      <c r="H117" s="12"/>
      <c r="I117" s="11"/>
      <c r="J117" s="10">
        <f t="shared" si="10"/>
        <v>0</v>
      </c>
      <c r="K117" s="10">
        <f t="shared" si="11"/>
        <v>0</v>
      </c>
      <c r="L117" s="9" t="str">
        <f t="shared" si="12"/>
        <v/>
      </c>
      <c r="M117" s="8"/>
      <c r="N117" s="8"/>
      <c r="O117" s="8"/>
      <c r="P117" s="8"/>
      <c r="Q117" s="8"/>
      <c r="R117" s="8"/>
      <c r="S117" s="8"/>
      <c r="T117" s="8"/>
      <c r="U117" s="8"/>
      <c r="V117" s="7"/>
      <c r="W117" s="6" t="str">
        <f t="array" ref="W117">IF(NOT(ISBLANK(D117)),_xludf.XLOOKUP(D117,[2]CODE!$A$4:$A$100,[2]CODE!$D$4:$D$100),"")</f>
        <v/>
      </c>
      <c r="X117" s="5" t="str">
        <f t="array" ref="X117">IF(NOT(AND(ISBLANK(D117),ISBLANK(C117))),_xludf.XLOOKUP(D117,[2]CODE!$A$4:$A$100,[2]CODE!$E$4:$E$100),"")</f>
        <v/>
      </c>
      <c r="Y117" s="5" t="str">
        <f t="shared" si="13"/>
        <v/>
      </c>
      <c r="Z117" s="5" t="str">
        <f t="shared" si="14"/>
        <v/>
      </c>
      <c r="AA117" s="4">
        <f t="shared" si="15"/>
        <v>0</v>
      </c>
      <c r="AC117" s="2"/>
    </row>
    <row r="118" spans="1:29" ht="15.5">
      <c r="A118" s="13" t="str">
        <f>IF(OR(ISBLANK(C118),ISBLANK(D118),ISBLANK(F118),ISBLANK(G118)),"",COUNTIF($B$5:B118,"JAMBUTU"))</f>
        <v/>
      </c>
      <c r="B118" s="8"/>
      <c r="C118" s="8"/>
      <c r="D118" s="8"/>
      <c r="E118" s="13"/>
      <c r="F118" s="12"/>
      <c r="G118" s="11"/>
      <c r="H118" s="12"/>
      <c r="I118" s="11"/>
      <c r="J118" s="10">
        <f t="shared" si="10"/>
        <v>0</v>
      </c>
      <c r="K118" s="10">
        <f t="shared" si="11"/>
        <v>0</v>
      </c>
      <c r="L118" s="9" t="str">
        <f t="shared" si="12"/>
        <v/>
      </c>
      <c r="M118" s="8"/>
      <c r="N118" s="8"/>
      <c r="O118" s="8"/>
      <c r="P118" s="8"/>
      <c r="Q118" s="8"/>
      <c r="R118" s="8"/>
      <c r="S118" s="8"/>
      <c r="T118" s="8"/>
      <c r="U118" s="8"/>
      <c r="V118" s="7"/>
      <c r="W118" s="6" t="str">
        <f t="array" ref="W118">IF(NOT(ISBLANK(D118)),_xludf.XLOOKUP(D118,[2]CODE!$A$4:$A$100,[2]CODE!$D$4:$D$100),"")</f>
        <v/>
      </c>
      <c r="X118" s="5" t="str">
        <f t="array" ref="X118">IF(NOT(AND(ISBLANK(D118),ISBLANK(C118))),_xludf.XLOOKUP(D118,[2]CODE!$A$4:$A$100,[2]CODE!$E$4:$E$100),"")</f>
        <v/>
      </c>
      <c r="Y118" s="5" t="str">
        <f t="shared" si="13"/>
        <v/>
      </c>
      <c r="Z118" s="5" t="str">
        <f t="shared" si="14"/>
        <v/>
      </c>
      <c r="AA118" s="4">
        <f t="shared" si="15"/>
        <v>0</v>
      </c>
      <c r="AC118" s="2"/>
    </row>
    <row r="119" spans="1:29" ht="15.5">
      <c r="A119" s="13" t="str">
        <f>IF(OR(ISBLANK(C119),ISBLANK(D119),ISBLANK(F119),ISBLANK(G119)),"",COUNTIF($B$5:B119,"JAMBUTU"))</f>
        <v/>
      </c>
      <c r="B119" s="8"/>
      <c r="C119" s="8"/>
      <c r="D119" s="8"/>
      <c r="E119" s="13"/>
      <c r="F119" s="12"/>
      <c r="G119" s="11"/>
      <c r="H119" s="12"/>
      <c r="I119" s="11"/>
      <c r="J119" s="10">
        <f t="shared" si="10"/>
        <v>0</v>
      </c>
      <c r="K119" s="10">
        <f t="shared" si="11"/>
        <v>0</v>
      </c>
      <c r="L119" s="9" t="str">
        <f t="shared" si="12"/>
        <v/>
      </c>
      <c r="M119" s="8"/>
      <c r="N119" s="8"/>
      <c r="O119" s="8"/>
      <c r="P119" s="8"/>
      <c r="Q119" s="8"/>
      <c r="R119" s="8"/>
      <c r="S119" s="8"/>
      <c r="T119" s="8"/>
      <c r="U119" s="8"/>
      <c r="V119" s="7"/>
      <c r="W119" s="6" t="str">
        <f t="array" ref="W119">IF(NOT(ISBLANK(D119)),_xludf.XLOOKUP(D119,[2]CODE!$A$4:$A$100,[2]CODE!$D$4:$D$100),"")</f>
        <v/>
      </c>
      <c r="X119" s="5" t="str">
        <f t="array" ref="X119">IF(NOT(AND(ISBLANK(D119),ISBLANK(C119))),_xludf.XLOOKUP(D119,[2]CODE!$A$4:$A$100,[2]CODE!$E$4:$E$100),"")</f>
        <v/>
      </c>
      <c r="Y119" s="5" t="str">
        <f t="shared" si="13"/>
        <v/>
      </c>
      <c r="Z119" s="5" t="str">
        <f t="shared" si="14"/>
        <v/>
      </c>
      <c r="AA119" s="4">
        <f t="shared" si="15"/>
        <v>0</v>
      </c>
      <c r="AC119" s="2"/>
    </row>
    <row r="120" spans="1:29" ht="15.5">
      <c r="A120" s="13" t="str">
        <f>IF(OR(ISBLANK(C120),ISBLANK(D120),ISBLANK(F120),ISBLANK(G120)),"",COUNTIF($B$5:B120,"JAMBUTU"))</f>
        <v/>
      </c>
      <c r="B120" s="8"/>
      <c r="C120" s="8"/>
      <c r="D120" s="8"/>
      <c r="E120" s="13"/>
      <c r="F120" s="12"/>
      <c r="G120" s="11"/>
      <c r="H120" s="12"/>
      <c r="I120" s="11"/>
      <c r="J120" s="10">
        <f t="shared" si="10"/>
        <v>0</v>
      </c>
      <c r="K120" s="10">
        <f t="shared" si="11"/>
        <v>0</v>
      </c>
      <c r="L120" s="9" t="str">
        <f t="shared" si="12"/>
        <v/>
      </c>
      <c r="M120" s="8"/>
      <c r="N120" s="8"/>
      <c r="O120" s="8"/>
      <c r="P120" s="8"/>
      <c r="Q120" s="8"/>
      <c r="R120" s="8"/>
      <c r="S120" s="8"/>
      <c r="T120" s="8"/>
      <c r="U120" s="8"/>
      <c r="V120" s="7"/>
      <c r="W120" s="6" t="str">
        <f t="array" ref="W120">IF(NOT(ISBLANK(D120)),_xludf.XLOOKUP(D120,[2]CODE!$A$4:$A$100,[2]CODE!$D$4:$D$100),"")</f>
        <v/>
      </c>
      <c r="X120" s="5" t="str">
        <f t="array" ref="X120">IF(NOT(AND(ISBLANK(D120),ISBLANK(C120))),_xludf.XLOOKUP(D120,[2]CODE!$A$4:$A$100,[2]CODE!$E$4:$E$100),"")</f>
        <v/>
      </c>
      <c r="Y120" s="5" t="str">
        <f t="shared" si="13"/>
        <v/>
      </c>
      <c r="Z120" s="5" t="str">
        <f t="shared" si="14"/>
        <v/>
      </c>
      <c r="AA120" s="4">
        <f t="shared" si="15"/>
        <v>0</v>
      </c>
      <c r="AC120" s="2"/>
    </row>
    <row r="121" spans="1:29" ht="15.5">
      <c r="A121" s="13" t="str">
        <f>IF(OR(ISBLANK(C121),ISBLANK(D121),ISBLANK(F121),ISBLANK(G121)),"",COUNTIF($B$5:B121,"JAMBUTU"))</f>
        <v/>
      </c>
      <c r="B121" s="8"/>
      <c r="C121" s="8"/>
      <c r="D121" s="8"/>
      <c r="E121" s="13"/>
      <c r="F121" s="12"/>
      <c r="G121" s="11"/>
      <c r="H121" s="12"/>
      <c r="I121" s="11"/>
      <c r="J121" s="10">
        <f t="shared" si="10"/>
        <v>0</v>
      </c>
      <c r="K121" s="10">
        <f t="shared" si="11"/>
        <v>0</v>
      </c>
      <c r="L121" s="9" t="str">
        <f t="shared" si="12"/>
        <v/>
      </c>
      <c r="M121" s="8"/>
      <c r="N121" s="8"/>
      <c r="O121" s="8"/>
      <c r="P121" s="8"/>
      <c r="Q121" s="8"/>
      <c r="R121" s="8"/>
      <c r="S121" s="8"/>
      <c r="T121" s="8"/>
      <c r="U121" s="8"/>
      <c r="V121" s="7"/>
      <c r="W121" s="6" t="str">
        <f t="array" ref="W121">IF(NOT(ISBLANK(D121)),_xludf.XLOOKUP(D121,[2]CODE!$A$4:$A$100,[2]CODE!$D$4:$D$100),"")</f>
        <v/>
      </c>
      <c r="X121" s="5" t="str">
        <f t="array" ref="X121">IF(NOT(AND(ISBLANK(D121),ISBLANK(C121))),_xludf.XLOOKUP(D121,[2]CODE!$A$4:$A$100,[2]CODE!$E$4:$E$100),"")</f>
        <v/>
      </c>
      <c r="Y121" s="5" t="str">
        <f t="shared" si="13"/>
        <v/>
      </c>
      <c r="Z121" s="5" t="str">
        <f t="shared" si="14"/>
        <v/>
      </c>
      <c r="AA121" s="4">
        <f t="shared" si="15"/>
        <v>0</v>
      </c>
      <c r="AC121" s="2"/>
    </row>
    <row r="122" spans="1:29" ht="15.5">
      <c r="A122" s="13" t="str">
        <f>IF(OR(ISBLANK(C122),ISBLANK(D122),ISBLANK(F122),ISBLANK(G122)),"",COUNTIF($B$5:B122,"JAMBUTU"))</f>
        <v/>
      </c>
      <c r="B122" s="8"/>
      <c r="C122" s="8"/>
      <c r="D122" s="8"/>
      <c r="E122" s="13"/>
      <c r="F122" s="12"/>
      <c r="G122" s="11"/>
      <c r="H122" s="12"/>
      <c r="I122" s="11"/>
      <c r="J122" s="10">
        <f t="shared" si="10"/>
        <v>0</v>
      </c>
      <c r="K122" s="10">
        <f t="shared" si="11"/>
        <v>0</v>
      </c>
      <c r="L122" s="9" t="str">
        <f t="shared" si="12"/>
        <v/>
      </c>
      <c r="M122" s="8"/>
      <c r="N122" s="8"/>
      <c r="O122" s="8"/>
      <c r="P122" s="8"/>
      <c r="Q122" s="8"/>
      <c r="R122" s="8"/>
      <c r="S122" s="8"/>
      <c r="T122" s="8"/>
      <c r="U122" s="8"/>
      <c r="V122" s="7"/>
      <c r="W122" s="6" t="str">
        <f t="array" ref="W122">IF(NOT(ISBLANK(D122)),_xludf.XLOOKUP(D122,[2]CODE!$A$4:$A$100,[2]CODE!$D$4:$D$100),"")</f>
        <v/>
      </c>
      <c r="X122" s="5" t="str">
        <f t="array" ref="X122">IF(NOT(AND(ISBLANK(D122),ISBLANK(C122))),_xludf.XLOOKUP(D122,[2]CODE!$A$4:$A$100,[2]CODE!$E$4:$E$100),"")</f>
        <v/>
      </c>
      <c r="Y122" s="5" t="str">
        <f t="shared" si="13"/>
        <v/>
      </c>
      <c r="Z122" s="5" t="str">
        <f t="shared" si="14"/>
        <v/>
      </c>
      <c r="AA122" s="4">
        <f t="shared" si="15"/>
        <v>0</v>
      </c>
      <c r="AC122" s="2"/>
    </row>
    <row r="123" spans="1:29" ht="15.5">
      <c r="A123" s="13" t="str">
        <f>IF(OR(ISBLANK(C123),ISBLANK(D123),ISBLANK(F123),ISBLANK(G123)),"",COUNTIF($B$5:B123,"JAMBUTU"))</f>
        <v/>
      </c>
      <c r="B123" s="8"/>
      <c r="C123" s="8"/>
      <c r="D123" s="8"/>
      <c r="E123" s="13"/>
      <c r="F123" s="12"/>
      <c r="G123" s="11"/>
      <c r="H123" s="12"/>
      <c r="I123" s="11"/>
      <c r="J123" s="10">
        <f t="shared" si="10"/>
        <v>0</v>
      </c>
      <c r="K123" s="10">
        <f t="shared" si="11"/>
        <v>0</v>
      </c>
      <c r="L123" s="9" t="str">
        <f t="shared" si="12"/>
        <v/>
      </c>
      <c r="M123" s="8"/>
      <c r="N123" s="8"/>
      <c r="O123" s="8"/>
      <c r="P123" s="8"/>
      <c r="Q123" s="8"/>
      <c r="R123" s="8"/>
      <c r="S123" s="8"/>
      <c r="T123" s="8"/>
      <c r="U123" s="8"/>
      <c r="V123" s="7"/>
      <c r="W123" s="6" t="str">
        <f t="array" ref="W123">IF(NOT(ISBLANK(D123)),_xludf.XLOOKUP(D123,[2]CODE!$A$4:$A$100,[2]CODE!$D$4:$D$100),"")</f>
        <v/>
      </c>
      <c r="X123" s="5" t="str">
        <f t="array" ref="X123">IF(NOT(AND(ISBLANK(D123),ISBLANK(C123))),_xludf.XLOOKUP(D123,[2]CODE!$A$4:$A$100,[2]CODE!$E$4:$E$100),"")</f>
        <v/>
      </c>
      <c r="Y123" s="5" t="str">
        <f t="shared" si="13"/>
        <v/>
      </c>
      <c r="Z123" s="5" t="str">
        <f t="shared" si="14"/>
        <v/>
      </c>
      <c r="AA123" s="4">
        <f t="shared" si="15"/>
        <v>0</v>
      </c>
      <c r="AC123" s="2"/>
    </row>
    <row r="124" spans="1:29" ht="15.5">
      <c r="A124" s="13" t="str">
        <f>IF(OR(ISBLANK(C124),ISBLANK(D124),ISBLANK(F124),ISBLANK(G124)),"",COUNTIF($B$5:B124,"JAMBUTU"))</f>
        <v/>
      </c>
      <c r="B124" s="8"/>
      <c r="C124" s="8"/>
      <c r="D124" s="8"/>
      <c r="E124" s="13"/>
      <c r="F124" s="12"/>
      <c r="G124" s="11"/>
      <c r="H124" s="12"/>
      <c r="I124" s="11"/>
      <c r="J124" s="10">
        <f t="shared" si="10"/>
        <v>0</v>
      </c>
      <c r="K124" s="10">
        <f t="shared" si="11"/>
        <v>0</v>
      </c>
      <c r="L124" s="9" t="str">
        <f t="shared" si="12"/>
        <v/>
      </c>
      <c r="M124" s="8"/>
      <c r="N124" s="8"/>
      <c r="O124" s="8"/>
      <c r="P124" s="8"/>
      <c r="Q124" s="8"/>
      <c r="R124" s="8"/>
      <c r="S124" s="8"/>
      <c r="T124" s="8"/>
      <c r="U124" s="8"/>
      <c r="V124" s="7"/>
      <c r="W124" s="6" t="str">
        <f t="array" ref="W124">IF(NOT(ISBLANK(D124)),_xludf.XLOOKUP(D124,[2]CODE!$A$4:$A$100,[2]CODE!$D$4:$D$100),"")</f>
        <v/>
      </c>
      <c r="X124" s="5" t="str">
        <f t="array" ref="X124">IF(NOT(AND(ISBLANK(D124),ISBLANK(C124))),_xludf.XLOOKUP(D124,[2]CODE!$A$4:$A$100,[2]CODE!$E$4:$E$100),"")</f>
        <v/>
      </c>
      <c r="Y124" s="5" t="str">
        <f t="shared" si="13"/>
        <v/>
      </c>
      <c r="Z124" s="5" t="str">
        <f t="shared" si="14"/>
        <v/>
      </c>
      <c r="AA124" s="4">
        <f t="shared" si="15"/>
        <v>0</v>
      </c>
      <c r="AC124" s="2"/>
    </row>
    <row r="125" spans="1:29" ht="15.5">
      <c r="A125" s="13" t="str">
        <f>IF(OR(ISBLANK(C125),ISBLANK(D125),ISBLANK(F125),ISBLANK(G125)),"",COUNTIF($B$5:B125,"JAMBUTU"))</f>
        <v/>
      </c>
      <c r="B125" s="8"/>
      <c r="C125" s="8"/>
      <c r="D125" s="8"/>
      <c r="E125" s="13"/>
      <c r="F125" s="12"/>
      <c r="G125" s="11"/>
      <c r="H125" s="12"/>
      <c r="I125" s="11"/>
      <c r="J125" s="10">
        <f t="shared" si="10"/>
        <v>0</v>
      </c>
      <c r="K125" s="10">
        <f t="shared" si="11"/>
        <v>0</v>
      </c>
      <c r="L125" s="9" t="str">
        <f t="shared" si="12"/>
        <v/>
      </c>
      <c r="M125" s="8"/>
      <c r="N125" s="8"/>
      <c r="O125" s="8"/>
      <c r="P125" s="8"/>
      <c r="Q125" s="8"/>
      <c r="R125" s="8"/>
      <c r="S125" s="8"/>
      <c r="T125" s="8"/>
      <c r="U125" s="8"/>
      <c r="V125" s="7"/>
      <c r="W125" s="6" t="str">
        <f t="array" ref="W125">IF(NOT(ISBLANK(D125)),_xludf.XLOOKUP(D125,[2]CODE!$A$4:$A$100,[2]CODE!$D$4:$D$100),"")</f>
        <v/>
      </c>
      <c r="X125" s="5" t="str">
        <f t="array" ref="X125">IF(NOT(AND(ISBLANK(D125),ISBLANK(C125))),_xludf.XLOOKUP(D125,[2]CODE!$A$4:$A$100,[2]CODE!$E$4:$E$100),"")</f>
        <v/>
      </c>
      <c r="Y125" s="5" t="str">
        <f t="shared" si="13"/>
        <v/>
      </c>
      <c r="Z125" s="5" t="str">
        <f t="shared" si="14"/>
        <v/>
      </c>
      <c r="AA125" s="4">
        <f t="shared" si="15"/>
        <v>0</v>
      </c>
      <c r="AC125" s="2"/>
    </row>
    <row r="126" spans="1:29" ht="15.5">
      <c r="A126" s="13" t="str">
        <f>IF(OR(ISBLANK(C126),ISBLANK(D126),ISBLANK(F126),ISBLANK(G126)),"",COUNTIF($B$5:B126,"JAMBUTU"))</f>
        <v/>
      </c>
      <c r="B126" s="8"/>
      <c r="C126" s="8"/>
      <c r="D126" s="8"/>
      <c r="E126" s="13"/>
      <c r="F126" s="12"/>
      <c r="G126" s="11"/>
      <c r="H126" s="12"/>
      <c r="I126" s="11"/>
      <c r="J126" s="10">
        <f t="shared" si="10"/>
        <v>0</v>
      </c>
      <c r="K126" s="10">
        <f t="shared" si="11"/>
        <v>0</v>
      </c>
      <c r="L126" s="9" t="str">
        <f t="shared" si="12"/>
        <v/>
      </c>
      <c r="M126" s="8"/>
      <c r="N126" s="8"/>
      <c r="O126" s="8"/>
      <c r="P126" s="8"/>
      <c r="Q126" s="8"/>
      <c r="R126" s="8"/>
      <c r="S126" s="8"/>
      <c r="T126" s="8"/>
      <c r="U126" s="8"/>
      <c r="V126" s="7"/>
      <c r="W126" s="6" t="str">
        <f t="array" ref="W126">IF(NOT(ISBLANK(D126)),_xludf.XLOOKUP(D126,[2]CODE!$A$4:$A$100,[2]CODE!$D$4:$D$100),"")</f>
        <v/>
      </c>
      <c r="X126" s="5" t="str">
        <f t="array" ref="X126">IF(NOT(AND(ISBLANK(D126),ISBLANK(C126))),_xludf.XLOOKUP(D126,[2]CODE!$A$4:$A$100,[2]CODE!$E$4:$E$100),"")</f>
        <v/>
      </c>
      <c r="Y126" s="5" t="str">
        <f t="shared" si="13"/>
        <v/>
      </c>
      <c r="Z126" s="5" t="str">
        <f t="shared" si="14"/>
        <v/>
      </c>
      <c r="AA126" s="4">
        <f t="shared" si="15"/>
        <v>0</v>
      </c>
      <c r="AC126" s="2"/>
    </row>
    <row r="127" spans="1:29" ht="15.5">
      <c r="A127" s="13" t="str">
        <f>IF(OR(ISBLANK(C127),ISBLANK(D127),ISBLANK(F127),ISBLANK(G127)),"",COUNTIF($B$5:B127,"JAMBUTU"))</f>
        <v/>
      </c>
      <c r="B127" s="8"/>
      <c r="C127" s="8"/>
      <c r="D127" s="8"/>
      <c r="E127" s="13"/>
      <c r="F127" s="12"/>
      <c r="G127" s="11"/>
      <c r="H127" s="12"/>
      <c r="I127" s="11"/>
      <c r="J127" s="10">
        <f t="shared" si="10"/>
        <v>0</v>
      </c>
      <c r="K127" s="10">
        <f t="shared" si="11"/>
        <v>0</v>
      </c>
      <c r="L127" s="9" t="str">
        <f t="shared" si="12"/>
        <v/>
      </c>
      <c r="M127" s="8"/>
      <c r="N127" s="8"/>
      <c r="O127" s="8"/>
      <c r="P127" s="8"/>
      <c r="Q127" s="8"/>
      <c r="R127" s="8"/>
      <c r="S127" s="8"/>
      <c r="T127" s="8"/>
      <c r="U127" s="8"/>
      <c r="V127" s="7"/>
      <c r="W127" s="6" t="str">
        <f t="array" ref="W127">IF(NOT(ISBLANK(D127)),_xludf.XLOOKUP(D127,[2]CODE!$A$4:$A$100,[2]CODE!$D$4:$D$100),"")</f>
        <v/>
      </c>
      <c r="X127" s="5" t="str">
        <f t="array" ref="X127">IF(NOT(AND(ISBLANK(D127),ISBLANK(C127))),_xludf.XLOOKUP(D127,[2]CODE!$A$4:$A$100,[2]CODE!$E$4:$E$100),"")</f>
        <v/>
      </c>
      <c r="Y127" s="5" t="str">
        <f t="shared" si="13"/>
        <v/>
      </c>
      <c r="Z127" s="5" t="str">
        <f t="shared" si="14"/>
        <v/>
      </c>
      <c r="AA127" s="4">
        <f t="shared" si="15"/>
        <v>0</v>
      </c>
      <c r="AC127" s="2"/>
    </row>
    <row r="128" spans="1:29" ht="15.5">
      <c r="A128" s="13" t="str">
        <f>IF(OR(ISBLANK(C128),ISBLANK(D128),ISBLANK(F128),ISBLANK(G128)),"",COUNTIF($B$5:B128,"JAMBUTU"))</f>
        <v/>
      </c>
      <c r="B128" s="8"/>
      <c r="C128" s="8"/>
      <c r="D128" s="8"/>
      <c r="E128" s="13"/>
      <c r="F128" s="12"/>
      <c r="G128" s="11"/>
      <c r="H128" s="12"/>
      <c r="I128" s="11"/>
      <c r="J128" s="10">
        <f t="shared" si="10"/>
        <v>0</v>
      </c>
      <c r="K128" s="10">
        <f t="shared" si="11"/>
        <v>0</v>
      </c>
      <c r="L128" s="9" t="str">
        <f t="shared" si="12"/>
        <v/>
      </c>
      <c r="M128" s="8"/>
      <c r="N128" s="8"/>
      <c r="O128" s="8"/>
      <c r="P128" s="8"/>
      <c r="Q128" s="8"/>
      <c r="R128" s="8"/>
      <c r="S128" s="8"/>
      <c r="T128" s="8"/>
      <c r="U128" s="8"/>
      <c r="V128" s="7"/>
      <c r="W128" s="6" t="str">
        <f t="array" ref="W128">IF(NOT(ISBLANK(D128)),_xludf.XLOOKUP(D128,[2]CODE!$A$4:$A$100,[2]CODE!$D$4:$D$100),"")</f>
        <v/>
      </c>
      <c r="X128" s="5" t="str">
        <f t="array" ref="X128">IF(NOT(AND(ISBLANK(D128),ISBLANK(C128))),_xludf.XLOOKUP(D128,[2]CODE!$A$4:$A$100,[2]CODE!$E$4:$E$100),"")</f>
        <v/>
      </c>
      <c r="Y128" s="5" t="str">
        <f t="shared" si="13"/>
        <v/>
      </c>
      <c r="Z128" s="5" t="str">
        <f t="shared" si="14"/>
        <v/>
      </c>
      <c r="AA128" s="4">
        <f t="shared" si="15"/>
        <v>0</v>
      </c>
      <c r="AC128" s="2"/>
    </row>
    <row r="129" spans="1:29" ht="15.5">
      <c r="A129" s="13" t="str">
        <f>IF(OR(ISBLANK(C129),ISBLANK(D129),ISBLANK(F129),ISBLANK(G129)),"",COUNTIF($B$5:B129,"JAMBUTU"))</f>
        <v/>
      </c>
      <c r="B129" s="8"/>
      <c r="C129" s="8"/>
      <c r="D129" s="8"/>
      <c r="E129" s="13"/>
      <c r="F129" s="12"/>
      <c r="G129" s="11"/>
      <c r="H129" s="12"/>
      <c r="I129" s="11"/>
      <c r="J129" s="10">
        <f t="shared" si="10"/>
        <v>0</v>
      </c>
      <c r="K129" s="10">
        <f t="shared" si="11"/>
        <v>0</v>
      </c>
      <c r="L129" s="9" t="str">
        <f t="shared" si="12"/>
        <v/>
      </c>
      <c r="M129" s="8"/>
      <c r="N129" s="8"/>
      <c r="O129" s="8"/>
      <c r="P129" s="8"/>
      <c r="Q129" s="8"/>
      <c r="R129" s="8"/>
      <c r="S129" s="8"/>
      <c r="T129" s="8"/>
      <c r="U129" s="8"/>
      <c r="V129" s="7"/>
      <c r="W129" s="6" t="str">
        <f t="array" ref="W129">IF(NOT(ISBLANK(D129)),_xludf.XLOOKUP(D129,[2]CODE!$A$4:$A$100,[2]CODE!$D$4:$D$100),"")</f>
        <v/>
      </c>
      <c r="X129" s="5" t="str">
        <f t="array" ref="X129">IF(NOT(AND(ISBLANK(D129),ISBLANK(C129))),_xludf.XLOOKUP(D129,[2]CODE!$A$4:$A$100,[2]CODE!$E$4:$E$100),"")</f>
        <v/>
      </c>
      <c r="Y129" s="5" t="str">
        <f t="shared" si="13"/>
        <v/>
      </c>
      <c r="Z129" s="5" t="str">
        <f t="shared" si="14"/>
        <v/>
      </c>
      <c r="AA129" s="4">
        <f t="shared" si="15"/>
        <v>0</v>
      </c>
      <c r="AC129" s="2"/>
    </row>
    <row r="130" spans="1:29" ht="15.5">
      <c r="A130" s="13" t="str">
        <f>IF(OR(ISBLANK(C130),ISBLANK(D130),ISBLANK(F130),ISBLANK(G130)),"",COUNTIF($B$5:B130,"JAMBUTU"))</f>
        <v/>
      </c>
      <c r="B130" s="8"/>
      <c r="C130" s="8"/>
      <c r="D130" s="8"/>
      <c r="E130" s="13"/>
      <c r="F130" s="12"/>
      <c r="G130" s="11"/>
      <c r="H130" s="12"/>
      <c r="I130" s="11"/>
      <c r="J130" s="10">
        <f t="shared" si="10"/>
        <v>0</v>
      </c>
      <c r="K130" s="10">
        <f t="shared" si="11"/>
        <v>0</v>
      </c>
      <c r="L130" s="9" t="str">
        <f t="shared" si="12"/>
        <v/>
      </c>
      <c r="M130" s="8"/>
      <c r="N130" s="8"/>
      <c r="O130" s="8"/>
      <c r="P130" s="8"/>
      <c r="Q130" s="8"/>
      <c r="R130" s="8"/>
      <c r="S130" s="8"/>
      <c r="T130" s="8"/>
      <c r="U130" s="8"/>
      <c r="V130" s="7"/>
      <c r="W130" s="6" t="str">
        <f t="array" ref="W130">IF(NOT(ISBLANK(D130)),_xludf.XLOOKUP(D130,[2]CODE!$A$4:$A$100,[2]CODE!$D$4:$D$100),"")</f>
        <v/>
      </c>
      <c r="X130" s="5" t="str">
        <f t="array" ref="X130">IF(NOT(AND(ISBLANK(D130),ISBLANK(C130))),_xludf.XLOOKUP(D130,[2]CODE!$A$4:$A$100,[2]CODE!$E$4:$E$100),"")</f>
        <v/>
      </c>
      <c r="Y130" s="5" t="str">
        <f t="shared" si="13"/>
        <v/>
      </c>
      <c r="Z130" s="5" t="str">
        <f t="shared" si="14"/>
        <v/>
      </c>
      <c r="AA130" s="4">
        <f t="shared" si="15"/>
        <v>0</v>
      </c>
      <c r="AC130" s="2"/>
    </row>
    <row r="131" spans="1:29" ht="15.5">
      <c r="A131" s="13" t="str">
        <f>IF(OR(ISBLANK(C131),ISBLANK(D131),ISBLANK(F131),ISBLANK(G131)),"",COUNTIF($B$5:B131,"JAMBUTU"))</f>
        <v/>
      </c>
      <c r="B131" s="8"/>
      <c r="C131" s="8"/>
      <c r="D131" s="8"/>
      <c r="E131" s="13"/>
      <c r="F131" s="12"/>
      <c r="G131" s="11"/>
      <c r="H131" s="12"/>
      <c r="I131" s="11"/>
      <c r="J131" s="10">
        <f t="shared" si="10"/>
        <v>0</v>
      </c>
      <c r="K131" s="10">
        <f t="shared" si="11"/>
        <v>0</v>
      </c>
      <c r="L131" s="9" t="str">
        <f t="shared" si="12"/>
        <v/>
      </c>
      <c r="M131" s="8"/>
      <c r="N131" s="8"/>
      <c r="O131" s="8"/>
      <c r="P131" s="8"/>
      <c r="Q131" s="8"/>
      <c r="R131" s="8"/>
      <c r="S131" s="8"/>
      <c r="T131" s="8"/>
      <c r="U131" s="8"/>
      <c r="V131" s="7"/>
      <c r="W131" s="6" t="str">
        <f t="array" ref="W131">IF(NOT(ISBLANK(D131)),_xludf.XLOOKUP(D131,[2]CODE!$A$4:$A$100,[2]CODE!$D$4:$D$100),"")</f>
        <v/>
      </c>
      <c r="X131" s="5" t="str">
        <f t="array" ref="X131">IF(NOT(AND(ISBLANK(D131),ISBLANK(C131))),_xludf.XLOOKUP(D131,[2]CODE!$A$4:$A$100,[2]CODE!$E$4:$E$100),"")</f>
        <v/>
      </c>
      <c r="Y131" s="5" t="str">
        <f t="shared" si="13"/>
        <v/>
      </c>
      <c r="Z131" s="5" t="str">
        <f t="shared" si="14"/>
        <v/>
      </c>
      <c r="AA131" s="4">
        <f t="shared" si="15"/>
        <v>0</v>
      </c>
      <c r="AC131" s="2"/>
    </row>
    <row r="132" spans="1:29" ht="15.5">
      <c r="A132" s="13">
        <f>IF(OR(ISBLANK(C132),ISBLANK(D132),ISBLANK(F132),ISBLANK(G132)),"",COUNTIF($B$5:B132,"JAMBUTU"))</f>
        <v>18</v>
      </c>
      <c r="B132" s="8" t="str">
        <f>IF(C132&lt;&gt;"","Jambutu","")</f>
        <v>Jambutu</v>
      </c>
      <c r="C132" s="8" t="s">
        <v>4</v>
      </c>
      <c r="D132" s="8" t="s">
        <v>6</v>
      </c>
      <c r="E132" s="13">
        <v>4</v>
      </c>
      <c r="F132" s="12">
        <v>46071</v>
      </c>
      <c r="G132" s="11">
        <v>0.65069444444444446</v>
      </c>
      <c r="H132" s="12">
        <v>46071</v>
      </c>
      <c r="I132" s="11">
        <v>0.65763888888888888</v>
      </c>
      <c r="J132" s="10">
        <f t="shared" si="10"/>
        <v>46071.650694444441</v>
      </c>
      <c r="K132" s="10">
        <f t="shared" si="11"/>
        <v>46071.657638888886</v>
      </c>
      <c r="L132" s="9">
        <f t="shared" si="12"/>
        <v>6.9444444452528842E-3</v>
      </c>
      <c r="M132" s="8" t="s">
        <v>2</v>
      </c>
      <c r="N132" s="8" t="s">
        <v>53</v>
      </c>
      <c r="O132" s="8" t="s">
        <v>0</v>
      </c>
      <c r="P132" s="8"/>
      <c r="Q132" s="8"/>
      <c r="R132" s="8"/>
      <c r="S132" s="8"/>
      <c r="T132" s="8"/>
      <c r="U132" s="8"/>
      <c r="V132" s="7"/>
      <c r="W132" s="6" t="e">
        <f t="array" aca="1" ref="W132" ca="1">IF(NOT(ISBLANK(D132)),_xludf.XLOOKUP(D132,[2]CODE!$A$4:$A$100,[2]CODE!$D$4:$D$100),"")</f>
        <v>#NAME?</v>
      </c>
      <c r="X132" s="5" t="e">
        <f t="array" aca="1" ref="X132" ca="1">IF(NOT(AND(ISBLANK(D132),ISBLANK(C132))),_xludf.XLOOKUP(D132,[2]CODE!$A$4:$A$100,[2]CODE!$E$4:$E$100),"")</f>
        <v>#NAME?</v>
      </c>
      <c r="Y132" s="5" t="str">
        <f t="shared" si="13"/>
        <v>33KV</v>
      </c>
      <c r="Z132" s="5" t="str">
        <f t="shared" si="14"/>
        <v>YES</v>
      </c>
      <c r="AA132" s="4">
        <f t="shared" si="15"/>
        <v>46071</v>
      </c>
      <c r="AC132" s="2"/>
    </row>
    <row r="133" spans="1:29" ht="15.5">
      <c r="A133" s="13" t="str">
        <f>IF(OR(ISBLANK(C133),ISBLANK(D133),ISBLANK(F133),ISBLANK(G133)),"",COUNTIF($B$5:B133,"JAMBUTU"))</f>
        <v/>
      </c>
      <c r="B133" s="8"/>
      <c r="C133" s="8"/>
      <c r="D133" s="8"/>
      <c r="E133" s="13"/>
      <c r="F133" s="12"/>
      <c r="G133" s="11"/>
      <c r="H133" s="12"/>
      <c r="I133" s="11"/>
      <c r="J133" s="10">
        <f t="shared" ref="J133:J196" si="16">DATE(YEAR(F133),MONTH(F133),DAY(F133))+TIME(HOUR(G133),MINUTE(G133), SECOND(G133))</f>
        <v>0</v>
      </c>
      <c r="K133" s="10">
        <f t="shared" ref="K133:K196" si="17">DATE(YEAR(H133),MONTH(H133),DAY(H133))+TIME(HOUR(I133),MINUTE(I133), SECOND(I133))</f>
        <v>0</v>
      </c>
      <c r="L133" s="9" t="str">
        <f t="shared" ref="L133:L196" si="18">IF(ISBLANK(I133),"",IF(J133&gt;K133,(K133+1)-J133,K133-J133))</f>
        <v/>
      </c>
      <c r="M133" s="8"/>
      <c r="N133" s="8"/>
      <c r="O133" s="8"/>
      <c r="P133" s="8"/>
      <c r="Q133" s="8"/>
      <c r="R133" s="8"/>
      <c r="S133" s="8"/>
      <c r="T133" s="8"/>
      <c r="U133" s="8"/>
      <c r="V133" s="7"/>
      <c r="W133" s="6" t="str">
        <f t="array" ref="W133">IF(NOT(ISBLANK(D133)),_xludf.XLOOKUP(D133,[2]CODE!$A$4:$A$100,[2]CODE!$D$4:$D$100),"")</f>
        <v/>
      </c>
      <c r="X133" s="5" t="str">
        <f t="array" ref="X133">IF(NOT(AND(ISBLANK(D133),ISBLANK(C133))),_xludf.XLOOKUP(D133,[2]CODE!$A$4:$A$100,[2]CODE!$E$4:$E$100),"")</f>
        <v/>
      </c>
      <c r="Y133" s="5" t="str">
        <f t="shared" ref="Y133:Y196" si="19">LEFT(C133,4)</f>
        <v/>
      </c>
      <c r="Z133" s="5" t="str">
        <f t="shared" ref="Z133:Z196" si="20">IF(NOT(ISBLANK(C133)), IF(K133&gt;J133,"YES","NO"),"")</f>
        <v/>
      </c>
      <c r="AA133" s="4">
        <f t="shared" ref="AA133:AA196" si="21">IF(AND(F133=H133,Z133="NO"),1+H133,H133)</f>
        <v>0</v>
      </c>
      <c r="AC133" s="2"/>
    </row>
    <row r="134" spans="1:29" ht="15.5">
      <c r="A134" s="13" t="str">
        <f>IF(OR(ISBLANK(C134),ISBLANK(D134),ISBLANK(F134),ISBLANK(G134)),"",COUNTIF($B$5:B134,"JAMBUTU"))</f>
        <v/>
      </c>
      <c r="B134" s="8"/>
      <c r="C134" s="8"/>
      <c r="D134" s="8"/>
      <c r="E134" s="13"/>
      <c r="F134" s="12"/>
      <c r="G134" s="11"/>
      <c r="H134" s="12"/>
      <c r="I134" s="11"/>
      <c r="J134" s="10">
        <f t="shared" si="16"/>
        <v>0</v>
      </c>
      <c r="K134" s="10">
        <f t="shared" si="17"/>
        <v>0</v>
      </c>
      <c r="L134" s="9" t="str">
        <f t="shared" si="18"/>
        <v/>
      </c>
      <c r="M134" s="8"/>
      <c r="N134" s="8"/>
      <c r="O134" s="8"/>
      <c r="P134" s="8"/>
      <c r="Q134" s="8"/>
      <c r="R134" s="8"/>
      <c r="S134" s="8"/>
      <c r="T134" s="8"/>
      <c r="U134" s="8"/>
      <c r="V134" s="7"/>
      <c r="W134" s="6" t="str">
        <f t="array" ref="W134">IF(NOT(ISBLANK(D134)),_xludf.XLOOKUP(D134,[2]CODE!$A$4:$A$100,[2]CODE!$D$4:$D$100),"")</f>
        <v/>
      </c>
      <c r="X134" s="5" t="str">
        <f t="array" ref="X134">IF(NOT(AND(ISBLANK(D134),ISBLANK(C134))),_xludf.XLOOKUP(D134,[2]CODE!$A$4:$A$100,[2]CODE!$E$4:$E$100),"")</f>
        <v/>
      </c>
      <c r="Y134" s="5" t="str">
        <f t="shared" si="19"/>
        <v/>
      </c>
      <c r="Z134" s="5" t="str">
        <f t="shared" si="20"/>
        <v/>
      </c>
      <c r="AA134" s="4">
        <f t="shared" si="21"/>
        <v>0</v>
      </c>
      <c r="AC134" s="2"/>
    </row>
    <row r="135" spans="1:29" ht="15.5">
      <c r="A135" s="13" t="str">
        <f>IF(OR(ISBLANK(C135),ISBLANK(D135),ISBLANK(F135),ISBLANK(G135)),"",COUNTIF($B$5:B135,"JAMBUTU"))</f>
        <v/>
      </c>
      <c r="B135" s="8"/>
      <c r="C135" s="8"/>
      <c r="D135" s="8"/>
      <c r="E135" s="13"/>
      <c r="F135" s="12"/>
      <c r="G135" s="11"/>
      <c r="H135" s="12"/>
      <c r="I135" s="11"/>
      <c r="J135" s="10">
        <f t="shared" si="16"/>
        <v>0</v>
      </c>
      <c r="K135" s="10">
        <f t="shared" si="17"/>
        <v>0</v>
      </c>
      <c r="L135" s="9" t="str">
        <f t="shared" si="18"/>
        <v/>
      </c>
      <c r="M135" s="8"/>
      <c r="N135" s="8"/>
      <c r="O135" s="8"/>
      <c r="P135" s="8"/>
      <c r="Q135" s="8"/>
      <c r="R135" s="8"/>
      <c r="S135" s="8"/>
      <c r="T135" s="8"/>
      <c r="U135" s="8"/>
      <c r="V135" s="7"/>
      <c r="W135" s="6" t="str">
        <f t="array" ref="W135">IF(NOT(ISBLANK(D135)),_xludf.XLOOKUP(D135,[2]CODE!$A$4:$A$100,[2]CODE!$D$4:$D$100),"")</f>
        <v/>
      </c>
      <c r="X135" s="5" t="str">
        <f t="array" ref="X135">IF(NOT(AND(ISBLANK(D135),ISBLANK(C135))),_xludf.XLOOKUP(D135,[2]CODE!$A$4:$A$100,[2]CODE!$E$4:$E$100),"")</f>
        <v/>
      </c>
      <c r="Y135" s="5" t="str">
        <f t="shared" si="19"/>
        <v/>
      </c>
      <c r="Z135" s="5" t="str">
        <f t="shared" si="20"/>
        <v/>
      </c>
      <c r="AA135" s="4">
        <f t="shared" si="21"/>
        <v>0</v>
      </c>
      <c r="AC135" s="2"/>
    </row>
    <row r="136" spans="1:29" ht="15.5">
      <c r="A136" s="13" t="str">
        <f>IF(OR(ISBLANK(C136),ISBLANK(D136),ISBLANK(F136),ISBLANK(G136)),"",COUNTIF($B$5:B136,"JAMBUTU"))</f>
        <v/>
      </c>
      <c r="B136" s="8"/>
      <c r="C136" s="8"/>
      <c r="D136" s="8"/>
      <c r="E136" s="13"/>
      <c r="F136" s="12"/>
      <c r="G136" s="11"/>
      <c r="H136" s="12"/>
      <c r="I136" s="11"/>
      <c r="J136" s="10">
        <f t="shared" si="16"/>
        <v>0</v>
      </c>
      <c r="K136" s="10">
        <f t="shared" si="17"/>
        <v>0</v>
      </c>
      <c r="L136" s="9" t="str">
        <f t="shared" si="18"/>
        <v/>
      </c>
      <c r="M136" s="8"/>
      <c r="N136" s="8"/>
      <c r="O136" s="8"/>
      <c r="P136" s="8"/>
      <c r="Q136" s="8"/>
      <c r="R136" s="8"/>
      <c r="S136" s="8"/>
      <c r="T136" s="8"/>
      <c r="U136" s="8"/>
      <c r="V136" s="7"/>
      <c r="W136" s="6" t="str">
        <f t="array" ref="W136">IF(NOT(ISBLANK(D136)),_xludf.XLOOKUP(D136,[2]CODE!$A$4:$A$100,[2]CODE!$D$4:$D$100),"")</f>
        <v/>
      </c>
      <c r="X136" s="5" t="str">
        <f t="array" ref="X136">IF(NOT(AND(ISBLANK(D136),ISBLANK(C136))),_xludf.XLOOKUP(D136,[2]CODE!$A$4:$A$100,[2]CODE!$E$4:$E$100),"")</f>
        <v/>
      </c>
      <c r="Y136" s="5" t="str">
        <f t="shared" si="19"/>
        <v/>
      </c>
      <c r="Z136" s="5" t="str">
        <f t="shared" si="20"/>
        <v/>
      </c>
      <c r="AA136" s="4">
        <f t="shared" si="21"/>
        <v>0</v>
      </c>
      <c r="AC136" s="2"/>
    </row>
    <row r="137" spans="1:29" ht="15.5">
      <c r="A137" s="13" t="str">
        <f>IF(OR(ISBLANK(C137),ISBLANK(D137),ISBLANK(F137),ISBLANK(G137)),"",COUNTIF($B$5:B137,"JAMBUTU"))</f>
        <v/>
      </c>
      <c r="B137" s="8"/>
      <c r="C137" s="8"/>
      <c r="D137" s="8"/>
      <c r="E137" s="13"/>
      <c r="F137" s="12"/>
      <c r="G137" s="11"/>
      <c r="H137" s="12"/>
      <c r="I137" s="11"/>
      <c r="J137" s="10">
        <f t="shared" si="16"/>
        <v>0</v>
      </c>
      <c r="K137" s="10">
        <f t="shared" si="17"/>
        <v>0</v>
      </c>
      <c r="L137" s="9" t="str">
        <f t="shared" si="18"/>
        <v/>
      </c>
      <c r="M137" s="8"/>
      <c r="N137" s="8"/>
      <c r="O137" s="8"/>
      <c r="P137" s="8"/>
      <c r="Q137" s="8"/>
      <c r="R137" s="8"/>
      <c r="S137" s="8"/>
      <c r="T137" s="8"/>
      <c r="U137" s="8"/>
      <c r="V137" s="7"/>
      <c r="W137" s="6" t="str">
        <f t="array" ref="W137">IF(NOT(ISBLANK(D137)),_xludf.XLOOKUP(D137,[2]CODE!$A$4:$A$100,[2]CODE!$D$4:$D$100),"")</f>
        <v/>
      </c>
      <c r="X137" s="5" t="str">
        <f t="array" ref="X137">IF(NOT(AND(ISBLANK(D137),ISBLANK(C137))),_xludf.XLOOKUP(D137,[2]CODE!$A$4:$A$100,[2]CODE!$E$4:$E$100),"")</f>
        <v/>
      </c>
      <c r="Y137" s="5" t="str">
        <f t="shared" si="19"/>
        <v/>
      </c>
      <c r="Z137" s="5" t="str">
        <f t="shared" si="20"/>
        <v/>
      </c>
      <c r="AA137" s="4">
        <f t="shared" si="21"/>
        <v>0</v>
      </c>
      <c r="AC137" s="2"/>
    </row>
    <row r="138" spans="1:29" ht="15.5">
      <c r="A138" s="13" t="str">
        <f>IF(OR(ISBLANK(C138),ISBLANK(D138),ISBLANK(F138),ISBLANK(G138)),"",COUNTIF($B$5:B138,"JAMBUTU"))</f>
        <v/>
      </c>
      <c r="B138" s="8"/>
      <c r="C138" s="8"/>
      <c r="D138" s="8"/>
      <c r="E138" s="13"/>
      <c r="F138" s="12"/>
      <c r="G138" s="11"/>
      <c r="H138" s="12"/>
      <c r="I138" s="15"/>
      <c r="J138" s="10">
        <f t="shared" si="16"/>
        <v>0</v>
      </c>
      <c r="K138" s="10">
        <f t="shared" si="17"/>
        <v>0</v>
      </c>
      <c r="L138" s="9" t="str">
        <f t="shared" si="18"/>
        <v/>
      </c>
      <c r="M138" s="8"/>
      <c r="N138" s="8"/>
      <c r="O138" s="8"/>
      <c r="P138" s="8"/>
      <c r="Q138" s="8"/>
      <c r="R138" s="8"/>
      <c r="S138" s="8"/>
      <c r="T138" s="8"/>
      <c r="U138" s="8"/>
      <c r="V138" s="7"/>
      <c r="W138" s="6" t="str">
        <f t="array" ref="W138">IF(NOT(ISBLANK(D138)),_xludf.XLOOKUP(D138,[2]CODE!$A$4:$A$100,[2]CODE!$D$4:$D$100),"")</f>
        <v/>
      </c>
      <c r="X138" s="5" t="str">
        <f t="array" ref="X138">IF(NOT(AND(ISBLANK(D138),ISBLANK(C138))),_xludf.XLOOKUP(D138,[2]CODE!$A$4:$A$100,[2]CODE!$E$4:$E$100),"")</f>
        <v/>
      </c>
      <c r="Y138" s="5" t="str">
        <f t="shared" si="19"/>
        <v/>
      </c>
      <c r="Z138" s="5" t="str">
        <f t="shared" si="20"/>
        <v/>
      </c>
      <c r="AA138" s="4">
        <f t="shared" si="21"/>
        <v>0</v>
      </c>
      <c r="AC138" s="2"/>
    </row>
    <row r="139" spans="1:29" ht="15.5">
      <c r="A139" s="13" t="str">
        <f>IF(OR(ISBLANK(C139),ISBLANK(D139),ISBLANK(F139),ISBLANK(G139)),"",COUNTIF($B$5:B139,"JAMBUTU"))</f>
        <v/>
      </c>
      <c r="B139" s="8"/>
      <c r="C139" s="8"/>
      <c r="D139" s="8"/>
      <c r="E139" s="13"/>
      <c r="F139" s="12"/>
      <c r="G139" s="11"/>
      <c r="H139" s="12"/>
      <c r="I139" s="11"/>
      <c r="J139" s="10">
        <f t="shared" si="16"/>
        <v>0</v>
      </c>
      <c r="K139" s="10">
        <f t="shared" si="17"/>
        <v>0</v>
      </c>
      <c r="L139" s="9" t="str">
        <f t="shared" si="18"/>
        <v/>
      </c>
      <c r="M139" s="8"/>
      <c r="N139" s="8"/>
      <c r="O139" s="8"/>
      <c r="P139" s="8"/>
      <c r="Q139" s="8"/>
      <c r="R139" s="8"/>
      <c r="S139" s="8"/>
      <c r="T139" s="8"/>
      <c r="U139" s="8"/>
      <c r="V139" s="7"/>
      <c r="W139" s="6" t="str">
        <f t="array" ref="W139">IF(NOT(ISBLANK(D139)),_xludf.XLOOKUP(D139,[2]CODE!$A$4:$A$100,[2]CODE!$D$4:$D$100),"")</f>
        <v/>
      </c>
      <c r="X139" s="5" t="str">
        <f t="array" ref="X139">IF(NOT(AND(ISBLANK(D139),ISBLANK(C139))),_xludf.XLOOKUP(D139,[2]CODE!$A$4:$A$100,[2]CODE!$E$4:$E$100),"")</f>
        <v/>
      </c>
      <c r="Y139" s="5" t="str">
        <f t="shared" si="19"/>
        <v/>
      </c>
      <c r="Z139" s="5" t="str">
        <f t="shared" si="20"/>
        <v/>
      </c>
      <c r="AA139" s="4">
        <f t="shared" si="21"/>
        <v>0</v>
      </c>
      <c r="AC139" s="2"/>
    </row>
    <row r="140" spans="1:29" ht="15.5">
      <c r="A140" s="13" t="str">
        <f>IF(OR(ISBLANK(C140),ISBLANK(D140),ISBLANK(F140),ISBLANK(G140)),"",COUNTIF($B$5:B140,"JAMBUTU"))</f>
        <v/>
      </c>
      <c r="B140" s="8"/>
      <c r="C140" s="8"/>
      <c r="D140" s="8"/>
      <c r="E140" s="13"/>
      <c r="F140" s="12"/>
      <c r="G140" s="11"/>
      <c r="H140" s="12"/>
      <c r="I140" s="11"/>
      <c r="J140" s="10">
        <f t="shared" si="16"/>
        <v>0</v>
      </c>
      <c r="K140" s="10">
        <f t="shared" si="17"/>
        <v>0</v>
      </c>
      <c r="L140" s="9" t="str">
        <f t="shared" si="18"/>
        <v/>
      </c>
      <c r="M140" s="8"/>
      <c r="N140" s="8"/>
      <c r="O140" s="8"/>
      <c r="P140" s="8"/>
      <c r="Q140" s="8"/>
      <c r="R140" s="8"/>
      <c r="S140" s="8"/>
      <c r="T140" s="8"/>
      <c r="U140" s="8"/>
      <c r="V140" s="7"/>
      <c r="W140" s="6" t="str">
        <f t="array" ref="W140">IF(NOT(ISBLANK(D140)),_xludf.XLOOKUP(D140,[2]CODE!$A$4:$A$100,[2]CODE!$D$4:$D$100),"")</f>
        <v/>
      </c>
      <c r="X140" s="5" t="str">
        <f t="array" ref="X140">IF(NOT(AND(ISBLANK(D140),ISBLANK(C140))),_xludf.XLOOKUP(D140,[2]CODE!$A$4:$A$100,[2]CODE!$E$4:$E$100),"")</f>
        <v/>
      </c>
      <c r="Y140" s="5" t="str">
        <f t="shared" si="19"/>
        <v/>
      </c>
      <c r="Z140" s="5" t="str">
        <f t="shared" si="20"/>
        <v/>
      </c>
      <c r="AA140" s="4">
        <f t="shared" si="21"/>
        <v>0</v>
      </c>
      <c r="AC140" s="2"/>
    </row>
    <row r="141" spans="1:29" ht="15.5">
      <c r="A141" s="13" t="str">
        <f>IF(OR(ISBLANK(C141),ISBLANK(D141),ISBLANK(F141),ISBLANK(G141)),"",COUNTIF($B$5:B141,"JAMBUTU"))</f>
        <v/>
      </c>
      <c r="B141" s="8"/>
      <c r="C141" s="8"/>
      <c r="D141" s="8"/>
      <c r="E141" s="13"/>
      <c r="F141" s="12"/>
      <c r="G141" s="11"/>
      <c r="H141" s="12"/>
      <c r="I141" s="11"/>
      <c r="J141" s="10">
        <f t="shared" si="16"/>
        <v>0</v>
      </c>
      <c r="K141" s="10">
        <f t="shared" si="17"/>
        <v>0</v>
      </c>
      <c r="L141" s="9" t="str">
        <f t="shared" si="18"/>
        <v/>
      </c>
      <c r="M141" s="8"/>
      <c r="N141" s="8"/>
      <c r="O141" s="8"/>
      <c r="P141" s="8"/>
      <c r="Q141" s="8"/>
      <c r="R141" s="8"/>
      <c r="S141" s="8"/>
      <c r="T141" s="8"/>
      <c r="U141" s="8"/>
      <c r="V141" s="7"/>
      <c r="W141" s="6" t="str">
        <f t="array" ref="W141">IF(NOT(ISBLANK(D141)),_xludf.XLOOKUP(D141,[2]CODE!$A$4:$A$100,[2]CODE!$D$4:$D$100),"")</f>
        <v/>
      </c>
      <c r="X141" s="5" t="str">
        <f t="array" ref="X141">IF(NOT(AND(ISBLANK(D141),ISBLANK(C141))),_xludf.XLOOKUP(D141,[2]CODE!$A$4:$A$100,[2]CODE!$E$4:$E$100),"")</f>
        <v/>
      </c>
      <c r="Y141" s="5" t="str">
        <f t="shared" si="19"/>
        <v/>
      </c>
      <c r="Z141" s="5" t="str">
        <f t="shared" si="20"/>
        <v/>
      </c>
      <c r="AA141" s="4">
        <f t="shared" si="21"/>
        <v>0</v>
      </c>
      <c r="AC141" s="2"/>
    </row>
    <row r="142" spans="1:29" ht="15.5">
      <c r="A142" s="13" t="str">
        <f>IF(OR(ISBLANK(C142),ISBLANK(D142),ISBLANK(F142),ISBLANK(G142)),"",COUNTIF($B$5:B142,"JAMBUTU"))</f>
        <v/>
      </c>
      <c r="B142" s="8"/>
      <c r="C142" s="8"/>
      <c r="D142" s="8"/>
      <c r="E142" s="13"/>
      <c r="F142" s="12"/>
      <c r="G142" s="11"/>
      <c r="H142" s="12"/>
      <c r="I142" s="11"/>
      <c r="J142" s="10">
        <f t="shared" si="16"/>
        <v>0</v>
      </c>
      <c r="K142" s="10">
        <f t="shared" si="17"/>
        <v>0</v>
      </c>
      <c r="L142" s="9" t="str">
        <f t="shared" si="18"/>
        <v/>
      </c>
      <c r="M142" s="8"/>
      <c r="N142" s="8"/>
      <c r="O142" s="8"/>
      <c r="P142" s="8"/>
      <c r="Q142" s="8"/>
      <c r="R142" s="8"/>
      <c r="S142" s="8"/>
      <c r="T142" s="8"/>
      <c r="U142" s="8"/>
      <c r="V142" s="7"/>
      <c r="W142" s="6" t="str">
        <f t="array" ref="W142">IF(NOT(ISBLANK(D142)),_xludf.XLOOKUP(D142,[2]CODE!$A$4:$A$100,[2]CODE!$D$4:$D$100),"")</f>
        <v/>
      </c>
      <c r="X142" s="5" t="str">
        <f t="array" ref="X142">IF(NOT(AND(ISBLANK(D142),ISBLANK(C142))),_xludf.XLOOKUP(D142,[2]CODE!$A$4:$A$100,[2]CODE!$E$4:$E$100),"")</f>
        <v/>
      </c>
      <c r="Y142" s="5" t="str">
        <f t="shared" si="19"/>
        <v/>
      </c>
      <c r="Z142" s="5" t="str">
        <f t="shared" si="20"/>
        <v/>
      </c>
      <c r="AA142" s="4">
        <f t="shared" si="21"/>
        <v>0</v>
      </c>
      <c r="AC142" s="2"/>
    </row>
    <row r="143" spans="1:29" ht="15.5">
      <c r="A143" s="13" t="str">
        <f>IF(OR(ISBLANK(C143),ISBLANK(D143),ISBLANK(F143),ISBLANK(G143)),"",COUNTIF($B$5:B143,"JAMBUTU"))</f>
        <v/>
      </c>
      <c r="B143" s="8"/>
      <c r="C143" s="8"/>
      <c r="D143" s="8"/>
      <c r="E143" s="13"/>
      <c r="F143" s="12"/>
      <c r="G143" s="11"/>
      <c r="H143" s="12"/>
      <c r="I143" s="11"/>
      <c r="J143" s="10">
        <f t="shared" si="16"/>
        <v>0</v>
      </c>
      <c r="K143" s="10">
        <f t="shared" si="17"/>
        <v>0</v>
      </c>
      <c r="L143" s="9" t="str">
        <f t="shared" si="18"/>
        <v/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6" t="str">
        <f t="array" ref="W143">IF(NOT(ISBLANK(D143)),_xludf.XLOOKUP(D143,[2]CODE!$A$4:$A$100,[2]CODE!$D$4:$D$100),"")</f>
        <v/>
      </c>
      <c r="X143" s="5" t="str">
        <f t="array" ref="X143">IF(NOT(AND(ISBLANK(D143),ISBLANK(C143))),_xludf.XLOOKUP(D143,[2]CODE!$A$4:$A$100,[2]CODE!$E$4:$E$100),"")</f>
        <v/>
      </c>
      <c r="Y143" s="5" t="str">
        <f t="shared" si="19"/>
        <v/>
      </c>
      <c r="Z143" s="5" t="str">
        <f t="shared" si="20"/>
        <v/>
      </c>
      <c r="AA143" s="4">
        <f t="shared" si="21"/>
        <v>0</v>
      </c>
      <c r="AC143" s="2"/>
    </row>
    <row r="144" spans="1:29" ht="15.5">
      <c r="A144" s="13" t="str">
        <f>IF(OR(ISBLANK(C144),ISBLANK(D144),ISBLANK(F144),ISBLANK(G144)),"",COUNTIF($B$5:B144,"JAMBUTU"))</f>
        <v/>
      </c>
      <c r="B144" s="8"/>
      <c r="C144" s="8"/>
      <c r="D144" s="8"/>
      <c r="E144" s="13"/>
      <c r="F144" s="12"/>
      <c r="G144" s="11"/>
      <c r="H144" s="12"/>
      <c r="I144" s="11"/>
      <c r="J144" s="10">
        <f t="shared" si="16"/>
        <v>0</v>
      </c>
      <c r="K144" s="10">
        <f t="shared" si="17"/>
        <v>0</v>
      </c>
      <c r="L144" s="9" t="str">
        <f t="shared" si="18"/>
        <v/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6" t="str">
        <f t="array" ref="W144">IF(NOT(ISBLANK(D144)),_xludf.XLOOKUP(D144,[2]CODE!$A$4:$A$100,[2]CODE!$D$4:$D$100),"")</f>
        <v/>
      </c>
      <c r="X144" s="5" t="str">
        <f t="array" ref="X144">IF(NOT(AND(ISBLANK(D144),ISBLANK(C144))),_xludf.XLOOKUP(D144,[2]CODE!$A$4:$A$100,[2]CODE!$E$4:$E$100),"")</f>
        <v/>
      </c>
      <c r="Y144" s="5" t="str">
        <f t="shared" si="19"/>
        <v/>
      </c>
      <c r="Z144" s="5" t="str">
        <f t="shared" si="20"/>
        <v/>
      </c>
      <c r="AA144" s="4">
        <f t="shared" si="21"/>
        <v>0</v>
      </c>
      <c r="AC144" s="2"/>
    </row>
    <row r="145" spans="1:29" ht="15.5">
      <c r="A145" s="13">
        <f>IF(OR(ISBLANK(C145),ISBLANK(D145),ISBLANK(F145),ISBLANK(G145)),"",COUNTIF($B$5:B145,"JAMBUTU"))</f>
        <v>19</v>
      </c>
      <c r="B145" s="8" t="str">
        <f>IF(C145&lt;&gt;"","Jambutu","")</f>
        <v>Jambutu</v>
      </c>
      <c r="C145" s="8" t="s">
        <v>4</v>
      </c>
      <c r="D145" s="8" t="s">
        <v>6</v>
      </c>
      <c r="E145" s="13">
        <v>3</v>
      </c>
      <c r="F145" s="12">
        <v>46073</v>
      </c>
      <c r="G145" s="11">
        <v>0.14791666666666667</v>
      </c>
      <c r="H145" s="12">
        <v>46073</v>
      </c>
      <c r="I145" s="11">
        <v>0.15277777777777779</v>
      </c>
      <c r="J145" s="10">
        <f t="shared" si="16"/>
        <v>46073.147916666669</v>
      </c>
      <c r="K145" s="10">
        <f t="shared" si="17"/>
        <v>46073.152777777781</v>
      </c>
      <c r="L145" s="9">
        <f t="shared" si="18"/>
        <v>4.8611111124046147E-3</v>
      </c>
      <c r="M145" s="8" t="s">
        <v>9</v>
      </c>
      <c r="N145" s="8" t="s">
        <v>53</v>
      </c>
      <c r="O145" s="8" t="s">
        <v>0</v>
      </c>
      <c r="P145" s="8"/>
      <c r="Q145" s="8"/>
      <c r="R145" s="8"/>
      <c r="S145" s="8"/>
      <c r="T145" s="8"/>
      <c r="U145" s="8"/>
      <c r="V145" s="8"/>
      <c r="W145" s="6" t="e">
        <f t="array" aca="1" ref="W145" ca="1">IF(NOT(ISBLANK(D145)),_xludf.XLOOKUP(D145,[2]CODE!$A$4:$A$100,[2]CODE!$D$4:$D$100),"")</f>
        <v>#NAME?</v>
      </c>
      <c r="X145" s="5" t="e">
        <f t="array" aca="1" ref="X145" ca="1">IF(NOT(AND(ISBLANK(D145),ISBLANK(C145))),_xludf.XLOOKUP(D145,[2]CODE!$A$4:$A$100,[2]CODE!$E$4:$E$100),"")</f>
        <v>#NAME?</v>
      </c>
      <c r="Y145" s="5" t="str">
        <f t="shared" si="19"/>
        <v>33KV</v>
      </c>
      <c r="Z145" s="5" t="str">
        <f t="shared" si="20"/>
        <v>YES</v>
      </c>
      <c r="AA145" s="4">
        <f t="shared" si="21"/>
        <v>46073</v>
      </c>
      <c r="AC145" s="2"/>
    </row>
    <row r="146" spans="1:29" ht="15.5">
      <c r="A146" s="13" t="str">
        <f>IF(OR(ISBLANK(C146),ISBLANK(D146),ISBLANK(F146),ISBLANK(G146)),"",COUNTIF($B$5:B146,"JAMBUTU"))</f>
        <v/>
      </c>
      <c r="B146" s="8"/>
      <c r="C146" s="8"/>
      <c r="D146" s="8"/>
      <c r="E146" s="13"/>
      <c r="F146" s="12"/>
      <c r="G146" s="11"/>
      <c r="H146" s="12"/>
      <c r="I146" s="11"/>
      <c r="J146" s="10">
        <f t="shared" si="16"/>
        <v>0</v>
      </c>
      <c r="K146" s="10">
        <f t="shared" si="17"/>
        <v>0</v>
      </c>
      <c r="L146" s="9" t="str">
        <f t="shared" si="18"/>
        <v/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6" t="str">
        <f t="array" ref="W146">IF(NOT(ISBLANK(D146)),_xludf.XLOOKUP(D146,[2]CODE!$A$4:$A$100,[2]CODE!$D$4:$D$100),"")</f>
        <v/>
      </c>
      <c r="X146" s="5" t="str">
        <f t="array" ref="X146">IF(NOT(AND(ISBLANK(D146),ISBLANK(C146))),_xludf.XLOOKUP(D146,[2]CODE!$A$4:$A$100,[2]CODE!$E$4:$E$100),"")</f>
        <v/>
      </c>
      <c r="Y146" s="5" t="str">
        <f t="shared" si="19"/>
        <v/>
      </c>
      <c r="Z146" s="5" t="str">
        <f t="shared" si="20"/>
        <v/>
      </c>
      <c r="AA146" s="4">
        <f t="shared" si="21"/>
        <v>0</v>
      </c>
      <c r="AC146" s="2"/>
    </row>
    <row r="147" spans="1:29" ht="15.5">
      <c r="A147" s="13" t="str">
        <f>IF(OR(ISBLANK(C147),ISBLANK(D147),ISBLANK(F147),ISBLANK(G147)),"",COUNTIF($B$5:B147,"JAMBUTU"))</f>
        <v/>
      </c>
      <c r="B147" s="8"/>
      <c r="C147" s="8"/>
      <c r="D147" s="8"/>
      <c r="E147" s="13"/>
      <c r="F147" s="12"/>
      <c r="G147" s="11"/>
      <c r="H147" s="12"/>
      <c r="I147" s="11"/>
      <c r="J147" s="10">
        <f t="shared" si="16"/>
        <v>0</v>
      </c>
      <c r="K147" s="10">
        <f t="shared" si="17"/>
        <v>0</v>
      </c>
      <c r="L147" s="9" t="str">
        <f t="shared" si="18"/>
        <v/>
      </c>
      <c r="M147" s="8"/>
      <c r="N147" s="8"/>
      <c r="O147" s="8"/>
      <c r="P147" s="8"/>
      <c r="Q147" s="8"/>
      <c r="R147" s="8"/>
      <c r="S147" s="8"/>
      <c r="T147" s="8"/>
      <c r="U147" s="8"/>
      <c r="V147" s="7"/>
      <c r="W147" s="6" t="str">
        <f t="array" ref="W147">IF(NOT(ISBLANK(D147)),_xludf.XLOOKUP(D147,[2]CODE!$A$4:$A$100,[2]CODE!$D$4:$D$100),"")</f>
        <v/>
      </c>
      <c r="X147" s="5" t="str">
        <f t="array" ref="X147">IF(NOT(AND(ISBLANK(D147),ISBLANK(C147))),_xludf.XLOOKUP(D147,[2]CODE!$A$4:$A$100,[2]CODE!$E$4:$E$100),"")</f>
        <v/>
      </c>
      <c r="Y147" s="5" t="str">
        <f t="shared" si="19"/>
        <v/>
      </c>
      <c r="Z147" s="5" t="str">
        <f t="shared" si="20"/>
        <v/>
      </c>
      <c r="AA147" s="4">
        <f t="shared" si="21"/>
        <v>0</v>
      </c>
      <c r="AC147" s="2"/>
    </row>
    <row r="148" spans="1:29" ht="15.5">
      <c r="A148" s="13" t="str">
        <f>IF(OR(ISBLANK(C148),ISBLANK(D148),ISBLANK(F148),ISBLANK(G148)),"",COUNTIF($B$5:B148,"JAMBUTU"))</f>
        <v/>
      </c>
      <c r="B148" s="8"/>
      <c r="C148" s="8"/>
      <c r="D148" s="8"/>
      <c r="E148" s="13"/>
      <c r="F148" s="12"/>
      <c r="G148" s="11"/>
      <c r="H148" s="12"/>
      <c r="I148" s="11"/>
      <c r="J148" s="10">
        <f t="shared" si="16"/>
        <v>0</v>
      </c>
      <c r="K148" s="10">
        <f t="shared" si="17"/>
        <v>0</v>
      </c>
      <c r="L148" s="9" t="str">
        <f t="shared" si="18"/>
        <v/>
      </c>
      <c r="M148" s="8"/>
      <c r="N148" s="8"/>
      <c r="O148" s="8"/>
      <c r="P148" s="8"/>
      <c r="Q148" s="8"/>
      <c r="R148" s="8"/>
      <c r="S148" s="8"/>
      <c r="T148" s="8"/>
      <c r="U148" s="8"/>
      <c r="V148" s="7"/>
      <c r="W148" s="6" t="str">
        <f t="array" ref="W148">IF(NOT(ISBLANK(D148)),_xludf.XLOOKUP(D148,[2]CODE!$A$4:$A$100,[2]CODE!$D$4:$D$100),"")</f>
        <v/>
      </c>
      <c r="X148" s="5" t="str">
        <f t="array" ref="X148">IF(NOT(AND(ISBLANK(D148),ISBLANK(C148))),_xludf.XLOOKUP(D148,[2]CODE!$A$4:$A$100,[2]CODE!$E$4:$E$100),"")</f>
        <v/>
      </c>
      <c r="Y148" s="5" t="str">
        <f t="shared" si="19"/>
        <v/>
      </c>
      <c r="Z148" s="5" t="str">
        <f t="shared" si="20"/>
        <v/>
      </c>
      <c r="AA148" s="4">
        <f t="shared" si="21"/>
        <v>0</v>
      </c>
      <c r="AC148" s="2"/>
    </row>
    <row r="149" spans="1:29" ht="15.5">
      <c r="A149" s="13" t="str">
        <f>IF(OR(ISBLANK(C149),ISBLANK(D149),ISBLANK(F149),ISBLANK(G149)),"",COUNTIF($B$5:B149,"JAMBUTU"))</f>
        <v/>
      </c>
      <c r="B149" s="8"/>
      <c r="C149" s="8"/>
      <c r="D149" s="8"/>
      <c r="E149" s="13"/>
      <c r="F149" s="12"/>
      <c r="G149" s="11"/>
      <c r="H149" s="12"/>
      <c r="I149" s="11"/>
      <c r="J149" s="10">
        <f t="shared" si="16"/>
        <v>0</v>
      </c>
      <c r="K149" s="10">
        <f t="shared" si="17"/>
        <v>0</v>
      </c>
      <c r="L149" s="9" t="str">
        <f t="shared" si="18"/>
        <v/>
      </c>
      <c r="M149" s="8"/>
      <c r="N149" s="8"/>
      <c r="O149" s="8"/>
      <c r="P149" s="8"/>
      <c r="Q149" s="8"/>
      <c r="R149" s="8"/>
      <c r="S149" s="8"/>
      <c r="T149" s="8"/>
      <c r="U149" s="8"/>
      <c r="V149" s="7"/>
      <c r="W149" s="6" t="str">
        <f t="array" ref="W149">IF(NOT(ISBLANK(D149)),_xludf.XLOOKUP(D149,[2]CODE!$A$4:$A$100,[2]CODE!$D$4:$D$100),"")</f>
        <v/>
      </c>
      <c r="X149" s="5" t="str">
        <f t="array" ref="X149">IF(NOT(AND(ISBLANK(D149),ISBLANK(C149))),_xludf.XLOOKUP(D149,[2]CODE!$A$4:$A$100,[2]CODE!$E$4:$E$100),"")</f>
        <v/>
      </c>
      <c r="Y149" s="5" t="str">
        <f t="shared" si="19"/>
        <v/>
      </c>
      <c r="Z149" s="5" t="str">
        <f t="shared" si="20"/>
        <v/>
      </c>
      <c r="AA149" s="4">
        <f t="shared" si="21"/>
        <v>0</v>
      </c>
      <c r="AC149" s="2"/>
    </row>
    <row r="150" spans="1:29" ht="15.5">
      <c r="A150" s="13" t="str">
        <f>IF(OR(ISBLANK(C150),ISBLANK(D150),ISBLANK(F150),ISBLANK(G150)),"",COUNTIF($B$5:B150,"JAMBUTU"))</f>
        <v/>
      </c>
      <c r="B150" s="8"/>
      <c r="C150" s="8"/>
      <c r="D150" s="8"/>
      <c r="E150" s="13"/>
      <c r="F150" s="12"/>
      <c r="G150" s="11"/>
      <c r="H150" s="12"/>
      <c r="I150" s="11"/>
      <c r="J150" s="10">
        <f t="shared" si="16"/>
        <v>0</v>
      </c>
      <c r="K150" s="10">
        <f t="shared" si="17"/>
        <v>0</v>
      </c>
      <c r="L150" s="9" t="str">
        <f t="shared" si="18"/>
        <v/>
      </c>
      <c r="M150" s="8"/>
      <c r="N150" s="8"/>
      <c r="O150" s="8"/>
      <c r="P150" s="8"/>
      <c r="Q150" s="8"/>
      <c r="R150" s="8"/>
      <c r="S150" s="8"/>
      <c r="T150" s="8"/>
      <c r="U150" s="8"/>
      <c r="V150" s="7"/>
      <c r="W150" s="6" t="str">
        <f t="array" ref="W150">IF(NOT(ISBLANK(D150)),_xludf.XLOOKUP(D150,[2]CODE!$A$4:$A$100,[2]CODE!$D$4:$D$100),"")</f>
        <v/>
      </c>
      <c r="X150" s="5" t="str">
        <f t="array" ref="X150">IF(NOT(AND(ISBLANK(D150),ISBLANK(C150))),_xludf.XLOOKUP(D150,[2]CODE!$A$4:$A$100,[2]CODE!$E$4:$E$100),"")</f>
        <v/>
      </c>
      <c r="Y150" s="5" t="str">
        <f t="shared" si="19"/>
        <v/>
      </c>
      <c r="Z150" s="5" t="str">
        <f t="shared" si="20"/>
        <v/>
      </c>
      <c r="AA150" s="4">
        <f t="shared" si="21"/>
        <v>0</v>
      </c>
      <c r="AC150" s="2"/>
    </row>
    <row r="151" spans="1:29" ht="15.5">
      <c r="A151" s="13" t="str">
        <f>IF(OR(ISBLANK(C151),ISBLANK(D151),ISBLANK(F151),ISBLANK(G151)),"",COUNTIF($B$5:B151,"JAMBUTU"))</f>
        <v/>
      </c>
      <c r="B151" s="8"/>
      <c r="C151" s="8"/>
      <c r="D151" s="8"/>
      <c r="E151" s="13"/>
      <c r="F151" s="12"/>
      <c r="G151" s="11"/>
      <c r="H151" s="12"/>
      <c r="I151" s="11"/>
      <c r="J151" s="10">
        <f t="shared" si="16"/>
        <v>0</v>
      </c>
      <c r="K151" s="10">
        <f t="shared" si="17"/>
        <v>0</v>
      </c>
      <c r="L151" s="9" t="str">
        <f t="shared" si="18"/>
        <v/>
      </c>
      <c r="M151" s="8"/>
      <c r="N151" s="8"/>
      <c r="O151" s="8"/>
      <c r="P151" s="8"/>
      <c r="Q151" s="8"/>
      <c r="R151" s="8"/>
      <c r="S151" s="8"/>
      <c r="T151" s="8"/>
      <c r="U151" s="8"/>
      <c r="V151" s="7"/>
      <c r="W151" s="6" t="str">
        <f t="array" ref="W151">IF(NOT(ISBLANK(D151)),_xludf.XLOOKUP(D151,[2]CODE!$A$4:$A$100,[2]CODE!$D$4:$D$100),"")</f>
        <v/>
      </c>
      <c r="X151" s="5" t="str">
        <f t="array" ref="X151">IF(NOT(AND(ISBLANK(D151),ISBLANK(C151))),_xludf.XLOOKUP(D151,[2]CODE!$A$4:$A$100,[2]CODE!$E$4:$E$100),"")</f>
        <v/>
      </c>
      <c r="Y151" s="5" t="str">
        <f t="shared" si="19"/>
        <v/>
      </c>
      <c r="Z151" s="5" t="str">
        <f t="shared" si="20"/>
        <v/>
      </c>
      <c r="AA151" s="4">
        <f t="shared" si="21"/>
        <v>0</v>
      </c>
      <c r="AC151" s="2"/>
    </row>
    <row r="152" spans="1:29" ht="15.5">
      <c r="A152" s="13" t="str">
        <f>IF(OR(ISBLANK(C152),ISBLANK(D152),ISBLANK(F152),ISBLANK(G152)),"",COUNTIF($B$5:B152,"JAMBUTU"))</f>
        <v/>
      </c>
      <c r="B152" s="8"/>
      <c r="C152" s="8"/>
      <c r="D152" s="8"/>
      <c r="E152" s="13"/>
      <c r="F152" s="12"/>
      <c r="G152" s="11"/>
      <c r="H152" s="12"/>
      <c r="I152" s="11"/>
      <c r="J152" s="10">
        <f t="shared" si="16"/>
        <v>0</v>
      </c>
      <c r="K152" s="10">
        <f t="shared" si="17"/>
        <v>0</v>
      </c>
      <c r="L152" s="9" t="str">
        <f t="shared" si="18"/>
        <v/>
      </c>
      <c r="M152" s="8"/>
      <c r="N152" s="8"/>
      <c r="O152" s="8"/>
      <c r="P152" s="8"/>
      <c r="Q152" s="8"/>
      <c r="R152" s="8"/>
      <c r="S152" s="8"/>
      <c r="T152" s="8"/>
      <c r="U152" s="8"/>
      <c r="V152" s="7"/>
      <c r="W152" s="6" t="str">
        <f t="array" ref="W152">IF(NOT(ISBLANK(D152)),_xludf.XLOOKUP(D152,[2]CODE!$A$4:$A$100,[2]CODE!$D$4:$D$100),"")</f>
        <v/>
      </c>
      <c r="X152" s="5" t="str">
        <f t="array" ref="X152">IF(NOT(AND(ISBLANK(D152),ISBLANK(C152))),_xludf.XLOOKUP(D152,[2]CODE!$A$4:$A$100,[2]CODE!$E$4:$E$100),"")</f>
        <v/>
      </c>
      <c r="Y152" s="5" t="str">
        <f t="shared" si="19"/>
        <v/>
      </c>
      <c r="Z152" s="5" t="str">
        <f t="shared" si="20"/>
        <v/>
      </c>
      <c r="AA152" s="4">
        <f t="shared" si="21"/>
        <v>0</v>
      </c>
      <c r="AC152" s="2"/>
    </row>
    <row r="153" spans="1:29" ht="15.5">
      <c r="A153" s="13" t="str">
        <f>IF(OR(ISBLANK(C153),ISBLANK(D153),ISBLANK(F153),ISBLANK(G153)),"",COUNTIF($B$5:B153,"JAMBUTU"))</f>
        <v/>
      </c>
      <c r="B153" s="8"/>
      <c r="C153" s="8"/>
      <c r="D153" s="8"/>
      <c r="E153" s="13"/>
      <c r="F153" s="12"/>
      <c r="G153" s="11"/>
      <c r="H153" s="12"/>
      <c r="I153" s="11"/>
      <c r="J153" s="10">
        <f t="shared" si="16"/>
        <v>0</v>
      </c>
      <c r="K153" s="10">
        <f t="shared" si="17"/>
        <v>0</v>
      </c>
      <c r="L153" s="9" t="str">
        <f t="shared" si="18"/>
        <v/>
      </c>
      <c r="M153" s="8"/>
      <c r="N153" s="8"/>
      <c r="O153" s="8"/>
      <c r="P153" s="8"/>
      <c r="Q153" s="8"/>
      <c r="R153" s="8"/>
      <c r="S153" s="8"/>
      <c r="T153" s="8"/>
      <c r="U153" s="8"/>
      <c r="V153" s="7"/>
      <c r="W153" s="6" t="str">
        <f t="array" ref="W153">IF(NOT(ISBLANK(D153)),_xludf.XLOOKUP(D153,[2]CODE!$A$4:$A$100,[2]CODE!$D$4:$D$100),"")</f>
        <v/>
      </c>
      <c r="X153" s="5" t="str">
        <f t="array" ref="X153">IF(NOT(AND(ISBLANK(D153),ISBLANK(C153))),_xludf.XLOOKUP(D153,[2]CODE!$A$4:$A$100,[2]CODE!$E$4:$E$100),"")</f>
        <v/>
      </c>
      <c r="Y153" s="5" t="str">
        <f t="shared" si="19"/>
        <v/>
      </c>
      <c r="Z153" s="5" t="str">
        <f t="shared" si="20"/>
        <v/>
      </c>
      <c r="AA153" s="4">
        <f t="shared" si="21"/>
        <v>0</v>
      </c>
      <c r="AC153" s="2"/>
    </row>
    <row r="154" spans="1:29" ht="15.5">
      <c r="A154" s="13">
        <f>IF(OR(ISBLANK(C154),ISBLANK(D154),ISBLANK(F154),ISBLANK(G154)),"",COUNTIF($B$5:B154,"JAMBUTU"))</f>
        <v>20</v>
      </c>
      <c r="B154" s="8" t="str">
        <f>IF(C154&lt;&gt;"","Jambutu","")</f>
        <v>Jambutu</v>
      </c>
      <c r="C154" s="8" t="s">
        <v>4</v>
      </c>
      <c r="D154" s="8" t="s">
        <v>55</v>
      </c>
      <c r="E154" s="13">
        <v>3.9</v>
      </c>
      <c r="F154" s="12">
        <v>46074</v>
      </c>
      <c r="G154" s="11">
        <v>0.4236111111111111</v>
      </c>
      <c r="H154" s="12">
        <v>46074</v>
      </c>
      <c r="I154" s="11">
        <v>0.77083333333333337</v>
      </c>
      <c r="J154" s="10">
        <f t="shared" si="16"/>
        <v>46074.423611111109</v>
      </c>
      <c r="K154" s="10">
        <f t="shared" si="17"/>
        <v>46074.770833333336</v>
      </c>
      <c r="L154" s="9">
        <f t="shared" si="18"/>
        <v>0.34722222222626442</v>
      </c>
      <c r="M154" s="8" t="s">
        <v>58</v>
      </c>
      <c r="N154" s="8" t="s">
        <v>53</v>
      </c>
      <c r="O154" s="8" t="s">
        <v>0</v>
      </c>
      <c r="P154" s="8"/>
      <c r="Q154" s="8"/>
      <c r="R154" s="8"/>
      <c r="S154" s="8"/>
      <c r="T154" s="8"/>
      <c r="U154" s="8"/>
      <c r="V154" s="7"/>
      <c r="W154" s="6" t="e">
        <f t="array" aca="1" ref="W154" ca="1">IF(NOT(ISBLANK(D154)),_xludf.XLOOKUP(D154,[2]CODE!$A$4:$A$100,[2]CODE!$D$4:$D$100),"")</f>
        <v>#NAME?</v>
      </c>
      <c r="X154" s="5" t="e">
        <f t="array" aca="1" ref="X154" ca="1">IF(NOT(AND(ISBLANK(D154),ISBLANK(C154))),_xludf.XLOOKUP(D154,[2]CODE!$A$4:$A$100,[2]CODE!$E$4:$E$100),"")</f>
        <v>#NAME?</v>
      </c>
      <c r="Y154" s="5" t="str">
        <f t="shared" si="19"/>
        <v>33KV</v>
      </c>
      <c r="Z154" s="5" t="str">
        <f t="shared" si="20"/>
        <v>YES</v>
      </c>
      <c r="AA154" s="4">
        <f t="shared" si="21"/>
        <v>46074</v>
      </c>
      <c r="AC154" s="2"/>
    </row>
    <row r="155" spans="1:29" ht="15.5">
      <c r="A155" s="13" t="str">
        <f>IF(OR(ISBLANK(C155),ISBLANK(D155),ISBLANK(F155),ISBLANK(G155)),"",COUNTIF($B$5:B155,"JAMBUTU"))</f>
        <v/>
      </c>
      <c r="B155" s="8"/>
      <c r="C155" s="8"/>
      <c r="D155" s="8"/>
      <c r="E155" s="13"/>
      <c r="F155" s="12"/>
      <c r="G155" s="11"/>
      <c r="H155" s="12"/>
      <c r="I155" s="11"/>
      <c r="J155" s="10">
        <f t="shared" si="16"/>
        <v>0</v>
      </c>
      <c r="K155" s="10">
        <f t="shared" si="17"/>
        <v>0</v>
      </c>
      <c r="L155" s="9" t="str">
        <f t="shared" si="18"/>
        <v/>
      </c>
      <c r="M155" s="8"/>
      <c r="N155" s="8"/>
      <c r="O155" s="8"/>
      <c r="P155" s="8"/>
      <c r="Q155" s="8"/>
      <c r="R155" s="8"/>
      <c r="S155" s="8"/>
      <c r="T155" s="8"/>
      <c r="U155" s="8"/>
      <c r="V155" s="7"/>
      <c r="W155" s="6" t="str">
        <f t="array" ref="W155">IF(NOT(ISBLANK(D155)),_xludf.XLOOKUP(D155,[2]CODE!$A$4:$A$100,[2]CODE!$D$4:$D$100),"")</f>
        <v/>
      </c>
      <c r="X155" s="5" t="str">
        <f t="array" ref="X155">IF(NOT(AND(ISBLANK(D155),ISBLANK(C155))),_xludf.XLOOKUP(D155,[2]CODE!$A$4:$A$100,[2]CODE!$E$4:$E$100),"")</f>
        <v/>
      </c>
      <c r="Y155" s="5" t="str">
        <f t="shared" si="19"/>
        <v/>
      </c>
      <c r="Z155" s="5" t="str">
        <f t="shared" si="20"/>
        <v/>
      </c>
      <c r="AA155" s="4">
        <f t="shared" si="21"/>
        <v>0</v>
      </c>
      <c r="AC155" s="2"/>
    </row>
    <row r="156" spans="1:29" ht="15.5">
      <c r="A156" s="13" t="str">
        <f>IF(OR(ISBLANK(C156),ISBLANK(D156),ISBLANK(F156),ISBLANK(G156)),"",COUNTIF($B$5:B156,"JAMBUTU"))</f>
        <v/>
      </c>
      <c r="B156" s="8"/>
      <c r="C156" s="8"/>
      <c r="D156" s="8"/>
      <c r="E156" s="13"/>
      <c r="F156" s="12"/>
      <c r="G156" s="11"/>
      <c r="H156" s="12"/>
      <c r="I156" s="11"/>
      <c r="J156" s="10">
        <f t="shared" si="16"/>
        <v>0</v>
      </c>
      <c r="K156" s="10">
        <f t="shared" si="17"/>
        <v>0</v>
      </c>
      <c r="L156" s="9" t="str">
        <f t="shared" si="18"/>
        <v/>
      </c>
      <c r="M156" s="8"/>
      <c r="N156" s="8"/>
      <c r="O156" s="8"/>
      <c r="P156" s="8"/>
      <c r="Q156" s="8"/>
      <c r="R156" s="8"/>
      <c r="S156" s="8"/>
      <c r="T156" s="8"/>
      <c r="U156" s="8"/>
      <c r="V156" s="7"/>
      <c r="W156" s="6" t="str">
        <f t="array" ref="W156">IF(NOT(ISBLANK(D156)),_xludf.XLOOKUP(D156,[2]CODE!$A$4:$A$100,[2]CODE!$D$4:$D$100),"")</f>
        <v/>
      </c>
      <c r="X156" s="5" t="str">
        <f t="array" ref="X156">IF(NOT(AND(ISBLANK(D156),ISBLANK(C156))),_xludf.XLOOKUP(D156,[2]CODE!$A$4:$A$100,[2]CODE!$E$4:$E$100),"")</f>
        <v/>
      </c>
      <c r="Y156" s="5" t="str">
        <f t="shared" si="19"/>
        <v/>
      </c>
      <c r="Z156" s="5" t="str">
        <f t="shared" si="20"/>
        <v/>
      </c>
      <c r="AA156" s="4">
        <f t="shared" si="21"/>
        <v>0</v>
      </c>
      <c r="AC156" s="2"/>
    </row>
    <row r="157" spans="1:29" ht="15.5">
      <c r="A157" s="13" t="str">
        <f>IF(OR(ISBLANK(C157),ISBLANK(D157),ISBLANK(F157),ISBLANK(G157)),"",COUNTIF($B$5:B157,"JAMBUTU"))</f>
        <v/>
      </c>
      <c r="B157" s="8"/>
      <c r="C157" s="8"/>
      <c r="D157" s="8"/>
      <c r="E157" s="13"/>
      <c r="F157" s="12"/>
      <c r="G157" s="11"/>
      <c r="H157" s="12"/>
      <c r="I157" s="11"/>
      <c r="J157" s="10">
        <f t="shared" si="16"/>
        <v>0</v>
      </c>
      <c r="K157" s="10">
        <f t="shared" si="17"/>
        <v>0</v>
      </c>
      <c r="L157" s="9" t="str">
        <f t="shared" si="18"/>
        <v/>
      </c>
      <c r="M157" s="8"/>
      <c r="N157" s="8"/>
      <c r="O157" s="8"/>
      <c r="P157" s="8"/>
      <c r="Q157" s="8"/>
      <c r="R157" s="8"/>
      <c r="S157" s="8"/>
      <c r="T157" s="8"/>
      <c r="U157" s="8"/>
      <c r="V157" s="7"/>
      <c r="W157" s="6" t="str">
        <f t="array" ref="W157">IF(NOT(ISBLANK(D157)),_xludf.XLOOKUP(D157,[2]CODE!$A$4:$A$100,[2]CODE!$D$4:$D$100),"")</f>
        <v/>
      </c>
      <c r="X157" s="5" t="str">
        <f t="array" ref="X157">IF(NOT(AND(ISBLANK(D157),ISBLANK(C157))),_xludf.XLOOKUP(D157,[2]CODE!$A$4:$A$100,[2]CODE!$E$4:$E$100),"")</f>
        <v/>
      </c>
      <c r="Y157" s="5" t="str">
        <f t="shared" si="19"/>
        <v/>
      </c>
      <c r="Z157" s="5" t="str">
        <f t="shared" si="20"/>
        <v/>
      </c>
      <c r="AA157" s="4">
        <f t="shared" si="21"/>
        <v>0</v>
      </c>
      <c r="AC157" s="2"/>
    </row>
    <row r="158" spans="1:29" ht="15.5">
      <c r="A158" s="13" t="str">
        <f>IF(OR(ISBLANK(C158),ISBLANK(D158),ISBLANK(F158),ISBLANK(G158)),"",COUNTIF($B$5:B158,"JAMBUTU"))</f>
        <v/>
      </c>
      <c r="B158" s="8"/>
      <c r="C158" s="8"/>
      <c r="D158" s="8"/>
      <c r="E158" s="13"/>
      <c r="F158" s="12"/>
      <c r="G158" s="11"/>
      <c r="H158" s="12"/>
      <c r="I158" s="11"/>
      <c r="J158" s="10">
        <f t="shared" si="16"/>
        <v>0</v>
      </c>
      <c r="K158" s="10">
        <f t="shared" si="17"/>
        <v>0</v>
      </c>
      <c r="L158" s="9" t="str">
        <f t="shared" si="18"/>
        <v/>
      </c>
      <c r="M158" s="8"/>
      <c r="N158" s="8"/>
      <c r="O158" s="8"/>
      <c r="P158" s="8"/>
      <c r="Q158" s="8"/>
      <c r="R158" s="8"/>
      <c r="S158" s="8"/>
      <c r="T158" s="8"/>
      <c r="U158" s="8"/>
      <c r="V158" s="7"/>
      <c r="W158" s="6" t="str">
        <f t="array" ref="W158">IF(NOT(ISBLANK(D158)),_xludf.XLOOKUP(D158,[2]CODE!$A$4:$A$100,[2]CODE!$D$4:$D$100),"")</f>
        <v/>
      </c>
      <c r="X158" s="5" t="str">
        <f t="array" ref="X158">IF(NOT(AND(ISBLANK(D158),ISBLANK(C158))),_xludf.XLOOKUP(D158,[2]CODE!$A$4:$A$100,[2]CODE!$E$4:$E$100),"")</f>
        <v/>
      </c>
      <c r="Y158" s="5" t="str">
        <f t="shared" si="19"/>
        <v/>
      </c>
      <c r="Z158" s="5" t="str">
        <f t="shared" si="20"/>
        <v/>
      </c>
      <c r="AA158" s="4">
        <f t="shared" si="21"/>
        <v>0</v>
      </c>
      <c r="AC158" s="2"/>
    </row>
    <row r="159" spans="1:29" ht="15.5">
      <c r="A159" s="13" t="str">
        <f>IF(OR(ISBLANK(C159),ISBLANK(D159),ISBLANK(F159),ISBLANK(G159)),"",COUNTIF($B$5:B159,"JAMBUTU"))</f>
        <v/>
      </c>
      <c r="B159" s="8"/>
      <c r="C159" s="8"/>
      <c r="D159" s="8"/>
      <c r="E159" s="13"/>
      <c r="F159" s="12"/>
      <c r="G159" s="11"/>
      <c r="H159" s="12"/>
      <c r="I159" s="11"/>
      <c r="J159" s="10">
        <f t="shared" si="16"/>
        <v>0</v>
      </c>
      <c r="K159" s="10">
        <f t="shared" si="17"/>
        <v>0</v>
      </c>
      <c r="L159" s="9" t="str">
        <f t="shared" si="18"/>
        <v/>
      </c>
      <c r="M159" s="8"/>
      <c r="N159" s="8"/>
      <c r="O159" s="8"/>
      <c r="P159" s="8"/>
      <c r="Q159" s="8"/>
      <c r="R159" s="8"/>
      <c r="S159" s="8"/>
      <c r="T159" s="8"/>
      <c r="U159" s="8"/>
      <c r="V159" s="7"/>
      <c r="W159" s="6" t="str">
        <f t="array" ref="W159">IF(NOT(ISBLANK(D159)),_xludf.XLOOKUP(D159,[2]CODE!$A$4:$A$100,[2]CODE!$D$4:$D$100),"")</f>
        <v/>
      </c>
      <c r="X159" s="5" t="str">
        <f t="array" ref="X159">IF(NOT(AND(ISBLANK(D159),ISBLANK(C159))),_xludf.XLOOKUP(D159,[2]CODE!$A$4:$A$100,[2]CODE!$E$4:$E$100),"")</f>
        <v/>
      </c>
      <c r="Y159" s="5" t="str">
        <f t="shared" si="19"/>
        <v/>
      </c>
      <c r="Z159" s="5" t="str">
        <f t="shared" si="20"/>
        <v/>
      </c>
      <c r="AA159" s="4">
        <f t="shared" si="21"/>
        <v>0</v>
      </c>
      <c r="AC159" s="2"/>
    </row>
    <row r="160" spans="1:29" ht="15.5">
      <c r="A160" s="13" t="str">
        <f>IF(OR(ISBLANK(C160),ISBLANK(D160),ISBLANK(F160),ISBLANK(G160)),"",COUNTIF($B$5:B160,"JAMBUTU"))</f>
        <v/>
      </c>
      <c r="B160" s="8"/>
      <c r="C160" s="8"/>
      <c r="D160" s="8"/>
      <c r="E160" s="13"/>
      <c r="F160" s="12"/>
      <c r="G160" s="11"/>
      <c r="H160" s="12"/>
      <c r="I160" s="11"/>
      <c r="J160" s="10">
        <f t="shared" si="16"/>
        <v>0</v>
      </c>
      <c r="K160" s="10">
        <f t="shared" si="17"/>
        <v>0</v>
      </c>
      <c r="L160" s="9" t="str">
        <f t="shared" si="18"/>
        <v/>
      </c>
      <c r="M160" s="8"/>
      <c r="N160" s="8"/>
      <c r="O160" s="8"/>
      <c r="P160" s="8"/>
      <c r="Q160" s="8"/>
      <c r="R160" s="8"/>
      <c r="S160" s="16"/>
      <c r="T160" s="8"/>
      <c r="U160" s="8"/>
      <c r="V160" s="7"/>
      <c r="W160" s="6" t="str">
        <f t="array" ref="W160">IF(NOT(ISBLANK(D160)),_xludf.XLOOKUP(D160,[2]CODE!$A$4:$A$100,[2]CODE!$D$4:$D$100),"")</f>
        <v/>
      </c>
      <c r="X160" s="5" t="str">
        <f t="array" ref="X160">IF(NOT(AND(ISBLANK(D160),ISBLANK(C160))),_xludf.XLOOKUP(D160,[2]CODE!$A$4:$A$100,[2]CODE!$E$4:$E$100),"")</f>
        <v/>
      </c>
      <c r="Y160" s="5" t="str">
        <f t="shared" si="19"/>
        <v/>
      </c>
      <c r="Z160" s="5" t="str">
        <f t="shared" si="20"/>
        <v/>
      </c>
      <c r="AA160" s="4">
        <f t="shared" si="21"/>
        <v>0</v>
      </c>
      <c r="AC160" s="2"/>
    </row>
    <row r="161" spans="1:29" ht="15.5">
      <c r="A161" s="13" t="str">
        <f>IF(OR(ISBLANK(C161),ISBLANK(D161),ISBLANK(F161),ISBLANK(G161)),"",COUNTIF($B$5:B161,"JAMBUTU"))</f>
        <v/>
      </c>
      <c r="B161" s="8"/>
      <c r="C161" s="8"/>
      <c r="D161" s="8"/>
      <c r="E161" s="13"/>
      <c r="F161" s="12"/>
      <c r="G161" s="11"/>
      <c r="H161" s="12"/>
      <c r="I161" s="15"/>
      <c r="J161" s="10">
        <f t="shared" si="16"/>
        <v>0</v>
      </c>
      <c r="K161" s="10">
        <f t="shared" si="17"/>
        <v>0</v>
      </c>
      <c r="L161" s="9" t="str">
        <f t="shared" si="18"/>
        <v/>
      </c>
      <c r="M161" s="8"/>
      <c r="N161" s="8"/>
      <c r="O161" s="8"/>
      <c r="P161" s="8"/>
      <c r="Q161" s="8"/>
      <c r="R161" s="8"/>
      <c r="S161" s="8"/>
      <c r="T161" s="8"/>
      <c r="U161" s="8"/>
      <c r="V161" s="7"/>
      <c r="W161" s="6" t="str">
        <f t="array" ref="W161">IF(NOT(ISBLANK(D161)),_xludf.XLOOKUP(D161,[2]CODE!$A$4:$A$100,[2]CODE!$D$4:$D$100),"")</f>
        <v/>
      </c>
      <c r="X161" s="5" t="str">
        <f t="array" ref="X161">IF(NOT(AND(ISBLANK(D161),ISBLANK(C161))),_xludf.XLOOKUP(D161,[2]CODE!$A$4:$A$100,[2]CODE!$E$4:$E$100),"")</f>
        <v/>
      </c>
      <c r="Y161" s="5" t="str">
        <f t="shared" si="19"/>
        <v/>
      </c>
      <c r="Z161" s="5" t="str">
        <f t="shared" si="20"/>
        <v/>
      </c>
      <c r="AA161" s="4">
        <f t="shared" si="21"/>
        <v>0</v>
      </c>
      <c r="AC161" s="2"/>
    </row>
    <row r="162" spans="1:29" ht="15.5">
      <c r="A162" s="13" t="str">
        <f>IF(OR(ISBLANK(C162),ISBLANK(D162),ISBLANK(F162),ISBLANK(G162)),"",COUNTIF($B$5:B162,"JAMBUTU"))</f>
        <v/>
      </c>
      <c r="B162" s="8"/>
      <c r="C162" s="8"/>
      <c r="D162" s="8"/>
      <c r="E162" s="13"/>
      <c r="F162" s="12"/>
      <c r="G162" s="11"/>
      <c r="H162" s="12"/>
      <c r="I162" s="11"/>
      <c r="J162" s="10">
        <f t="shared" si="16"/>
        <v>0</v>
      </c>
      <c r="K162" s="10">
        <f t="shared" si="17"/>
        <v>0</v>
      </c>
      <c r="L162" s="9" t="str">
        <f t="shared" si="18"/>
        <v/>
      </c>
      <c r="M162" s="8"/>
      <c r="N162" s="8"/>
      <c r="O162" s="8"/>
      <c r="P162" s="8"/>
      <c r="Q162" s="8"/>
      <c r="R162" s="8"/>
      <c r="S162" s="8"/>
      <c r="T162" s="8"/>
      <c r="U162" s="8"/>
      <c r="V162" s="7"/>
      <c r="W162" s="6" t="str">
        <f t="array" ref="W162">IF(NOT(ISBLANK(D162)),_xludf.XLOOKUP(D162,[2]CODE!$A$4:$A$100,[2]CODE!$D$4:$D$100),"")</f>
        <v/>
      </c>
      <c r="X162" s="5" t="str">
        <f t="array" ref="X162">IF(NOT(AND(ISBLANK(D162),ISBLANK(C162))),_xludf.XLOOKUP(D162,[2]CODE!$A$4:$A$100,[2]CODE!$E$4:$E$100),"")</f>
        <v/>
      </c>
      <c r="Y162" s="5" t="str">
        <f t="shared" si="19"/>
        <v/>
      </c>
      <c r="Z162" s="5" t="str">
        <f t="shared" si="20"/>
        <v/>
      </c>
      <c r="AA162" s="4">
        <f t="shared" si="21"/>
        <v>0</v>
      </c>
      <c r="AC162" s="2"/>
    </row>
    <row r="163" spans="1:29" ht="15.5">
      <c r="A163" s="13" t="str">
        <f>IF(OR(ISBLANK(C163),ISBLANK(D163),ISBLANK(F163),ISBLANK(G163)),"",COUNTIF($B$5:B163,"JAMBUTU"))</f>
        <v/>
      </c>
      <c r="B163" s="8"/>
      <c r="C163" s="8"/>
      <c r="D163" s="8"/>
      <c r="E163" s="13"/>
      <c r="F163" s="12"/>
      <c r="G163" s="11"/>
      <c r="H163" s="12"/>
      <c r="I163" s="11"/>
      <c r="J163" s="10">
        <f t="shared" si="16"/>
        <v>0</v>
      </c>
      <c r="K163" s="10">
        <f t="shared" si="17"/>
        <v>0</v>
      </c>
      <c r="L163" s="9" t="str">
        <f t="shared" si="18"/>
        <v/>
      </c>
      <c r="M163" s="8"/>
      <c r="N163" s="8"/>
      <c r="O163" s="8"/>
      <c r="P163" s="8"/>
      <c r="Q163" s="8"/>
      <c r="R163" s="8"/>
      <c r="S163" s="8"/>
      <c r="T163" s="8"/>
      <c r="U163" s="8"/>
      <c r="V163" s="7"/>
      <c r="W163" s="6" t="str">
        <f t="array" ref="W163">IF(NOT(ISBLANK(D163)),_xludf.XLOOKUP(D163,[2]CODE!$A$4:$A$100,[2]CODE!$D$4:$D$100),"")</f>
        <v/>
      </c>
      <c r="X163" s="5" t="str">
        <f t="array" ref="X163">IF(NOT(AND(ISBLANK(D163),ISBLANK(C163))),_xludf.XLOOKUP(D163,[2]CODE!$A$4:$A$100,[2]CODE!$E$4:$E$100),"")</f>
        <v/>
      </c>
      <c r="Y163" s="5" t="str">
        <f t="shared" si="19"/>
        <v/>
      </c>
      <c r="Z163" s="5" t="str">
        <f t="shared" si="20"/>
        <v/>
      </c>
      <c r="AA163" s="4">
        <f t="shared" si="21"/>
        <v>0</v>
      </c>
      <c r="AC163" s="2"/>
    </row>
    <row r="164" spans="1:29" ht="15.5">
      <c r="A164" s="13" t="str">
        <f>IF(OR(ISBLANK(C164),ISBLANK(D164),ISBLANK(F164),ISBLANK(G164)),"",COUNTIF($B$5:B164,"JAMBUTU"))</f>
        <v/>
      </c>
      <c r="B164" s="8"/>
      <c r="C164" s="8"/>
      <c r="D164" s="8"/>
      <c r="E164" s="13"/>
      <c r="F164" s="12"/>
      <c r="G164" s="11"/>
      <c r="H164" s="12"/>
      <c r="I164" s="15"/>
      <c r="J164" s="10">
        <f t="shared" si="16"/>
        <v>0</v>
      </c>
      <c r="K164" s="10">
        <f t="shared" si="17"/>
        <v>0</v>
      </c>
      <c r="L164" s="9" t="str">
        <f t="shared" si="18"/>
        <v/>
      </c>
      <c r="M164" s="8"/>
      <c r="N164" s="8"/>
      <c r="O164" s="8"/>
      <c r="P164" s="8"/>
      <c r="Q164" s="8"/>
      <c r="R164" s="8"/>
      <c r="S164" s="8"/>
      <c r="T164" s="8"/>
      <c r="U164" s="8"/>
      <c r="V164" s="7"/>
      <c r="W164" s="6" t="str">
        <f t="array" ref="W164">IF(NOT(ISBLANK(D164)),_xludf.XLOOKUP(D164,[2]CODE!$A$4:$A$100,[2]CODE!$D$4:$D$100),"")</f>
        <v/>
      </c>
      <c r="X164" s="5" t="str">
        <f t="array" ref="X164">IF(NOT(AND(ISBLANK(D164),ISBLANK(C164))),_xludf.XLOOKUP(D164,[2]CODE!$A$4:$A$100,[2]CODE!$E$4:$E$100),"")</f>
        <v/>
      </c>
      <c r="Y164" s="5" t="str">
        <f t="shared" si="19"/>
        <v/>
      </c>
      <c r="Z164" s="5" t="str">
        <f t="shared" si="20"/>
        <v/>
      </c>
      <c r="AA164" s="4">
        <f t="shared" si="21"/>
        <v>0</v>
      </c>
      <c r="AC164" s="2"/>
    </row>
    <row r="165" spans="1:29" ht="15.5">
      <c r="A165" s="13" t="str">
        <f>IF(OR(ISBLANK(C165),ISBLANK(D165),ISBLANK(F165),ISBLANK(G165)),"",COUNTIF($B$5:B165,"JAMBUTU"))</f>
        <v/>
      </c>
      <c r="B165" s="8"/>
      <c r="C165" s="8"/>
      <c r="D165" s="8"/>
      <c r="E165" s="13"/>
      <c r="F165" s="12"/>
      <c r="G165" s="11"/>
      <c r="H165" s="12"/>
      <c r="I165" s="15"/>
      <c r="J165" s="10">
        <f t="shared" si="16"/>
        <v>0</v>
      </c>
      <c r="K165" s="10">
        <f t="shared" si="17"/>
        <v>0</v>
      </c>
      <c r="L165" s="9" t="str">
        <f t="shared" si="18"/>
        <v/>
      </c>
      <c r="M165" s="8"/>
      <c r="N165" s="8"/>
      <c r="O165" s="8"/>
      <c r="P165" s="8"/>
      <c r="Q165" s="8"/>
      <c r="R165" s="8"/>
      <c r="S165" s="8"/>
      <c r="T165" s="8"/>
      <c r="U165" s="8"/>
      <c r="V165" s="7"/>
      <c r="W165" s="6" t="str">
        <f t="array" ref="W165">IF(NOT(ISBLANK(D165)),_xludf.XLOOKUP(D165,[2]CODE!$A$4:$A$100,[2]CODE!$D$4:$D$100),"")</f>
        <v/>
      </c>
      <c r="X165" s="5" t="str">
        <f t="array" ref="X165">IF(NOT(AND(ISBLANK(D165),ISBLANK(C165))),_xludf.XLOOKUP(D165,[2]CODE!$A$4:$A$100,[2]CODE!$E$4:$E$100),"")</f>
        <v/>
      </c>
      <c r="Y165" s="5" t="str">
        <f t="shared" si="19"/>
        <v/>
      </c>
      <c r="Z165" s="5" t="str">
        <f t="shared" si="20"/>
        <v/>
      </c>
      <c r="AA165" s="4">
        <f t="shared" si="21"/>
        <v>0</v>
      </c>
      <c r="AC165" s="2"/>
    </row>
    <row r="166" spans="1:29" ht="15.5">
      <c r="A166" s="13">
        <f>IF(OR(ISBLANK(C166),ISBLANK(D166),ISBLANK(F166),ISBLANK(G166)),"",COUNTIF($B$5:B166,"JAMBUTU"))</f>
        <v>21</v>
      </c>
      <c r="B166" s="8" t="str">
        <f>IF(C166&lt;&gt;"","Jambutu","")</f>
        <v>Jambutu</v>
      </c>
      <c r="C166" s="8" t="s">
        <v>4</v>
      </c>
      <c r="D166" s="8" t="s">
        <v>6</v>
      </c>
      <c r="E166" s="13">
        <v>3</v>
      </c>
      <c r="F166" s="12">
        <v>46076</v>
      </c>
      <c r="G166" s="11">
        <v>0.59375</v>
      </c>
      <c r="H166" s="12">
        <v>46076</v>
      </c>
      <c r="I166" s="11">
        <v>0.63055555555555554</v>
      </c>
      <c r="J166" s="10">
        <f t="shared" si="16"/>
        <v>46076.59375</v>
      </c>
      <c r="K166" s="10">
        <f t="shared" si="17"/>
        <v>46076.630555555559</v>
      </c>
      <c r="L166" s="9">
        <f t="shared" si="18"/>
        <v>3.680555555911269E-2</v>
      </c>
      <c r="M166" s="8" t="s">
        <v>16</v>
      </c>
      <c r="N166" s="8" t="s">
        <v>53</v>
      </c>
      <c r="O166" s="8" t="s">
        <v>0</v>
      </c>
      <c r="P166" s="8"/>
      <c r="Q166" s="8"/>
      <c r="R166" s="8"/>
      <c r="S166" s="8"/>
      <c r="T166" s="8"/>
      <c r="U166" s="8"/>
      <c r="V166" s="7"/>
      <c r="W166" s="6" t="e">
        <f t="array" aca="1" ref="W166" ca="1">IF(NOT(ISBLANK(D166)),_xludf.XLOOKUP(D166,[2]CODE!$A$4:$A$100,[2]CODE!$D$4:$D$100),"")</f>
        <v>#NAME?</v>
      </c>
      <c r="X166" s="5" t="e">
        <f t="array" aca="1" ref="X166" ca="1">IF(NOT(AND(ISBLANK(D166),ISBLANK(C166))),_xludf.XLOOKUP(D166,[2]CODE!$A$4:$A$100,[2]CODE!$E$4:$E$100),"")</f>
        <v>#NAME?</v>
      </c>
      <c r="Y166" s="5" t="str">
        <f t="shared" si="19"/>
        <v>33KV</v>
      </c>
      <c r="Z166" s="5" t="str">
        <f t="shared" si="20"/>
        <v>YES</v>
      </c>
      <c r="AA166" s="4">
        <f t="shared" si="21"/>
        <v>46076</v>
      </c>
      <c r="AC166" s="2"/>
    </row>
    <row r="167" spans="1:29" ht="15.5">
      <c r="A167" s="13" t="str">
        <f>IF(OR(ISBLANK(C167),ISBLANK(D167),ISBLANK(F167),ISBLANK(G167)),"",COUNTIF($B$5:B167,"JAMBUTU"))</f>
        <v/>
      </c>
      <c r="B167" s="8"/>
      <c r="C167" s="8"/>
      <c r="D167" s="8"/>
      <c r="E167" s="13"/>
      <c r="F167" s="12"/>
      <c r="G167" s="11"/>
      <c r="H167" s="12"/>
      <c r="I167" s="11"/>
      <c r="J167" s="10">
        <f t="shared" si="16"/>
        <v>0</v>
      </c>
      <c r="K167" s="10">
        <f t="shared" si="17"/>
        <v>0</v>
      </c>
      <c r="L167" s="9" t="str">
        <f t="shared" si="18"/>
        <v/>
      </c>
      <c r="M167" s="8"/>
      <c r="N167" s="8"/>
      <c r="O167" s="8"/>
      <c r="P167" s="8"/>
      <c r="Q167" s="8"/>
      <c r="R167" s="8"/>
      <c r="S167" s="8"/>
      <c r="T167" s="8"/>
      <c r="U167" s="8"/>
      <c r="V167" s="7"/>
      <c r="W167" s="6" t="str">
        <f t="array" ref="W167">IF(NOT(ISBLANK(D167)),_xludf.XLOOKUP(D167,[2]CODE!$A$4:$A$100,[2]CODE!$D$4:$D$100),"")</f>
        <v/>
      </c>
      <c r="X167" s="5" t="str">
        <f t="array" ref="X167">IF(NOT(AND(ISBLANK(D167),ISBLANK(C167))),_xludf.XLOOKUP(D167,[2]CODE!$A$4:$A$100,[2]CODE!$E$4:$E$100),"")</f>
        <v/>
      </c>
      <c r="Y167" s="5" t="str">
        <f t="shared" si="19"/>
        <v/>
      </c>
      <c r="Z167" s="5" t="str">
        <f t="shared" si="20"/>
        <v/>
      </c>
      <c r="AA167" s="4">
        <f t="shared" si="21"/>
        <v>0</v>
      </c>
      <c r="AC167" s="2"/>
    </row>
    <row r="168" spans="1:29" ht="15.5">
      <c r="A168" s="13" t="str">
        <f>IF(OR(ISBLANK(C168),ISBLANK(D168),ISBLANK(F168),ISBLANK(G168)),"",COUNTIF($B$5:B168,"JAMBUTU"))</f>
        <v/>
      </c>
      <c r="B168" s="8"/>
      <c r="C168" s="8"/>
      <c r="D168" s="8"/>
      <c r="E168" s="13"/>
      <c r="F168" s="12"/>
      <c r="G168" s="11"/>
      <c r="H168" s="12"/>
      <c r="I168" s="15"/>
      <c r="J168" s="10">
        <f t="shared" si="16"/>
        <v>0</v>
      </c>
      <c r="K168" s="10">
        <f t="shared" si="17"/>
        <v>0</v>
      </c>
      <c r="L168" s="9" t="str">
        <f t="shared" si="18"/>
        <v/>
      </c>
      <c r="M168" s="8"/>
      <c r="N168" s="8"/>
      <c r="O168" s="8"/>
      <c r="P168" s="8"/>
      <c r="Q168" s="8"/>
      <c r="R168" s="8"/>
      <c r="S168" s="8"/>
      <c r="T168" s="8"/>
      <c r="U168" s="8"/>
      <c r="V168" s="7"/>
      <c r="W168" s="6" t="str">
        <f t="array" ref="W168">IF(NOT(ISBLANK(D168)),_xludf.XLOOKUP(D168,[2]CODE!$A$4:$A$100,[2]CODE!$D$4:$D$100),"")</f>
        <v/>
      </c>
      <c r="X168" s="5" t="str">
        <f t="array" ref="X168">IF(NOT(AND(ISBLANK(D168),ISBLANK(C168))),_xludf.XLOOKUP(D168,[2]CODE!$A$4:$A$100,[2]CODE!$E$4:$E$100),"")</f>
        <v/>
      </c>
      <c r="Y168" s="5" t="str">
        <f t="shared" si="19"/>
        <v/>
      </c>
      <c r="Z168" s="5" t="str">
        <f t="shared" si="20"/>
        <v/>
      </c>
      <c r="AA168" s="4">
        <f t="shared" si="21"/>
        <v>0</v>
      </c>
      <c r="AC168" s="2"/>
    </row>
    <row r="169" spans="1:29" ht="15.5">
      <c r="A169" s="13" t="str">
        <f>IF(OR(ISBLANK(C169),ISBLANK(D169),ISBLANK(F169),ISBLANK(G169)),"",COUNTIF($B$5:B169,"JAMBUTU"))</f>
        <v/>
      </c>
      <c r="B169" s="8"/>
      <c r="C169" s="8"/>
      <c r="D169" s="8"/>
      <c r="E169" s="13"/>
      <c r="F169" s="12"/>
      <c r="G169" s="11"/>
      <c r="H169" s="12"/>
      <c r="I169" s="11"/>
      <c r="J169" s="10">
        <f t="shared" si="16"/>
        <v>0</v>
      </c>
      <c r="K169" s="10">
        <f t="shared" si="17"/>
        <v>0</v>
      </c>
      <c r="L169" s="9" t="str">
        <f t="shared" si="18"/>
        <v/>
      </c>
      <c r="M169" s="8"/>
      <c r="N169" s="8"/>
      <c r="O169" s="8"/>
      <c r="P169" s="8"/>
      <c r="Q169" s="8"/>
      <c r="R169" s="8"/>
      <c r="S169" s="8"/>
      <c r="T169" s="8"/>
      <c r="U169" s="8"/>
      <c r="V169" s="7"/>
      <c r="W169" s="6" t="str">
        <f t="array" ref="W169">IF(NOT(ISBLANK(D169)),_xludf.XLOOKUP(D169,[2]CODE!$A$4:$A$100,[2]CODE!$D$4:$D$100),"")</f>
        <v/>
      </c>
      <c r="X169" s="5" t="str">
        <f t="array" ref="X169">IF(NOT(AND(ISBLANK(D169),ISBLANK(C169))),_xludf.XLOOKUP(D169,[2]CODE!$A$4:$A$100,[2]CODE!$E$4:$E$100),"")</f>
        <v/>
      </c>
      <c r="Y169" s="5" t="str">
        <f t="shared" si="19"/>
        <v/>
      </c>
      <c r="Z169" s="5" t="str">
        <f t="shared" si="20"/>
        <v/>
      </c>
      <c r="AA169" s="4">
        <f t="shared" si="21"/>
        <v>0</v>
      </c>
      <c r="AC169" s="2"/>
    </row>
    <row r="170" spans="1:29" ht="15.5">
      <c r="A170" s="13" t="str">
        <f>IF(OR(ISBLANK(C170),ISBLANK(D170),ISBLANK(F170),ISBLANK(G170)),"",COUNTIF($B$5:B170,"JAMBUTU"))</f>
        <v/>
      </c>
      <c r="B170" s="8"/>
      <c r="C170" s="8"/>
      <c r="D170" s="8"/>
      <c r="E170" s="13"/>
      <c r="F170" s="12"/>
      <c r="G170" s="11"/>
      <c r="H170" s="12"/>
      <c r="I170" s="11"/>
      <c r="J170" s="10">
        <f t="shared" si="16"/>
        <v>0</v>
      </c>
      <c r="K170" s="10">
        <f t="shared" si="17"/>
        <v>0</v>
      </c>
      <c r="L170" s="9" t="str">
        <f t="shared" si="18"/>
        <v/>
      </c>
      <c r="M170" s="8"/>
      <c r="N170" s="8"/>
      <c r="O170" s="8"/>
      <c r="P170" s="8"/>
      <c r="Q170" s="8"/>
      <c r="R170" s="8"/>
      <c r="S170" s="8"/>
      <c r="T170" s="8"/>
      <c r="U170" s="8"/>
      <c r="V170" s="7"/>
      <c r="W170" s="6" t="str">
        <f t="array" ref="W170">IF(NOT(ISBLANK(D170)),_xludf.XLOOKUP(D170,[2]CODE!$A$4:$A$100,[2]CODE!$D$4:$D$100),"")</f>
        <v/>
      </c>
      <c r="X170" s="5" t="str">
        <f t="array" ref="X170">IF(NOT(AND(ISBLANK(D170),ISBLANK(C170))),_xludf.XLOOKUP(D170,[2]CODE!$A$4:$A$100,[2]CODE!$E$4:$E$100),"")</f>
        <v/>
      </c>
      <c r="Y170" s="5" t="str">
        <f t="shared" si="19"/>
        <v/>
      </c>
      <c r="Z170" s="5" t="str">
        <f t="shared" si="20"/>
        <v/>
      </c>
      <c r="AA170" s="4">
        <f t="shared" si="21"/>
        <v>0</v>
      </c>
      <c r="AC170" s="2"/>
    </row>
    <row r="171" spans="1:29" ht="15.5">
      <c r="A171" s="13" t="str">
        <f>IF(OR(ISBLANK(C171),ISBLANK(D171),ISBLANK(F171),ISBLANK(G171)),"",COUNTIF($B$5:B171,"JAMBUTU"))</f>
        <v/>
      </c>
      <c r="B171" s="8"/>
      <c r="C171" s="8"/>
      <c r="D171" s="8"/>
      <c r="E171" s="13"/>
      <c r="F171" s="12"/>
      <c r="G171" s="11"/>
      <c r="H171" s="12"/>
      <c r="I171" s="15"/>
      <c r="J171" s="10">
        <f t="shared" si="16"/>
        <v>0</v>
      </c>
      <c r="K171" s="10">
        <f t="shared" si="17"/>
        <v>0</v>
      </c>
      <c r="L171" s="9" t="str">
        <f t="shared" si="18"/>
        <v/>
      </c>
      <c r="M171" s="8"/>
      <c r="N171" s="8"/>
      <c r="O171" s="8"/>
      <c r="P171" s="8"/>
      <c r="Q171" s="8"/>
      <c r="R171" s="8"/>
      <c r="S171" s="8"/>
      <c r="T171" s="8"/>
      <c r="U171" s="8"/>
      <c r="V171" s="7"/>
      <c r="W171" s="6" t="str">
        <f t="array" ref="W171">IF(NOT(ISBLANK(D171)),_xludf.XLOOKUP(D171,[2]CODE!$A$4:$A$100,[2]CODE!$D$4:$D$100),"")</f>
        <v/>
      </c>
      <c r="X171" s="5" t="str">
        <f t="array" ref="X171">IF(NOT(AND(ISBLANK(D171),ISBLANK(C171))),_xludf.XLOOKUP(D171,[2]CODE!$A$4:$A$100,[2]CODE!$E$4:$E$100),"")</f>
        <v/>
      </c>
      <c r="Y171" s="5" t="str">
        <f t="shared" si="19"/>
        <v/>
      </c>
      <c r="Z171" s="5" t="str">
        <f t="shared" si="20"/>
        <v/>
      </c>
      <c r="AA171" s="4">
        <f t="shared" si="21"/>
        <v>0</v>
      </c>
      <c r="AC171" s="2"/>
    </row>
    <row r="172" spans="1:29" ht="15.5">
      <c r="A172" s="13" t="str">
        <f>IF(OR(ISBLANK(C172),ISBLANK(D172),ISBLANK(F172),ISBLANK(G172)),"",COUNTIF($B$5:B172,"JAMBUTU"))</f>
        <v/>
      </c>
      <c r="B172" s="8"/>
      <c r="C172" s="8"/>
      <c r="D172" s="8"/>
      <c r="E172" s="13"/>
      <c r="F172" s="12"/>
      <c r="G172" s="11"/>
      <c r="H172" s="12"/>
      <c r="I172" s="15"/>
      <c r="J172" s="10">
        <f t="shared" si="16"/>
        <v>0</v>
      </c>
      <c r="K172" s="10">
        <f t="shared" si="17"/>
        <v>0</v>
      </c>
      <c r="L172" s="9" t="str">
        <f t="shared" si="18"/>
        <v/>
      </c>
      <c r="M172" s="8"/>
      <c r="N172" s="8"/>
      <c r="O172" s="8"/>
      <c r="P172" s="8"/>
      <c r="Q172" s="8"/>
      <c r="R172" s="8"/>
      <c r="S172" s="8"/>
      <c r="T172" s="8"/>
      <c r="U172" s="8"/>
      <c r="V172" s="7"/>
      <c r="W172" s="6" t="str">
        <f t="array" ref="W172">IF(NOT(ISBLANK(D172)),_xludf.XLOOKUP(D172,[2]CODE!$A$4:$A$100,[2]CODE!$D$4:$D$100),"")</f>
        <v/>
      </c>
      <c r="X172" s="5" t="str">
        <f t="array" ref="X172">IF(NOT(AND(ISBLANK(D172),ISBLANK(C172))),_xludf.XLOOKUP(D172,[2]CODE!$A$4:$A$100,[2]CODE!$E$4:$E$100),"")</f>
        <v/>
      </c>
      <c r="Y172" s="5" t="str">
        <f t="shared" si="19"/>
        <v/>
      </c>
      <c r="Z172" s="5" t="str">
        <f t="shared" si="20"/>
        <v/>
      </c>
      <c r="AA172" s="4">
        <f t="shared" si="21"/>
        <v>0</v>
      </c>
      <c r="AC172" s="2"/>
    </row>
    <row r="173" spans="1:29" ht="15.5">
      <c r="A173" s="13" t="str">
        <f>IF(OR(ISBLANK(C173),ISBLANK(D173),ISBLANK(F173),ISBLANK(G173)),"",COUNTIF($B$5:B173,"JAMBUTU"))</f>
        <v/>
      </c>
      <c r="B173" s="8"/>
      <c r="C173" s="8"/>
      <c r="D173" s="8"/>
      <c r="E173" s="13"/>
      <c r="F173" s="12"/>
      <c r="G173" s="15"/>
      <c r="H173" s="12"/>
      <c r="I173" s="15"/>
      <c r="J173" s="10">
        <f t="shared" si="16"/>
        <v>0</v>
      </c>
      <c r="K173" s="10">
        <f t="shared" si="17"/>
        <v>0</v>
      </c>
      <c r="L173" s="9" t="str">
        <f t="shared" si="18"/>
        <v/>
      </c>
      <c r="M173" s="8"/>
      <c r="N173" s="8"/>
      <c r="O173" s="8"/>
      <c r="P173" s="8"/>
      <c r="Q173" s="8"/>
      <c r="R173" s="8"/>
      <c r="S173" s="8"/>
      <c r="T173" s="8"/>
      <c r="U173" s="8"/>
      <c r="V173" s="7"/>
      <c r="W173" s="6" t="str">
        <f t="array" ref="W173">IF(NOT(ISBLANK(D173)),_xludf.XLOOKUP(D173,[2]CODE!$A$4:$A$100,[2]CODE!$D$4:$D$100),"")</f>
        <v/>
      </c>
      <c r="X173" s="5" t="str">
        <f t="array" ref="X173">IF(NOT(AND(ISBLANK(D173),ISBLANK(C173))),_xludf.XLOOKUP(D173,[2]CODE!$A$4:$A$100,[2]CODE!$E$4:$E$100),"")</f>
        <v/>
      </c>
      <c r="Y173" s="5" t="str">
        <f t="shared" si="19"/>
        <v/>
      </c>
      <c r="Z173" s="5" t="str">
        <f t="shared" si="20"/>
        <v/>
      </c>
      <c r="AA173" s="4">
        <f t="shared" si="21"/>
        <v>0</v>
      </c>
      <c r="AC173" s="2"/>
    </row>
    <row r="174" spans="1:29" ht="15.5">
      <c r="A174" s="13" t="str">
        <f>IF(OR(ISBLANK(C174),ISBLANK(D174),ISBLANK(F174),ISBLANK(G174)),"",COUNTIF($B$5:B174,"JAMBUTU"))</f>
        <v/>
      </c>
      <c r="B174" s="8"/>
      <c r="C174" s="8"/>
      <c r="D174" s="8"/>
      <c r="E174" s="13"/>
      <c r="F174" s="12"/>
      <c r="G174" s="11"/>
      <c r="H174" s="12"/>
      <c r="I174" s="15"/>
      <c r="J174" s="10">
        <f t="shared" si="16"/>
        <v>0</v>
      </c>
      <c r="K174" s="10">
        <f t="shared" si="17"/>
        <v>0</v>
      </c>
      <c r="L174" s="9" t="str">
        <f t="shared" si="18"/>
        <v/>
      </c>
      <c r="M174" s="8"/>
      <c r="N174" s="8"/>
      <c r="O174" s="8"/>
      <c r="P174" s="8"/>
      <c r="Q174" s="8"/>
      <c r="R174" s="8"/>
      <c r="S174" s="8"/>
      <c r="T174" s="8"/>
      <c r="U174" s="8"/>
      <c r="V174" s="7"/>
      <c r="W174" s="6" t="str">
        <f t="array" ref="W174">IF(NOT(ISBLANK(D174)),_xludf.XLOOKUP(D174,[2]CODE!$A$4:$A$100,[2]CODE!$D$4:$D$100),"")</f>
        <v/>
      </c>
      <c r="X174" s="5" t="str">
        <f t="array" ref="X174">IF(NOT(AND(ISBLANK(D174),ISBLANK(C174))),_xludf.XLOOKUP(D174,[2]CODE!$A$4:$A$100,[2]CODE!$E$4:$E$100),"")</f>
        <v/>
      </c>
      <c r="Y174" s="5" t="str">
        <f t="shared" si="19"/>
        <v/>
      </c>
      <c r="Z174" s="5" t="str">
        <f t="shared" si="20"/>
        <v/>
      </c>
      <c r="AA174" s="4">
        <f t="shared" si="21"/>
        <v>0</v>
      </c>
      <c r="AC174" s="2"/>
    </row>
    <row r="175" spans="1:29" ht="15.5">
      <c r="A175" s="13" t="str">
        <f>IF(OR(ISBLANK(C175),ISBLANK(D175),ISBLANK(F175),ISBLANK(G175)),"",COUNTIF($B$5:B175,"JAMBUTU"))</f>
        <v/>
      </c>
      <c r="B175" s="8"/>
      <c r="C175" s="8"/>
      <c r="D175" s="8"/>
      <c r="E175" s="13"/>
      <c r="F175" s="12"/>
      <c r="G175" s="11"/>
      <c r="H175" s="12"/>
      <c r="I175" s="11"/>
      <c r="J175" s="10">
        <f t="shared" si="16"/>
        <v>0</v>
      </c>
      <c r="K175" s="10">
        <f t="shared" si="17"/>
        <v>0</v>
      </c>
      <c r="L175" s="9" t="str">
        <f t="shared" si="18"/>
        <v/>
      </c>
      <c r="M175" s="8"/>
      <c r="N175" s="8"/>
      <c r="O175" s="8"/>
      <c r="P175" s="8"/>
      <c r="Q175" s="8"/>
      <c r="R175" s="8"/>
      <c r="S175" s="8"/>
      <c r="T175" s="8"/>
      <c r="U175" s="8"/>
      <c r="V175" s="7"/>
      <c r="W175" s="6" t="str">
        <f t="array" ref="W175">IF(NOT(ISBLANK(D175)),_xludf.XLOOKUP(D175,[2]CODE!$A$4:$A$100,[2]CODE!$D$4:$D$100),"")</f>
        <v/>
      </c>
      <c r="X175" s="5" t="str">
        <f t="array" ref="X175">IF(NOT(AND(ISBLANK(D175),ISBLANK(C175))),_xludf.XLOOKUP(D175,[2]CODE!$A$4:$A$100,[2]CODE!$E$4:$E$100),"")</f>
        <v/>
      </c>
      <c r="Y175" s="5" t="str">
        <f t="shared" si="19"/>
        <v/>
      </c>
      <c r="Z175" s="5" t="str">
        <f t="shared" si="20"/>
        <v/>
      </c>
      <c r="AA175" s="4">
        <f t="shared" si="21"/>
        <v>0</v>
      </c>
      <c r="AC175" s="2"/>
    </row>
    <row r="176" spans="1:29" ht="15.5">
      <c r="A176" s="13" t="str">
        <f>IF(OR(ISBLANK(C176),ISBLANK(D176),ISBLANK(F176),ISBLANK(G176)),"",COUNTIF($B$5:B176,"JAMBUTU"))</f>
        <v/>
      </c>
      <c r="B176" s="8"/>
      <c r="C176" s="8"/>
      <c r="D176" s="8"/>
      <c r="E176" s="13"/>
      <c r="F176" s="12"/>
      <c r="G176" s="11"/>
      <c r="H176" s="12"/>
      <c r="I176" s="11"/>
      <c r="J176" s="10">
        <f t="shared" si="16"/>
        <v>0</v>
      </c>
      <c r="K176" s="10">
        <f t="shared" si="17"/>
        <v>0</v>
      </c>
      <c r="L176" s="9" t="str">
        <f t="shared" si="18"/>
        <v/>
      </c>
      <c r="M176" s="8"/>
      <c r="N176" s="8"/>
      <c r="O176" s="8"/>
      <c r="P176" s="8"/>
      <c r="Q176" s="8"/>
      <c r="R176" s="8"/>
      <c r="S176" s="8"/>
      <c r="T176" s="8"/>
      <c r="U176" s="8"/>
      <c r="V176" s="7"/>
      <c r="W176" s="6" t="str">
        <f t="array" ref="W176">IF(NOT(ISBLANK(D176)),_xludf.XLOOKUP(D176,[2]CODE!$A$4:$A$100,[2]CODE!$D$4:$D$100),"")</f>
        <v/>
      </c>
      <c r="X176" s="5" t="str">
        <f t="array" ref="X176">IF(NOT(AND(ISBLANK(D176),ISBLANK(C176))),_xludf.XLOOKUP(D176,[2]CODE!$A$4:$A$100,[2]CODE!$E$4:$E$100),"")</f>
        <v/>
      </c>
      <c r="Y176" s="5" t="str">
        <f t="shared" si="19"/>
        <v/>
      </c>
      <c r="Z176" s="5" t="str">
        <f t="shared" si="20"/>
        <v/>
      </c>
      <c r="AA176" s="4">
        <f t="shared" si="21"/>
        <v>0</v>
      </c>
      <c r="AC176" s="2"/>
    </row>
    <row r="177" spans="1:29" ht="15.5">
      <c r="A177" s="13" t="str">
        <f>IF(OR(ISBLANK(C177),ISBLANK(D177),ISBLANK(F177),ISBLANK(G177)),"",COUNTIF($B$5:B177,"JAMBUTU"))</f>
        <v/>
      </c>
      <c r="B177" s="8"/>
      <c r="C177" s="8"/>
      <c r="D177" s="8"/>
      <c r="E177" s="13"/>
      <c r="F177" s="12"/>
      <c r="G177" s="11"/>
      <c r="H177" s="12"/>
      <c r="I177" s="11"/>
      <c r="J177" s="10">
        <f t="shared" si="16"/>
        <v>0</v>
      </c>
      <c r="K177" s="10">
        <f t="shared" si="17"/>
        <v>0</v>
      </c>
      <c r="L177" s="9" t="str">
        <f t="shared" si="18"/>
        <v/>
      </c>
      <c r="M177" s="8"/>
      <c r="N177" s="8"/>
      <c r="O177" s="8"/>
      <c r="P177" s="8"/>
      <c r="Q177" s="8"/>
      <c r="R177" s="8"/>
      <c r="S177" s="8"/>
      <c r="T177" s="8"/>
      <c r="U177" s="8"/>
      <c r="V177" s="7"/>
      <c r="W177" s="6" t="str">
        <f t="array" ref="W177">IF(NOT(ISBLANK(D177)),_xludf.XLOOKUP(D177,[2]CODE!$A$4:$A$100,[2]CODE!$D$4:$D$100),"")</f>
        <v/>
      </c>
      <c r="X177" s="5" t="str">
        <f t="array" ref="X177">IF(NOT(AND(ISBLANK(D177),ISBLANK(C177))),_xludf.XLOOKUP(D177,[2]CODE!$A$4:$A$100,[2]CODE!$E$4:$E$100),"")</f>
        <v/>
      </c>
      <c r="Y177" s="5" t="str">
        <f t="shared" si="19"/>
        <v/>
      </c>
      <c r="Z177" s="5" t="str">
        <f t="shared" si="20"/>
        <v/>
      </c>
      <c r="AA177" s="4">
        <f t="shared" si="21"/>
        <v>0</v>
      </c>
      <c r="AC177" s="2"/>
    </row>
    <row r="178" spans="1:29" ht="15.5">
      <c r="A178" s="13" t="str">
        <f>IF(OR(ISBLANK(C178),ISBLANK(D178),ISBLANK(F178),ISBLANK(G178)),"",COUNTIF($B$5:B178,"JAMBUTU"))</f>
        <v/>
      </c>
      <c r="B178" s="8"/>
      <c r="C178" s="8"/>
      <c r="D178" s="8"/>
      <c r="E178" s="13"/>
      <c r="F178" s="12"/>
      <c r="G178" s="11"/>
      <c r="H178" s="12"/>
      <c r="I178" s="11"/>
      <c r="J178" s="10">
        <f t="shared" si="16"/>
        <v>0</v>
      </c>
      <c r="K178" s="10">
        <f t="shared" si="17"/>
        <v>0</v>
      </c>
      <c r="L178" s="9" t="str">
        <f t="shared" si="18"/>
        <v/>
      </c>
      <c r="M178" s="8"/>
      <c r="N178" s="8"/>
      <c r="O178" s="8"/>
      <c r="P178" s="8"/>
      <c r="Q178" s="8"/>
      <c r="R178" s="8"/>
      <c r="S178" s="8"/>
      <c r="T178" s="8"/>
      <c r="U178" s="8"/>
      <c r="V178" s="7"/>
      <c r="W178" s="6" t="str">
        <f t="array" ref="W178">IF(NOT(ISBLANK(D178)),_xludf.XLOOKUP(D178,[2]CODE!$A$4:$A$100,[2]CODE!$D$4:$D$100),"")</f>
        <v/>
      </c>
      <c r="X178" s="5" t="str">
        <f t="array" ref="X178">IF(NOT(AND(ISBLANK(D178),ISBLANK(C178))),_xludf.XLOOKUP(D178,[2]CODE!$A$4:$A$100,[2]CODE!$E$4:$E$100),"")</f>
        <v/>
      </c>
      <c r="Y178" s="5" t="str">
        <f t="shared" si="19"/>
        <v/>
      </c>
      <c r="Z178" s="5" t="str">
        <f t="shared" si="20"/>
        <v/>
      </c>
      <c r="AA178" s="4">
        <f t="shared" si="21"/>
        <v>0</v>
      </c>
      <c r="AC178" s="2"/>
    </row>
    <row r="179" spans="1:29" ht="15.5">
      <c r="A179" s="13" t="str">
        <f>IF(OR(ISBLANK(C179),ISBLANK(D179),ISBLANK(F179),ISBLANK(G179)),"",COUNTIF($B$5:B179,"JAMBUTU"))</f>
        <v/>
      </c>
      <c r="B179" s="8"/>
      <c r="C179" s="8"/>
      <c r="D179" s="8"/>
      <c r="E179" s="13"/>
      <c r="F179" s="12"/>
      <c r="G179" s="11"/>
      <c r="H179" s="12"/>
      <c r="I179" s="11"/>
      <c r="J179" s="10">
        <f t="shared" si="16"/>
        <v>0</v>
      </c>
      <c r="K179" s="10">
        <f t="shared" si="17"/>
        <v>0</v>
      </c>
      <c r="L179" s="9" t="str">
        <f t="shared" si="18"/>
        <v/>
      </c>
      <c r="M179" s="8"/>
      <c r="N179" s="8"/>
      <c r="O179" s="8"/>
      <c r="P179" s="8"/>
      <c r="Q179" s="8"/>
      <c r="R179" s="8"/>
      <c r="S179" s="8"/>
      <c r="T179" s="8"/>
      <c r="U179" s="8"/>
      <c r="V179" s="7"/>
      <c r="W179" s="6" t="str">
        <f t="array" ref="W179">IF(NOT(ISBLANK(D179)),_xludf.XLOOKUP(D179,[2]CODE!$A$4:$A$100,[2]CODE!$D$4:$D$100),"")</f>
        <v/>
      </c>
      <c r="X179" s="5" t="str">
        <f t="array" ref="X179">IF(NOT(AND(ISBLANK(D179),ISBLANK(C179))),_xludf.XLOOKUP(D179,[2]CODE!$A$4:$A$100,[2]CODE!$E$4:$E$100),"")</f>
        <v/>
      </c>
      <c r="Y179" s="5" t="str">
        <f t="shared" si="19"/>
        <v/>
      </c>
      <c r="Z179" s="5" t="str">
        <f t="shared" si="20"/>
        <v/>
      </c>
      <c r="AA179" s="4">
        <f t="shared" si="21"/>
        <v>0</v>
      </c>
      <c r="AC179" s="2"/>
    </row>
    <row r="180" spans="1:29" ht="15.5">
      <c r="A180" s="13" t="str">
        <f>IF(OR(ISBLANK(C180),ISBLANK(D180),ISBLANK(F180),ISBLANK(G180)),"",COUNTIF($B$5:B180,"JAMBUTU"))</f>
        <v/>
      </c>
      <c r="B180" s="8"/>
      <c r="C180" s="8"/>
      <c r="D180" s="8"/>
      <c r="E180" s="13"/>
      <c r="F180" s="12"/>
      <c r="G180" s="11"/>
      <c r="H180" s="12"/>
      <c r="I180" s="15"/>
      <c r="J180" s="10">
        <f t="shared" si="16"/>
        <v>0</v>
      </c>
      <c r="K180" s="10">
        <f t="shared" si="17"/>
        <v>0</v>
      </c>
      <c r="L180" s="9" t="str">
        <f t="shared" si="18"/>
        <v/>
      </c>
      <c r="M180" s="8"/>
      <c r="N180" s="8"/>
      <c r="O180" s="8"/>
      <c r="P180" s="8"/>
      <c r="Q180" s="8"/>
      <c r="R180" s="8"/>
      <c r="S180" s="8"/>
      <c r="T180" s="8"/>
      <c r="U180" s="8"/>
      <c r="V180" s="7"/>
      <c r="W180" s="6" t="str">
        <f t="array" ref="W180">IF(NOT(ISBLANK(D180)),_xludf.XLOOKUP(D180,[2]CODE!$A$4:$A$100,[2]CODE!$D$4:$D$100),"")</f>
        <v/>
      </c>
      <c r="X180" s="5" t="str">
        <f t="array" ref="X180">IF(NOT(AND(ISBLANK(D180),ISBLANK(C180))),_xludf.XLOOKUP(D180,[2]CODE!$A$4:$A$100,[2]CODE!$E$4:$E$100),"")</f>
        <v/>
      </c>
      <c r="Y180" s="5" t="str">
        <f t="shared" si="19"/>
        <v/>
      </c>
      <c r="Z180" s="5" t="str">
        <f t="shared" si="20"/>
        <v/>
      </c>
      <c r="AA180" s="4">
        <f t="shared" si="21"/>
        <v>0</v>
      </c>
      <c r="AC180" s="2"/>
    </row>
    <row r="181" spans="1:29" ht="15.5">
      <c r="A181" s="13">
        <f>IF(OR(ISBLANK(C181),ISBLANK(D181),ISBLANK(F181),ISBLANK(G181)),"",COUNTIF($B$5:B181,"JAMBUTU"))</f>
        <v>22</v>
      </c>
      <c r="B181" s="8" t="str">
        <f>IF(C181&lt;&gt;"","Jambutu","")</f>
        <v>Jambutu</v>
      </c>
      <c r="C181" s="8" t="s">
        <v>4</v>
      </c>
      <c r="D181" s="8" t="s">
        <v>6</v>
      </c>
      <c r="E181" s="20">
        <v>3.5</v>
      </c>
      <c r="F181" s="12">
        <v>46078</v>
      </c>
      <c r="G181" s="11">
        <v>0.6381944444444444</v>
      </c>
      <c r="H181" s="12">
        <v>46078</v>
      </c>
      <c r="I181" s="15">
        <v>0.67152777777777772</v>
      </c>
      <c r="J181" s="10">
        <f t="shared" si="16"/>
        <v>46078.638194444444</v>
      </c>
      <c r="K181" s="10">
        <f t="shared" si="17"/>
        <v>46078.671527777777</v>
      </c>
      <c r="L181" s="9">
        <f t="shared" si="18"/>
        <v>3.3333333332848269E-2</v>
      </c>
      <c r="M181" s="8" t="s">
        <v>57</v>
      </c>
      <c r="N181" s="8" t="s">
        <v>53</v>
      </c>
      <c r="O181" s="8" t="s">
        <v>0</v>
      </c>
      <c r="P181" s="8"/>
      <c r="Q181" s="8"/>
      <c r="R181" s="8"/>
      <c r="S181" s="8"/>
      <c r="T181" s="8"/>
      <c r="U181" s="8"/>
      <c r="V181" s="7"/>
      <c r="W181" s="6" t="e">
        <f t="array" aca="1" ref="W181" ca="1">IF(NOT(ISBLANK(D181)),_xludf.XLOOKUP(D181,[2]CODE!$A$4:$A$100,[2]CODE!$D$4:$D$100),"")</f>
        <v>#NAME?</v>
      </c>
      <c r="X181" s="5" t="e">
        <f t="array" aca="1" ref="X181" ca="1">IF(NOT(AND(ISBLANK(D181),ISBLANK(C181))),_xludf.XLOOKUP(D181,[2]CODE!$A$4:$A$100,[2]CODE!$E$4:$E$100),"")</f>
        <v>#NAME?</v>
      </c>
      <c r="Y181" s="5" t="str">
        <f t="shared" si="19"/>
        <v>33KV</v>
      </c>
      <c r="Z181" s="5" t="str">
        <f t="shared" si="20"/>
        <v>YES</v>
      </c>
      <c r="AA181" s="4">
        <f t="shared" si="21"/>
        <v>46078</v>
      </c>
      <c r="AC181" s="2"/>
    </row>
    <row r="182" spans="1:29" ht="15.5">
      <c r="A182" s="13" t="str">
        <f>IF(OR(ISBLANK(C182),ISBLANK(D182),ISBLANK(F182),ISBLANK(G182)),"",COUNTIF($B$5:B182,"JAMBUTU"))</f>
        <v/>
      </c>
      <c r="B182" s="8"/>
      <c r="C182" s="8"/>
      <c r="D182" s="8"/>
      <c r="E182" s="20"/>
      <c r="F182" s="12"/>
      <c r="G182" s="11"/>
      <c r="H182" s="12"/>
      <c r="I182" s="11"/>
      <c r="J182" s="10">
        <f t="shared" si="16"/>
        <v>0</v>
      </c>
      <c r="K182" s="10">
        <f t="shared" si="17"/>
        <v>0</v>
      </c>
      <c r="L182" s="9" t="str">
        <f t="shared" si="18"/>
        <v/>
      </c>
      <c r="M182" s="8"/>
      <c r="N182" s="8"/>
      <c r="O182" s="8"/>
      <c r="P182" s="8"/>
      <c r="Q182" s="8"/>
      <c r="R182" s="8"/>
      <c r="S182" s="8"/>
      <c r="T182" s="8"/>
      <c r="U182" s="8"/>
      <c r="V182" s="7"/>
      <c r="W182" s="6" t="str">
        <f t="array" ref="W182">IF(NOT(ISBLANK(D182)),_xludf.XLOOKUP(D182,[2]CODE!$A$4:$A$100,[2]CODE!$D$4:$D$100),"")</f>
        <v/>
      </c>
      <c r="X182" s="5" t="str">
        <f t="array" ref="X182">IF(NOT(AND(ISBLANK(D182),ISBLANK(C182))),_xludf.XLOOKUP(D182,[2]CODE!$A$4:$A$100,[2]CODE!$E$4:$E$100),"")</f>
        <v/>
      </c>
      <c r="Y182" s="5" t="str">
        <f t="shared" si="19"/>
        <v/>
      </c>
      <c r="Z182" s="5" t="str">
        <f t="shared" si="20"/>
        <v/>
      </c>
      <c r="AA182" s="4">
        <f t="shared" si="21"/>
        <v>0</v>
      </c>
      <c r="AC182" s="2"/>
    </row>
    <row r="183" spans="1:29" ht="15.5">
      <c r="A183" s="13">
        <f>IF(OR(ISBLANK(C183),ISBLANK(D183),ISBLANK(F183),ISBLANK(G183)),"",COUNTIF($B$5:B183,"JAMBUTU"))</f>
        <v>23</v>
      </c>
      <c r="B183" s="8" t="str">
        <f>IF(C183&lt;&gt;"","Jambutu","")</f>
        <v>Jambutu</v>
      </c>
      <c r="C183" s="8" t="s">
        <v>4</v>
      </c>
      <c r="D183" s="8" t="s">
        <v>6</v>
      </c>
      <c r="E183" s="20">
        <v>3.9</v>
      </c>
      <c r="F183" s="12">
        <v>46078</v>
      </c>
      <c r="G183" s="11">
        <v>0.74861111111111112</v>
      </c>
      <c r="H183" s="12">
        <v>46078</v>
      </c>
      <c r="I183" s="15">
        <v>0.8125</v>
      </c>
      <c r="J183" s="10">
        <f t="shared" si="16"/>
        <v>46078.748611111114</v>
      </c>
      <c r="K183" s="10">
        <f t="shared" si="17"/>
        <v>46078.8125</v>
      </c>
      <c r="L183" s="9">
        <f t="shared" si="18"/>
        <v>6.3888888886140194E-2</v>
      </c>
      <c r="M183" s="8" t="s">
        <v>9</v>
      </c>
      <c r="N183" s="8" t="s">
        <v>53</v>
      </c>
      <c r="O183" s="8" t="s">
        <v>0</v>
      </c>
      <c r="P183" s="8"/>
      <c r="Q183" s="8"/>
      <c r="R183" s="8"/>
      <c r="S183" s="8"/>
      <c r="T183" s="8"/>
      <c r="U183" s="8"/>
      <c r="V183" s="7"/>
      <c r="W183" s="6" t="e">
        <f t="array" aca="1" ref="W183" ca="1">IF(NOT(ISBLANK(D183)),_xludf.XLOOKUP(D183,[2]CODE!$A$4:$A$100,[2]CODE!$D$4:$D$100),"")</f>
        <v>#NAME?</v>
      </c>
      <c r="X183" s="5" t="e">
        <f t="array" aca="1" ref="X183" ca="1">IF(NOT(AND(ISBLANK(D183),ISBLANK(C183))),_xludf.XLOOKUP(D183,[2]CODE!$A$4:$A$100,[2]CODE!$E$4:$E$100),"")</f>
        <v>#NAME?</v>
      </c>
      <c r="Y183" s="5" t="str">
        <f t="shared" si="19"/>
        <v>33KV</v>
      </c>
      <c r="Z183" s="5" t="str">
        <f t="shared" si="20"/>
        <v>YES</v>
      </c>
      <c r="AA183" s="4">
        <f t="shared" si="21"/>
        <v>46078</v>
      </c>
      <c r="AC183" s="2"/>
    </row>
    <row r="184" spans="1:29" ht="15.5">
      <c r="A184" s="13" t="str">
        <f>IF(OR(ISBLANK(C184),ISBLANK(D184),ISBLANK(F184),ISBLANK(G184)),"",COUNTIF($B$5:B184,"JAMBUTU"))</f>
        <v/>
      </c>
      <c r="B184" s="8"/>
      <c r="C184" s="8"/>
      <c r="D184" s="8"/>
      <c r="E184" s="13"/>
      <c r="F184" s="12"/>
      <c r="G184" s="11"/>
      <c r="H184" s="12"/>
      <c r="I184" s="15"/>
      <c r="J184" s="10">
        <f t="shared" si="16"/>
        <v>0</v>
      </c>
      <c r="K184" s="10">
        <f t="shared" si="17"/>
        <v>0</v>
      </c>
      <c r="L184" s="9" t="str">
        <f t="shared" si="18"/>
        <v/>
      </c>
      <c r="M184" s="8"/>
      <c r="N184" s="8"/>
      <c r="O184" s="8"/>
      <c r="P184" s="8"/>
      <c r="Q184" s="8"/>
      <c r="R184" s="8"/>
      <c r="S184" s="8"/>
      <c r="T184" s="8"/>
      <c r="U184" s="8"/>
      <c r="V184" s="7"/>
      <c r="W184" s="6" t="str">
        <f t="array" ref="W184">IF(NOT(ISBLANK(D184)),_xludf.XLOOKUP(D184,[2]CODE!$A$4:$A$100,[2]CODE!$D$4:$D$100),"")</f>
        <v/>
      </c>
      <c r="X184" s="5" t="str">
        <f t="array" ref="X184">IF(NOT(AND(ISBLANK(D184),ISBLANK(C184))),_xludf.XLOOKUP(D184,[2]CODE!$A$4:$A$100,[2]CODE!$E$4:$E$100),"")</f>
        <v/>
      </c>
      <c r="Y184" s="5" t="str">
        <f t="shared" si="19"/>
        <v/>
      </c>
      <c r="Z184" s="5" t="str">
        <f t="shared" si="20"/>
        <v/>
      </c>
      <c r="AA184" s="4">
        <f t="shared" si="21"/>
        <v>0</v>
      </c>
      <c r="AC184" s="2"/>
    </row>
    <row r="185" spans="1:29" ht="15.5">
      <c r="A185" s="13" t="str">
        <f>IF(OR(ISBLANK(C185),ISBLANK(D185),ISBLANK(F185),ISBLANK(G185)),"",COUNTIF($B$5:B185,"JAMBUTU"))</f>
        <v/>
      </c>
      <c r="B185" s="8"/>
      <c r="C185" s="8"/>
      <c r="D185" s="8"/>
      <c r="E185" s="20"/>
      <c r="F185" s="12"/>
      <c r="G185" s="11"/>
      <c r="H185" s="12"/>
      <c r="I185" s="11"/>
      <c r="J185" s="10">
        <f t="shared" si="16"/>
        <v>0</v>
      </c>
      <c r="K185" s="10">
        <f t="shared" si="17"/>
        <v>0</v>
      </c>
      <c r="L185" s="9" t="str">
        <f t="shared" si="18"/>
        <v/>
      </c>
      <c r="M185" s="8"/>
      <c r="N185" s="8"/>
      <c r="O185" s="8"/>
      <c r="P185" s="8"/>
      <c r="Q185" s="8"/>
      <c r="R185" s="8"/>
      <c r="S185" s="8"/>
      <c r="T185" s="8"/>
      <c r="U185" s="8"/>
      <c r="V185" s="7"/>
      <c r="W185" s="6" t="str">
        <f t="array" ref="W185">IF(NOT(ISBLANK(D185)),_xludf.XLOOKUP(D185,[2]CODE!$A$4:$A$100,[2]CODE!$D$4:$D$100),"")</f>
        <v/>
      </c>
      <c r="X185" s="5" t="str">
        <f t="array" ref="X185">IF(NOT(AND(ISBLANK(D185),ISBLANK(C185))),_xludf.XLOOKUP(D185,[2]CODE!$A$4:$A$100,[2]CODE!$E$4:$E$100),"")</f>
        <v/>
      </c>
      <c r="Y185" s="5" t="str">
        <f t="shared" si="19"/>
        <v/>
      </c>
      <c r="Z185" s="5" t="str">
        <f t="shared" si="20"/>
        <v/>
      </c>
      <c r="AA185" s="4">
        <f t="shared" si="21"/>
        <v>0</v>
      </c>
      <c r="AC185" s="2"/>
    </row>
    <row r="186" spans="1:29" ht="15.5">
      <c r="A186" s="13" t="str">
        <f>IF(OR(ISBLANK(C186),ISBLANK(D186),ISBLANK(F186),ISBLANK(G186)),"",COUNTIF($B$5:B186,"JAMBUTU"))</f>
        <v/>
      </c>
      <c r="B186" s="8"/>
      <c r="C186" s="8"/>
      <c r="D186" s="8"/>
      <c r="E186" s="13"/>
      <c r="F186" s="12"/>
      <c r="G186" s="11"/>
      <c r="H186" s="12"/>
      <c r="I186" s="11"/>
      <c r="J186" s="10">
        <f t="shared" si="16"/>
        <v>0</v>
      </c>
      <c r="K186" s="10">
        <f t="shared" si="17"/>
        <v>0</v>
      </c>
      <c r="L186" s="9" t="str">
        <f t="shared" si="18"/>
        <v/>
      </c>
      <c r="M186" s="8"/>
      <c r="N186" s="8"/>
      <c r="O186" s="8"/>
      <c r="P186" s="8"/>
      <c r="Q186" s="8"/>
      <c r="R186" s="8"/>
      <c r="S186" s="8"/>
      <c r="T186" s="8"/>
      <c r="U186" s="8"/>
      <c r="V186" s="7"/>
      <c r="W186" s="6" t="str">
        <f t="array" ref="W186">IF(NOT(ISBLANK(D186)),_xludf.XLOOKUP(D186,[2]CODE!$A$4:$A$100,[2]CODE!$D$4:$D$100),"")</f>
        <v/>
      </c>
      <c r="X186" s="5" t="str">
        <f t="array" ref="X186">IF(NOT(AND(ISBLANK(D186),ISBLANK(C186))),_xludf.XLOOKUP(D186,[2]CODE!$A$4:$A$100,[2]CODE!$E$4:$E$100),"")</f>
        <v/>
      </c>
      <c r="Y186" s="5" t="str">
        <f t="shared" si="19"/>
        <v/>
      </c>
      <c r="Z186" s="5" t="str">
        <f t="shared" si="20"/>
        <v/>
      </c>
      <c r="AA186" s="4">
        <f t="shared" si="21"/>
        <v>0</v>
      </c>
      <c r="AC186" s="2"/>
    </row>
    <row r="187" spans="1:29" ht="15.5">
      <c r="A187" s="13" t="str">
        <f>IF(OR(ISBLANK(C187),ISBLANK(D187),ISBLANK(F187),ISBLANK(G187)),"",COUNTIF($B$5:B187,"JAMBUTU"))</f>
        <v/>
      </c>
      <c r="B187" s="8"/>
      <c r="C187" s="8"/>
      <c r="D187" s="8"/>
      <c r="E187" s="13"/>
      <c r="F187" s="12"/>
      <c r="G187" s="11"/>
      <c r="H187" s="12"/>
      <c r="I187" s="11"/>
      <c r="J187" s="10">
        <f t="shared" si="16"/>
        <v>0</v>
      </c>
      <c r="K187" s="10">
        <f t="shared" si="17"/>
        <v>0</v>
      </c>
      <c r="L187" s="9" t="str">
        <f t="shared" si="18"/>
        <v/>
      </c>
      <c r="M187" s="8"/>
      <c r="N187" s="8"/>
      <c r="O187" s="8"/>
      <c r="P187" s="8"/>
      <c r="Q187" s="8"/>
      <c r="R187" s="8"/>
      <c r="S187" s="8"/>
      <c r="T187" s="8"/>
      <c r="U187" s="8"/>
      <c r="V187" s="7"/>
      <c r="W187" s="6" t="str">
        <f t="array" ref="W187">IF(NOT(ISBLANK(D187)),_xludf.XLOOKUP(D187,[2]CODE!$A$4:$A$100,[2]CODE!$D$4:$D$100),"")</f>
        <v/>
      </c>
      <c r="X187" s="5" t="str">
        <f t="array" ref="X187">IF(NOT(AND(ISBLANK(D187),ISBLANK(C187))),_xludf.XLOOKUP(D187,[2]CODE!$A$4:$A$100,[2]CODE!$E$4:$E$100),"")</f>
        <v/>
      </c>
      <c r="Y187" s="5" t="str">
        <f t="shared" si="19"/>
        <v/>
      </c>
      <c r="Z187" s="5" t="str">
        <f t="shared" si="20"/>
        <v/>
      </c>
      <c r="AA187" s="4">
        <f t="shared" si="21"/>
        <v>0</v>
      </c>
      <c r="AC187" s="2"/>
    </row>
    <row r="188" spans="1:29" ht="15.5">
      <c r="A188" s="13" t="str">
        <f>IF(OR(ISBLANK(C188),ISBLANK(D188),ISBLANK(F188),ISBLANK(G188)),"",COUNTIF($B$5:B188,"JAMBUTU"))</f>
        <v/>
      </c>
      <c r="B188" s="8"/>
      <c r="C188" s="8"/>
      <c r="D188" s="8"/>
      <c r="E188" s="13"/>
      <c r="F188" s="12"/>
      <c r="G188" s="11"/>
      <c r="H188" s="12"/>
      <c r="I188" s="11"/>
      <c r="J188" s="10">
        <f t="shared" si="16"/>
        <v>0</v>
      </c>
      <c r="K188" s="10">
        <f t="shared" si="17"/>
        <v>0</v>
      </c>
      <c r="L188" s="9" t="str">
        <f t="shared" si="18"/>
        <v/>
      </c>
      <c r="M188" s="8"/>
      <c r="N188" s="8"/>
      <c r="O188" s="8"/>
      <c r="P188" s="8"/>
      <c r="Q188" s="8"/>
      <c r="R188" s="8"/>
      <c r="S188" s="8"/>
      <c r="T188" s="8"/>
      <c r="U188" s="8"/>
      <c r="V188" s="7"/>
      <c r="W188" s="6" t="str">
        <f t="array" ref="W188">IF(NOT(ISBLANK(D188)),_xludf.XLOOKUP(D188,[2]CODE!$A$4:$A$100,[2]CODE!$D$4:$D$100),"")</f>
        <v/>
      </c>
      <c r="X188" s="5" t="str">
        <f t="array" ref="X188">IF(NOT(AND(ISBLANK(D188),ISBLANK(C188))),_xludf.XLOOKUP(D188,[2]CODE!$A$4:$A$100,[2]CODE!$E$4:$E$100),"")</f>
        <v/>
      </c>
      <c r="Y188" s="5" t="str">
        <f t="shared" si="19"/>
        <v/>
      </c>
      <c r="Z188" s="5" t="str">
        <f t="shared" si="20"/>
        <v/>
      </c>
      <c r="AA188" s="4">
        <f t="shared" si="21"/>
        <v>0</v>
      </c>
      <c r="AC188" s="2"/>
    </row>
    <row r="189" spans="1:29" ht="15.5">
      <c r="A189" s="13" t="str">
        <f>IF(OR(ISBLANK(C189),ISBLANK(D189),ISBLANK(F189),ISBLANK(G189)),"",COUNTIF($B$5:B189,"JAMBUTU"))</f>
        <v/>
      </c>
      <c r="B189" s="8"/>
      <c r="C189" s="8"/>
      <c r="D189" s="8"/>
      <c r="E189" s="13"/>
      <c r="F189" s="12"/>
      <c r="G189" s="11"/>
      <c r="H189" s="12"/>
      <c r="I189" s="11"/>
      <c r="J189" s="10">
        <f t="shared" si="16"/>
        <v>0</v>
      </c>
      <c r="K189" s="10">
        <f t="shared" si="17"/>
        <v>0</v>
      </c>
      <c r="L189" s="9" t="str">
        <f t="shared" si="18"/>
        <v/>
      </c>
      <c r="M189" s="8"/>
      <c r="N189" s="8"/>
      <c r="O189" s="8"/>
      <c r="P189" s="8"/>
      <c r="Q189" s="8"/>
      <c r="R189" s="8"/>
      <c r="S189" s="8"/>
      <c r="T189" s="8"/>
      <c r="U189" s="8"/>
      <c r="V189" s="7"/>
      <c r="W189" s="6" t="str">
        <f t="array" ref="W189">IF(NOT(ISBLANK(D189)),_xludf.XLOOKUP(D189,[2]CODE!$A$4:$A$100,[2]CODE!$D$4:$D$100),"")</f>
        <v/>
      </c>
      <c r="X189" s="5" t="str">
        <f t="array" ref="X189">IF(NOT(AND(ISBLANK(D189),ISBLANK(C189))),_xludf.XLOOKUP(D189,[2]CODE!$A$4:$A$100,[2]CODE!$E$4:$E$100),"")</f>
        <v/>
      </c>
      <c r="Y189" s="5" t="str">
        <f t="shared" si="19"/>
        <v/>
      </c>
      <c r="Z189" s="5" t="str">
        <f t="shared" si="20"/>
        <v/>
      </c>
      <c r="AA189" s="4">
        <f t="shared" si="21"/>
        <v>0</v>
      </c>
      <c r="AC189" s="2"/>
    </row>
    <row r="190" spans="1:29" ht="15.5">
      <c r="A190" s="13">
        <f>IF(OR(ISBLANK(C190),ISBLANK(D190),ISBLANK(F190),ISBLANK(G190)),"",COUNTIF($B$5:B190,"JAMBUTU"))</f>
        <v>24</v>
      </c>
      <c r="B190" s="8" t="str">
        <f>IF(C190&lt;&gt;"","Jambutu","")</f>
        <v>Jambutu</v>
      </c>
      <c r="C190" s="8" t="s">
        <v>4</v>
      </c>
      <c r="D190" s="8" t="s">
        <v>6</v>
      </c>
      <c r="E190" s="13">
        <v>3</v>
      </c>
      <c r="F190" s="12">
        <v>46079</v>
      </c>
      <c r="G190" s="11">
        <v>0.61527777777777781</v>
      </c>
      <c r="H190" s="12">
        <v>46079</v>
      </c>
      <c r="I190" s="11">
        <v>0.62152777777777779</v>
      </c>
      <c r="J190" s="10">
        <f t="shared" si="16"/>
        <v>46079.615277777775</v>
      </c>
      <c r="K190" s="10">
        <f t="shared" si="17"/>
        <v>46079.621527777781</v>
      </c>
      <c r="L190" s="9">
        <f t="shared" si="18"/>
        <v>6.2500000058207661E-3</v>
      </c>
      <c r="M190" s="8" t="s">
        <v>56</v>
      </c>
      <c r="N190" s="8" t="s">
        <v>53</v>
      </c>
      <c r="O190" s="8" t="s">
        <v>0</v>
      </c>
      <c r="P190" s="8"/>
      <c r="Q190" s="8"/>
      <c r="R190" s="8"/>
      <c r="S190" s="8"/>
      <c r="T190" s="8"/>
      <c r="U190" s="8"/>
      <c r="V190" s="7"/>
      <c r="W190" s="6" t="e">
        <f t="array" aca="1" ref="W190" ca="1">IF(NOT(ISBLANK(D190)),_xludf.XLOOKUP(D190,[2]CODE!$A$4:$A$100,[2]CODE!$D$4:$D$100),"")</f>
        <v>#NAME?</v>
      </c>
      <c r="X190" s="5" t="e">
        <f t="array" aca="1" ref="X190" ca="1">IF(NOT(AND(ISBLANK(D190),ISBLANK(C190))),_xludf.XLOOKUP(D190,[2]CODE!$A$4:$A$100,[2]CODE!$E$4:$E$100),"")</f>
        <v>#NAME?</v>
      </c>
      <c r="Y190" s="5" t="str">
        <f t="shared" si="19"/>
        <v>33KV</v>
      </c>
      <c r="Z190" s="5" t="str">
        <f t="shared" si="20"/>
        <v>YES</v>
      </c>
      <c r="AA190" s="4">
        <f t="shared" si="21"/>
        <v>46079</v>
      </c>
      <c r="AC190" s="2"/>
    </row>
    <row r="191" spans="1:29" ht="15.5">
      <c r="A191" s="13" t="str">
        <f>IF(OR(ISBLANK(C191),ISBLANK(D191),ISBLANK(F191),ISBLANK(G191)),"",COUNTIF($B$5:B191,"JAMBUTU"))</f>
        <v/>
      </c>
      <c r="B191" s="8"/>
      <c r="C191" s="8"/>
      <c r="D191" s="8"/>
      <c r="E191" s="13"/>
      <c r="F191" s="12"/>
      <c r="G191" s="11"/>
      <c r="H191" s="12"/>
      <c r="I191" s="11"/>
      <c r="J191" s="10">
        <f t="shared" si="16"/>
        <v>0</v>
      </c>
      <c r="K191" s="10">
        <f t="shared" si="17"/>
        <v>0</v>
      </c>
      <c r="L191" s="9" t="str">
        <f t="shared" si="18"/>
        <v/>
      </c>
      <c r="M191" s="8"/>
      <c r="N191" s="8"/>
      <c r="O191" s="8"/>
      <c r="P191" s="8"/>
      <c r="Q191" s="8"/>
      <c r="R191" s="8"/>
      <c r="S191" s="8"/>
      <c r="T191" s="8"/>
      <c r="U191" s="8"/>
      <c r="V191" s="7"/>
      <c r="W191" s="6" t="str">
        <f t="array" ref="W191">IF(NOT(ISBLANK(D191)),_xludf.XLOOKUP(D191,[2]CODE!$A$4:$A$100,[2]CODE!$D$4:$D$100),"")</f>
        <v/>
      </c>
      <c r="X191" s="5" t="str">
        <f t="array" ref="X191">IF(NOT(AND(ISBLANK(D191),ISBLANK(C191))),_xludf.XLOOKUP(D191,[2]CODE!$A$4:$A$100,[2]CODE!$E$4:$E$100),"")</f>
        <v/>
      </c>
      <c r="Y191" s="5" t="str">
        <f t="shared" si="19"/>
        <v/>
      </c>
      <c r="Z191" s="5" t="str">
        <f t="shared" si="20"/>
        <v/>
      </c>
      <c r="AA191" s="4">
        <f t="shared" si="21"/>
        <v>0</v>
      </c>
      <c r="AC191" s="2"/>
    </row>
    <row r="192" spans="1:29" ht="15.5">
      <c r="A192" s="13" t="str">
        <f>IF(OR(ISBLANK(C192),ISBLANK(D192),ISBLANK(F192),ISBLANK(G192)),"",COUNTIF($B$5:B192,"JAMBUTU"))</f>
        <v/>
      </c>
      <c r="B192" s="8"/>
      <c r="C192" s="8"/>
      <c r="D192" s="8"/>
      <c r="E192" s="13"/>
      <c r="F192" s="12"/>
      <c r="G192" s="11"/>
      <c r="H192" s="12"/>
      <c r="I192" s="11"/>
      <c r="J192" s="10">
        <f t="shared" si="16"/>
        <v>0</v>
      </c>
      <c r="K192" s="10">
        <f t="shared" si="17"/>
        <v>0</v>
      </c>
      <c r="L192" s="9" t="str">
        <f t="shared" si="18"/>
        <v/>
      </c>
      <c r="M192" s="8"/>
      <c r="N192" s="8"/>
      <c r="O192" s="8"/>
      <c r="P192" s="8"/>
      <c r="Q192" s="8"/>
      <c r="R192" s="8"/>
      <c r="S192" s="8"/>
      <c r="T192" s="8"/>
      <c r="U192" s="8"/>
      <c r="V192" s="7"/>
      <c r="W192" s="6" t="str">
        <f t="array" ref="W192">IF(NOT(ISBLANK(D192)),_xludf.XLOOKUP(D192,[2]CODE!$A$4:$A$100,[2]CODE!$D$4:$D$100),"")</f>
        <v/>
      </c>
      <c r="X192" s="5" t="str">
        <f t="array" ref="X192">IF(NOT(AND(ISBLANK(D192),ISBLANK(C192))),_xludf.XLOOKUP(D192,[2]CODE!$A$4:$A$100,[2]CODE!$E$4:$E$100),"")</f>
        <v/>
      </c>
      <c r="Y192" s="5" t="str">
        <f t="shared" si="19"/>
        <v/>
      </c>
      <c r="Z192" s="5" t="str">
        <f t="shared" si="20"/>
        <v/>
      </c>
      <c r="AA192" s="4">
        <f t="shared" si="21"/>
        <v>0</v>
      </c>
      <c r="AC192" s="2"/>
    </row>
    <row r="193" spans="1:29" ht="15.5">
      <c r="A193" s="13" t="str">
        <f>IF(OR(ISBLANK(C193),ISBLANK(D193),ISBLANK(F193),ISBLANK(G193)),"",COUNTIF($B$5:B193,"JAMBUTU"))</f>
        <v/>
      </c>
      <c r="B193" s="8"/>
      <c r="C193" s="8"/>
      <c r="D193" s="8"/>
      <c r="E193" s="13"/>
      <c r="F193" s="12"/>
      <c r="G193" s="11"/>
      <c r="H193" s="12"/>
      <c r="I193" s="11"/>
      <c r="J193" s="10">
        <f t="shared" si="16"/>
        <v>0</v>
      </c>
      <c r="K193" s="10">
        <f t="shared" si="17"/>
        <v>0</v>
      </c>
      <c r="L193" s="9" t="str">
        <f t="shared" si="18"/>
        <v/>
      </c>
      <c r="M193" s="8"/>
      <c r="N193" s="8"/>
      <c r="O193" s="8"/>
      <c r="P193" s="8"/>
      <c r="Q193" s="8"/>
      <c r="R193" s="8"/>
      <c r="S193" s="8"/>
      <c r="T193" s="8"/>
      <c r="U193" s="8"/>
      <c r="V193" s="7"/>
      <c r="W193" s="6" t="str">
        <f t="array" ref="W193">IF(NOT(ISBLANK(D193)),_xludf.XLOOKUP(D193,[2]CODE!$A$4:$A$100,[2]CODE!$D$4:$D$100),"")</f>
        <v/>
      </c>
      <c r="X193" s="5" t="str">
        <f t="array" ref="X193">IF(NOT(AND(ISBLANK(D193),ISBLANK(C193))),_xludf.XLOOKUP(D193,[2]CODE!$A$4:$A$100,[2]CODE!$E$4:$E$100),"")</f>
        <v/>
      </c>
      <c r="Y193" s="5" t="str">
        <f t="shared" si="19"/>
        <v/>
      </c>
      <c r="Z193" s="5" t="str">
        <f t="shared" si="20"/>
        <v/>
      </c>
      <c r="AA193" s="4">
        <f t="shared" si="21"/>
        <v>0</v>
      </c>
      <c r="AC193" s="2"/>
    </row>
    <row r="194" spans="1:29" ht="15.5">
      <c r="A194" s="13" t="str">
        <f>IF(OR(ISBLANK(C194),ISBLANK(D194),ISBLANK(F194),ISBLANK(G194)),"",COUNTIF($B$5:B194,"JAMBUTU"))</f>
        <v/>
      </c>
      <c r="B194" s="8"/>
      <c r="C194" s="8"/>
      <c r="D194" s="8"/>
      <c r="E194" s="13"/>
      <c r="F194" s="12"/>
      <c r="G194" s="11"/>
      <c r="H194" s="12"/>
      <c r="I194" s="11"/>
      <c r="J194" s="10">
        <f t="shared" si="16"/>
        <v>0</v>
      </c>
      <c r="K194" s="10">
        <f t="shared" si="17"/>
        <v>0</v>
      </c>
      <c r="L194" s="9" t="str">
        <f t="shared" si="18"/>
        <v/>
      </c>
      <c r="M194" s="8"/>
      <c r="N194" s="8"/>
      <c r="O194" s="8"/>
      <c r="P194" s="8"/>
      <c r="Q194" s="8"/>
      <c r="R194" s="8"/>
      <c r="S194" s="8"/>
      <c r="T194" s="8"/>
      <c r="U194" s="8"/>
      <c r="V194" s="7"/>
      <c r="W194" s="6" t="str">
        <f t="array" ref="W194">IF(NOT(ISBLANK(D194)),_xludf.XLOOKUP(D194,[2]CODE!$A$4:$A$100,[2]CODE!$D$4:$D$100),"")</f>
        <v/>
      </c>
      <c r="X194" s="5" t="str">
        <f t="array" ref="X194">IF(NOT(AND(ISBLANK(D194),ISBLANK(C194))),_xludf.XLOOKUP(D194,[2]CODE!$A$4:$A$100,[2]CODE!$E$4:$E$100),"")</f>
        <v/>
      </c>
      <c r="Y194" s="5" t="str">
        <f t="shared" si="19"/>
        <v/>
      </c>
      <c r="Z194" s="5" t="str">
        <f t="shared" si="20"/>
        <v/>
      </c>
      <c r="AA194" s="4">
        <f t="shared" si="21"/>
        <v>0</v>
      </c>
      <c r="AC194" s="2"/>
    </row>
    <row r="195" spans="1:29" ht="15.5">
      <c r="A195" s="13" t="str">
        <f>IF(OR(ISBLANK(C195),ISBLANK(D195),ISBLANK(F195),ISBLANK(G195)),"",COUNTIF($B$5:B195,"JAMBUTU"))</f>
        <v/>
      </c>
      <c r="B195" s="8"/>
      <c r="C195" s="8"/>
      <c r="D195" s="8"/>
      <c r="E195" s="13"/>
      <c r="F195" s="12"/>
      <c r="G195" s="11"/>
      <c r="H195" s="12"/>
      <c r="I195" s="11"/>
      <c r="J195" s="10">
        <f t="shared" si="16"/>
        <v>0</v>
      </c>
      <c r="K195" s="10">
        <f t="shared" si="17"/>
        <v>0</v>
      </c>
      <c r="L195" s="9" t="str">
        <f t="shared" si="18"/>
        <v/>
      </c>
      <c r="M195" s="8"/>
      <c r="N195" s="8"/>
      <c r="O195" s="8"/>
      <c r="P195" s="8"/>
      <c r="Q195" s="8"/>
      <c r="R195" s="8"/>
      <c r="S195" s="8"/>
      <c r="T195" s="8"/>
      <c r="U195" s="8"/>
      <c r="V195" s="7"/>
      <c r="W195" s="6" t="str">
        <f t="array" ref="W195">IF(NOT(ISBLANK(D195)),_xludf.XLOOKUP(D195,[2]CODE!$A$4:$A$100,[2]CODE!$D$4:$D$100),"")</f>
        <v/>
      </c>
      <c r="X195" s="5" t="str">
        <f t="array" ref="X195">IF(NOT(AND(ISBLANK(D195),ISBLANK(C195))),_xludf.XLOOKUP(D195,[2]CODE!$A$4:$A$100,[2]CODE!$E$4:$E$100),"")</f>
        <v/>
      </c>
      <c r="Y195" s="5" t="str">
        <f t="shared" si="19"/>
        <v/>
      </c>
      <c r="Z195" s="5" t="str">
        <f t="shared" si="20"/>
        <v/>
      </c>
      <c r="AA195" s="4">
        <f t="shared" si="21"/>
        <v>0</v>
      </c>
      <c r="AC195" s="2"/>
    </row>
    <row r="196" spans="1:29" ht="15.5">
      <c r="A196" s="13" t="str">
        <f>IF(OR(ISBLANK(C196),ISBLANK(D196),ISBLANK(F196),ISBLANK(G196)),"",COUNTIF($B$5:B196,"JAMBUTU"))</f>
        <v/>
      </c>
      <c r="B196" s="8"/>
      <c r="C196" s="8"/>
      <c r="D196" s="8"/>
      <c r="E196" s="13"/>
      <c r="F196" s="12"/>
      <c r="G196" s="11"/>
      <c r="H196" s="12"/>
      <c r="I196" s="11"/>
      <c r="J196" s="10">
        <f t="shared" si="16"/>
        <v>0</v>
      </c>
      <c r="K196" s="10">
        <f t="shared" si="17"/>
        <v>0</v>
      </c>
      <c r="L196" s="9" t="str">
        <f t="shared" si="18"/>
        <v/>
      </c>
      <c r="M196" s="8"/>
      <c r="N196" s="8"/>
      <c r="O196" s="8"/>
      <c r="P196" s="8"/>
      <c r="Q196" s="8"/>
      <c r="R196" s="8"/>
      <c r="S196" s="8"/>
      <c r="T196" s="8"/>
      <c r="U196" s="8"/>
      <c r="V196" s="7"/>
      <c r="W196" s="6" t="str">
        <f t="array" ref="W196">IF(NOT(ISBLANK(D196)),_xludf.XLOOKUP(D196,[2]CODE!$A$4:$A$100,[2]CODE!$D$4:$D$100),"")</f>
        <v/>
      </c>
      <c r="X196" s="5" t="str">
        <f t="array" ref="X196">IF(NOT(AND(ISBLANK(D196),ISBLANK(C196))),_xludf.XLOOKUP(D196,[2]CODE!$A$4:$A$100,[2]CODE!$E$4:$E$100),"")</f>
        <v/>
      </c>
      <c r="Y196" s="5" t="str">
        <f t="shared" si="19"/>
        <v/>
      </c>
      <c r="Z196" s="5" t="str">
        <f t="shared" si="20"/>
        <v/>
      </c>
      <c r="AA196" s="4">
        <f t="shared" si="21"/>
        <v>0</v>
      </c>
      <c r="AC196" s="2"/>
    </row>
    <row r="197" spans="1:29" ht="15.5">
      <c r="A197" s="13" t="str">
        <f>IF(OR(ISBLANK(C197),ISBLANK(D197),ISBLANK(F197),ISBLANK(G197)),"",COUNTIF($B$5:B197,"JAMBUTU"))</f>
        <v/>
      </c>
      <c r="B197" s="8"/>
      <c r="C197" s="8"/>
      <c r="D197" s="8"/>
      <c r="E197" s="13"/>
      <c r="F197" s="12"/>
      <c r="G197" s="11"/>
      <c r="H197" s="12"/>
      <c r="I197" s="11"/>
      <c r="J197" s="10">
        <f t="shared" ref="J197:J260" si="22">DATE(YEAR(F197),MONTH(F197),DAY(F197))+TIME(HOUR(G197),MINUTE(G197), SECOND(G197))</f>
        <v>0</v>
      </c>
      <c r="K197" s="10">
        <f t="shared" ref="K197:K260" si="23">DATE(YEAR(H197),MONTH(H197),DAY(H197))+TIME(HOUR(I197),MINUTE(I197), SECOND(I197))</f>
        <v>0</v>
      </c>
      <c r="L197" s="9" t="str">
        <f t="shared" ref="L197:L260" si="24">IF(ISBLANK(I197),"",IF(J197&gt;K197,(K197+1)-J197,K197-J197))</f>
        <v/>
      </c>
      <c r="M197" s="8"/>
      <c r="N197" s="8"/>
      <c r="O197" s="8"/>
      <c r="P197" s="8"/>
      <c r="Q197" s="8"/>
      <c r="R197" s="8"/>
      <c r="S197" s="8"/>
      <c r="T197" s="8"/>
      <c r="U197" s="8"/>
      <c r="V197" s="7"/>
      <c r="W197" s="6" t="str">
        <f t="array" ref="W197">IF(NOT(ISBLANK(D197)),_xludf.XLOOKUP(D197,[2]CODE!$A$4:$A$100,[2]CODE!$D$4:$D$100),"")</f>
        <v/>
      </c>
      <c r="X197" s="5" t="str">
        <f t="array" ref="X197">IF(NOT(AND(ISBLANK(D197),ISBLANK(C197))),_xludf.XLOOKUP(D197,[2]CODE!$A$4:$A$100,[2]CODE!$E$4:$E$100),"")</f>
        <v/>
      </c>
      <c r="Y197" s="5" t="str">
        <f t="shared" ref="Y197:Y260" si="25">LEFT(C197,4)</f>
        <v/>
      </c>
      <c r="Z197" s="5" t="str">
        <f t="shared" ref="Z197:Z260" si="26">IF(NOT(ISBLANK(C197)), IF(K197&gt;J197,"YES","NO"),"")</f>
        <v/>
      </c>
      <c r="AA197" s="4">
        <f t="shared" ref="AA197:AA260" si="27">IF(AND(F197=H197,Z197="NO"),1+H197,H197)</f>
        <v>0</v>
      </c>
      <c r="AC197" s="2"/>
    </row>
    <row r="198" spans="1:29" ht="15.5">
      <c r="A198" s="13">
        <f>IF(OR(ISBLANK(C198),ISBLANK(D198),ISBLANK(F198),ISBLANK(G198)),"",COUNTIF($B$5:B198,"JAMBUTU"))</f>
        <v>25</v>
      </c>
      <c r="B198" s="8" t="str">
        <f>IF(C198&lt;&gt;"","Jambutu","")</f>
        <v>Jambutu</v>
      </c>
      <c r="C198" s="8" t="s">
        <v>4</v>
      </c>
      <c r="D198" s="8" t="s">
        <v>55</v>
      </c>
      <c r="E198" s="13">
        <v>3.5</v>
      </c>
      <c r="F198" s="12">
        <v>46080</v>
      </c>
      <c r="G198" s="11">
        <v>0.63680555555555551</v>
      </c>
      <c r="H198" s="12">
        <v>46080</v>
      </c>
      <c r="I198" s="11">
        <v>0.90138888888888891</v>
      </c>
      <c r="J198" s="10">
        <f t="shared" si="22"/>
        <v>46080.636805555558</v>
      </c>
      <c r="K198" s="10">
        <f t="shared" si="23"/>
        <v>46080.901388888888</v>
      </c>
      <c r="L198" s="9">
        <f t="shared" si="24"/>
        <v>0.26458333332993789</v>
      </c>
      <c r="M198" s="8" t="s">
        <v>54</v>
      </c>
      <c r="N198" s="8" t="s">
        <v>53</v>
      </c>
      <c r="O198" s="8" t="s">
        <v>0</v>
      </c>
      <c r="P198" s="8"/>
      <c r="Q198" s="8"/>
      <c r="R198" s="8"/>
      <c r="S198" s="8"/>
      <c r="T198" s="8"/>
      <c r="U198" s="8"/>
      <c r="V198" s="7"/>
      <c r="W198" s="6" t="e">
        <f t="array" aca="1" ref="W198" ca="1">IF(NOT(ISBLANK(D198)),_xludf.XLOOKUP(D198,[2]CODE!$A$4:$A$100,[2]CODE!$D$4:$D$100),"")</f>
        <v>#NAME?</v>
      </c>
      <c r="X198" s="5" t="e">
        <f t="array" aca="1" ref="X198" ca="1">IF(NOT(AND(ISBLANK(D198),ISBLANK(C198))),_xludf.XLOOKUP(D198,[2]CODE!$A$4:$A$100,[2]CODE!$E$4:$E$100),"")</f>
        <v>#NAME?</v>
      </c>
      <c r="Y198" s="5" t="str">
        <f t="shared" si="25"/>
        <v>33KV</v>
      </c>
      <c r="Z198" s="5" t="str">
        <f t="shared" si="26"/>
        <v>YES</v>
      </c>
      <c r="AA198" s="4">
        <f t="shared" si="27"/>
        <v>46080</v>
      </c>
      <c r="AC198" s="2"/>
    </row>
    <row r="199" spans="1:29" ht="15.5">
      <c r="A199" s="13" t="str">
        <f>IF(OR(ISBLANK(C199),ISBLANK(D199),ISBLANK(F199),ISBLANK(G199)),"",COUNTIF($B$5:B199,"JAMBUTU"))</f>
        <v/>
      </c>
      <c r="B199" s="8"/>
      <c r="C199" s="8"/>
      <c r="D199" s="8"/>
      <c r="E199" s="13"/>
      <c r="F199" s="12"/>
      <c r="G199" s="11"/>
      <c r="H199" s="12"/>
      <c r="I199" s="11"/>
      <c r="J199" s="10">
        <f t="shared" si="22"/>
        <v>0</v>
      </c>
      <c r="K199" s="10">
        <f t="shared" si="23"/>
        <v>0</v>
      </c>
      <c r="L199" s="9" t="str">
        <f t="shared" si="24"/>
        <v/>
      </c>
      <c r="M199" s="8"/>
      <c r="N199" s="8"/>
      <c r="O199" s="8"/>
      <c r="P199" s="8"/>
      <c r="Q199" s="8"/>
      <c r="R199" s="8"/>
      <c r="S199" s="8"/>
      <c r="T199" s="8"/>
      <c r="U199" s="8"/>
      <c r="V199" s="7"/>
      <c r="W199" s="6" t="str">
        <f t="array" ref="W199">IF(NOT(ISBLANK(D199)),_xludf.XLOOKUP(D199,[2]CODE!$A$4:$A$100,[2]CODE!$D$4:$D$100),"")</f>
        <v/>
      </c>
      <c r="X199" s="5" t="str">
        <f t="array" ref="X199">IF(NOT(AND(ISBLANK(D199),ISBLANK(C199))),_xludf.XLOOKUP(D199,[2]CODE!$A$4:$A$100,[2]CODE!$E$4:$E$100),"")</f>
        <v/>
      </c>
      <c r="Y199" s="5" t="str">
        <f t="shared" si="25"/>
        <v/>
      </c>
      <c r="Z199" s="5" t="str">
        <f t="shared" si="26"/>
        <v/>
      </c>
      <c r="AA199" s="4">
        <f t="shared" si="27"/>
        <v>0</v>
      </c>
      <c r="AC199" s="2"/>
    </row>
    <row r="200" spans="1:29" ht="15.5">
      <c r="A200" s="13" t="str">
        <f>IF(OR(ISBLANK(C200),ISBLANK(D200),ISBLANK(F200),ISBLANK(G200)),"",COUNTIF($B$5:B200,"JAMBUTU"))</f>
        <v/>
      </c>
      <c r="B200" s="8"/>
      <c r="C200" s="8"/>
      <c r="D200" s="8"/>
      <c r="E200" s="13"/>
      <c r="F200" s="12"/>
      <c r="G200" s="11"/>
      <c r="H200" s="12"/>
      <c r="I200" s="11"/>
      <c r="J200" s="10">
        <f t="shared" si="22"/>
        <v>0</v>
      </c>
      <c r="K200" s="10">
        <f t="shared" si="23"/>
        <v>0</v>
      </c>
      <c r="L200" s="9" t="str">
        <f t="shared" si="24"/>
        <v/>
      </c>
      <c r="M200" s="8"/>
      <c r="N200" s="8"/>
      <c r="O200" s="8"/>
      <c r="P200" s="8"/>
      <c r="Q200" s="8"/>
      <c r="R200" s="8"/>
      <c r="S200" s="8"/>
      <c r="T200" s="8"/>
      <c r="U200" s="8"/>
      <c r="V200" s="7"/>
      <c r="W200" s="6" t="str">
        <f t="array" ref="W200">IF(NOT(ISBLANK(D200)),_xludf.XLOOKUP(D200,[2]CODE!$A$4:$A$100,[2]CODE!$D$4:$D$100),"")</f>
        <v/>
      </c>
      <c r="X200" s="5" t="str">
        <f t="array" ref="X200">IF(NOT(AND(ISBLANK(D200),ISBLANK(C200))),_xludf.XLOOKUP(D200,[2]CODE!$A$4:$A$100,[2]CODE!$E$4:$E$100),"")</f>
        <v/>
      </c>
      <c r="Y200" s="5" t="str">
        <f t="shared" si="25"/>
        <v/>
      </c>
      <c r="Z200" s="5" t="str">
        <f t="shared" si="26"/>
        <v/>
      </c>
      <c r="AA200" s="4">
        <f t="shared" si="27"/>
        <v>0</v>
      </c>
      <c r="AC200" s="2"/>
    </row>
    <row r="201" spans="1:29" ht="15.5">
      <c r="A201" s="13" t="str">
        <f>IF(OR(ISBLANK(C201),ISBLANK(D201),ISBLANK(F201),ISBLANK(G201)),"",COUNTIF($B$5:B201,"JAMBUTU"))</f>
        <v/>
      </c>
      <c r="B201" s="8"/>
      <c r="C201" s="8"/>
      <c r="D201" s="8"/>
      <c r="E201" s="13"/>
      <c r="F201" s="12"/>
      <c r="G201" s="11"/>
      <c r="H201" s="12"/>
      <c r="I201" s="11"/>
      <c r="J201" s="10">
        <f t="shared" si="22"/>
        <v>0</v>
      </c>
      <c r="K201" s="10">
        <f t="shared" si="23"/>
        <v>0</v>
      </c>
      <c r="L201" s="9" t="str">
        <f t="shared" si="24"/>
        <v/>
      </c>
      <c r="M201" s="8"/>
      <c r="N201" s="8"/>
      <c r="O201" s="8"/>
      <c r="P201" s="8"/>
      <c r="Q201" s="8"/>
      <c r="R201" s="8"/>
      <c r="S201" s="8"/>
      <c r="T201" s="8"/>
      <c r="U201" s="8"/>
      <c r="V201" s="7"/>
      <c r="W201" s="6" t="str">
        <f t="array" ref="W201">IF(NOT(ISBLANK(D201)),_xludf.XLOOKUP(D201,[2]CODE!$A$4:$A$100,[2]CODE!$D$4:$D$100),"")</f>
        <v/>
      </c>
      <c r="X201" s="5" t="str">
        <f t="array" ref="X201">IF(NOT(AND(ISBLANK(D201),ISBLANK(C201))),_xludf.XLOOKUP(D201,[2]CODE!$A$4:$A$100,[2]CODE!$E$4:$E$100),"")</f>
        <v/>
      </c>
      <c r="Y201" s="5" t="str">
        <f t="shared" si="25"/>
        <v/>
      </c>
      <c r="Z201" s="5" t="str">
        <f t="shared" si="26"/>
        <v/>
      </c>
      <c r="AA201" s="4">
        <f t="shared" si="27"/>
        <v>0</v>
      </c>
      <c r="AC201" s="2"/>
    </row>
    <row r="202" spans="1:29" ht="15.5">
      <c r="A202" s="13" t="str">
        <f>IF(OR(ISBLANK(C202),ISBLANK(D202),ISBLANK(F202),ISBLANK(G202)),"",COUNTIF($B$5:B202,"JAMBUTU"))</f>
        <v/>
      </c>
      <c r="B202" s="8"/>
      <c r="C202" s="8"/>
      <c r="D202" s="8"/>
      <c r="E202" s="13"/>
      <c r="F202" s="12"/>
      <c r="G202" s="11"/>
      <c r="H202" s="12"/>
      <c r="I202" s="11"/>
      <c r="J202" s="10">
        <f t="shared" si="22"/>
        <v>0</v>
      </c>
      <c r="K202" s="10">
        <f t="shared" si="23"/>
        <v>0</v>
      </c>
      <c r="L202" s="9" t="str">
        <f t="shared" si="24"/>
        <v/>
      </c>
      <c r="M202" s="8"/>
      <c r="N202" s="8"/>
      <c r="O202" s="8"/>
      <c r="P202" s="8"/>
      <c r="Q202" s="8"/>
      <c r="R202" s="8"/>
      <c r="S202" s="8"/>
      <c r="T202" s="8"/>
      <c r="U202" s="8"/>
      <c r="V202" s="7"/>
      <c r="W202" s="6" t="str">
        <f t="array" ref="W202">IF(NOT(ISBLANK(D202)),_xludf.XLOOKUP(D202,[2]CODE!$A$4:$A$100,[2]CODE!$D$4:$D$100),"")</f>
        <v/>
      </c>
      <c r="X202" s="5" t="str">
        <f t="array" ref="X202">IF(NOT(AND(ISBLANK(D202),ISBLANK(C202))),_xludf.XLOOKUP(D202,[2]CODE!$A$4:$A$100,[2]CODE!$E$4:$E$100),"")</f>
        <v/>
      </c>
      <c r="Y202" s="5" t="str">
        <f t="shared" si="25"/>
        <v/>
      </c>
      <c r="Z202" s="5" t="str">
        <f t="shared" si="26"/>
        <v/>
      </c>
      <c r="AA202" s="4">
        <f t="shared" si="27"/>
        <v>0</v>
      </c>
      <c r="AC202" s="2"/>
    </row>
    <row r="203" spans="1:29" ht="15.5">
      <c r="A203" s="13" t="str">
        <f>IF(OR(ISBLANK(C203),ISBLANK(D203),ISBLANK(F203),ISBLANK(G203)),"",COUNTIF($B$5:B203,"JAMBUTU"))</f>
        <v/>
      </c>
      <c r="B203" s="8"/>
      <c r="C203" s="8"/>
      <c r="D203" s="8"/>
      <c r="E203" s="13"/>
      <c r="F203" s="12"/>
      <c r="G203" s="11"/>
      <c r="H203" s="12"/>
      <c r="I203" s="11"/>
      <c r="J203" s="10">
        <f t="shared" si="22"/>
        <v>0</v>
      </c>
      <c r="K203" s="10">
        <f t="shared" si="23"/>
        <v>0</v>
      </c>
      <c r="L203" s="9" t="str">
        <f t="shared" si="24"/>
        <v/>
      </c>
      <c r="M203" s="8"/>
      <c r="N203" s="8"/>
      <c r="O203" s="8"/>
      <c r="P203" s="8"/>
      <c r="Q203" s="8"/>
      <c r="R203" s="8"/>
      <c r="S203" s="8"/>
      <c r="T203" s="8"/>
      <c r="U203" s="8"/>
      <c r="V203" s="7"/>
      <c r="W203" s="6" t="str">
        <f t="array" ref="W203">IF(NOT(ISBLANK(D203)),_xludf.XLOOKUP(D203,[2]CODE!$A$4:$A$100,[2]CODE!$D$4:$D$100),"")</f>
        <v/>
      </c>
      <c r="X203" s="5" t="str">
        <f t="array" ref="X203">IF(NOT(AND(ISBLANK(D203),ISBLANK(C203))),_xludf.XLOOKUP(D203,[2]CODE!$A$4:$A$100,[2]CODE!$E$4:$E$100),"")</f>
        <v/>
      </c>
      <c r="Y203" s="5" t="str">
        <f t="shared" si="25"/>
        <v/>
      </c>
      <c r="Z203" s="5" t="str">
        <f t="shared" si="26"/>
        <v/>
      </c>
      <c r="AA203" s="4">
        <f t="shared" si="27"/>
        <v>0</v>
      </c>
      <c r="AC203" s="2"/>
    </row>
    <row r="204" spans="1:29" ht="15.5">
      <c r="A204" s="13" t="str">
        <f>IF(OR(ISBLANK(C204),ISBLANK(D204),ISBLANK(F204),ISBLANK(G204)),"",COUNTIF($B$5:B204,"JAMBUTU"))</f>
        <v/>
      </c>
      <c r="B204" s="8"/>
      <c r="C204" s="8"/>
      <c r="D204" s="8"/>
      <c r="E204" s="13"/>
      <c r="F204" s="12"/>
      <c r="G204" s="11"/>
      <c r="H204" s="12"/>
      <c r="I204" s="11"/>
      <c r="J204" s="10">
        <f t="shared" si="22"/>
        <v>0</v>
      </c>
      <c r="K204" s="10">
        <f t="shared" si="23"/>
        <v>0</v>
      </c>
      <c r="L204" s="9" t="str">
        <f t="shared" si="24"/>
        <v/>
      </c>
      <c r="M204" s="8"/>
      <c r="N204" s="8"/>
      <c r="O204" s="8"/>
      <c r="P204" s="8"/>
      <c r="Q204" s="8"/>
      <c r="R204" s="8"/>
      <c r="S204" s="8"/>
      <c r="T204" s="8"/>
      <c r="U204" s="8"/>
      <c r="V204" s="7"/>
      <c r="W204" s="6" t="str">
        <f t="array" ref="W204">IF(NOT(ISBLANK(D204)),_xludf.XLOOKUP(D204,[2]CODE!$A$4:$A$100,[2]CODE!$D$4:$D$100),"")</f>
        <v/>
      </c>
      <c r="X204" s="5" t="str">
        <f t="array" ref="X204">IF(NOT(AND(ISBLANK(D204),ISBLANK(C204))),_xludf.XLOOKUP(D204,[2]CODE!$A$4:$A$100,[2]CODE!$E$4:$E$100),"")</f>
        <v/>
      </c>
      <c r="Y204" s="5" t="str">
        <f t="shared" si="25"/>
        <v/>
      </c>
      <c r="Z204" s="5" t="str">
        <f t="shared" si="26"/>
        <v/>
      </c>
      <c r="AA204" s="4">
        <f t="shared" si="27"/>
        <v>0</v>
      </c>
      <c r="AC204" s="2"/>
    </row>
    <row r="205" spans="1:29" ht="15.5">
      <c r="A205" s="13" t="str">
        <f>IF(OR(ISBLANK(C205),ISBLANK(D205),ISBLANK(F205),ISBLANK(G205)),"",COUNTIF($B$5:B205,"JAMBUTU"))</f>
        <v/>
      </c>
      <c r="B205" s="8"/>
      <c r="C205" s="8"/>
      <c r="D205" s="8"/>
      <c r="E205" s="13"/>
      <c r="F205" s="12"/>
      <c r="G205" s="11"/>
      <c r="H205" s="12"/>
      <c r="I205" s="11"/>
      <c r="J205" s="10">
        <f t="shared" si="22"/>
        <v>0</v>
      </c>
      <c r="K205" s="10">
        <f t="shared" si="23"/>
        <v>0</v>
      </c>
      <c r="L205" s="9" t="str">
        <f t="shared" si="24"/>
        <v/>
      </c>
      <c r="M205" s="8"/>
      <c r="N205" s="8"/>
      <c r="O205" s="8"/>
      <c r="P205" s="8"/>
      <c r="Q205" s="8"/>
      <c r="R205" s="8"/>
      <c r="S205" s="8"/>
      <c r="T205" s="8"/>
      <c r="U205" s="8"/>
      <c r="V205" s="7"/>
      <c r="W205" s="6" t="str">
        <f t="array" ref="W205">IF(NOT(ISBLANK(D205)),_xludf.XLOOKUP(D205,[2]CODE!$A$4:$A$100,[2]CODE!$D$4:$D$100),"")</f>
        <v/>
      </c>
      <c r="X205" s="5" t="str">
        <f t="array" ref="X205">IF(NOT(AND(ISBLANK(D205),ISBLANK(C205))),_xludf.XLOOKUP(D205,[2]CODE!$A$4:$A$100,[2]CODE!$E$4:$E$100),"")</f>
        <v/>
      </c>
      <c r="Y205" s="5" t="str">
        <f t="shared" si="25"/>
        <v/>
      </c>
      <c r="Z205" s="5" t="str">
        <f t="shared" si="26"/>
        <v/>
      </c>
      <c r="AA205" s="4">
        <f t="shared" si="27"/>
        <v>0</v>
      </c>
      <c r="AC205" s="2"/>
    </row>
    <row r="206" spans="1:29" ht="15.5">
      <c r="A206" s="13" t="str">
        <f>IF(OR(ISBLANK(C206),ISBLANK(D206),ISBLANK(F206),ISBLANK(G206)),"",COUNTIF($B$5:B206,"JAMBUTU"))</f>
        <v/>
      </c>
      <c r="B206" s="8"/>
      <c r="C206" s="8"/>
      <c r="D206" s="8"/>
      <c r="E206" s="13"/>
      <c r="F206" s="12"/>
      <c r="G206" s="11"/>
      <c r="H206" s="12"/>
      <c r="I206" s="11"/>
      <c r="J206" s="10">
        <f t="shared" si="22"/>
        <v>0</v>
      </c>
      <c r="K206" s="10">
        <f t="shared" si="23"/>
        <v>0</v>
      </c>
      <c r="L206" s="9" t="str">
        <f t="shared" si="24"/>
        <v/>
      </c>
      <c r="M206" s="8"/>
      <c r="N206" s="8"/>
      <c r="O206" s="8"/>
      <c r="P206" s="8"/>
      <c r="Q206" s="8"/>
      <c r="R206" s="8"/>
      <c r="S206" s="8"/>
      <c r="T206" s="8"/>
      <c r="U206" s="8"/>
      <c r="V206" s="7"/>
      <c r="W206" s="6" t="str">
        <f t="array" ref="W206">IF(NOT(ISBLANK(D206)),_xludf.XLOOKUP(D206,[2]CODE!$A$4:$A$100,[2]CODE!$D$4:$D$100),"")</f>
        <v/>
      </c>
      <c r="X206" s="5" t="str">
        <f t="array" ref="X206">IF(NOT(AND(ISBLANK(D206),ISBLANK(C206))),_xludf.XLOOKUP(D206,[2]CODE!$A$4:$A$100,[2]CODE!$E$4:$E$100),"")</f>
        <v/>
      </c>
      <c r="Y206" s="5" t="str">
        <f t="shared" si="25"/>
        <v/>
      </c>
      <c r="Z206" s="5" t="str">
        <f t="shared" si="26"/>
        <v/>
      </c>
      <c r="AA206" s="4">
        <f t="shared" si="27"/>
        <v>0</v>
      </c>
      <c r="AC206" s="2"/>
    </row>
    <row r="207" spans="1:29" ht="15.5">
      <c r="A207" s="13" t="str">
        <f>IF(OR(ISBLANK(C207),ISBLANK(D207),ISBLANK(F207),ISBLANK(G207)),"",COUNTIF($B$5:B207,"JAMBUTU"))</f>
        <v/>
      </c>
      <c r="B207" s="8"/>
      <c r="C207" s="8"/>
      <c r="D207" s="8"/>
      <c r="E207" s="13"/>
      <c r="F207" s="12"/>
      <c r="G207" s="11"/>
      <c r="H207" s="12"/>
      <c r="I207" s="11"/>
      <c r="J207" s="10">
        <f t="shared" si="22"/>
        <v>0</v>
      </c>
      <c r="K207" s="10">
        <f t="shared" si="23"/>
        <v>0</v>
      </c>
      <c r="L207" s="9" t="str">
        <f t="shared" si="24"/>
        <v/>
      </c>
      <c r="M207" s="8"/>
      <c r="N207" s="8"/>
      <c r="O207" s="8"/>
      <c r="P207" s="8"/>
      <c r="Q207" s="8"/>
      <c r="R207" s="8"/>
      <c r="S207" s="8"/>
      <c r="T207" s="8"/>
      <c r="U207" s="8"/>
      <c r="V207" s="7"/>
      <c r="W207" s="6" t="str">
        <f t="array" ref="W207">IF(NOT(ISBLANK(D207)),_xludf.XLOOKUP(D207,[2]CODE!$A$4:$A$100,[2]CODE!$D$4:$D$100),"")</f>
        <v/>
      </c>
      <c r="X207" s="5" t="str">
        <f t="array" ref="X207">IF(NOT(AND(ISBLANK(D207),ISBLANK(C207))),_xludf.XLOOKUP(D207,[2]CODE!$A$4:$A$100,[2]CODE!$E$4:$E$100),"")</f>
        <v/>
      </c>
      <c r="Y207" s="5" t="str">
        <f t="shared" si="25"/>
        <v/>
      </c>
      <c r="Z207" s="5" t="str">
        <f t="shared" si="26"/>
        <v/>
      </c>
      <c r="AA207" s="4">
        <f t="shared" si="27"/>
        <v>0</v>
      </c>
      <c r="AC207" s="2"/>
    </row>
    <row r="208" spans="1:29" ht="15.5">
      <c r="A208" s="13" t="str">
        <f>IF(OR(ISBLANK(C208),ISBLANK(D208),ISBLANK(F208),ISBLANK(G208)),"",COUNTIF($B$5:B208,"JAMBUTU"))</f>
        <v/>
      </c>
      <c r="B208" s="8"/>
      <c r="C208" s="8"/>
      <c r="D208" s="8"/>
      <c r="E208" s="13"/>
      <c r="F208" s="12"/>
      <c r="G208" s="11"/>
      <c r="H208" s="12"/>
      <c r="I208" s="11"/>
      <c r="J208" s="10">
        <f t="shared" si="22"/>
        <v>0</v>
      </c>
      <c r="K208" s="10">
        <f t="shared" si="23"/>
        <v>0</v>
      </c>
      <c r="L208" s="9" t="str">
        <f t="shared" si="24"/>
        <v/>
      </c>
      <c r="M208" s="8"/>
      <c r="N208" s="8"/>
      <c r="O208" s="8"/>
      <c r="P208" s="8"/>
      <c r="Q208" s="8"/>
      <c r="R208" s="8"/>
      <c r="S208" s="8"/>
      <c r="T208" s="8"/>
      <c r="U208" s="8"/>
      <c r="V208" s="7"/>
      <c r="W208" s="6" t="str">
        <f t="array" ref="W208">IF(NOT(ISBLANK(D208)),_xludf.XLOOKUP(D208,[2]CODE!$A$4:$A$100,[2]CODE!$D$4:$D$100),"")</f>
        <v/>
      </c>
      <c r="X208" s="5" t="str">
        <f t="array" ref="X208">IF(NOT(AND(ISBLANK(D208),ISBLANK(C208))),_xludf.XLOOKUP(D208,[2]CODE!$A$4:$A$100,[2]CODE!$E$4:$E$100),"")</f>
        <v/>
      </c>
      <c r="Y208" s="5" t="str">
        <f t="shared" si="25"/>
        <v/>
      </c>
      <c r="Z208" s="5" t="str">
        <f t="shared" si="26"/>
        <v/>
      </c>
      <c r="AA208" s="4">
        <f t="shared" si="27"/>
        <v>0</v>
      </c>
      <c r="AC208" s="2"/>
    </row>
    <row r="209" spans="1:29" ht="15.5">
      <c r="A209" s="13" t="str">
        <f>IF(OR(ISBLANK(C209),ISBLANK(D209),ISBLANK(F209),ISBLANK(G209)),"",COUNTIF($B$5:B209,"JAMBUTU"))</f>
        <v/>
      </c>
      <c r="B209" s="8"/>
      <c r="C209" s="8"/>
      <c r="D209" s="8"/>
      <c r="E209" s="13"/>
      <c r="F209" s="12"/>
      <c r="G209" s="11"/>
      <c r="H209" s="12"/>
      <c r="I209" s="11"/>
      <c r="J209" s="10">
        <f t="shared" si="22"/>
        <v>0</v>
      </c>
      <c r="K209" s="10">
        <f t="shared" si="23"/>
        <v>0</v>
      </c>
      <c r="L209" s="9" t="str">
        <f t="shared" si="24"/>
        <v/>
      </c>
      <c r="M209" s="8"/>
      <c r="N209" s="8"/>
      <c r="O209" s="8"/>
      <c r="P209" s="8"/>
      <c r="Q209" s="8"/>
      <c r="R209" s="8"/>
      <c r="S209" s="8"/>
      <c r="T209" s="8"/>
      <c r="U209" s="8"/>
      <c r="V209" s="7"/>
      <c r="W209" s="6" t="str">
        <f t="array" ref="W209">IF(NOT(ISBLANK(D209)),_xludf.XLOOKUP(D209,[2]CODE!$A$4:$A$100,[2]CODE!$D$4:$D$100),"")</f>
        <v/>
      </c>
      <c r="X209" s="5" t="str">
        <f t="array" ref="X209">IF(NOT(AND(ISBLANK(D209),ISBLANK(C209))),_xludf.XLOOKUP(D209,[2]CODE!$A$4:$A$100,[2]CODE!$E$4:$E$100),"")</f>
        <v/>
      </c>
      <c r="Y209" s="5" t="str">
        <f t="shared" si="25"/>
        <v/>
      </c>
      <c r="Z209" s="5" t="str">
        <f t="shared" si="26"/>
        <v/>
      </c>
      <c r="AA209" s="4">
        <f t="shared" si="27"/>
        <v>0</v>
      </c>
      <c r="AC209" s="2"/>
    </row>
    <row r="210" spans="1:29" ht="15.5">
      <c r="A210" s="13" t="str">
        <f>IF(OR(ISBLANK(C210),ISBLANK(D210),ISBLANK(F210),ISBLANK(G210)),"",COUNTIF($B$5:B210,"JAMBUTU"))</f>
        <v/>
      </c>
      <c r="B210" s="8"/>
      <c r="C210" s="8"/>
      <c r="D210" s="8"/>
      <c r="E210" s="13"/>
      <c r="F210" s="12"/>
      <c r="G210" s="11"/>
      <c r="H210" s="12"/>
      <c r="I210" s="11"/>
      <c r="J210" s="10">
        <f t="shared" si="22"/>
        <v>0</v>
      </c>
      <c r="K210" s="10">
        <f t="shared" si="23"/>
        <v>0</v>
      </c>
      <c r="L210" s="9" t="str">
        <f t="shared" si="24"/>
        <v/>
      </c>
      <c r="M210" s="8"/>
      <c r="N210" s="8"/>
      <c r="O210" s="8"/>
      <c r="P210" s="8"/>
      <c r="Q210" s="8"/>
      <c r="R210" s="8"/>
      <c r="S210" s="8"/>
      <c r="T210" s="8"/>
      <c r="U210" s="8"/>
      <c r="V210" s="7"/>
      <c r="W210" s="6" t="str">
        <f t="array" ref="W210">IF(NOT(ISBLANK(D210)),_xludf.XLOOKUP(D210,[2]CODE!$A$4:$A$100,[2]CODE!$D$4:$D$100),"")</f>
        <v/>
      </c>
      <c r="X210" s="5" t="str">
        <f t="array" ref="X210">IF(NOT(AND(ISBLANK(D210),ISBLANK(C210))),_xludf.XLOOKUP(D210,[2]CODE!$A$4:$A$100,[2]CODE!$E$4:$E$100),"")</f>
        <v/>
      </c>
      <c r="Y210" s="5" t="str">
        <f t="shared" si="25"/>
        <v/>
      </c>
      <c r="Z210" s="5" t="str">
        <f t="shared" si="26"/>
        <v/>
      </c>
      <c r="AA210" s="4">
        <f t="shared" si="27"/>
        <v>0</v>
      </c>
      <c r="AC210" s="2"/>
    </row>
    <row r="211" spans="1:29" ht="15.5">
      <c r="A211" s="13" t="str">
        <f>IF(OR(ISBLANK(C211),ISBLANK(D211),ISBLANK(F211),ISBLANK(G211)),"",COUNTIF($B$5:B211,"JAMBUTU"))</f>
        <v/>
      </c>
      <c r="B211" s="8" t="str">
        <f t="shared" ref="B211:B274" si="28">IF(C211&lt;&gt;"","Jambutu","")</f>
        <v/>
      </c>
      <c r="C211" s="8"/>
      <c r="D211" s="8"/>
      <c r="E211" s="13"/>
      <c r="F211" s="12"/>
      <c r="G211" s="11"/>
      <c r="H211" s="12"/>
      <c r="I211" s="11"/>
      <c r="J211" s="10">
        <f t="shared" si="22"/>
        <v>0</v>
      </c>
      <c r="K211" s="10">
        <f t="shared" si="23"/>
        <v>0</v>
      </c>
      <c r="L211" s="9" t="str">
        <f t="shared" si="24"/>
        <v/>
      </c>
      <c r="M211" s="8"/>
      <c r="N211" s="8" t="s">
        <v>53</v>
      </c>
      <c r="O211" s="8" t="s">
        <v>0</v>
      </c>
      <c r="P211" s="8"/>
      <c r="Q211" s="8"/>
      <c r="R211" s="8"/>
      <c r="S211" s="8"/>
      <c r="T211" s="8"/>
      <c r="U211" s="8"/>
      <c r="V211" s="7"/>
      <c r="W211" s="6" t="str">
        <f t="array" ref="W211">IF(NOT(ISBLANK(D211)),_xludf.XLOOKUP(D211,[2]CODE!$A$4:$A$100,[2]CODE!$D$4:$D$100),"")</f>
        <v/>
      </c>
      <c r="X211" s="5" t="str">
        <f t="array" ref="X211">IF(NOT(AND(ISBLANK(D211),ISBLANK(C211))),_xludf.XLOOKUP(D211,[2]CODE!$A$4:$A$100,[2]CODE!$E$4:$E$100),"")</f>
        <v/>
      </c>
      <c r="Y211" s="5" t="str">
        <f t="shared" si="25"/>
        <v/>
      </c>
      <c r="Z211" s="5" t="str">
        <f t="shared" si="26"/>
        <v/>
      </c>
      <c r="AA211" s="4">
        <f t="shared" si="27"/>
        <v>0</v>
      </c>
      <c r="AC211" s="2"/>
    </row>
    <row r="212" spans="1:29" ht="15.5">
      <c r="A212" s="13" t="str">
        <f>IF(OR(ISBLANK(C212),ISBLANK(D212),ISBLANK(F212),ISBLANK(G212)),"",COUNTIF($B$5:B212,"JAMBUTU"))</f>
        <v/>
      </c>
      <c r="B212" s="8" t="str">
        <f t="shared" si="28"/>
        <v/>
      </c>
      <c r="C212" s="8"/>
      <c r="D212" s="8"/>
      <c r="E212" s="13"/>
      <c r="F212" s="12"/>
      <c r="G212" s="11"/>
      <c r="H212" s="12"/>
      <c r="I212" s="11"/>
      <c r="J212" s="10">
        <f t="shared" si="22"/>
        <v>0</v>
      </c>
      <c r="K212" s="10">
        <f t="shared" si="23"/>
        <v>0</v>
      </c>
      <c r="L212" s="9" t="str">
        <f t="shared" si="24"/>
        <v/>
      </c>
      <c r="M212" s="8"/>
      <c r="N212" s="8"/>
      <c r="O212" s="8" t="s">
        <v>0</v>
      </c>
      <c r="P212" s="8"/>
      <c r="Q212" s="8"/>
      <c r="R212" s="8"/>
      <c r="S212" s="8"/>
      <c r="T212" s="8"/>
      <c r="U212" s="8"/>
      <c r="V212" s="7"/>
      <c r="W212" s="6" t="str">
        <f t="array" ref="W212">IF(NOT(ISBLANK(D212)),_xludf.XLOOKUP(D212,[2]CODE!$A$4:$A$100,[2]CODE!$D$4:$D$100),"")</f>
        <v/>
      </c>
      <c r="X212" s="5" t="str">
        <f t="array" ref="X212">IF(NOT(AND(ISBLANK(D212),ISBLANK(C212))),_xludf.XLOOKUP(D212,[2]CODE!$A$4:$A$100,[2]CODE!$E$4:$E$100),"")</f>
        <v/>
      </c>
      <c r="Y212" s="5" t="str">
        <f t="shared" si="25"/>
        <v/>
      </c>
      <c r="Z212" s="5" t="str">
        <f t="shared" si="26"/>
        <v/>
      </c>
      <c r="AA212" s="4">
        <f t="shared" si="27"/>
        <v>0</v>
      </c>
      <c r="AC212" s="2"/>
    </row>
    <row r="213" spans="1:29" ht="15.5">
      <c r="A213" s="13" t="str">
        <f>IF(OR(ISBLANK(C213),ISBLANK(D213),ISBLANK(F213),ISBLANK(G213)),"",COUNTIF($B$5:B213,"JAMBUTU"))</f>
        <v/>
      </c>
      <c r="B213" s="8" t="str">
        <f t="shared" si="28"/>
        <v/>
      </c>
      <c r="C213" s="8"/>
      <c r="D213" s="8"/>
      <c r="E213" s="13"/>
      <c r="F213" s="12"/>
      <c r="G213" s="11"/>
      <c r="H213" s="12"/>
      <c r="I213" s="11"/>
      <c r="J213" s="10">
        <f t="shared" si="22"/>
        <v>0</v>
      </c>
      <c r="K213" s="10">
        <f t="shared" si="23"/>
        <v>0</v>
      </c>
      <c r="L213" s="9" t="str">
        <f t="shared" si="24"/>
        <v/>
      </c>
      <c r="M213" s="8"/>
      <c r="N213" s="8"/>
      <c r="O213" s="8" t="s">
        <v>0</v>
      </c>
      <c r="P213" s="8"/>
      <c r="Q213" s="8"/>
      <c r="R213" s="8"/>
      <c r="S213" s="8"/>
      <c r="T213" s="8"/>
      <c r="U213" s="8"/>
      <c r="V213" s="7"/>
      <c r="W213" s="6" t="str">
        <f t="array" ref="W213">IF(NOT(ISBLANK(D213)),_xludf.XLOOKUP(D213,[2]CODE!$A$4:$A$100,[2]CODE!$D$4:$D$100),"")</f>
        <v/>
      </c>
      <c r="X213" s="5" t="str">
        <f t="array" ref="X213">IF(NOT(AND(ISBLANK(D213),ISBLANK(C213))),_xludf.XLOOKUP(D213,[2]CODE!$A$4:$A$100,[2]CODE!$E$4:$E$100),"")</f>
        <v/>
      </c>
      <c r="Y213" s="5" t="str">
        <f t="shared" si="25"/>
        <v/>
      </c>
      <c r="Z213" s="5" t="str">
        <f t="shared" si="26"/>
        <v/>
      </c>
      <c r="AA213" s="4">
        <f t="shared" si="27"/>
        <v>0</v>
      </c>
      <c r="AC213" s="2"/>
    </row>
    <row r="214" spans="1:29" ht="15.5">
      <c r="A214" s="13" t="str">
        <f>IF(OR(ISBLANK(C214),ISBLANK(D214),ISBLANK(F214),ISBLANK(G214)),"",COUNTIF($B$5:B214,"JAMBUTU"))</f>
        <v/>
      </c>
      <c r="B214" s="8" t="str">
        <f t="shared" si="28"/>
        <v/>
      </c>
      <c r="C214" s="8"/>
      <c r="D214" s="8"/>
      <c r="E214" s="13"/>
      <c r="F214" s="12"/>
      <c r="G214" s="11"/>
      <c r="H214" s="12"/>
      <c r="I214" s="11"/>
      <c r="J214" s="10">
        <f t="shared" si="22"/>
        <v>0</v>
      </c>
      <c r="K214" s="10">
        <f t="shared" si="23"/>
        <v>0</v>
      </c>
      <c r="L214" s="9" t="str">
        <f t="shared" si="24"/>
        <v/>
      </c>
      <c r="M214" s="8"/>
      <c r="N214" s="8"/>
      <c r="O214" s="8" t="s">
        <v>0</v>
      </c>
      <c r="P214" s="8"/>
      <c r="Q214" s="8"/>
      <c r="R214" s="8"/>
      <c r="S214" s="8"/>
      <c r="T214" s="8"/>
      <c r="U214" s="8"/>
      <c r="V214" s="7"/>
      <c r="W214" s="6" t="str">
        <f t="array" ref="W214">IF(NOT(ISBLANK(D214)),_xludf.XLOOKUP(D214,[2]CODE!$A$4:$A$100,[2]CODE!$D$4:$D$100),"")</f>
        <v/>
      </c>
      <c r="X214" s="5" t="str">
        <f t="array" ref="X214">IF(NOT(AND(ISBLANK(D214),ISBLANK(C214))),_xludf.XLOOKUP(D214,[2]CODE!$A$4:$A$100,[2]CODE!$E$4:$E$100),"")</f>
        <v/>
      </c>
      <c r="Y214" s="5" t="str">
        <f t="shared" si="25"/>
        <v/>
      </c>
      <c r="Z214" s="5" t="str">
        <f t="shared" si="26"/>
        <v/>
      </c>
      <c r="AA214" s="4">
        <f t="shared" si="27"/>
        <v>0</v>
      </c>
      <c r="AC214" s="2"/>
    </row>
    <row r="215" spans="1:29" ht="15.5">
      <c r="A215" s="13" t="str">
        <f>IF(OR(ISBLANK(C215),ISBLANK(D215),ISBLANK(F215),ISBLANK(G215)),"",COUNTIF($B$5:B215,"JAMBUTU"))</f>
        <v/>
      </c>
      <c r="B215" s="8" t="str">
        <f t="shared" si="28"/>
        <v/>
      </c>
      <c r="C215" s="8"/>
      <c r="D215" s="8"/>
      <c r="E215" s="13"/>
      <c r="F215" s="12"/>
      <c r="G215" s="11"/>
      <c r="H215" s="12"/>
      <c r="I215" s="11"/>
      <c r="J215" s="10">
        <f t="shared" si="22"/>
        <v>0</v>
      </c>
      <c r="K215" s="10">
        <f t="shared" si="23"/>
        <v>0</v>
      </c>
      <c r="L215" s="9" t="str">
        <f t="shared" si="24"/>
        <v/>
      </c>
      <c r="M215" s="8"/>
      <c r="N215" s="8"/>
      <c r="O215" s="8" t="s">
        <v>0</v>
      </c>
      <c r="P215" s="8"/>
      <c r="Q215" s="8"/>
      <c r="R215" s="8"/>
      <c r="S215" s="8"/>
      <c r="T215" s="8"/>
      <c r="U215" s="8"/>
      <c r="V215" s="7"/>
      <c r="W215" s="6" t="str">
        <f t="array" ref="W215">IF(NOT(ISBLANK(D215)),_xludf.XLOOKUP(D215,[2]CODE!$A$4:$A$100,[2]CODE!$D$4:$D$100),"")</f>
        <v/>
      </c>
      <c r="X215" s="5" t="str">
        <f t="array" ref="X215">IF(NOT(AND(ISBLANK(D215),ISBLANK(C215))),_xludf.XLOOKUP(D215,[2]CODE!$A$4:$A$100,[2]CODE!$E$4:$E$100),"")</f>
        <v/>
      </c>
      <c r="Y215" s="5" t="str">
        <f t="shared" si="25"/>
        <v/>
      </c>
      <c r="Z215" s="5" t="str">
        <f t="shared" si="26"/>
        <v/>
      </c>
      <c r="AA215" s="4">
        <f t="shared" si="27"/>
        <v>0</v>
      </c>
      <c r="AC215" s="2"/>
    </row>
    <row r="216" spans="1:29" ht="15.5">
      <c r="A216" s="13" t="str">
        <f>IF(OR(ISBLANK(C216),ISBLANK(D216),ISBLANK(F216),ISBLANK(G216)),"",COUNTIF($B$5:B216,"JAMBUTU"))</f>
        <v/>
      </c>
      <c r="B216" s="8" t="str">
        <f t="shared" si="28"/>
        <v/>
      </c>
      <c r="C216" s="8"/>
      <c r="D216" s="8"/>
      <c r="E216" s="13"/>
      <c r="F216" s="12"/>
      <c r="G216" s="11"/>
      <c r="H216" s="12"/>
      <c r="I216" s="11"/>
      <c r="J216" s="10">
        <f t="shared" si="22"/>
        <v>0</v>
      </c>
      <c r="K216" s="10">
        <f t="shared" si="23"/>
        <v>0</v>
      </c>
      <c r="L216" s="9" t="str">
        <f t="shared" si="24"/>
        <v/>
      </c>
      <c r="M216" s="8"/>
      <c r="N216" s="8"/>
      <c r="O216" s="8"/>
      <c r="P216" s="8"/>
      <c r="Q216" s="8"/>
      <c r="R216" s="8"/>
      <c r="S216" s="8"/>
      <c r="T216" s="8"/>
      <c r="U216" s="8"/>
      <c r="V216" s="7"/>
      <c r="W216" s="6" t="str">
        <f t="array" ref="W216">IF(NOT(ISBLANK(D216)),_xludf.XLOOKUP(D216,[2]CODE!$A$4:$A$100,[2]CODE!$D$4:$D$100),"")</f>
        <v/>
      </c>
      <c r="X216" s="5" t="str">
        <f t="array" ref="X216">IF(NOT(AND(ISBLANK(D216),ISBLANK(C216))),_xludf.XLOOKUP(D216,[2]CODE!$A$4:$A$100,[2]CODE!$E$4:$E$100),"")</f>
        <v/>
      </c>
      <c r="Y216" s="5" t="str">
        <f t="shared" si="25"/>
        <v/>
      </c>
      <c r="Z216" s="5" t="str">
        <f t="shared" si="26"/>
        <v/>
      </c>
      <c r="AA216" s="4">
        <f t="shared" si="27"/>
        <v>0</v>
      </c>
      <c r="AC216" s="2"/>
    </row>
    <row r="217" spans="1:29" ht="15.5">
      <c r="A217" s="13" t="str">
        <f>IF(OR(ISBLANK(C217),ISBLANK(D217),ISBLANK(F217),ISBLANK(G217)),"",COUNTIF($B$5:B217,"JAMBUTU"))</f>
        <v/>
      </c>
      <c r="B217" s="8" t="str">
        <f t="shared" si="28"/>
        <v/>
      </c>
      <c r="C217" s="8"/>
      <c r="D217" s="8"/>
      <c r="E217" s="13"/>
      <c r="F217" s="12"/>
      <c r="G217" s="11"/>
      <c r="H217" s="12"/>
      <c r="I217" s="11"/>
      <c r="J217" s="10">
        <f t="shared" si="22"/>
        <v>0</v>
      </c>
      <c r="K217" s="10">
        <f t="shared" si="23"/>
        <v>0</v>
      </c>
      <c r="L217" s="9" t="str">
        <f t="shared" si="24"/>
        <v/>
      </c>
      <c r="M217" s="8"/>
      <c r="N217" s="8"/>
      <c r="O217" s="8"/>
      <c r="P217" s="8"/>
      <c r="Q217" s="8"/>
      <c r="R217" s="8"/>
      <c r="S217" s="8"/>
      <c r="T217" s="8"/>
      <c r="U217" s="8"/>
      <c r="V217" s="7"/>
      <c r="W217" s="6" t="str">
        <f t="array" ref="W217">IF(NOT(ISBLANK(D217)),_xludf.XLOOKUP(D217,[2]CODE!$A$4:$A$100,[2]CODE!$D$4:$D$100),"")</f>
        <v/>
      </c>
      <c r="X217" s="5" t="str">
        <f t="array" ref="X217">IF(NOT(AND(ISBLANK(D217),ISBLANK(C217))),_xludf.XLOOKUP(D217,[2]CODE!$A$4:$A$100,[2]CODE!$E$4:$E$100),"")</f>
        <v/>
      </c>
      <c r="Y217" s="5" t="str">
        <f t="shared" si="25"/>
        <v/>
      </c>
      <c r="Z217" s="5" t="str">
        <f t="shared" si="26"/>
        <v/>
      </c>
      <c r="AA217" s="4">
        <f t="shared" si="27"/>
        <v>0</v>
      </c>
      <c r="AC217" s="2"/>
    </row>
    <row r="218" spans="1:29" ht="15.5">
      <c r="A218" s="13" t="str">
        <f>IF(OR(ISBLANK(C218),ISBLANK(D218),ISBLANK(F218),ISBLANK(G218)),"",COUNTIF($B$5:B218,"JAMBUTU"))</f>
        <v/>
      </c>
      <c r="B218" s="8" t="str">
        <f t="shared" si="28"/>
        <v/>
      </c>
      <c r="C218" s="8"/>
      <c r="D218" s="8"/>
      <c r="E218" s="13"/>
      <c r="F218" s="12"/>
      <c r="G218" s="11"/>
      <c r="H218" s="12"/>
      <c r="I218" s="11"/>
      <c r="J218" s="10">
        <f t="shared" si="22"/>
        <v>0</v>
      </c>
      <c r="K218" s="10">
        <f t="shared" si="23"/>
        <v>0</v>
      </c>
      <c r="L218" s="9" t="str">
        <f t="shared" si="24"/>
        <v/>
      </c>
      <c r="M218" s="8"/>
      <c r="N218" s="8"/>
      <c r="O218" s="8"/>
      <c r="P218" s="8"/>
      <c r="Q218" s="8"/>
      <c r="R218" s="8"/>
      <c r="S218" s="8"/>
      <c r="T218" s="8"/>
      <c r="U218" s="8"/>
      <c r="V218" s="7"/>
      <c r="W218" s="6" t="str">
        <f t="array" ref="W218">IF(NOT(ISBLANK(D218)),_xludf.XLOOKUP(D218,[2]CODE!$A$4:$A$100,[2]CODE!$D$4:$D$100),"")</f>
        <v/>
      </c>
      <c r="X218" s="5" t="str">
        <f t="array" ref="X218">IF(NOT(AND(ISBLANK(D218),ISBLANK(C218))),_xludf.XLOOKUP(D218,[2]CODE!$A$4:$A$100,[2]CODE!$E$4:$E$100),"")</f>
        <v/>
      </c>
      <c r="Y218" s="5" t="str">
        <f t="shared" si="25"/>
        <v/>
      </c>
      <c r="Z218" s="5" t="str">
        <f t="shared" si="26"/>
        <v/>
      </c>
      <c r="AA218" s="4">
        <f t="shared" si="27"/>
        <v>0</v>
      </c>
      <c r="AC218" s="2"/>
    </row>
    <row r="219" spans="1:29" ht="15.5">
      <c r="A219" s="13" t="str">
        <f>IF(OR(ISBLANK(C219),ISBLANK(D219),ISBLANK(F219),ISBLANK(G219)),"",COUNTIF($B$5:B219,"JAMBUTU"))</f>
        <v/>
      </c>
      <c r="B219" s="8" t="str">
        <f t="shared" si="28"/>
        <v/>
      </c>
      <c r="C219" s="8"/>
      <c r="D219" s="8"/>
      <c r="E219" s="13"/>
      <c r="F219" s="12"/>
      <c r="G219" s="11"/>
      <c r="H219" s="12"/>
      <c r="I219" s="11"/>
      <c r="J219" s="10">
        <f t="shared" si="22"/>
        <v>0</v>
      </c>
      <c r="K219" s="10">
        <f t="shared" si="23"/>
        <v>0</v>
      </c>
      <c r="L219" s="9" t="str">
        <f t="shared" si="24"/>
        <v/>
      </c>
      <c r="M219" s="8"/>
      <c r="N219" s="8"/>
      <c r="O219" s="8"/>
      <c r="P219" s="8"/>
      <c r="Q219" s="8"/>
      <c r="R219" s="8"/>
      <c r="S219" s="8"/>
      <c r="T219" s="8"/>
      <c r="U219" s="8"/>
      <c r="V219" s="7"/>
      <c r="W219" s="6" t="str">
        <f t="array" ref="W219">IF(NOT(ISBLANK(D219)),_xludf.XLOOKUP(D219,[2]CODE!$A$4:$A$100,[2]CODE!$D$4:$D$100),"")</f>
        <v/>
      </c>
      <c r="X219" s="5" t="str">
        <f t="array" ref="X219">IF(NOT(AND(ISBLANK(D219),ISBLANK(C219))),_xludf.XLOOKUP(D219,[2]CODE!$A$4:$A$100,[2]CODE!$E$4:$E$100),"")</f>
        <v/>
      </c>
      <c r="Y219" s="5" t="str">
        <f t="shared" si="25"/>
        <v/>
      </c>
      <c r="Z219" s="5" t="str">
        <f t="shared" si="26"/>
        <v/>
      </c>
      <c r="AA219" s="4">
        <f t="shared" si="27"/>
        <v>0</v>
      </c>
      <c r="AC219" s="2"/>
    </row>
    <row r="220" spans="1:29" ht="15.5">
      <c r="A220" s="13" t="str">
        <f>IF(OR(ISBLANK(C220),ISBLANK(D220),ISBLANK(F220),ISBLANK(G220)),"",COUNTIF($B$5:B220,"JAMBUTU"))</f>
        <v/>
      </c>
      <c r="B220" s="8" t="str">
        <f t="shared" si="28"/>
        <v/>
      </c>
      <c r="C220" s="8"/>
      <c r="D220" s="8"/>
      <c r="E220" s="13"/>
      <c r="F220" s="12"/>
      <c r="G220" s="11"/>
      <c r="H220" s="12"/>
      <c r="I220" s="11"/>
      <c r="J220" s="10">
        <f t="shared" si="22"/>
        <v>0</v>
      </c>
      <c r="K220" s="10">
        <f t="shared" si="23"/>
        <v>0</v>
      </c>
      <c r="L220" s="9" t="str">
        <f t="shared" si="24"/>
        <v/>
      </c>
      <c r="M220" s="8"/>
      <c r="N220" s="8"/>
      <c r="O220" s="8"/>
      <c r="P220" s="8"/>
      <c r="Q220" s="8"/>
      <c r="R220" s="8"/>
      <c r="S220" s="8"/>
      <c r="T220" s="8"/>
      <c r="U220" s="8"/>
      <c r="V220" s="7"/>
      <c r="W220" s="6" t="str">
        <f t="array" ref="W220">IF(NOT(ISBLANK(D220)),_xludf.XLOOKUP(D220,[2]CODE!$A$4:$A$100,[2]CODE!$D$4:$D$100),"")</f>
        <v/>
      </c>
      <c r="X220" s="5" t="str">
        <f t="array" ref="X220">IF(NOT(AND(ISBLANK(D220),ISBLANK(C220))),_xludf.XLOOKUP(D220,[2]CODE!$A$4:$A$100,[2]CODE!$E$4:$E$100),"")</f>
        <v/>
      </c>
      <c r="Y220" s="5" t="str">
        <f t="shared" si="25"/>
        <v/>
      </c>
      <c r="Z220" s="5" t="str">
        <f t="shared" si="26"/>
        <v/>
      </c>
      <c r="AA220" s="4">
        <f t="shared" si="27"/>
        <v>0</v>
      </c>
      <c r="AC220" s="2"/>
    </row>
    <row r="221" spans="1:29" ht="15.5">
      <c r="A221" s="13" t="str">
        <f>IF(OR(ISBLANK(C221),ISBLANK(D221),ISBLANK(F221),ISBLANK(G221)),"",COUNTIF($B$5:B221,"JAMBUTU"))</f>
        <v/>
      </c>
      <c r="B221" s="8" t="str">
        <f t="shared" si="28"/>
        <v/>
      </c>
      <c r="C221" s="8"/>
      <c r="D221" s="8"/>
      <c r="E221" s="13"/>
      <c r="F221" s="12"/>
      <c r="G221" s="11"/>
      <c r="H221" s="12"/>
      <c r="I221" s="11"/>
      <c r="J221" s="10">
        <f t="shared" si="22"/>
        <v>0</v>
      </c>
      <c r="K221" s="10">
        <f t="shared" si="23"/>
        <v>0</v>
      </c>
      <c r="L221" s="9" t="str">
        <f t="shared" si="24"/>
        <v/>
      </c>
      <c r="M221" s="8"/>
      <c r="N221" s="8"/>
      <c r="O221" s="8"/>
      <c r="P221" s="8"/>
      <c r="Q221" s="8"/>
      <c r="R221" s="8"/>
      <c r="S221" s="8"/>
      <c r="T221" s="8"/>
      <c r="U221" s="8"/>
      <c r="V221" s="7"/>
      <c r="W221" s="6" t="str">
        <f t="array" ref="W221">IF(NOT(ISBLANK(D221)),_xludf.XLOOKUP(D221,[2]CODE!$A$4:$A$100,[2]CODE!$D$4:$D$100),"")</f>
        <v/>
      </c>
      <c r="X221" s="5" t="str">
        <f t="array" ref="X221">IF(NOT(AND(ISBLANK(D221),ISBLANK(C221))),_xludf.XLOOKUP(D221,[2]CODE!$A$4:$A$100,[2]CODE!$E$4:$E$100),"")</f>
        <v/>
      </c>
      <c r="Y221" s="5" t="str">
        <f t="shared" si="25"/>
        <v/>
      </c>
      <c r="Z221" s="5" t="str">
        <f t="shared" si="26"/>
        <v/>
      </c>
      <c r="AA221" s="4">
        <f t="shared" si="27"/>
        <v>0</v>
      </c>
      <c r="AC221" s="2"/>
    </row>
    <row r="222" spans="1:29" ht="15.5">
      <c r="A222" s="13" t="str">
        <f>IF(OR(ISBLANK(C222),ISBLANK(D222),ISBLANK(F222),ISBLANK(G222)),"",COUNTIF($B$5:B222,"JAMBUTU"))</f>
        <v/>
      </c>
      <c r="B222" s="8" t="str">
        <f t="shared" si="28"/>
        <v/>
      </c>
      <c r="C222" s="8"/>
      <c r="D222" s="8"/>
      <c r="E222" s="13"/>
      <c r="F222" s="12"/>
      <c r="G222" s="11"/>
      <c r="H222" s="12"/>
      <c r="I222" s="11"/>
      <c r="J222" s="10">
        <f t="shared" si="22"/>
        <v>0</v>
      </c>
      <c r="K222" s="10">
        <f t="shared" si="23"/>
        <v>0</v>
      </c>
      <c r="L222" s="9" t="str">
        <f t="shared" si="24"/>
        <v/>
      </c>
      <c r="M222" s="8"/>
      <c r="N222" s="8"/>
      <c r="O222" s="8"/>
      <c r="P222" s="8"/>
      <c r="Q222" s="8"/>
      <c r="R222" s="8"/>
      <c r="S222" s="8"/>
      <c r="T222" s="8"/>
      <c r="U222" s="8"/>
      <c r="V222" s="7"/>
      <c r="W222" s="6" t="str">
        <f t="array" ref="W222">IF(NOT(ISBLANK(D222)),_xludf.XLOOKUP(D222,[2]CODE!$A$4:$A$100,[2]CODE!$D$4:$D$100),"")</f>
        <v/>
      </c>
      <c r="X222" s="5" t="str">
        <f t="array" ref="X222">IF(NOT(AND(ISBLANK(D222),ISBLANK(C222))),_xludf.XLOOKUP(D222,[2]CODE!$A$4:$A$100,[2]CODE!$E$4:$E$100),"")</f>
        <v/>
      </c>
      <c r="Y222" s="5" t="str">
        <f t="shared" si="25"/>
        <v/>
      </c>
      <c r="Z222" s="5" t="str">
        <f t="shared" si="26"/>
        <v/>
      </c>
      <c r="AA222" s="4">
        <f t="shared" si="27"/>
        <v>0</v>
      </c>
      <c r="AC222" s="2"/>
    </row>
    <row r="223" spans="1:29" ht="15.5">
      <c r="A223" s="13" t="str">
        <f>IF(OR(ISBLANK(C223),ISBLANK(D223),ISBLANK(F223),ISBLANK(G223)),"",COUNTIF($B$5:B223,"JAMBUTU"))</f>
        <v/>
      </c>
      <c r="B223" s="8" t="str">
        <f t="shared" si="28"/>
        <v/>
      </c>
      <c r="C223" s="8"/>
      <c r="D223" s="8"/>
      <c r="E223" s="13"/>
      <c r="F223" s="12"/>
      <c r="G223" s="11"/>
      <c r="H223" s="12"/>
      <c r="I223" s="15"/>
      <c r="J223" s="10">
        <f t="shared" si="22"/>
        <v>0</v>
      </c>
      <c r="K223" s="10">
        <f t="shared" si="23"/>
        <v>0</v>
      </c>
      <c r="L223" s="9" t="str">
        <f t="shared" si="24"/>
        <v/>
      </c>
      <c r="M223" s="8"/>
      <c r="N223" s="8"/>
      <c r="O223" s="8"/>
      <c r="P223" s="8"/>
      <c r="Q223" s="8"/>
      <c r="R223" s="8"/>
      <c r="S223" s="8"/>
      <c r="T223" s="8"/>
      <c r="U223" s="8"/>
      <c r="V223" s="7"/>
      <c r="W223" s="6" t="str">
        <f t="array" ref="W223">IF(NOT(ISBLANK(D223)),_xludf.XLOOKUP(D223,[2]CODE!$A$4:$A$100,[2]CODE!$D$4:$D$100),"")</f>
        <v/>
      </c>
      <c r="X223" s="5" t="str">
        <f t="array" ref="X223">IF(NOT(AND(ISBLANK(D223),ISBLANK(C223))),_xludf.XLOOKUP(D223,[2]CODE!$A$4:$A$100,[2]CODE!$E$4:$E$100),"")</f>
        <v/>
      </c>
      <c r="Y223" s="5" t="str">
        <f t="shared" si="25"/>
        <v/>
      </c>
      <c r="Z223" s="5" t="str">
        <f t="shared" si="26"/>
        <v/>
      </c>
      <c r="AA223" s="4">
        <f t="shared" si="27"/>
        <v>0</v>
      </c>
      <c r="AC223" s="2"/>
    </row>
    <row r="224" spans="1:29" ht="15.5">
      <c r="A224" s="13" t="str">
        <f>IF(OR(ISBLANK(C224),ISBLANK(D224),ISBLANK(F224),ISBLANK(G224)),"",COUNTIF($B$5:B224,"JAMBUTU"))</f>
        <v/>
      </c>
      <c r="B224" s="8" t="str">
        <f t="shared" si="28"/>
        <v/>
      </c>
      <c r="C224" s="8"/>
      <c r="D224" s="8"/>
      <c r="E224" s="13"/>
      <c r="F224" s="12"/>
      <c r="G224" s="11"/>
      <c r="H224" s="12"/>
      <c r="I224" s="15"/>
      <c r="J224" s="10">
        <f t="shared" si="22"/>
        <v>0</v>
      </c>
      <c r="K224" s="10">
        <f t="shared" si="23"/>
        <v>0</v>
      </c>
      <c r="L224" s="9" t="str">
        <f t="shared" si="24"/>
        <v/>
      </c>
      <c r="M224" s="8"/>
      <c r="N224" s="8"/>
      <c r="O224" s="8"/>
      <c r="P224" s="8"/>
      <c r="Q224" s="8"/>
      <c r="R224" s="8"/>
      <c r="S224" s="8"/>
      <c r="T224" s="8"/>
      <c r="U224" s="8"/>
      <c r="V224" s="7"/>
      <c r="W224" s="6" t="str">
        <f t="array" ref="W224">IF(NOT(ISBLANK(D224)),_xludf.XLOOKUP(D224,[2]CODE!$A$4:$A$100,[2]CODE!$D$4:$D$100),"")</f>
        <v/>
      </c>
      <c r="X224" s="5" t="str">
        <f t="array" ref="X224">IF(NOT(AND(ISBLANK(D224),ISBLANK(C224))),_xludf.XLOOKUP(D224,[2]CODE!$A$4:$A$100,[2]CODE!$E$4:$E$100),"")</f>
        <v/>
      </c>
      <c r="Y224" s="5" t="str">
        <f t="shared" si="25"/>
        <v/>
      </c>
      <c r="Z224" s="5" t="str">
        <f t="shared" si="26"/>
        <v/>
      </c>
      <c r="AA224" s="4">
        <f t="shared" si="27"/>
        <v>0</v>
      </c>
      <c r="AC224" s="2"/>
    </row>
    <row r="225" spans="1:29" ht="15.5">
      <c r="A225" s="13" t="str">
        <f>IF(OR(ISBLANK(C225),ISBLANK(D225),ISBLANK(F225),ISBLANK(G225)),"",COUNTIF($B$5:B225,"JAMBUTU"))</f>
        <v/>
      </c>
      <c r="B225" s="8" t="str">
        <f t="shared" si="28"/>
        <v/>
      </c>
      <c r="C225" s="8"/>
      <c r="D225" s="8"/>
      <c r="E225" s="13"/>
      <c r="F225" s="12"/>
      <c r="G225" s="11"/>
      <c r="H225" s="12"/>
      <c r="I225" s="11"/>
      <c r="J225" s="10">
        <f t="shared" si="22"/>
        <v>0</v>
      </c>
      <c r="K225" s="10">
        <f t="shared" si="23"/>
        <v>0</v>
      </c>
      <c r="L225" s="9" t="str">
        <f t="shared" si="24"/>
        <v/>
      </c>
      <c r="M225" s="8"/>
      <c r="N225" s="8"/>
      <c r="O225" s="8"/>
      <c r="P225" s="8"/>
      <c r="Q225" s="8"/>
      <c r="R225" s="8"/>
      <c r="S225" s="8"/>
      <c r="T225" s="8"/>
      <c r="U225" s="8"/>
      <c r="V225" s="7"/>
      <c r="W225" s="6" t="str">
        <f t="array" ref="W225">IF(NOT(ISBLANK(D225)),_xludf.XLOOKUP(D225,[2]CODE!$A$4:$A$100,[2]CODE!$D$4:$D$100),"")</f>
        <v/>
      </c>
      <c r="X225" s="5" t="str">
        <f t="array" ref="X225">IF(NOT(AND(ISBLANK(D225),ISBLANK(C225))),_xludf.XLOOKUP(D225,[2]CODE!$A$4:$A$100,[2]CODE!$E$4:$E$100),"")</f>
        <v/>
      </c>
      <c r="Y225" s="5" t="str">
        <f t="shared" si="25"/>
        <v/>
      </c>
      <c r="Z225" s="5" t="str">
        <f t="shared" si="26"/>
        <v/>
      </c>
      <c r="AA225" s="4">
        <f t="shared" si="27"/>
        <v>0</v>
      </c>
      <c r="AC225" s="2"/>
    </row>
    <row r="226" spans="1:29" ht="15.5">
      <c r="A226" s="13" t="str">
        <f>IF(OR(ISBLANK(C226),ISBLANK(D226),ISBLANK(F226),ISBLANK(G226)),"",COUNTIF($B$5:B226,"JAMBUTU"))</f>
        <v/>
      </c>
      <c r="B226" s="8" t="str">
        <f t="shared" si="28"/>
        <v/>
      </c>
      <c r="C226" s="8"/>
      <c r="D226" s="8"/>
      <c r="E226" s="13"/>
      <c r="F226" s="12"/>
      <c r="G226" s="11"/>
      <c r="H226" s="12"/>
      <c r="I226" s="11"/>
      <c r="J226" s="10">
        <f t="shared" si="22"/>
        <v>0</v>
      </c>
      <c r="K226" s="10">
        <f t="shared" si="23"/>
        <v>0</v>
      </c>
      <c r="L226" s="9" t="str">
        <f t="shared" si="24"/>
        <v/>
      </c>
      <c r="M226" s="8"/>
      <c r="N226" s="8"/>
      <c r="O226" s="8"/>
      <c r="P226" s="8"/>
      <c r="Q226" s="8"/>
      <c r="R226" s="8"/>
      <c r="S226" s="8"/>
      <c r="T226" s="8"/>
      <c r="U226" s="8"/>
      <c r="V226" s="7"/>
      <c r="W226" s="6" t="str">
        <f t="array" ref="W226">IF(NOT(ISBLANK(D226)),_xludf.XLOOKUP(D226,[2]CODE!$A$4:$A$100,[2]CODE!$D$4:$D$100),"")</f>
        <v/>
      </c>
      <c r="X226" s="5" t="str">
        <f t="array" ref="X226">IF(NOT(AND(ISBLANK(D226),ISBLANK(C226))),_xludf.XLOOKUP(D226,[2]CODE!$A$4:$A$100,[2]CODE!$E$4:$E$100),"")</f>
        <v/>
      </c>
      <c r="Y226" s="5" t="str">
        <f t="shared" si="25"/>
        <v/>
      </c>
      <c r="Z226" s="5" t="str">
        <f t="shared" si="26"/>
        <v/>
      </c>
      <c r="AA226" s="4">
        <f t="shared" si="27"/>
        <v>0</v>
      </c>
      <c r="AC226" s="2"/>
    </row>
    <row r="227" spans="1:29" ht="15.5">
      <c r="A227" s="13" t="str">
        <f>IF(OR(ISBLANK(C227),ISBLANK(D227),ISBLANK(F227),ISBLANK(G227)),"",COUNTIF($B$5:B227,"JAMBUTU"))</f>
        <v/>
      </c>
      <c r="B227" s="8" t="str">
        <f t="shared" si="28"/>
        <v/>
      </c>
      <c r="C227" s="8"/>
      <c r="D227" s="8"/>
      <c r="E227" s="13"/>
      <c r="F227" s="12"/>
      <c r="G227" s="11"/>
      <c r="H227" s="12"/>
      <c r="I227" s="15"/>
      <c r="J227" s="10">
        <f t="shared" si="22"/>
        <v>0</v>
      </c>
      <c r="K227" s="10">
        <f t="shared" si="23"/>
        <v>0</v>
      </c>
      <c r="L227" s="9" t="str">
        <f t="shared" si="24"/>
        <v/>
      </c>
      <c r="M227" s="8"/>
      <c r="N227" s="8"/>
      <c r="O227" s="8"/>
      <c r="P227" s="8"/>
      <c r="Q227" s="8"/>
      <c r="R227" s="8"/>
      <c r="S227" s="8"/>
      <c r="T227" s="8"/>
      <c r="U227" s="8"/>
      <c r="V227" s="7"/>
      <c r="W227" s="6" t="str">
        <f t="array" ref="W227">IF(NOT(ISBLANK(D227)),_xludf.XLOOKUP(D227,[2]CODE!$A$4:$A$100,[2]CODE!$D$4:$D$100),"")</f>
        <v/>
      </c>
      <c r="X227" s="5" t="str">
        <f t="array" ref="X227">IF(NOT(AND(ISBLANK(D227),ISBLANK(C227))),_xludf.XLOOKUP(D227,[2]CODE!$A$4:$A$100,[2]CODE!$E$4:$E$100),"")</f>
        <v/>
      </c>
      <c r="Y227" s="5" t="str">
        <f t="shared" si="25"/>
        <v/>
      </c>
      <c r="Z227" s="5" t="str">
        <f t="shared" si="26"/>
        <v/>
      </c>
      <c r="AA227" s="4">
        <f t="shared" si="27"/>
        <v>0</v>
      </c>
      <c r="AC227" s="2"/>
    </row>
    <row r="228" spans="1:29" ht="15.5">
      <c r="A228" s="13" t="str">
        <f>IF(OR(ISBLANK(C228),ISBLANK(D228),ISBLANK(F228),ISBLANK(G228)),"",COUNTIF($B$5:B228,"JAMBUTU"))</f>
        <v/>
      </c>
      <c r="B228" s="8" t="str">
        <f t="shared" si="28"/>
        <v/>
      </c>
      <c r="C228" s="8"/>
      <c r="D228" s="8"/>
      <c r="E228" s="13"/>
      <c r="F228" s="12"/>
      <c r="G228" s="11"/>
      <c r="H228" s="12"/>
      <c r="I228" s="15"/>
      <c r="J228" s="10">
        <f t="shared" si="22"/>
        <v>0</v>
      </c>
      <c r="K228" s="10">
        <f t="shared" si="23"/>
        <v>0</v>
      </c>
      <c r="L228" s="9" t="str">
        <f t="shared" si="24"/>
        <v/>
      </c>
      <c r="M228" s="8"/>
      <c r="N228" s="8"/>
      <c r="O228" s="8"/>
      <c r="P228" s="8"/>
      <c r="Q228" s="8"/>
      <c r="R228" s="8"/>
      <c r="S228" s="8"/>
      <c r="T228" s="8"/>
      <c r="U228" s="8"/>
      <c r="V228" s="7"/>
      <c r="W228" s="6" t="str">
        <f t="array" ref="W228">IF(NOT(ISBLANK(D228)),_xludf.XLOOKUP(D228,[2]CODE!$A$4:$A$100,[2]CODE!$D$4:$D$100),"")</f>
        <v/>
      </c>
      <c r="X228" s="5" t="str">
        <f t="array" ref="X228">IF(NOT(AND(ISBLANK(D228),ISBLANK(C228))),_xludf.XLOOKUP(D228,[2]CODE!$A$4:$A$100,[2]CODE!$E$4:$E$100),"")</f>
        <v/>
      </c>
      <c r="Y228" s="5" t="str">
        <f t="shared" si="25"/>
        <v/>
      </c>
      <c r="Z228" s="5" t="str">
        <f t="shared" si="26"/>
        <v/>
      </c>
      <c r="AA228" s="4">
        <f t="shared" si="27"/>
        <v>0</v>
      </c>
      <c r="AC228" s="2"/>
    </row>
    <row r="229" spans="1:29" ht="15.5">
      <c r="A229" s="13" t="str">
        <f>IF(OR(ISBLANK(C229),ISBLANK(D229),ISBLANK(F229),ISBLANK(G229)),"",COUNTIF($B$5:B229,"JAMBUTU"))</f>
        <v/>
      </c>
      <c r="B229" s="8" t="str">
        <f t="shared" si="28"/>
        <v/>
      </c>
      <c r="C229" s="8"/>
      <c r="D229" s="8"/>
      <c r="E229" s="13"/>
      <c r="F229" s="12"/>
      <c r="G229" s="11"/>
      <c r="H229" s="12"/>
      <c r="I229" s="11"/>
      <c r="J229" s="10">
        <f t="shared" si="22"/>
        <v>0</v>
      </c>
      <c r="K229" s="10">
        <f t="shared" si="23"/>
        <v>0</v>
      </c>
      <c r="L229" s="9" t="str">
        <f t="shared" si="24"/>
        <v/>
      </c>
      <c r="M229" s="8"/>
      <c r="N229" s="8"/>
      <c r="O229" s="8"/>
      <c r="P229" s="8"/>
      <c r="Q229" s="8"/>
      <c r="R229" s="8"/>
      <c r="S229" s="8"/>
      <c r="T229" s="8"/>
      <c r="U229" s="8"/>
      <c r="V229" s="7"/>
      <c r="W229" s="6" t="str">
        <f t="array" ref="W229">IF(NOT(ISBLANK(D229)),_xludf.XLOOKUP(D229,[2]CODE!$A$4:$A$100,[2]CODE!$D$4:$D$100),"")</f>
        <v/>
      </c>
      <c r="X229" s="5" t="str">
        <f t="array" ref="X229">IF(NOT(AND(ISBLANK(D229),ISBLANK(C229))),_xludf.XLOOKUP(D229,[2]CODE!$A$4:$A$100,[2]CODE!$E$4:$E$100),"")</f>
        <v/>
      </c>
      <c r="Y229" s="5" t="str">
        <f t="shared" si="25"/>
        <v/>
      </c>
      <c r="Z229" s="5" t="str">
        <f t="shared" si="26"/>
        <v/>
      </c>
      <c r="AA229" s="4">
        <f t="shared" si="27"/>
        <v>0</v>
      </c>
      <c r="AC229" s="2"/>
    </row>
    <row r="230" spans="1:29" ht="15.5">
      <c r="A230" s="13" t="str">
        <f>IF(OR(ISBLANK(C230),ISBLANK(D230),ISBLANK(F230),ISBLANK(G230)),"",COUNTIF($B$5:B230,"JAMBUTU"))</f>
        <v/>
      </c>
      <c r="B230" s="8" t="str">
        <f t="shared" si="28"/>
        <v/>
      </c>
      <c r="C230" s="8"/>
      <c r="D230" s="8"/>
      <c r="E230" s="13"/>
      <c r="F230" s="12"/>
      <c r="G230" s="11"/>
      <c r="H230" s="12"/>
      <c r="I230" s="15"/>
      <c r="J230" s="10">
        <f t="shared" si="22"/>
        <v>0</v>
      </c>
      <c r="K230" s="10">
        <f t="shared" si="23"/>
        <v>0</v>
      </c>
      <c r="L230" s="9" t="str">
        <f t="shared" si="24"/>
        <v/>
      </c>
      <c r="M230" s="8"/>
      <c r="N230" s="8"/>
      <c r="O230" s="8"/>
      <c r="P230" s="8"/>
      <c r="Q230" s="8"/>
      <c r="R230" s="8"/>
      <c r="S230" s="8"/>
      <c r="T230" s="8"/>
      <c r="U230" s="8"/>
      <c r="V230" s="7"/>
      <c r="W230" s="6" t="str">
        <f t="array" ref="W230">IF(NOT(ISBLANK(D230)),_xludf.XLOOKUP(D230,[2]CODE!$A$4:$A$100,[2]CODE!$D$4:$D$100),"")</f>
        <v/>
      </c>
      <c r="X230" s="5" t="str">
        <f t="array" ref="X230">IF(NOT(AND(ISBLANK(D230),ISBLANK(C230))),_xludf.XLOOKUP(D230,[2]CODE!$A$4:$A$100,[2]CODE!$E$4:$E$100),"")</f>
        <v/>
      </c>
      <c r="Y230" s="5" t="str">
        <f t="shared" si="25"/>
        <v/>
      </c>
      <c r="Z230" s="5" t="str">
        <f t="shared" si="26"/>
        <v/>
      </c>
      <c r="AA230" s="4">
        <f t="shared" si="27"/>
        <v>0</v>
      </c>
      <c r="AC230" s="2"/>
    </row>
    <row r="231" spans="1:29" ht="15.5">
      <c r="A231" s="13" t="str">
        <f>IF(OR(ISBLANK(C231),ISBLANK(D231),ISBLANK(F231),ISBLANK(G231)),"",COUNTIF($B$5:B231,"JAMBUTU"))</f>
        <v/>
      </c>
      <c r="B231" s="8" t="str">
        <f t="shared" si="28"/>
        <v/>
      </c>
      <c r="C231" s="8"/>
      <c r="D231" s="8"/>
      <c r="E231" s="13"/>
      <c r="F231" s="12"/>
      <c r="G231" s="11"/>
      <c r="H231" s="12"/>
      <c r="I231" s="15"/>
      <c r="J231" s="10">
        <f t="shared" si="22"/>
        <v>0</v>
      </c>
      <c r="K231" s="10">
        <f t="shared" si="23"/>
        <v>0</v>
      </c>
      <c r="L231" s="9" t="str">
        <f t="shared" si="24"/>
        <v/>
      </c>
      <c r="M231" s="8"/>
      <c r="N231" s="8"/>
      <c r="O231" s="8"/>
      <c r="P231" s="8"/>
      <c r="Q231" s="8"/>
      <c r="R231" s="8"/>
      <c r="S231" s="8"/>
      <c r="T231" s="8"/>
      <c r="U231" s="8"/>
      <c r="V231" s="7"/>
      <c r="W231" s="6" t="str">
        <f t="array" ref="W231">IF(NOT(ISBLANK(D231)),_xludf.XLOOKUP(D231,[2]CODE!$A$4:$A$100,[2]CODE!$D$4:$D$100),"")</f>
        <v/>
      </c>
      <c r="X231" s="5" t="str">
        <f t="array" ref="X231">IF(NOT(AND(ISBLANK(D231),ISBLANK(C231))),_xludf.XLOOKUP(D231,[2]CODE!$A$4:$A$100,[2]CODE!$E$4:$E$100),"")</f>
        <v/>
      </c>
      <c r="Y231" s="5" t="str">
        <f t="shared" si="25"/>
        <v/>
      </c>
      <c r="Z231" s="5" t="str">
        <f t="shared" si="26"/>
        <v/>
      </c>
      <c r="AA231" s="4">
        <f t="shared" si="27"/>
        <v>0</v>
      </c>
      <c r="AC231" s="2"/>
    </row>
    <row r="232" spans="1:29" ht="15.5">
      <c r="A232" s="13" t="str">
        <f>IF(OR(ISBLANK(C232),ISBLANK(D232),ISBLANK(F232),ISBLANK(G232)),"",COUNTIF($B$5:B232,"JAMBUTU"))</f>
        <v/>
      </c>
      <c r="B232" s="8" t="str">
        <f t="shared" si="28"/>
        <v/>
      </c>
      <c r="C232" s="8"/>
      <c r="D232" s="8"/>
      <c r="E232" s="13"/>
      <c r="F232" s="12"/>
      <c r="G232" s="11"/>
      <c r="H232" s="12"/>
      <c r="I232" s="15"/>
      <c r="J232" s="10">
        <f t="shared" si="22"/>
        <v>0</v>
      </c>
      <c r="K232" s="10">
        <f t="shared" si="23"/>
        <v>0</v>
      </c>
      <c r="L232" s="9" t="str">
        <f t="shared" si="24"/>
        <v/>
      </c>
      <c r="M232" s="8"/>
      <c r="N232" s="8"/>
      <c r="O232" s="8"/>
      <c r="P232" s="8"/>
      <c r="Q232" s="8"/>
      <c r="R232" s="8"/>
      <c r="S232" s="8"/>
      <c r="T232" s="8"/>
      <c r="U232" s="8"/>
      <c r="V232" s="7"/>
      <c r="W232" s="6" t="str">
        <f t="array" ref="W232">IF(NOT(ISBLANK(D232)),_xludf.XLOOKUP(D232,[2]CODE!$A$4:$A$100,[2]CODE!$D$4:$D$100),"")</f>
        <v/>
      </c>
      <c r="X232" s="5" t="str">
        <f t="array" ref="X232">IF(NOT(AND(ISBLANK(D232),ISBLANK(C232))),_xludf.XLOOKUP(D232,[2]CODE!$A$4:$A$100,[2]CODE!$E$4:$E$100),"")</f>
        <v/>
      </c>
      <c r="Y232" s="5" t="str">
        <f t="shared" si="25"/>
        <v/>
      </c>
      <c r="Z232" s="5" t="str">
        <f t="shared" si="26"/>
        <v/>
      </c>
      <c r="AA232" s="4">
        <f t="shared" si="27"/>
        <v>0</v>
      </c>
      <c r="AC232" s="2"/>
    </row>
    <row r="233" spans="1:29" ht="15.5">
      <c r="A233" s="13" t="str">
        <f>IF(OR(ISBLANK(C233),ISBLANK(D233),ISBLANK(F233),ISBLANK(G233)),"",COUNTIF($B$5:B233,"JAMBUTU"))</f>
        <v/>
      </c>
      <c r="B233" s="8" t="str">
        <f t="shared" si="28"/>
        <v/>
      </c>
      <c r="C233" s="8"/>
      <c r="D233" s="8"/>
      <c r="E233" s="13"/>
      <c r="F233" s="12"/>
      <c r="G233" s="15"/>
      <c r="H233" s="12"/>
      <c r="I233" s="11"/>
      <c r="J233" s="10">
        <f t="shared" si="22"/>
        <v>0</v>
      </c>
      <c r="K233" s="10">
        <f t="shared" si="23"/>
        <v>0</v>
      </c>
      <c r="L233" s="9" t="str">
        <f t="shared" si="24"/>
        <v/>
      </c>
      <c r="M233" s="8"/>
      <c r="N233" s="8"/>
      <c r="O233" s="8"/>
      <c r="P233" s="8"/>
      <c r="Q233" s="8"/>
      <c r="R233" s="8"/>
      <c r="S233" s="8"/>
      <c r="T233" s="8"/>
      <c r="U233" s="8"/>
      <c r="V233" s="7"/>
      <c r="W233" s="6" t="str">
        <f t="array" ref="W233">IF(NOT(ISBLANK(D233)),_xludf.XLOOKUP(D233,[2]CODE!$A$4:$A$100,[2]CODE!$D$4:$D$100),"")</f>
        <v/>
      </c>
      <c r="X233" s="5" t="str">
        <f t="array" ref="X233">IF(NOT(AND(ISBLANK(D233),ISBLANK(C233))),_xludf.XLOOKUP(D233,[2]CODE!$A$4:$A$100,[2]CODE!$E$4:$E$100),"")</f>
        <v/>
      </c>
      <c r="Y233" s="5" t="str">
        <f t="shared" si="25"/>
        <v/>
      </c>
      <c r="Z233" s="5" t="str">
        <f t="shared" si="26"/>
        <v/>
      </c>
      <c r="AA233" s="4">
        <f t="shared" si="27"/>
        <v>0</v>
      </c>
      <c r="AC233" s="2"/>
    </row>
    <row r="234" spans="1:29" ht="15.5">
      <c r="A234" s="13" t="str">
        <f>IF(OR(ISBLANK(C234),ISBLANK(D234),ISBLANK(F234),ISBLANK(G234)),"",COUNTIF($B$5:B234,"JAMBUTU"))</f>
        <v/>
      </c>
      <c r="B234" s="8" t="str">
        <f t="shared" si="28"/>
        <v/>
      </c>
      <c r="C234" s="8"/>
      <c r="D234" s="8"/>
      <c r="E234" s="13"/>
      <c r="F234" s="12"/>
      <c r="G234" s="11"/>
      <c r="H234" s="12"/>
      <c r="I234" s="15"/>
      <c r="J234" s="10">
        <f t="shared" si="22"/>
        <v>0</v>
      </c>
      <c r="K234" s="10">
        <f t="shared" si="23"/>
        <v>0</v>
      </c>
      <c r="L234" s="9" t="str">
        <f t="shared" si="24"/>
        <v/>
      </c>
      <c r="M234" s="8"/>
      <c r="N234" s="8"/>
      <c r="O234" s="8"/>
      <c r="P234" s="8"/>
      <c r="Q234" s="8"/>
      <c r="R234" s="8"/>
      <c r="S234" s="8"/>
      <c r="T234" s="8"/>
      <c r="U234" s="8"/>
      <c r="V234" s="7"/>
      <c r="W234" s="6" t="str">
        <f t="array" ref="W234">IF(NOT(ISBLANK(D234)),_xludf.XLOOKUP(D234,[2]CODE!$A$4:$A$100,[2]CODE!$D$4:$D$100),"")</f>
        <v/>
      </c>
      <c r="X234" s="5" t="str">
        <f t="array" ref="X234">IF(NOT(AND(ISBLANK(D234),ISBLANK(C234))),_xludf.XLOOKUP(D234,[2]CODE!$A$4:$A$100,[2]CODE!$E$4:$E$100),"")</f>
        <v/>
      </c>
      <c r="Y234" s="5" t="str">
        <f t="shared" si="25"/>
        <v/>
      </c>
      <c r="Z234" s="5" t="str">
        <f t="shared" si="26"/>
        <v/>
      </c>
      <c r="AA234" s="4">
        <f t="shared" si="27"/>
        <v>0</v>
      </c>
      <c r="AC234" s="2"/>
    </row>
    <row r="235" spans="1:29" ht="15.5">
      <c r="A235" s="13" t="str">
        <f>IF(OR(ISBLANK(C235),ISBLANK(D235),ISBLANK(F235),ISBLANK(G235)),"",COUNTIF($B$5:B235,"JAMBUTU"))</f>
        <v/>
      </c>
      <c r="B235" s="8" t="str">
        <f t="shared" si="28"/>
        <v/>
      </c>
      <c r="C235" s="8"/>
      <c r="D235" s="8"/>
      <c r="E235" s="13"/>
      <c r="F235" s="12"/>
      <c r="G235" s="11"/>
      <c r="H235" s="12"/>
      <c r="I235" s="15"/>
      <c r="J235" s="10">
        <f t="shared" si="22"/>
        <v>0</v>
      </c>
      <c r="K235" s="10">
        <f t="shared" si="23"/>
        <v>0</v>
      </c>
      <c r="L235" s="9" t="str">
        <f t="shared" si="24"/>
        <v/>
      </c>
      <c r="M235" s="8"/>
      <c r="N235" s="8"/>
      <c r="O235" s="8"/>
      <c r="P235" s="8"/>
      <c r="Q235" s="8"/>
      <c r="R235" s="8"/>
      <c r="S235" s="8"/>
      <c r="T235" s="8"/>
      <c r="U235" s="8"/>
      <c r="V235" s="7"/>
      <c r="W235" s="6" t="str">
        <f t="array" ref="W235">IF(NOT(ISBLANK(D235)),_xludf.XLOOKUP(D235,[2]CODE!$A$4:$A$100,[2]CODE!$D$4:$D$100),"")</f>
        <v/>
      </c>
      <c r="X235" s="5" t="str">
        <f t="array" ref="X235">IF(NOT(AND(ISBLANK(D235),ISBLANK(C235))),_xludf.XLOOKUP(D235,[2]CODE!$A$4:$A$100,[2]CODE!$E$4:$E$100),"")</f>
        <v/>
      </c>
      <c r="Y235" s="5" t="str">
        <f t="shared" si="25"/>
        <v/>
      </c>
      <c r="Z235" s="5" t="str">
        <f t="shared" si="26"/>
        <v/>
      </c>
      <c r="AA235" s="4">
        <f t="shared" si="27"/>
        <v>0</v>
      </c>
      <c r="AC235" s="2"/>
    </row>
    <row r="236" spans="1:29" ht="15.5">
      <c r="A236" s="13" t="str">
        <f>IF(OR(ISBLANK(C236),ISBLANK(D236),ISBLANK(F236),ISBLANK(G236)),"",COUNTIF($B$5:B236,"JAMBUTU"))</f>
        <v/>
      </c>
      <c r="B236" s="8" t="str">
        <f t="shared" si="28"/>
        <v/>
      </c>
      <c r="C236" s="8"/>
      <c r="D236" s="8"/>
      <c r="E236" s="13"/>
      <c r="F236" s="12"/>
      <c r="G236" s="11"/>
      <c r="H236" s="12"/>
      <c r="I236" s="11"/>
      <c r="J236" s="10">
        <f t="shared" si="22"/>
        <v>0</v>
      </c>
      <c r="K236" s="10">
        <f t="shared" si="23"/>
        <v>0</v>
      </c>
      <c r="L236" s="9" t="str">
        <f t="shared" si="24"/>
        <v/>
      </c>
      <c r="M236" s="8"/>
      <c r="N236" s="8"/>
      <c r="O236" s="8"/>
      <c r="P236" s="8"/>
      <c r="Q236" s="8"/>
      <c r="R236" s="8"/>
      <c r="S236" s="8"/>
      <c r="T236" s="8"/>
      <c r="U236" s="8"/>
      <c r="V236" s="7"/>
      <c r="W236" s="6" t="str">
        <f t="array" ref="W236">IF(NOT(ISBLANK(D236)),_xludf.XLOOKUP(D236,[2]CODE!$A$4:$A$100,[2]CODE!$D$4:$D$100),"")</f>
        <v/>
      </c>
      <c r="X236" s="5" t="str">
        <f t="array" ref="X236">IF(NOT(AND(ISBLANK(D236),ISBLANK(C236))),_xludf.XLOOKUP(D236,[2]CODE!$A$4:$A$100,[2]CODE!$E$4:$E$100),"")</f>
        <v/>
      </c>
      <c r="Y236" s="5" t="str">
        <f t="shared" si="25"/>
        <v/>
      </c>
      <c r="Z236" s="5" t="str">
        <f t="shared" si="26"/>
        <v/>
      </c>
      <c r="AA236" s="4">
        <f t="shared" si="27"/>
        <v>0</v>
      </c>
      <c r="AC236" s="2"/>
    </row>
    <row r="237" spans="1:29" ht="15.5">
      <c r="A237" s="13" t="str">
        <f>IF(OR(ISBLANK(C237),ISBLANK(D237),ISBLANK(F237),ISBLANK(G237)),"",COUNTIF($B$5:B237,"JAMBUTU"))</f>
        <v/>
      </c>
      <c r="B237" s="8" t="str">
        <f t="shared" si="28"/>
        <v/>
      </c>
      <c r="C237" s="8"/>
      <c r="D237" s="8"/>
      <c r="E237" s="13"/>
      <c r="F237" s="12"/>
      <c r="G237" s="11"/>
      <c r="H237" s="12"/>
      <c r="I237" s="11"/>
      <c r="J237" s="10">
        <f t="shared" si="22"/>
        <v>0</v>
      </c>
      <c r="K237" s="10">
        <f t="shared" si="23"/>
        <v>0</v>
      </c>
      <c r="L237" s="9" t="str">
        <f t="shared" si="24"/>
        <v/>
      </c>
      <c r="M237" s="8"/>
      <c r="N237" s="8"/>
      <c r="O237" s="8"/>
      <c r="P237" s="8"/>
      <c r="Q237" s="8"/>
      <c r="R237" s="8"/>
      <c r="S237" s="8"/>
      <c r="T237" s="8"/>
      <c r="U237" s="8"/>
      <c r="V237" s="7"/>
      <c r="W237" s="6" t="str">
        <f t="array" ref="W237">IF(NOT(ISBLANK(D237)),_xludf.XLOOKUP(D237,[2]CODE!$A$4:$A$100,[2]CODE!$D$4:$D$100),"")</f>
        <v/>
      </c>
      <c r="X237" s="5" t="str">
        <f t="array" ref="X237">IF(NOT(AND(ISBLANK(D237),ISBLANK(C237))),_xludf.XLOOKUP(D237,[2]CODE!$A$4:$A$100,[2]CODE!$E$4:$E$100),"")</f>
        <v/>
      </c>
      <c r="Y237" s="5" t="str">
        <f t="shared" si="25"/>
        <v/>
      </c>
      <c r="Z237" s="5" t="str">
        <f t="shared" si="26"/>
        <v/>
      </c>
      <c r="AA237" s="4">
        <f t="shared" si="27"/>
        <v>0</v>
      </c>
      <c r="AC237" s="2"/>
    </row>
    <row r="238" spans="1:29" ht="15.5">
      <c r="A238" s="13" t="str">
        <f>IF(OR(ISBLANK(C238),ISBLANK(D238),ISBLANK(F238),ISBLANK(G238)),"",COUNTIF($B$5:B238,"JAMBUTU"))</f>
        <v/>
      </c>
      <c r="B238" s="8" t="str">
        <f t="shared" si="28"/>
        <v/>
      </c>
      <c r="C238" s="8"/>
      <c r="D238" s="8"/>
      <c r="E238" s="13"/>
      <c r="F238" s="12"/>
      <c r="G238" s="11"/>
      <c r="H238" s="12"/>
      <c r="I238" s="11"/>
      <c r="J238" s="10">
        <f t="shared" si="22"/>
        <v>0</v>
      </c>
      <c r="K238" s="10">
        <f t="shared" si="23"/>
        <v>0</v>
      </c>
      <c r="L238" s="9" t="str">
        <f t="shared" si="24"/>
        <v/>
      </c>
      <c r="M238" s="8"/>
      <c r="N238" s="8"/>
      <c r="O238" s="8"/>
      <c r="P238" s="8"/>
      <c r="Q238" s="8"/>
      <c r="R238" s="8"/>
      <c r="S238" s="8"/>
      <c r="T238" s="8"/>
      <c r="U238" s="8"/>
      <c r="V238" s="7"/>
      <c r="W238" s="6" t="str">
        <f t="array" ref="W238">IF(NOT(ISBLANK(D238)),_xludf.XLOOKUP(D238,[2]CODE!$A$4:$A$100,[2]CODE!$D$4:$D$100),"")</f>
        <v/>
      </c>
      <c r="X238" s="5" t="str">
        <f t="array" ref="X238">IF(NOT(AND(ISBLANK(D238),ISBLANK(C238))),_xludf.XLOOKUP(D238,[2]CODE!$A$4:$A$100,[2]CODE!$E$4:$E$100),"")</f>
        <v/>
      </c>
      <c r="Y238" s="5" t="str">
        <f t="shared" si="25"/>
        <v/>
      </c>
      <c r="Z238" s="5" t="str">
        <f t="shared" si="26"/>
        <v/>
      </c>
      <c r="AA238" s="4">
        <f t="shared" si="27"/>
        <v>0</v>
      </c>
      <c r="AC238" s="2"/>
    </row>
    <row r="239" spans="1:29" ht="15.5">
      <c r="A239" s="13" t="str">
        <f>IF(OR(ISBLANK(C239),ISBLANK(D239),ISBLANK(F239),ISBLANK(G239)),"",COUNTIF($B$5:B239,"JAMBUTU"))</f>
        <v/>
      </c>
      <c r="B239" s="8" t="str">
        <f t="shared" si="28"/>
        <v/>
      </c>
      <c r="C239" s="8"/>
      <c r="D239" s="8"/>
      <c r="E239" s="13"/>
      <c r="F239" s="12"/>
      <c r="G239" s="11"/>
      <c r="H239" s="12"/>
      <c r="I239" s="11"/>
      <c r="J239" s="10">
        <f t="shared" si="22"/>
        <v>0</v>
      </c>
      <c r="K239" s="10">
        <f t="shared" si="23"/>
        <v>0</v>
      </c>
      <c r="L239" s="9" t="str">
        <f t="shared" si="24"/>
        <v/>
      </c>
      <c r="M239" s="8"/>
      <c r="N239" s="8"/>
      <c r="O239" s="8"/>
      <c r="P239" s="8"/>
      <c r="Q239" s="8"/>
      <c r="R239" s="8"/>
      <c r="S239" s="8"/>
      <c r="T239" s="8"/>
      <c r="U239" s="8"/>
      <c r="V239" s="7"/>
      <c r="W239" s="6" t="str">
        <f t="array" ref="W239">IF(NOT(ISBLANK(D239)),_xludf.XLOOKUP(D239,[2]CODE!$A$4:$A$100,[2]CODE!$D$4:$D$100),"")</f>
        <v/>
      </c>
      <c r="X239" s="5" t="str">
        <f t="array" ref="X239">IF(NOT(AND(ISBLANK(D239),ISBLANK(C239))),_xludf.XLOOKUP(D239,[2]CODE!$A$4:$A$100,[2]CODE!$E$4:$E$100),"")</f>
        <v/>
      </c>
      <c r="Y239" s="5" t="str">
        <f t="shared" si="25"/>
        <v/>
      </c>
      <c r="Z239" s="5" t="str">
        <f t="shared" si="26"/>
        <v/>
      </c>
      <c r="AA239" s="4">
        <f t="shared" si="27"/>
        <v>0</v>
      </c>
      <c r="AC239" s="2"/>
    </row>
    <row r="240" spans="1:29" ht="15.5">
      <c r="A240" s="13" t="str">
        <f>IF(OR(ISBLANK(C240),ISBLANK(D240),ISBLANK(F240),ISBLANK(G240)),"",COUNTIF($B$5:B240,"JAMBUTU"))</f>
        <v/>
      </c>
      <c r="B240" s="8" t="str">
        <f t="shared" si="28"/>
        <v/>
      </c>
      <c r="C240" s="8"/>
      <c r="D240" s="8"/>
      <c r="E240" s="13"/>
      <c r="F240" s="12"/>
      <c r="G240" s="11"/>
      <c r="H240" s="12"/>
      <c r="I240" s="11"/>
      <c r="J240" s="10">
        <f t="shared" si="22"/>
        <v>0</v>
      </c>
      <c r="K240" s="10">
        <f t="shared" si="23"/>
        <v>0</v>
      </c>
      <c r="L240" s="9" t="str">
        <f t="shared" si="24"/>
        <v/>
      </c>
      <c r="M240" s="8"/>
      <c r="N240" s="8"/>
      <c r="O240" s="8"/>
      <c r="P240" s="8"/>
      <c r="Q240" s="8"/>
      <c r="R240" s="8"/>
      <c r="S240" s="8"/>
      <c r="T240" s="8"/>
      <c r="U240" s="8"/>
      <c r="V240" s="7"/>
      <c r="W240" s="6" t="str">
        <f t="array" ref="W240">IF(NOT(ISBLANK(D240)),_xludf.XLOOKUP(D240,[2]CODE!$A$4:$A$100,[2]CODE!$D$4:$D$100),"")</f>
        <v/>
      </c>
      <c r="X240" s="5" t="str">
        <f t="array" ref="X240">IF(NOT(AND(ISBLANK(D240),ISBLANK(C240))),_xludf.XLOOKUP(D240,[2]CODE!$A$4:$A$100,[2]CODE!$E$4:$E$100),"")</f>
        <v/>
      </c>
      <c r="Y240" s="5" t="str">
        <f t="shared" si="25"/>
        <v/>
      </c>
      <c r="Z240" s="5" t="str">
        <f t="shared" si="26"/>
        <v/>
      </c>
      <c r="AA240" s="4">
        <f t="shared" si="27"/>
        <v>0</v>
      </c>
      <c r="AC240" s="2"/>
    </row>
    <row r="241" spans="1:29" ht="15.5">
      <c r="A241" s="13" t="str">
        <f>IF(OR(ISBLANK(C241),ISBLANK(D241),ISBLANK(F241),ISBLANK(G241)),"",COUNTIF($B$5:B241,"JAMBUTU"))</f>
        <v/>
      </c>
      <c r="B241" s="8" t="str">
        <f t="shared" si="28"/>
        <v/>
      </c>
      <c r="C241" s="8"/>
      <c r="D241" s="8"/>
      <c r="E241" s="13"/>
      <c r="F241" s="12"/>
      <c r="G241" s="11"/>
      <c r="H241" s="12"/>
      <c r="I241" s="11"/>
      <c r="J241" s="10">
        <f t="shared" si="22"/>
        <v>0</v>
      </c>
      <c r="K241" s="10">
        <f t="shared" si="23"/>
        <v>0</v>
      </c>
      <c r="L241" s="9" t="str">
        <f t="shared" si="24"/>
        <v/>
      </c>
      <c r="M241" s="8"/>
      <c r="N241" s="8"/>
      <c r="O241" s="8"/>
      <c r="P241" s="8"/>
      <c r="Q241" s="8"/>
      <c r="R241" s="8"/>
      <c r="S241" s="8"/>
      <c r="T241" s="8"/>
      <c r="U241" s="8"/>
      <c r="V241" s="7"/>
      <c r="W241" s="6" t="str">
        <f t="array" ref="W241">IF(NOT(ISBLANK(D241)),_xludf.XLOOKUP(D241,[2]CODE!$A$4:$A$100,[2]CODE!$D$4:$D$100),"")</f>
        <v/>
      </c>
      <c r="X241" s="5" t="str">
        <f t="array" ref="X241">IF(NOT(AND(ISBLANK(D241),ISBLANK(C241))),_xludf.XLOOKUP(D241,[2]CODE!$A$4:$A$100,[2]CODE!$E$4:$E$100),"")</f>
        <v/>
      </c>
      <c r="Y241" s="5" t="str">
        <f t="shared" si="25"/>
        <v/>
      </c>
      <c r="Z241" s="5" t="str">
        <f t="shared" si="26"/>
        <v/>
      </c>
      <c r="AA241" s="4">
        <f t="shared" si="27"/>
        <v>0</v>
      </c>
      <c r="AC241" s="2"/>
    </row>
    <row r="242" spans="1:29" ht="15.5">
      <c r="A242" s="13" t="str">
        <f>IF(OR(ISBLANK(C242),ISBLANK(D242),ISBLANK(F242),ISBLANK(G242)),"",COUNTIF($B$5:B242,"JAMBUTU"))</f>
        <v/>
      </c>
      <c r="B242" s="8" t="str">
        <f t="shared" si="28"/>
        <v/>
      </c>
      <c r="C242" s="8"/>
      <c r="D242" s="8"/>
      <c r="E242" s="13"/>
      <c r="F242" s="12"/>
      <c r="G242" s="11"/>
      <c r="H242" s="12"/>
      <c r="I242" s="11"/>
      <c r="J242" s="10">
        <f t="shared" si="22"/>
        <v>0</v>
      </c>
      <c r="K242" s="10">
        <f t="shared" si="23"/>
        <v>0</v>
      </c>
      <c r="L242" s="9" t="str">
        <f t="shared" si="24"/>
        <v/>
      </c>
      <c r="M242" s="8"/>
      <c r="N242" s="8"/>
      <c r="O242" s="8"/>
      <c r="P242" s="8"/>
      <c r="Q242" s="8"/>
      <c r="R242" s="8"/>
      <c r="S242" s="8"/>
      <c r="T242" s="8"/>
      <c r="U242" s="8"/>
      <c r="V242" s="7"/>
      <c r="W242" s="6" t="str">
        <f t="array" ref="W242">IF(NOT(ISBLANK(D242)),_xludf.XLOOKUP(D242,[2]CODE!$A$4:$A$100,[2]CODE!$D$4:$D$100),"")</f>
        <v/>
      </c>
      <c r="X242" s="5" t="str">
        <f t="array" ref="X242">IF(NOT(AND(ISBLANK(D242),ISBLANK(C242))),_xludf.XLOOKUP(D242,[2]CODE!$A$4:$A$100,[2]CODE!$E$4:$E$100),"")</f>
        <v/>
      </c>
      <c r="Y242" s="5" t="str">
        <f t="shared" si="25"/>
        <v/>
      </c>
      <c r="Z242" s="5" t="str">
        <f t="shared" si="26"/>
        <v/>
      </c>
      <c r="AA242" s="4">
        <f t="shared" si="27"/>
        <v>0</v>
      </c>
      <c r="AC242" s="2"/>
    </row>
    <row r="243" spans="1:29" ht="15.5">
      <c r="A243" s="13" t="str">
        <f>IF(OR(ISBLANK(C243),ISBLANK(D243),ISBLANK(F243),ISBLANK(G243)),"",COUNTIF($B$5:B243,"JAMBUTU"))</f>
        <v/>
      </c>
      <c r="B243" s="8" t="str">
        <f t="shared" si="28"/>
        <v/>
      </c>
      <c r="C243" s="8"/>
      <c r="D243" s="8"/>
      <c r="E243" s="13"/>
      <c r="F243" s="12"/>
      <c r="G243" s="11"/>
      <c r="H243" s="12"/>
      <c r="I243" s="11"/>
      <c r="J243" s="10">
        <f t="shared" si="22"/>
        <v>0</v>
      </c>
      <c r="K243" s="10">
        <f t="shared" si="23"/>
        <v>0</v>
      </c>
      <c r="L243" s="9" t="str">
        <f t="shared" si="24"/>
        <v/>
      </c>
      <c r="M243" s="8"/>
      <c r="N243" s="8"/>
      <c r="O243" s="8"/>
      <c r="P243" s="8"/>
      <c r="Q243" s="8"/>
      <c r="R243" s="8"/>
      <c r="S243" s="8"/>
      <c r="T243" s="8"/>
      <c r="U243" s="8"/>
      <c r="V243" s="7"/>
      <c r="W243" s="6" t="str">
        <f t="array" ref="W243">IF(NOT(ISBLANK(D243)),_xludf.XLOOKUP(D243,[2]CODE!$A$4:$A$100,[2]CODE!$D$4:$D$100),"")</f>
        <v/>
      </c>
      <c r="X243" s="5" t="str">
        <f t="array" ref="X243">IF(NOT(AND(ISBLANK(D243),ISBLANK(C243))),_xludf.XLOOKUP(D243,[2]CODE!$A$4:$A$100,[2]CODE!$E$4:$E$100),"")</f>
        <v/>
      </c>
      <c r="Y243" s="5" t="str">
        <f t="shared" si="25"/>
        <v/>
      </c>
      <c r="Z243" s="5" t="str">
        <f t="shared" si="26"/>
        <v/>
      </c>
      <c r="AA243" s="4">
        <f t="shared" si="27"/>
        <v>0</v>
      </c>
      <c r="AC243" s="2"/>
    </row>
    <row r="244" spans="1:29" ht="15.5">
      <c r="A244" s="13" t="str">
        <f>IF(OR(ISBLANK(C244),ISBLANK(D244),ISBLANK(F244),ISBLANK(G244)),"",COUNTIF($B$5:B244,"JAMBUTU"))</f>
        <v/>
      </c>
      <c r="B244" s="8" t="str">
        <f t="shared" si="28"/>
        <v/>
      </c>
      <c r="C244" s="8"/>
      <c r="D244" s="8"/>
      <c r="E244" s="13"/>
      <c r="F244" s="12"/>
      <c r="G244" s="11"/>
      <c r="H244" s="12"/>
      <c r="I244" s="11"/>
      <c r="J244" s="10">
        <f t="shared" si="22"/>
        <v>0</v>
      </c>
      <c r="K244" s="10">
        <f t="shared" si="23"/>
        <v>0</v>
      </c>
      <c r="L244" s="9" t="str">
        <f t="shared" si="24"/>
        <v/>
      </c>
      <c r="M244" s="8"/>
      <c r="N244" s="8"/>
      <c r="O244" s="8"/>
      <c r="P244" s="8"/>
      <c r="Q244" s="8"/>
      <c r="R244" s="8"/>
      <c r="S244" s="8"/>
      <c r="T244" s="8"/>
      <c r="U244" s="8"/>
      <c r="V244" s="7"/>
      <c r="W244" s="6" t="str">
        <f t="array" ref="W244">IF(NOT(ISBLANK(D244)),_xludf.XLOOKUP(D244,[2]CODE!$A$4:$A$100,[2]CODE!$D$4:$D$100),"")</f>
        <v/>
      </c>
      <c r="X244" s="5" t="str">
        <f t="array" ref="X244">IF(NOT(AND(ISBLANK(D244),ISBLANK(C244))),_xludf.XLOOKUP(D244,[2]CODE!$A$4:$A$100,[2]CODE!$E$4:$E$100),"")</f>
        <v/>
      </c>
      <c r="Y244" s="5" t="str">
        <f t="shared" si="25"/>
        <v/>
      </c>
      <c r="Z244" s="5" t="str">
        <f t="shared" si="26"/>
        <v/>
      </c>
      <c r="AA244" s="4">
        <f t="shared" si="27"/>
        <v>0</v>
      </c>
      <c r="AC244" s="2"/>
    </row>
    <row r="245" spans="1:29" ht="15.5">
      <c r="A245" s="13" t="str">
        <f>IF(OR(ISBLANK(C245),ISBLANK(D245),ISBLANK(F245),ISBLANK(G245)),"",COUNTIF($B$5:B245,"JAMBUTU"))</f>
        <v/>
      </c>
      <c r="B245" s="8" t="str">
        <f t="shared" si="28"/>
        <v/>
      </c>
      <c r="C245" s="8"/>
      <c r="D245" s="8"/>
      <c r="E245" s="13"/>
      <c r="F245" s="12"/>
      <c r="G245" s="11"/>
      <c r="H245" s="12"/>
      <c r="I245" s="11"/>
      <c r="J245" s="10">
        <f t="shared" si="22"/>
        <v>0</v>
      </c>
      <c r="K245" s="10">
        <f t="shared" si="23"/>
        <v>0</v>
      </c>
      <c r="L245" s="9" t="str">
        <f t="shared" si="24"/>
        <v/>
      </c>
      <c r="M245" s="8"/>
      <c r="N245" s="8"/>
      <c r="O245" s="8"/>
      <c r="P245" s="8"/>
      <c r="Q245" s="8"/>
      <c r="R245" s="8"/>
      <c r="S245" s="8"/>
      <c r="T245" s="8"/>
      <c r="U245" s="8"/>
      <c r="V245" s="7"/>
      <c r="W245" s="6" t="str">
        <f t="array" ref="W245">IF(NOT(ISBLANK(D245)),_xludf.XLOOKUP(D245,[2]CODE!$A$4:$A$100,[2]CODE!$D$4:$D$100),"")</f>
        <v/>
      </c>
      <c r="X245" s="5" t="str">
        <f t="array" ref="X245">IF(NOT(AND(ISBLANK(D245),ISBLANK(C245))),_xludf.XLOOKUP(D245,[2]CODE!$A$4:$A$100,[2]CODE!$E$4:$E$100),"")</f>
        <v/>
      </c>
      <c r="Y245" s="5" t="str">
        <f t="shared" si="25"/>
        <v/>
      </c>
      <c r="Z245" s="5" t="str">
        <f t="shared" si="26"/>
        <v/>
      </c>
      <c r="AA245" s="4">
        <f t="shared" si="27"/>
        <v>0</v>
      </c>
      <c r="AC245" s="2"/>
    </row>
    <row r="246" spans="1:29" ht="15.5">
      <c r="A246" s="13" t="str">
        <f>IF(OR(ISBLANK(C246),ISBLANK(D246),ISBLANK(F246),ISBLANK(G246)),"",COUNTIF($B$5:B246,"JAMBUTU"))</f>
        <v/>
      </c>
      <c r="B246" s="8" t="str">
        <f t="shared" si="28"/>
        <v/>
      </c>
      <c r="C246" s="8"/>
      <c r="D246" s="8"/>
      <c r="E246" s="13"/>
      <c r="F246" s="12"/>
      <c r="G246" s="11"/>
      <c r="H246" s="12"/>
      <c r="I246" s="11"/>
      <c r="J246" s="10">
        <f t="shared" si="22"/>
        <v>0</v>
      </c>
      <c r="K246" s="10">
        <f t="shared" si="23"/>
        <v>0</v>
      </c>
      <c r="L246" s="9" t="str">
        <f t="shared" si="24"/>
        <v/>
      </c>
      <c r="M246" s="8"/>
      <c r="N246" s="8"/>
      <c r="O246" s="8"/>
      <c r="P246" s="8"/>
      <c r="Q246" s="8"/>
      <c r="R246" s="8"/>
      <c r="S246" s="8"/>
      <c r="T246" s="8"/>
      <c r="U246" s="8"/>
      <c r="V246" s="7"/>
      <c r="W246" s="6" t="str">
        <f t="array" ref="W246">IF(NOT(ISBLANK(D246)),_xludf.XLOOKUP(D246,[2]CODE!$A$4:$A$100,[2]CODE!$D$4:$D$100),"")</f>
        <v/>
      </c>
      <c r="X246" s="5" t="str">
        <f t="array" ref="X246">IF(NOT(AND(ISBLANK(D246),ISBLANK(C246))),_xludf.XLOOKUP(D246,[2]CODE!$A$4:$A$100,[2]CODE!$E$4:$E$100),"")</f>
        <v/>
      </c>
      <c r="Y246" s="5" t="str">
        <f t="shared" si="25"/>
        <v/>
      </c>
      <c r="Z246" s="5" t="str">
        <f t="shared" si="26"/>
        <v/>
      </c>
      <c r="AA246" s="4">
        <f t="shared" si="27"/>
        <v>0</v>
      </c>
      <c r="AC246" s="2"/>
    </row>
    <row r="247" spans="1:29" ht="15.5">
      <c r="A247" s="13" t="str">
        <f>IF(OR(ISBLANK(C247),ISBLANK(D247),ISBLANK(F247),ISBLANK(G247)),"",COUNTIF($B$5:B247,"JAMBUTU"))</f>
        <v/>
      </c>
      <c r="B247" s="8" t="str">
        <f t="shared" si="28"/>
        <v/>
      </c>
      <c r="C247" s="8"/>
      <c r="D247" s="8"/>
      <c r="E247" s="13"/>
      <c r="F247" s="12"/>
      <c r="G247" s="11"/>
      <c r="H247" s="12"/>
      <c r="I247" s="11"/>
      <c r="J247" s="10">
        <f t="shared" si="22"/>
        <v>0</v>
      </c>
      <c r="K247" s="10">
        <f t="shared" si="23"/>
        <v>0</v>
      </c>
      <c r="L247" s="9" t="str">
        <f t="shared" si="24"/>
        <v/>
      </c>
      <c r="M247" s="8"/>
      <c r="N247" s="8"/>
      <c r="O247" s="8"/>
      <c r="P247" s="8"/>
      <c r="Q247" s="8"/>
      <c r="R247" s="8"/>
      <c r="S247" s="8"/>
      <c r="T247" s="8"/>
      <c r="U247" s="8"/>
      <c r="V247" s="7"/>
      <c r="W247" s="6" t="str">
        <f t="array" ref="W247">IF(NOT(ISBLANK(D247)),_xludf.XLOOKUP(D247,[2]CODE!$A$4:$A$100,[2]CODE!$D$4:$D$100),"")</f>
        <v/>
      </c>
      <c r="X247" s="5" t="str">
        <f t="array" ref="X247">IF(NOT(AND(ISBLANK(D247),ISBLANK(C247))),_xludf.XLOOKUP(D247,[2]CODE!$A$4:$A$100,[2]CODE!$E$4:$E$100),"")</f>
        <v/>
      </c>
      <c r="Y247" s="5" t="str">
        <f t="shared" si="25"/>
        <v/>
      </c>
      <c r="Z247" s="5" t="str">
        <f t="shared" si="26"/>
        <v/>
      </c>
      <c r="AA247" s="4">
        <f t="shared" si="27"/>
        <v>0</v>
      </c>
      <c r="AC247" s="2"/>
    </row>
    <row r="248" spans="1:29" ht="15.5">
      <c r="A248" s="13" t="str">
        <f>IF(OR(ISBLANK(C248),ISBLANK(D248),ISBLANK(F248),ISBLANK(G248)),"",COUNTIF($B$5:B248,"JAMBUTU"))</f>
        <v/>
      </c>
      <c r="B248" s="8" t="str">
        <f t="shared" si="28"/>
        <v/>
      </c>
      <c r="C248" s="8"/>
      <c r="D248" s="8"/>
      <c r="E248" s="13"/>
      <c r="F248" s="12"/>
      <c r="G248" s="11"/>
      <c r="H248" s="12"/>
      <c r="I248" s="11"/>
      <c r="J248" s="10">
        <f t="shared" si="22"/>
        <v>0</v>
      </c>
      <c r="K248" s="10">
        <f t="shared" si="23"/>
        <v>0</v>
      </c>
      <c r="L248" s="9" t="str">
        <f t="shared" si="24"/>
        <v/>
      </c>
      <c r="M248" s="8"/>
      <c r="N248" s="8"/>
      <c r="O248" s="8"/>
      <c r="P248" s="8"/>
      <c r="Q248" s="8"/>
      <c r="R248" s="8"/>
      <c r="S248" s="8"/>
      <c r="T248" s="8"/>
      <c r="U248" s="8"/>
      <c r="V248" s="7"/>
      <c r="W248" s="6" t="str">
        <f t="array" ref="W248">IF(NOT(ISBLANK(D248)),_xludf.XLOOKUP(D248,[2]CODE!$A$4:$A$100,[2]CODE!$D$4:$D$100),"")</f>
        <v/>
      </c>
      <c r="X248" s="5" t="str">
        <f t="array" ref="X248">IF(NOT(AND(ISBLANK(D248),ISBLANK(C248))),_xludf.XLOOKUP(D248,[2]CODE!$A$4:$A$100,[2]CODE!$E$4:$E$100),"")</f>
        <v/>
      </c>
      <c r="Y248" s="5" t="str">
        <f t="shared" si="25"/>
        <v/>
      </c>
      <c r="Z248" s="5" t="str">
        <f t="shared" si="26"/>
        <v/>
      </c>
      <c r="AA248" s="4">
        <f t="shared" si="27"/>
        <v>0</v>
      </c>
      <c r="AC248" s="2"/>
    </row>
    <row r="249" spans="1:29" ht="15.5">
      <c r="A249" s="13" t="str">
        <f>IF(OR(ISBLANK(C249),ISBLANK(D249),ISBLANK(F249),ISBLANK(G249)),"",COUNTIF($B$5:B249,"JAMBUTU"))</f>
        <v/>
      </c>
      <c r="B249" s="8" t="str">
        <f t="shared" si="28"/>
        <v/>
      </c>
      <c r="C249" s="8"/>
      <c r="D249" s="8"/>
      <c r="E249" s="13"/>
      <c r="F249" s="12"/>
      <c r="G249" s="11"/>
      <c r="H249" s="12"/>
      <c r="I249" s="11"/>
      <c r="J249" s="10">
        <f t="shared" si="22"/>
        <v>0</v>
      </c>
      <c r="K249" s="10">
        <f t="shared" si="23"/>
        <v>0</v>
      </c>
      <c r="L249" s="9" t="str">
        <f t="shared" si="24"/>
        <v/>
      </c>
      <c r="M249" s="8"/>
      <c r="N249" s="8"/>
      <c r="O249" s="8"/>
      <c r="P249" s="8"/>
      <c r="Q249" s="8"/>
      <c r="R249" s="8"/>
      <c r="S249" s="8"/>
      <c r="T249" s="8"/>
      <c r="U249" s="8"/>
      <c r="V249" s="7"/>
      <c r="W249" s="6" t="str">
        <f t="array" ref="W249">IF(NOT(ISBLANK(D249)),_xludf.XLOOKUP(D249,[2]CODE!$A$4:$A$100,[2]CODE!$D$4:$D$100),"")</f>
        <v/>
      </c>
      <c r="X249" s="5" t="str">
        <f t="array" ref="X249">IF(NOT(AND(ISBLANK(D249),ISBLANK(C249))),_xludf.XLOOKUP(D249,[2]CODE!$A$4:$A$100,[2]CODE!$E$4:$E$100),"")</f>
        <v/>
      </c>
      <c r="Y249" s="5" t="str">
        <f t="shared" si="25"/>
        <v/>
      </c>
      <c r="Z249" s="5" t="str">
        <f t="shared" si="26"/>
        <v/>
      </c>
      <c r="AA249" s="4">
        <f t="shared" si="27"/>
        <v>0</v>
      </c>
      <c r="AC249" s="2"/>
    </row>
    <row r="250" spans="1:29" ht="15.5">
      <c r="A250" s="13" t="str">
        <f>IF(OR(ISBLANK(C250),ISBLANK(D250),ISBLANK(F250),ISBLANK(G250)),"",COUNTIF($B$5:B250,"JAMBUTU"))</f>
        <v/>
      </c>
      <c r="B250" s="8" t="str">
        <f t="shared" si="28"/>
        <v/>
      </c>
      <c r="C250" s="8"/>
      <c r="D250" s="8"/>
      <c r="E250" s="13"/>
      <c r="F250" s="12"/>
      <c r="G250" s="11"/>
      <c r="H250" s="12"/>
      <c r="I250" s="11"/>
      <c r="J250" s="10">
        <f t="shared" si="22"/>
        <v>0</v>
      </c>
      <c r="K250" s="10">
        <f t="shared" si="23"/>
        <v>0</v>
      </c>
      <c r="L250" s="9" t="str">
        <f t="shared" si="24"/>
        <v/>
      </c>
      <c r="M250" s="8"/>
      <c r="N250" s="8"/>
      <c r="O250" s="8"/>
      <c r="P250" s="8"/>
      <c r="Q250" s="8"/>
      <c r="R250" s="8"/>
      <c r="S250" s="8"/>
      <c r="T250" s="8"/>
      <c r="U250" s="8"/>
      <c r="V250" s="7"/>
      <c r="W250" s="6" t="str">
        <f t="array" ref="W250">IF(NOT(ISBLANK(D250)),_xludf.XLOOKUP(D250,[2]CODE!$A$4:$A$100,[2]CODE!$D$4:$D$100),"")</f>
        <v/>
      </c>
      <c r="X250" s="5" t="str">
        <f t="array" ref="X250">IF(NOT(AND(ISBLANK(D250),ISBLANK(C250))),_xludf.XLOOKUP(D250,[2]CODE!$A$4:$A$100,[2]CODE!$E$4:$E$100),"")</f>
        <v/>
      </c>
      <c r="Y250" s="5" t="str">
        <f t="shared" si="25"/>
        <v/>
      </c>
      <c r="Z250" s="5" t="str">
        <f t="shared" si="26"/>
        <v/>
      </c>
      <c r="AA250" s="4">
        <f t="shared" si="27"/>
        <v>0</v>
      </c>
      <c r="AC250" s="2"/>
    </row>
    <row r="251" spans="1:29" ht="15.5">
      <c r="A251" s="13" t="str">
        <f>IF(OR(ISBLANK(C251),ISBLANK(D251),ISBLANK(F251),ISBLANK(G251)),"",COUNTIF($B$5:B251,"JAMBUTU"))</f>
        <v/>
      </c>
      <c r="B251" s="8" t="str">
        <f t="shared" si="28"/>
        <v/>
      </c>
      <c r="C251" s="8"/>
      <c r="D251" s="8"/>
      <c r="E251" s="13"/>
      <c r="F251" s="12"/>
      <c r="G251" s="11"/>
      <c r="H251" s="12"/>
      <c r="I251" s="11"/>
      <c r="J251" s="10">
        <f t="shared" si="22"/>
        <v>0</v>
      </c>
      <c r="K251" s="10">
        <f t="shared" si="23"/>
        <v>0</v>
      </c>
      <c r="L251" s="9" t="str">
        <f t="shared" si="24"/>
        <v/>
      </c>
      <c r="M251" s="8"/>
      <c r="N251" s="8"/>
      <c r="O251" s="8"/>
      <c r="P251" s="8"/>
      <c r="Q251" s="8"/>
      <c r="R251" s="8"/>
      <c r="S251" s="8"/>
      <c r="T251" s="8"/>
      <c r="U251" s="8"/>
      <c r="V251" s="7"/>
      <c r="W251" s="6" t="str">
        <f t="array" ref="W251">IF(NOT(ISBLANK(D251)),_xludf.XLOOKUP(D251,[2]CODE!$A$4:$A$100,[2]CODE!$D$4:$D$100),"")</f>
        <v/>
      </c>
      <c r="X251" s="5" t="str">
        <f t="array" ref="X251">IF(NOT(AND(ISBLANK(D251),ISBLANK(C251))),_xludf.XLOOKUP(D251,[2]CODE!$A$4:$A$100,[2]CODE!$E$4:$E$100),"")</f>
        <v/>
      </c>
      <c r="Y251" s="5" t="str">
        <f t="shared" si="25"/>
        <v/>
      </c>
      <c r="Z251" s="5" t="str">
        <f t="shared" si="26"/>
        <v/>
      </c>
      <c r="AA251" s="4">
        <f t="shared" si="27"/>
        <v>0</v>
      </c>
      <c r="AC251" s="2"/>
    </row>
    <row r="252" spans="1:29" ht="15.5">
      <c r="A252" s="13" t="str">
        <f>IF(OR(ISBLANK(C252),ISBLANK(D252),ISBLANK(F252),ISBLANK(G252)),"",COUNTIF($B$5:B252,"JAMBUTU"))</f>
        <v/>
      </c>
      <c r="B252" s="8" t="str">
        <f t="shared" si="28"/>
        <v/>
      </c>
      <c r="C252" s="8"/>
      <c r="D252" s="8"/>
      <c r="E252" s="13"/>
      <c r="F252" s="12"/>
      <c r="G252" s="11"/>
      <c r="H252" s="12"/>
      <c r="I252" s="11"/>
      <c r="J252" s="10">
        <f t="shared" si="22"/>
        <v>0</v>
      </c>
      <c r="K252" s="10">
        <f t="shared" si="23"/>
        <v>0</v>
      </c>
      <c r="L252" s="9" t="str">
        <f t="shared" si="24"/>
        <v/>
      </c>
      <c r="M252" s="8"/>
      <c r="N252" s="8"/>
      <c r="O252" s="8"/>
      <c r="P252" s="8"/>
      <c r="Q252" s="8"/>
      <c r="R252" s="8"/>
      <c r="S252" s="8"/>
      <c r="T252" s="8"/>
      <c r="U252" s="8"/>
      <c r="V252" s="7"/>
      <c r="W252" s="6" t="str">
        <f t="array" ref="W252">IF(NOT(ISBLANK(D252)),_xludf.XLOOKUP(D252,[2]CODE!$A$4:$A$100,[2]CODE!$D$4:$D$100),"")</f>
        <v/>
      </c>
      <c r="X252" s="5" t="str">
        <f t="array" ref="X252">IF(NOT(AND(ISBLANK(D252),ISBLANK(C252))),_xludf.XLOOKUP(D252,[2]CODE!$A$4:$A$100,[2]CODE!$E$4:$E$100),"")</f>
        <v/>
      </c>
      <c r="Y252" s="5" t="str">
        <f t="shared" si="25"/>
        <v/>
      </c>
      <c r="Z252" s="5" t="str">
        <f t="shared" si="26"/>
        <v/>
      </c>
      <c r="AA252" s="4">
        <f t="shared" si="27"/>
        <v>0</v>
      </c>
      <c r="AC252" s="2"/>
    </row>
    <row r="253" spans="1:29" ht="15.5">
      <c r="A253" s="13" t="str">
        <f>IF(OR(ISBLANK(C253),ISBLANK(D253),ISBLANK(F253),ISBLANK(G253)),"",COUNTIF($B$5:B253,"JAMBUTU"))</f>
        <v/>
      </c>
      <c r="B253" s="8" t="str">
        <f t="shared" si="28"/>
        <v/>
      </c>
      <c r="C253" s="8"/>
      <c r="D253" s="8"/>
      <c r="E253" s="13"/>
      <c r="F253" s="12"/>
      <c r="G253" s="11"/>
      <c r="H253" s="12"/>
      <c r="I253" s="11"/>
      <c r="J253" s="10">
        <f t="shared" si="22"/>
        <v>0</v>
      </c>
      <c r="K253" s="10">
        <f t="shared" si="23"/>
        <v>0</v>
      </c>
      <c r="L253" s="9" t="str">
        <f t="shared" si="24"/>
        <v/>
      </c>
      <c r="M253" s="8"/>
      <c r="N253" s="8"/>
      <c r="O253" s="8"/>
      <c r="P253" s="8"/>
      <c r="Q253" s="8"/>
      <c r="R253" s="8"/>
      <c r="S253" s="8"/>
      <c r="T253" s="8"/>
      <c r="U253" s="8"/>
      <c r="V253" s="7"/>
      <c r="W253" s="6" t="str">
        <f t="array" ref="W253">IF(NOT(ISBLANK(D253)),_xludf.XLOOKUP(D253,[2]CODE!$A$4:$A$100,[2]CODE!$D$4:$D$100),"")</f>
        <v/>
      </c>
      <c r="X253" s="5" t="str">
        <f t="array" ref="X253">IF(NOT(AND(ISBLANK(D253),ISBLANK(C253))),_xludf.XLOOKUP(D253,[2]CODE!$A$4:$A$100,[2]CODE!$E$4:$E$100),"")</f>
        <v/>
      </c>
      <c r="Y253" s="5" t="str">
        <f t="shared" si="25"/>
        <v/>
      </c>
      <c r="Z253" s="5" t="str">
        <f t="shared" si="26"/>
        <v/>
      </c>
      <c r="AA253" s="4">
        <f t="shared" si="27"/>
        <v>0</v>
      </c>
      <c r="AC253" s="2"/>
    </row>
    <row r="254" spans="1:29" ht="15.5">
      <c r="A254" s="13" t="str">
        <f>IF(OR(ISBLANK(C254),ISBLANK(D254),ISBLANK(F254),ISBLANK(G254)),"",COUNTIF($B$5:B254,"JAMBUTU"))</f>
        <v/>
      </c>
      <c r="B254" s="8" t="str">
        <f t="shared" si="28"/>
        <v/>
      </c>
      <c r="C254" s="8"/>
      <c r="D254" s="8"/>
      <c r="E254" s="13"/>
      <c r="F254" s="12"/>
      <c r="G254" s="11"/>
      <c r="H254" s="12"/>
      <c r="I254" s="11"/>
      <c r="J254" s="10">
        <f t="shared" si="22"/>
        <v>0</v>
      </c>
      <c r="K254" s="10">
        <f t="shared" si="23"/>
        <v>0</v>
      </c>
      <c r="L254" s="9" t="str">
        <f t="shared" si="24"/>
        <v/>
      </c>
      <c r="M254" s="8"/>
      <c r="N254" s="8"/>
      <c r="O254" s="8"/>
      <c r="P254" s="8"/>
      <c r="Q254" s="8"/>
      <c r="R254" s="8"/>
      <c r="S254" s="8"/>
      <c r="T254" s="8"/>
      <c r="U254" s="8"/>
      <c r="V254" s="7"/>
      <c r="W254" s="6" t="str">
        <f t="array" ref="W254">IF(NOT(ISBLANK(D254)),_xludf.XLOOKUP(D254,[2]CODE!$A$4:$A$100,[2]CODE!$D$4:$D$100),"")</f>
        <v/>
      </c>
      <c r="X254" s="5" t="str">
        <f t="array" ref="X254">IF(NOT(AND(ISBLANK(D254),ISBLANK(C254))),_xludf.XLOOKUP(D254,[2]CODE!$A$4:$A$100,[2]CODE!$E$4:$E$100),"")</f>
        <v/>
      </c>
      <c r="Y254" s="5" t="str">
        <f t="shared" si="25"/>
        <v/>
      </c>
      <c r="Z254" s="5" t="str">
        <f t="shared" si="26"/>
        <v/>
      </c>
      <c r="AA254" s="4">
        <f t="shared" si="27"/>
        <v>0</v>
      </c>
      <c r="AC254" s="2"/>
    </row>
    <row r="255" spans="1:29" ht="15.5">
      <c r="A255" s="13" t="str">
        <f>IF(OR(ISBLANK(C255),ISBLANK(D255),ISBLANK(F255),ISBLANK(G255)),"",COUNTIF($B$5:B255,"JAMBUTU"))</f>
        <v/>
      </c>
      <c r="B255" s="8" t="str">
        <f t="shared" si="28"/>
        <v/>
      </c>
      <c r="C255" s="8"/>
      <c r="D255" s="8"/>
      <c r="E255" s="13"/>
      <c r="F255" s="12"/>
      <c r="G255" s="11"/>
      <c r="H255" s="12"/>
      <c r="I255" s="11"/>
      <c r="J255" s="10">
        <f t="shared" si="22"/>
        <v>0</v>
      </c>
      <c r="K255" s="10">
        <f t="shared" si="23"/>
        <v>0</v>
      </c>
      <c r="L255" s="9" t="str">
        <f t="shared" si="24"/>
        <v/>
      </c>
      <c r="M255" s="8"/>
      <c r="N255" s="8"/>
      <c r="O255" s="8"/>
      <c r="P255" s="8"/>
      <c r="Q255" s="8"/>
      <c r="R255" s="8"/>
      <c r="S255" s="8"/>
      <c r="T255" s="8"/>
      <c r="U255" s="8"/>
      <c r="V255" s="7"/>
      <c r="W255" s="6" t="str">
        <f t="array" ref="W255">IF(NOT(ISBLANK(D255)),_xludf.XLOOKUP(D255,[2]CODE!$A$4:$A$100,[2]CODE!$D$4:$D$100),"")</f>
        <v/>
      </c>
      <c r="X255" s="5" t="str">
        <f t="array" ref="X255">IF(NOT(AND(ISBLANK(D255),ISBLANK(C255))),_xludf.XLOOKUP(D255,[2]CODE!$A$4:$A$100,[2]CODE!$E$4:$E$100),"")</f>
        <v/>
      </c>
      <c r="Y255" s="5" t="str">
        <f t="shared" si="25"/>
        <v/>
      </c>
      <c r="Z255" s="5" t="str">
        <f t="shared" si="26"/>
        <v/>
      </c>
      <c r="AA255" s="4">
        <f t="shared" si="27"/>
        <v>0</v>
      </c>
      <c r="AC255" s="2"/>
    </row>
    <row r="256" spans="1:29" ht="15.5">
      <c r="A256" s="13" t="str">
        <f>IF(OR(ISBLANK(C256),ISBLANK(D256),ISBLANK(F256),ISBLANK(G256)),"",COUNTIF($B$5:B256,"JAMBUTU"))</f>
        <v/>
      </c>
      <c r="B256" s="8" t="str">
        <f t="shared" si="28"/>
        <v/>
      </c>
      <c r="C256" s="8"/>
      <c r="D256" s="8"/>
      <c r="E256" s="13"/>
      <c r="F256" s="12"/>
      <c r="G256" s="11"/>
      <c r="H256" s="12"/>
      <c r="I256" s="11"/>
      <c r="J256" s="10">
        <f t="shared" si="22"/>
        <v>0</v>
      </c>
      <c r="K256" s="10">
        <f t="shared" si="23"/>
        <v>0</v>
      </c>
      <c r="L256" s="9" t="str">
        <f t="shared" si="24"/>
        <v/>
      </c>
      <c r="M256" s="8"/>
      <c r="N256" s="8"/>
      <c r="O256" s="8"/>
      <c r="P256" s="8"/>
      <c r="Q256" s="8"/>
      <c r="R256" s="8"/>
      <c r="S256" s="8"/>
      <c r="T256" s="8"/>
      <c r="U256" s="8"/>
      <c r="V256" s="7"/>
      <c r="W256" s="6" t="str">
        <f t="array" ref="W256">IF(NOT(ISBLANK(D256)),_xludf.XLOOKUP(D256,[2]CODE!$A$4:$A$100,[2]CODE!$D$4:$D$100),"")</f>
        <v/>
      </c>
      <c r="X256" s="5" t="str">
        <f t="array" ref="X256">IF(NOT(AND(ISBLANK(D256),ISBLANK(C256))),_xludf.XLOOKUP(D256,[2]CODE!$A$4:$A$100,[2]CODE!$E$4:$E$100),"")</f>
        <v/>
      </c>
      <c r="Y256" s="5" t="str">
        <f t="shared" si="25"/>
        <v/>
      </c>
      <c r="Z256" s="5" t="str">
        <f t="shared" si="26"/>
        <v/>
      </c>
      <c r="AA256" s="4">
        <f t="shared" si="27"/>
        <v>0</v>
      </c>
      <c r="AC256" s="2"/>
    </row>
    <row r="257" spans="1:29" ht="15.5">
      <c r="A257" s="13" t="str">
        <f>IF(OR(ISBLANK(C257),ISBLANK(D257),ISBLANK(F257),ISBLANK(G257)),"",COUNTIF($B$5:B257,"JAMBUTU"))</f>
        <v/>
      </c>
      <c r="B257" s="8" t="str">
        <f t="shared" si="28"/>
        <v/>
      </c>
      <c r="C257" s="8"/>
      <c r="D257" s="8"/>
      <c r="E257" s="13"/>
      <c r="F257" s="12"/>
      <c r="G257" s="11"/>
      <c r="H257" s="12"/>
      <c r="I257" s="11"/>
      <c r="J257" s="10">
        <f t="shared" si="22"/>
        <v>0</v>
      </c>
      <c r="K257" s="10">
        <f t="shared" si="23"/>
        <v>0</v>
      </c>
      <c r="L257" s="9" t="str">
        <f t="shared" si="24"/>
        <v/>
      </c>
      <c r="M257" s="8"/>
      <c r="N257" s="8"/>
      <c r="O257" s="8"/>
      <c r="P257" s="8"/>
      <c r="Q257" s="8"/>
      <c r="R257" s="8"/>
      <c r="S257" s="8"/>
      <c r="T257" s="8"/>
      <c r="U257" s="8"/>
      <c r="V257" s="7"/>
      <c r="W257" s="6" t="str">
        <f t="array" ref="W257">IF(NOT(ISBLANK(D257)),_xludf.XLOOKUP(D257,[2]CODE!$A$4:$A$100,[2]CODE!$D$4:$D$100),"")</f>
        <v/>
      </c>
      <c r="X257" s="5" t="str">
        <f t="array" ref="X257">IF(NOT(AND(ISBLANK(D257),ISBLANK(C257))),_xludf.XLOOKUP(D257,[2]CODE!$A$4:$A$100,[2]CODE!$E$4:$E$100),"")</f>
        <v/>
      </c>
      <c r="Y257" s="5" t="str">
        <f t="shared" si="25"/>
        <v/>
      </c>
      <c r="Z257" s="5" t="str">
        <f t="shared" si="26"/>
        <v/>
      </c>
      <c r="AA257" s="4">
        <f t="shared" si="27"/>
        <v>0</v>
      </c>
      <c r="AC257" s="2"/>
    </row>
    <row r="258" spans="1:29" ht="15.5">
      <c r="A258" s="13" t="str">
        <f>IF(OR(ISBLANK(C258),ISBLANK(D258),ISBLANK(F258),ISBLANK(G258)),"",COUNTIF($B$5:B258,"JAMBUTU"))</f>
        <v/>
      </c>
      <c r="B258" s="8" t="str">
        <f t="shared" si="28"/>
        <v/>
      </c>
      <c r="C258" s="8"/>
      <c r="D258" s="8"/>
      <c r="E258" s="13"/>
      <c r="F258" s="12"/>
      <c r="G258" s="11"/>
      <c r="H258" s="12"/>
      <c r="I258" s="11"/>
      <c r="J258" s="10">
        <f t="shared" si="22"/>
        <v>0</v>
      </c>
      <c r="K258" s="10">
        <f t="shared" si="23"/>
        <v>0</v>
      </c>
      <c r="L258" s="9" t="str">
        <f t="shared" si="24"/>
        <v/>
      </c>
      <c r="M258" s="8"/>
      <c r="N258" s="8"/>
      <c r="O258" s="8"/>
      <c r="P258" s="8"/>
      <c r="Q258" s="8"/>
      <c r="R258" s="8"/>
      <c r="S258" s="8"/>
      <c r="T258" s="8"/>
      <c r="U258" s="8"/>
      <c r="V258" s="7"/>
      <c r="W258" s="6" t="str">
        <f t="array" ref="W258">IF(NOT(ISBLANK(D258)),_xludf.XLOOKUP(D258,[2]CODE!$A$4:$A$100,[2]CODE!$D$4:$D$100),"")</f>
        <v/>
      </c>
      <c r="X258" s="5" t="str">
        <f t="array" ref="X258">IF(NOT(AND(ISBLANK(D258),ISBLANK(C258))),_xludf.XLOOKUP(D258,[2]CODE!$A$4:$A$100,[2]CODE!$E$4:$E$100),"")</f>
        <v/>
      </c>
      <c r="Y258" s="5" t="str">
        <f t="shared" si="25"/>
        <v/>
      </c>
      <c r="Z258" s="5" t="str">
        <f t="shared" si="26"/>
        <v/>
      </c>
      <c r="AA258" s="4">
        <f t="shared" si="27"/>
        <v>0</v>
      </c>
      <c r="AC258" s="2"/>
    </row>
    <row r="259" spans="1:29" ht="15.5">
      <c r="A259" s="13" t="str">
        <f>IF(OR(ISBLANK(C259),ISBLANK(D259),ISBLANK(F259),ISBLANK(G259)),"",COUNTIF($B$5:B259,"JAMBUTU"))</f>
        <v/>
      </c>
      <c r="B259" s="8" t="str">
        <f t="shared" si="28"/>
        <v/>
      </c>
      <c r="C259" s="8"/>
      <c r="D259" s="8"/>
      <c r="E259" s="13"/>
      <c r="F259" s="12"/>
      <c r="G259" s="11"/>
      <c r="H259" s="12"/>
      <c r="I259" s="11"/>
      <c r="J259" s="10">
        <f t="shared" si="22"/>
        <v>0</v>
      </c>
      <c r="K259" s="10">
        <f t="shared" si="23"/>
        <v>0</v>
      </c>
      <c r="L259" s="9" t="str">
        <f t="shared" si="24"/>
        <v/>
      </c>
      <c r="M259" s="8"/>
      <c r="N259" s="8"/>
      <c r="O259" s="8"/>
      <c r="P259" s="8"/>
      <c r="Q259" s="8"/>
      <c r="R259" s="8"/>
      <c r="S259" s="8"/>
      <c r="T259" s="8"/>
      <c r="U259" s="8"/>
      <c r="V259" s="7"/>
      <c r="W259" s="6" t="str">
        <f t="array" ref="W259">IF(NOT(ISBLANK(D259)),_xludf.XLOOKUP(D259,[2]CODE!$A$4:$A$100,[2]CODE!$D$4:$D$100),"")</f>
        <v/>
      </c>
      <c r="X259" s="5" t="str">
        <f t="array" ref="X259">IF(NOT(AND(ISBLANK(D259),ISBLANK(C259))),_xludf.XLOOKUP(D259,[2]CODE!$A$4:$A$100,[2]CODE!$E$4:$E$100),"")</f>
        <v/>
      </c>
      <c r="Y259" s="5" t="str">
        <f t="shared" si="25"/>
        <v/>
      </c>
      <c r="Z259" s="5" t="str">
        <f t="shared" si="26"/>
        <v/>
      </c>
      <c r="AA259" s="4">
        <f t="shared" si="27"/>
        <v>0</v>
      </c>
      <c r="AC259" s="2"/>
    </row>
    <row r="260" spans="1:29" ht="15.5">
      <c r="A260" s="13" t="str">
        <f>IF(OR(ISBLANK(C260),ISBLANK(D260),ISBLANK(F260),ISBLANK(G260)),"",COUNTIF($B$5:B260,"JAMBUTU"))</f>
        <v/>
      </c>
      <c r="B260" s="8" t="str">
        <f t="shared" si="28"/>
        <v/>
      </c>
      <c r="C260" s="8"/>
      <c r="D260" s="8"/>
      <c r="E260" s="13"/>
      <c r="F260" s="12"/>
      <c r="G260" s="11"/>
      <c r="H260" s="12"/>
      <c r="I260" s="11"/>
      <c r="J260" s="10">
        <f t="shared" si="22"/>
        <v>0</v>
      </c>
      <c r="K260" s="10">
        <f t="shared" si="23"/>
        <v>0</v>
      </c>
      <c r="L260" s="9" t="str">
        <f t="shared" si="24"/>
        <v/>
      </c>
      <c r="M260" s="8"/>
      <c r="N260" s="8"/>
      <c r="O260" s="8"/>
      <c r="P260" s="8"/>
      <c r="Q260" s="8"/>
      <c r="R260" s="8"/>
      <c r="S260" s="8"/>
      <c r="T260" s="8"/>
      <c r="U260" s="8"/>
      <c r="V260" s="7"/>
      <c r="W260" s="6" t="str">
        <f t="array" ref="W260">IF(NOT(ISBLANK(D260)),_xludf.XLOOKUP(D260,[2]CODE!$A$4:$A$100,[2]CODE!$D$4:$D$100),"")</f>
        <v/>
      </c>
      <c r="X260" s="5" t="str">
        <f t="array" ref="X260">IF(NOT(AND(ISBLANK(D260),ISBLANK(C260))),_xludf.XLOOKUP(D260,[2]CODE!$A$4:$A$100,[2]CODE!$E$4:$E$100),"")</f>
        <v/>
      </c>
      <c r="Y260" s="5" t="str">
        <f t="shared" si="25"/>
        <v/>
      </c>
      <c r="Z260" s="5" t="str">
        <f t="shared" si="26"/>
        <v/>
      </c>
      <c r="AA260" s="4">
        <f t="shared" si="27"/>
        <v>0</v>
      </c>
      <c r="AC260" s="2"/>
    </row>
    <row r="261" spans="1:29" ht="15.5">
      <c r="A261" s="13" t="str">
        <f>IF(OR(ISBLANK(C261),ISBLANK(D261),ISBLANK(F261),ISBLANK(G261)),"",COUNTIF($B$5:B261,"JAMBUTU"))</f>
        <v/>
      </c>
      <c r="B261" s="8" t="str">
        <f t="shared" si="28"/>
        <v/>
      </c>
      <c r="C261" s="8"/>
      <c r="D261" s="8"/>
      <c r="E261" s="13"/>
      <c r="F261" s="12"/>
      <c r="G261" s="11"/>
      <c r="H261" s="12"/>
      <c r="I261" s="11"/>
      <c r="J261" s="10">
        <f t="shared" ref="J261:J324" si="29">DATE(YEAR(F261),MONTH(F261),DAY(F261))+TIME(HOUR(G261),MINUTE(G261), SECOND(G261))</f>
        <v>0</v>
      </c>
      <c r="K261" s="10">
        <f t="shared" ref="K261:K324" si="30">DATE(YEAR(H261),MONTH(H261),DAY(H261))+TIME(HOUR(I261),MINUTE(I261), SECOND(I261))</f>
        <v>0</v>
      </c>
      <c r="L261" s="9" t="str">
        <f t="shared" ref="L261:L324" si="31">IF(ISBLANK(I261),"",IF(J261&gt;K261,(K261+1)-J261,K261-J261))</f>
        <v/>
      </c>
      <c r="M261" s="8"/>
      <c r="N261" s="8"/>
      <c r="O261" s="8"/>
      <c r="P261" s="8"/>
      <c r="Q261" s="8"/>
      <c r="R261" s="8"/>
      <c r="S261" s="8"/>
      <c r="T261" s="8"/>
      <c r="U261" s="8"/>
      <c r="V261" s="7"/>
      <c r="W261" s="6" t="str">
        <f t="array" ref="W261">IF(NOT(ISBLANK(D261)),_xludf.XLOOKUP(D261,[2]CODE!$A$4:$A$100,[2]CODE!$D$4:$D$100),"")</f>
        <v/>
      </c>
      <c r="X261" s="5" t="str">
        <f t="array" ref="X261">IF(NOT(AND(ISBLANK(D261),ISBLANK(C261))),_xludf.XLOOKUP(D261,[2]CODE!$A$4:$A$100,[2]CODE!$E$4:$E$100),"")</f>
        <v/>
      </c>
      <c r="Y261" s="5" t="str">
        <f t="shared" ref="Y261:Y324" si="32">LEFT(C261,4)</f>
        <v/>
      </c>
      <c r="Z261" s="5" t="str">
        <f t="shared" ref="Z261:Z324" si="33">IF(NOT(ISBLANK(C261)), IF(K261&gt;J261,"YES","NO"),"")</f>
        <v/>
      </c>
      <c r="AA261" s="4">
        <f t="shared" ref="AA261:AA324" si="34">IF(AND(F261=H261,Z261="NO"),1+H261,H261)</f>
        <v>0</v>
      </c>
      <c r="AC261" s="2"/>
    </row>
    <row r="262" spans="1:29" ht="15.5">
      <c r="A262" s="13" t="str">
        <f>IF(OR(ISBLANK(C262),ISBLANK(D262),ISBLANK(F262),ISBLANK(G262)),"",COUNTIF($B$5:B262,"JAMBUTU"))</f>
        <v/>
      </c>
      <c r="B262" s="8" t="str">
        <f t="shared" si="28"/>
        <v/>
      </c>
      <c r="C262" s="8"/>
      <c r="D262" s="8"/>
      <c r="E262" s="13"/>
      <c r="F262" s="12"/>
      <c r="G262" s="11"/>
      <c r="H262" s="12"/>
      <c r="I262" s="11"/>
      <c r="J262" s="10">
        <f t="shared" si="29"/>
        <v>0</v>
      </c>
      <c r="K262" s="10">
        <f t="shared" si="30"/>
        <v>0</v>
      </c>
      <c r="L262" s="9" t="str">
        <f t="shared" si="31"/>
        <v/>
      </c>
      <c r="M262" s="8"/>
      <c r="N262" s="8"/>
      <c r="O262" s="8"/>
      <c r="P262" s="8"/>
      <c r="Q262" s="8"/>
      <c r="R262" s="8"/>
      <c r="S262" s="8"/>
      <c r="T262" s="8"/>
      <c r="U262" s="8"/>
      <c r="V262" s="7"/>
      <c r="W262" s="6" t="str">
        <f t="array" ref="W262">IF(NOT(ISBLANK(D262)),_xludf.XLOOKUP(D262,[2]CODE!$A$4:$A$100,[2]CODE!$D$4:$D$100),"")</f>
        <v/>
      </c>
      <c r="X262" s="5" t="str">
        <f t="array" ref="X262">IF(NOT(AND(ISBLANK(D262),ISBLANK(C262))),_xludf.XLOOKUP(D262,[2]CODE!$A$4:$A$100,[2]CODE!$E$4:$E$100),"")</f>
        <v/>
      </c>
      <c r="Y262" s="5" t="str">
        <f t="shared" si="32"/>
        <v/>
      </c>
      <c r="Z262" s="5" t="str">
        <f t="shared" si="33"/>
        <v/>
      </c>
      <c r="AA262" s="4">
        <f t="shared" si="34"/>
        <v>0</v>
      </c>
      <c r="AC262" s="2"/>
    </row>
    <row r="263" spans="1:29" ht="15.5">
      <c r="A263" s="13" t="str">
        <f>IF(OR(ISBLANK(C263),ISBLANK(D263),ISBLANK(F263),ISBLANK(G263)),"",COUNTIF($B$5:B263,"JAMBUTU"))</f>
        <v/>
      </c>
      <c r="B263" s="8" t="str">
        <f t="shared" si="28"/>
        <v/>
      </c>
      <c r="C263" s="8"/>
      <c r="D263" s="8"/>
      <c r="E263" s="13"/>
      <c r="F263" s="12"/>
      <c r="G263" s="11"/>
      <c r="H263" s="12"/>
      <c r="I263" s="11"/>
      <c r="J263" s="10">
        <f t="shared" si="29"/>
        <v>0</v>
      </c>
      <c r="K263" s="10">
        <f t="shared" si="30"/>
        <v>0</v>
      </c>
      <c r="L263" s="9" t="str">
        <f t="shared" si="31"/>
        <v/>
      </c>
      <c r="M263" s="8"/>
      <c r="N263" s="8"/>
      <c r="O263" s="8"/>
      <c r="P263" s="8"/>
      <c r="Q263" s="8"/>
      <c r="R263" s="8"/>
      <c r="S263" s="8"/>
      <c r="T263" s="8"/>
      <c r="U263" s="8"/>
      <c r="V263" s="7"/>
      <c r="W263" s="6" t="str">
        <f t="array" ref="W263">IF(NOT(ISBLANK(D263)),_xludf.XLOOKUP(D263,[2]CODE!$A$4:$A$100,[2]CODE!$D$4:$D$100),"")</f>
        <v/>
      </c>
      <c r="X263" s="5" t="str">
        <f t="array" ref="X263">IF(NOT(AND(ISBLANK(D263),ISBLANK(C263))),_xludf.XLOOKUP(D263,[2]CODE!$A$4:$A$100,[2]CODE!$E$4:$E$100),"")</f>
        <v/>
      </c>
      <c r="Y263" s="5" t="str">
        <f t="shared" si="32"/>
        <v/>
      </c>
      <c r="Z263" s="5" t="str">
        <f t="shared" si="33"/>
        <v/>
      </c>
      <c r="AA263" s="4">
        <f t="shared" si="34"/>
        <v>0</v>
      </c>
      <c r="AC263" s="2"/>
    </row>
    <row r="264" spans="1:29" ht="15.5">
      <c r="A264" s="13" t="str">
        <f>IF(OR(ISBLANK(C264),ISBLANK(D264),ISBLANK(F264),ISBLANK(G264)),"",COUNTIF($B$5:B264,"JAMBUTU"))</f>
        <v/>
      </c>
      <c r="B264" s="8" t="str">
        <f t="shared" si="28"/>
        <v/>
      </c>
      <c r="C264" s="8"/>
      <c r="D264" s="8"/>
      <c r="E264" s="13"/>
      <c r="F264" s="12"/>
      <c r="G264" s="11"/>
      <c r="H264" s="12"/>
      <c r="I264" s="11"/>
      <c r="J264" s="10">
        <f t="shared" si="29"/>
        <v>0</v>
      </c>
      <c r="K264" s="10">
        <f t="shared" si="30"/>
        <v>0</v>
      </c>
      <c r="L264" s="9" t="str">
        <f t="shared" si="31"/>
        <v/>
      </c>
      <c r="M264" s="8"/>
      <c r="N264" s="8"/>
      <c r="O264" s="8"/>
      <c r="P264" s="8"/>
      <c r="Q264" s="8"/>
      <c r="R264" s="8"/>
      <c r="S264" s="8"/>
      <c r="T264" s="8"/>
      <c r="U264" s="8"/>
      <c r="V264" s="7"/>
      <c r="W264" s="6" t="str">
        <f t="array" ref="W264">IF(NOT(ISBLANK(D264)),_xludf.XLOOKUP(D264,[2]CODE!$A$4:$A$100,[2]CODE!$D$4:$D$100),"")</f>
        <v/>
      </c>
      <c r="X264" s="5" t="str">
        <f t="array" ref="X264">IF(NOT(AND(ISBLANK(D264),ISBLANK(C264))),_xludf.XLOOKUP(D264,[2]CODE!$A$4:$A$100,[2]CODE!$E$4:$E$100),"")</f>
        <v/>
      </c>
      <c r="Y264" s="5" t="str">
        <f t="shared" si="32"/>
        <v/>
      </c>
      <c r="Z264" s="5" t="str">
        <f t="shared" si="33"/>
        <v/>
      </c>
      <c r="AA264" s="4">
        <f t="shared" si="34"/>
        <v>0</v>
      </c>
      <c r="AC264" s="2"/>
    </row>
    <row r="265" spans="1:29" ht="15.5">
      <c r="A265" s="13" t="str">
        <f>IF(OR(ISBLANK(C265),ISBLANK(D265),ISBLANK(F265),ISBLANK(G265)),"",COUNTIF($B$5:B265,"JAMBUTU"))</f>
        <v/>
      </c>
      <c r="B265" s="8" t="str">
        <f t="shared" si="28"/>
        <v/>
      </c>
      <c r="C265" s="8"/>
      <c r="D265" s="8"/>
      <c r="E265" s="13"/>
      <c r="F265" s="12"/>
      <c r="G265" s="11"/>
      <c r="H265" s="12"/>
      <c r="I265" s="11"/>
      <c r="J265" s="10">
        <f t="shared" si="29"/>
        <v>0</v>
      </c>
      <c r="K265" s="10">
        <f t="shared" si="30"/>
        <v>0</v>
      </c>
      <c r="L265" s="9" t="str">
        <f t="shared" si="31"/>
        <v/>
      </c>
      <c r="M265" s="8"/>
      <c r="N265" s="8"/>
      <c r="O265" s="8"/>
      <c r="P265" s="8"/>
      <c r="Q265" s="8"/>
      <c r="R265" s="8"/>
      <c r="S265" s="8"/>
      <c r="T265" s="8"/>
      <c r="U265" s="8"/>
      <c r="V265" s="7"/>
      <c r="W265" s="6" t="str">
        <f t="array" ref="W265">IF(NOT(ISBLANK(D265)),_xludf.XLOOKUP(D265,[2]CODE!$A$4:$A$100,[2]CODE!$D$4:$D$100),"")</f>
        <v/>
      </c>
      <c r="X265" s="5" t="str">
        <f t="array" ref="X265">IF(NOT(AND(ISBLANK(D265),ISBLANK(C265))),_xludf.XLOOKUP(D265,[2]CODE!$A$4:$A$100,[2]CODE!$E$4:$E$100),"")</f>
        <v/>
      </c>
      <c r="Y265" s="5" t="str">
        <f t="shared" si="32"/>
        <v/>
      </c>
      <c r="Z265" s="5" t="str">
        <f t="shared" si="33"/>
        <v/>
      </c>
      <c r="AA265" s="4">
        <f t="shared" si="34"/>
        <v>0</v>
      </c>
      <c r="AC265" s="2"/>
    </row>
    <row r="266" spans="1:29" ht="15.5">
      <c r="A266" s="13" t="str">
        <f>IF(OR(ISBLANK(C266),ISBLANK(D266),ISBLANK(F266),ISBLANK(G266)),"",COUNTIF($B$5:B266,"JAMBUTU"))</f>
        <v/>
      </c>
      <c r="B266" s="8" t="str">
        <f t="shared" si="28"/>
        <v/>
      </c>
      <c r="C266" s="8"/>
      <c r="D266" s="8"/>
      <c r="E266" s="13"/>
      <c r="F266" s="12"/>
      <c r="G266" s="11"/>
      <c r="H266" s="12"/>
      <c r="I266" s="11"/>
      <c r="J266" s="10">
        <f t="shared" si="29"/>
        <v>0</v>
      </c>
      <c r="K266" s="10">
        <f t="shared" si="30"/>
        <v>0</v>
      </c>
      <c r="L266" s="9" t="str">
        <f t="shared" si="31"/>
        <v/>
      </c>
      <c r="M266" s="8"/>
      <c r="N266" s="8"/>
      <c r="O266" s="8"/>
      <c r="P266" s="8"/>
      <c r="Q266" s="8"/>
      <c r="R266" s="8"/>
      <c r="S266" s="8"/>
      <c r="T266" s="8"/>
      <c r="U266" s="8"/>
      <c r="V266" s="7"/>
      <c r="W266" s="6" t="str">
        <f t="array" ref="W266">IF(NOT(ISBLANK(D266)),_xludf.XLOOKUP(D266,[2]CODE!$A$4:$A$100,[2]CODE!$D$4:$D$100),"")</f>
        <v/>
      </c>
      <c r="X266" s="5" t="str">
        <f t="array" ref="X266">IF(NOT(AND(ISBLANK(D266),ISBLANK(C266))),_xludf.XLOOKUP(D266,[2]CODE!$A$4:$A$100,[2]CODE!$E$4:$E$100),"")</f>
        <v/>
      </c>
      <c r="Y266" s="5" t="str">
        <f t="shared" si="32"/>
        <v/>
      </c>
      <c r="Z266" s="5" t="str">
        <f t="shared" si="33"/>
        <v/>
      </c>
      <c r="AA266" s="4">
        <f t="shared" si="34"/>
        <v>0</v>
      </c>
      <c r="AC266" s="2"/>
    </row>
    <row r="267" spans="1:29" ht="15.5">
      <c r="A267" s="13" t="str">
        <f>IF(OR(ISBLANK(C267),ISBLANK(D267),ISBLANK(F267),ISBLANK(G267)),"",COUNTIF($B$5:B267,"JAMBUTU"))</f>
        <v/>
      </c>
      <c r="B267" s="8" t="str">
        <f t="shared" si="28"/>
        <v/>
      </c>
      <c r="C267" s="8"/>
      <c r="D267" s="8"/>
      <c r="E267" s="13"/>
      <c r="F267" s="12"/>
      <c r="G267" s="11"/>
      <c r="H267" s="12"/>
      <c r="I267" s="11"/>
      <c r="J267" s="10">
        <f t="shared" si="29"/>
        <v>0</v>
      </c>
      <c r="K267" s="10">
        <f t="shared" si="30"/>
        <v>0</v>
      </c>
      <c r="L267" s="9" t="str">
        <f t="shared" si="31"/>
        <v/>
      </c>
      <c r="M267" s="8"/>
      <c r="N267" s="8"/>
      <c r="O267" s="8"/>
      <c r="P267" s="8"/>
      <c r="Q267" s="8"/>
      <c r="R267" s="8"/>
      <c r="S267" s="8"/>
      <c r="T267" s="8"/>
      <c r="U267" s="8"/>
      <c r="V267" s="7"/>
      <c r="W267" s="6" t="str">
        <f t="array" ref="W267">IF(NOT(ISBLANK(D267)),_xludf.XLOOKUP(D267,[2]CODE!$A$4:$A$100,[2]CODE!$D$4:$D$100),"")</f>
        <v/>
      </c>
      <c r="X267" s="5" t="str">
        <f t="array" ref="X267">IF(NOT(AND(ISBLANK(D267),ISBLANK(C267))),_xludf.XLOOKUP(D267,[2]CODE!$A$4:$A$100,[2]CODE!$E$4:$E$100),"")</f>
        <v/>
      </c>
      <c r="Y267" s="5" t="str">
        <f t="shared" si="32"/>
        <v/>
      </c>
      <c r="Z267" s="5" t="str">
        <f t="shared" si="33"/>
        <v/>
      </c>
      <c r="AA267" s="4">
        <f t="shared" si="34"/>
        <v>0</v>
      </c>
      <c r="AC267" s="2"/>
    </row>
    <row r="268" spans="1:29" ht="15.5">
      <c r="A268" s="13" t="str">
        <f>IF(OR(ISBLANK(C268),ISBLANK(D268),ISBLANK(F268),ISBLANK(G268)),"",COUNTIF($B$5:B268,"JAMBUTU"))</f>
        <v/>
      </c>
      <c r="B268" s="8" t="str">
        <f t="shared" si="28"/>
        <v/>
      </c>
      <c r="C268" s="8"/>
      <c r="D268" s="8"/>
      <c r="E268" s="13"/>
      <c r="F268" s="12"/>
      <c r="G268" s="11"/>
      <c r="H268" s="12"/>
      <c r="I268" s="11"/>
      <c r="J268" s="10">
        <f t="shared" si="29"/>
        <v>0</v>
      </c>
      <c r="K268" s="10">
        <f t="shared" si="30"/>
        <v>0</v>
      </c>
      <c r="L268" s="9" t="str">
        <f t="shared" si="31"/>
        <v/>
      </c>
      <c r="M268" s="8"/>
      <c r="N268" s="8"/>
      <c r="O268" s="8"/>
      <c r="P268" s="8"/>
      <c r="Q268" s="8"/>
      <c r="R268" s="8"/>
      <c r="S268" s="8"/>
      <c r="T268" s="8"/>
      <c r="U268" s="8"/>
      <c r="V268" s="7"/>
      <c r="W268" s="6" t="str">
        <f t="array" ref="W268">IF(NOT(ISBLANK(D268)),_xludf.XLOOKUP(D268,[2]CODE!$A$4:$A$100,[2]CODE!$D$4:$D$100),"")</f>
        <v/>
      </c>
      <c r="X268" s="5" t="str">
        <f t="array" ref="X268">IF(NOT(AND(ISBLANK(D268),ISBLANK(C268))),_xludf.XLOOKUP(D268,[2]CODE!$A$4:$A$100,[2]CODE!$E$4:$E$100),"")</f>
        <v/>
      </c>
      <c r="Y268" s="5" t="str">
        <f t="shared" si="32"/>
        <v/>
      </c>
      <c r="Z268" s="5" t="str">
        <f t="shared" si="33"/>
        <v/>
      </c>
      <c r="AA268" s="4">
        <f t="shared" si="34"/>
        <v>0</v>
      </c>
      <c r="AC268" s="2"/>
    </row>
    <row r="269" spans="1:29" ht="15.5">
      <c r="A269" s="13" t="str">
        <f>IF(OR(ISBLANK(C269),ISBLANK(D269),ISBLANK(F269),ISBLANK(G269)),"",COUNTIF($B$5:B269,"JAMBUTU"))</f>
        <v/>
      </c>
      <c r="B269" s="8" t="str">
        <f t="shared" si="28"/>
        <v/>
      </c>
      <c r="C269" s="8"/>
      <c r="D269" s="8"/>
      <c r="E269" s="13"/>
      <c r="F269" s="12"/>
      <c r="G269" s="11"/>
      <c r="H269" s="12"/>
      <c r="I269" s="11"/>
      <c r="J269" s="10">
        <f t="shared" si="29"/>
        <v>0</v>
      </c>
      <c r="K269" s="10">
        <f t="shared" si="30"/>
        <v>0</v>
      </c>
      <c r="L269" s="9" t="str">
        <f t="shared" si="31"/>
        <v/>
      </c>
      <c r="M269" s="8"/>
      <c r="N269" s="8"/>
      <c r="O269" s="8"/>
      <c r="P269" s="8"/>
      <c r="Q269" s="8"/>
      <c r="R269" s="8"/>
      <c r="S269" s="8"/>
      <c r="T269" s="8"/>
      <c r="U269" s="8"/>
      <c r="V269" s="7"/>
      <c r="W269" s="6" t="str">
        <f t="array" ref="W269">IF(NOT(ISBLANK(D269)),_xludf.XLOOKUP(D269,[2]CODE!$A$4:$A$100,[2]CODE!$D$4:$D$100),"")</f>
        <v/>
      </c>
      <c r="X269" s="5" t="str">
        <f t="array" ref="X269">IF(NOT(AND(ISBLANK(D269),ISBLANK(C269))),_xludf.XLOOKUP(D269,[2]CODE!$A$4:$A$100,[2]CODE!$E$4:$E$100),"")</f>
        <v/>
      </c>
      <c r="Y269" s="5" t="str">
        <f t="shared" si="32"/>
        <v/>
      </c>
      <c r="Z269" s="5" t="str">
        <f t="shared" si="33"/>
        <v/>
      </c>
      <c r="AA269" s="4">
        <f t="shared" si="34"/>
        <v>0</v>
      </c>
      <c r="AC269" s="2"/>
    </row>
    <row r="270" spans="1:29" ht="15.5">
      <c r="A270" s="13" t="str">
        <f>IF(OR(ISBLANK(C270),ISBLANK(D270),ISBLANK(F270),ISBLANK(G270)),"",COUNTIF($B$5:B270,"JAMBUTU"))</f>
        <v/>
      </c>
      <c r="B270" s="8" t="str">
        <f t="shared" si="28"/>
        <v/>
      </c>
      <c r="C270" s="8"/>
      <c r="D270" s="8"/>
      <c r="E270" s="13"/>
      <c r="F270" s="12"/>
      <c r="G270" s="11"/>
      <c r="H270" s="12"/>
      <c r="I270" s="11"/>
      <c r="J270" s="10">
        <f t="shared" si="29"/>
        <v>0</v>
      </c>
      <c r="K270" s="10">
        <f t="shared" si="30"/>
        <v>0</v>
      </c>
      <c r="L270" s="9" t="str">
        <f t="shared" si="31"/>
        <v/>
      </c>
      <c r="M270" s="8"/>
      <c r="N270" s="8"/>
      <c r="O270" s="8"/>
      <c r="P270" s="8"/>
      <c r="Q270" s="8"/>
      <c r="R270" s="8"/>
      <c r="S270" s="8"/>
      <c r="T270" s="8"/>
      <c r="U270" s="8"/>
      <c r="V270" s="7"/>
      <c r="W270" s="6" t="str">
        <f t="array" ref="W270">IF(NOT(ISBLANK(D270)),_xludf.XLOOKUP(D270,[2]CODE!$A$4:$A$100,[2]CODE!$D$4:$D$100),"")</f>
        <v/>
      </c>
      <c r="X270" s="5" t="str">
        <f t="array" ref="X270">IF(NOT(AND(ISBLANK(D270),ISBLANK(C270))),_xludf.XLOOKUP(D270,[2]CODE!$A$4:$A$100,[2]CODE!$E$4:$E$100),"")</f>
        <v/>
      </c>
      <c r="Y270" s="5" t="str">
        <f t="shared" si="32"/>
        <v/>
      </c>
      <c r="Z270" s="5" t="str">
        <f t="shared" si="33"/>
        <v/>
      </c>
      <c r="AA270" s="4">
        <f t="shared" si="34"/>
        <v>0</v>
      </c>
      <c r="AC270" s="2"/>
    </row>
    <row r="271" spans="1:29" ht="15.5">
      <c r="A271" s="13" t="str">
        <f>IF(OR(ISBLANK(C271),ISBLANK(D271),ISBLANK(F271),ISBLANK(G271)),"",COUNTIF($B$5:B271,"JAMBUTU"))</f>
        <v/>
      </c>
      <c r="B271" s="8" t="str">
        <f t="shared" si="28"/>
        <v/>
      </c>
      <c r="C271" s="8"/>
      <c r="D271" s="8"/>
      <c r="E271" s="13"/>
      <c r="F271" s="12"/>
      <c r="G271" s="11"/>
      <c r="H271" s="12"/>
      <c r="I271" s="11"/>
      <c r="J271" s="10">
        <f t="shared" si="29"/>
        <v>0</v>
      </c>
      <c r="K271" s="10">
        <f t="shared" si="30"/>
        <v>0</v>
      </c>
      <c r="L271" s="9" t="str">
        <f t="shared" si="31"/>
        <v/>
      </c>
      <c r="M271" s="8"/>
      <c r="N271" s="8"/>
      <c r="O271" s="8"/>
      <c r="P271" s="8"/>
      <c r="Q271" s="8"/>
      <c r="R271" s="8"/>
      <c r="S271" s="16"/>
      <c r="T271" s="8"/>
      <c r="U271" s="8"/>
      <c r="V271" s="7"/>
      <c r="W271" s="6" t="str">
        <f t="array" ref="W271">IF(NOT(ISBLANK(D271)),_xludf.XLOOKUP(D271,[2]CODE!$A$4:$A$100,[2]CODE!$D$4:$D$100),"")</f>
        <v/>
      </c>
      <c r="X271" s="5" t="str">
        <f t="array" ref="X271">IF(NOT(AND(ISBLANK(D271),ISBLANK(C271))),_xludf.XLOOKUP(D271,[2]CODE!$A$4:$A$100,[2]CODE!$E$4:$E$100),"")</f>
        <v/>
      </c>
      <c r="Y271" s="5" t="str">
        <f t="shared" si="32"/>
        <v/>
      </c>
      <c r="Z271" s="5" t="str">
        <f t="shared" si="33"/>
        <v/>
      </c>
      <c r="AA271" s="4">
        <f t="shared" si="34"/>
        <v>0</v>
      </c>
      <c r="AC271" s="2"/>
    </row>
    <row r="272" spans="1:29" ht="15.5">
      <c r="A272" s="13" t="str">
        <f>IF(OR(ISBLANK(C272),ISBLANK(D272),ISBLANK(F272),ISBLANK(G272)),"",COUNTIF($B$5:B272,"JAMBUTU"))</f>
        <v/>
      </c>
      <c r="B272" s="8" t="str">
        <f t="shared" si="28"/>
        <v/>
      </c>
      <c r="C272" s="8"/>
      <c r="D272" s="8"/>
      <c r="E272" s="13"/>
      <c r="F272" s="12"/>
      <c r="G272" s="11"/>
      <c r="H272" s="12"/>
      <c r="I272" s="11"/>
      <c r="J272" s="10">
        <f t="shared" si="29"/>
        <v>0</v>
      </c>
      <c r="K272" s="10">
        <f t="shared" si="30"/>
        <v>0</v>
      </c>
      <c r="L272" s="9" t="str">
        <f t="shared" si="31"/>
        <v/>
      </c>
      <c r="M272" s="8"/>
      <c r="N272" s="8"/>
      <c r="O272" s="8"/>
      <c r="P272" s="8"/>
      <c r="Q272" s="8"/>
      <c r="R272" s="8"/>
      <c r="S272" s="8"/>
      <c r="T272" s="8"/>
      <c r="U272" s="8"/>
      <c r="V272" s="7"/>
      <c r="W272" s="6" t="str">
        <f t="array" ref="W272">IF(NOT(ISBLANK(D272)),_xludf.XLOOKUP(D272,[2]CODE!$A$4:$A$100,[2]CODE!$D$4:$D$100),"")</f>
        <v/>
      </c>
      <c r="X272" s="5" t="str">
        <f t="array" ref="X272">IF(NOT(AND(ISBLANK(D272),ISBLANK(C272))),_xludf.XLOOKUP(D272,[2]CODE!$A$4:$A$100,[2]CODE!$E$4:$E$100),"")</f>
        <v/>
      </c>
      <c r="Y272" s="5" t="str">
        <f t="shared" si="32"/>
        <v/>
      </c>
      <c r="Z272" s="5" t="str">
        <f t="shared" si="33"/>
        <v/>
      </c>
      <c r="AA272" s="4">
        <f t="shared" si="34"/>
        <v>0</v>
      </c>
      <c r="AC272" s="2"/>
    </row>
    <row r="273" spans="1:29" ht="15.5">
      <c r="A273" s="13" t="str">
        <f>IF(OR(ISBLANK(C273),ISBLANK(D273),ISBLANK(F273),ISBLANK(G273)),"",COUNTIF($B$5:B273,"JAMBUTU"))</f>
        <v/>
      </c>
      <c r="B273" s="8" t="str">
        <f t="shared" si="28"/>
        <v/>
      </c>
      <c r="C273" s="8"/>
      <c r="D273" s="8"/>
      <c r="E273" s="13"/>
      <c r="F273" s="12"/>
      <c r="G273" s="11"/>
      <c r="H273" s="12"/>
      <c r="I273" s="11"/>
      <c r="J273" s="10">
        <f t="shared" si="29"/>
        <v>0</v>
      </c>
      <c r="K273" s="10">
        <f t="shared" si="30"/>
        <v>0</v>
      </c>
      <c r="L273" s="9" t="str">
        <f t="shared" si="31"/>
        <v/>
      </c>
      <c r="M273" s="8"/>
      <c r="N273" s="8"/>
      <c r="O273" s="8"/>
      <c r="P273" s="8"/>
      <c r="Q273" s="8"/>
      <c r="R273" s="8"/>
      <c r="S273" s="8"/>
      <c r="T273" s="8"/>
      <c r="U273" s="8"/>
      <c r="V273" s="7"/>
      <c r="W273" s="6" t="str">
        <f t="array" ref="W273">IF(NOT(ISBLANK(D273)),_xludf.XLOOKUP(D273,[2]CODE!$A$4:$A$100,[2]CODE!$D$4:$D$100),"")</f>
        <v/>
      </c>
      <c r="X273" s="5" t="str">
        <f t="array" ref="X273">IF(NOT(AND(ISBLANK(D273),ISBLANK(C273))),_xludf.XLOOKUP(D273,[2]CODE!$A$4:$A$100,[2]CODE!$E$4:$E$100),"")</f>
        <v/>
      </c>
      <c r="Y273" s="5" t="str">
        <f t="shared" si="32"/>
        <v/>
      </c>
      <c r="Z273" s="5" t="str">
        <f t="shared" si="33"/>
        <v/>
      </c>
      <c r="AA273" s="4">
        <f t="shared" si="34"/>
        <v>0</v>
      </c>
      <c r="AC273" s="2"/>
    </row>
    <row r="274" spans="1:29" ht="15.5">
      <c r="A274" s="13" t="str">
        <f>IF(OR(ISBLANK(C274),ISBLANK(D274),ISBLANK(F274),ISBLANK(G274)),"",COUNTIF($B$5:B274,"JAMBUTU"))</f>
        <v/>
      </c>
      <c r="B274" s="8" t="str">
        <f t="shared" si="28"/>
        <v/>
      </c>
      <c r="C274" s="8"/>
      <c r="D274" s="8"/>
      <c r="E274" s="13"/>
      <c r="F274" s="12"/>
      <c r="G274" s="11"/>
      <c r="H274" s="12"/>
      <c r="I274" s="11"/>
      <c r="J274" s="10">
        <f t="shared" si="29"/>
        <v>0</v>
      </c>
      <c r="K274" s="10">
        <f t="shared" si="30"/>
        <v>0</v>
      </c>
      <c r="L274" s="9" t="str">
        <f t="shared" si="31"/>
        <v/>
      </c>
      <c r="M274" s="8"/>
      <c r="N274" s="8"/>
      <c r="O274" s="8"/>
      <c r="P274" s="8"/>
      <c r="Q274" s="8"/>
      <c r="R274" s="8"/>
      <c r="S274" s="8"/>
      <c r="T274" s="8"/>
      <c r="U274" s="8"/>
      <c r="V274" s="7"/>
      <c r="W274" s="6" t="str">
        <f t="array" ref="W274">IF(NOT(ISBLANK(D274)),_xludf.XLOOKUP(D274,[2]CODE!$A$4:$A$100,[2]CODE!$D$4:$D$100),"")</f>
        <v/>
      </c>
      <c r="X274" s="5" t="str">
        <f t="array" ref="X274">IF(NOT(AND(ISBLANK(D274),ISBLANK(C274))),_xludf.XLOOKUP(D274,[2]CODE!$A$4:$A$100,[2]CODE!$E$4:$E$100),"")</f>
        <v/>
      </c>
      <c r="Y274" s="5" t="str">
        <f t="shared" si="32"/>
        <v/>
      </c>
      <c r="Z274" s="5" t="str">
        <f t="shared" si="33"/>
        <v/>
      </c>
      <c r="AA274" s="4">
        <f t="shared" si="34"/>
        <v>0</v>
      </c>
      <c r="AC274" s="2"/>
    </row>
    <row r="275" spans="1:29" ht="15.5">
      <c r="A275" s="13" t="str">
        <f>IF(OR(ISBLANK(C275),ISBLANK(D275),ISBLANK(F275),ISBLANK(G275)),"",COUNTIF($B$5:B275,"JAMBUTU"))</f>
        <v/>
      </c>
      <c r="B275" s="8" t="str">
        <f t="shared" ref="B275:B338" si="35">IF(C275&lt;&gt;"","Jambutu","")</f>
        <v/>
      </c>
      <c r="C275" s="8"/>
      <c r="D275" s="8"/>
      <c r="E275" s="13"/>
      <c r="F275" s="12"/>
      <c r="G275" s="11"/>
      <c r="H275" s="12"/>
      <c r="I275" s="11"/>
      <c r="J275" s="10">
        <f t="shared" si="29"/>
        <v>0</v>
      </c>
      <c r="K275" s="10">
        <f t="shared" si="30"/>
        <v>0</v>
      </c>
      <c r="L275" s="9" t="str">
        <f t="shared" si="31"/>
        <v/>
      </c>
      <c r="M275" s="8"/>
      <c r="N275" s="8"/>
      <c r="O275" s="8"/>
      <c r="P275" s="8"/>
      <c r="Q275" s="8"/>
      <c r="R275" s="8"/>
      <c r="S275" s="8"/>
      <c r="T275" s="8"/>
      <c r="U275" s="8"/>
      <c r="V275" s="7"/>
      <c r="W275" s="6" t="str">
        <f t="array" ref="W275">IF(NOT(ISBLANK(D275)),_xludf.XLOOKUP(D275,[2]CODE!$A$4:$A$100,[2]CODE!$D$4:$D$100),"")</f>
        <v/>
      </c>
      <c r="X275" s="5" t="str">
        <f t="array" ref="X275">IF(NOT(AND(ISBLANK(D275),ISBLANK(C275))),_xludf.XLOOKUP(D275,[2]CODE!$A$4:$A$100,[2]CODE!$E$4:$E$100),"")</f>
        <v/>
      </c>
      <c r="Y275" s="5" t="str">
        <f t="shared" si="32"/>
        <v/>
      </c>
      <c r="Z275" s="5" t="str">
        <f t="shared" si="33"/>
        <v/>
      </c>
      <c r="AA275" s="4">
        <f t="shared" si="34"/>
        <v>0</v>
      </c>
      <c r="AC275" s="2"/>
    </row>
    <row r="276" spans="1:29" ht="15.5">
      <c r="A276" s="13" t="str">
        <f>IF(OR(ISBLANK(C276),ISBLANK(D276),ISBLANK(F276),ISBLANK(G276)),"",COUNTIF($B$5:B276,"JAMBUTU"))</f>
        <v/>
      </c>
      <c r="B276" s="8" t="str">
        <f t="shared" si="35"/>
        <v/>
      </c>
      <c r="C276" s="8"/>
      <c r="D276" s="8"/>
      <c r="E276" s="13"/>
      <c r="F276" s="12"/>
      <c r="G276" s="11"/>
      <c r="H276" s="12"/>
      <c r="I276" s="11"/>
      <c r="J276" s="10">
        <f t="shared" si="29"/>
        <v>0</v>
      </c>
      <c r="K276" s="10">
        <f t="shared" si="30"/>
        <v>0</v>
      </c>
      <c r="L276" s="9" t="str">
        <f t="shared" si="31"/>
        <v/>
      </c>
      <c r="M276" s="8"/>
      <c r="N276" s="8"/>
      <c r="O276" s="8"/>
      <c r="P276" s="8"/>
      <c r="Q276" s="8"/>
      <c r="R276" s="8"/>
      <c r="S276" s="8"/>
      <c r="T276" s="8"/>
      <c r="U276" s="8"/>
      <c r="V276" s="7"/>
      <c r="W276" s="6" t="str">
        <f t="array" ref="W276">IF(NOT(ISBLANK(D276)),_xludf.XLOOKUP(D276,[2]CODE!$A$4:$A$100,[2]CODE!$D$4:$D$100),"")</f>
        <v/>
      </c>
      <c r="X276" s="5" t="str">
        <f t="array" ref="X276">IF(NOT(AND(ISBLANK(D276),ISBLANK(C276))),_xludf.XLOOKUP(D276,[2]CODE!$A$4:$A$100,[2]CODE!$E$4:$E$100),"")</f>
        <v/>
      </c>
      <c r="Y276" s="5" t="str">
        <f t="shared" si="32"/>
        <v/>
      </c>
      <c r="Z276" s="5" t="str">
        <f t="shared" si="33"/>
        <v/>
      </c>
      <c r="AA276" s="4">
        <f t="shared" si="34"/>
        <v>0</v>
      </c>
      <c r="AC276" s="2"/>
    </row>
    <row r="277" spans="1:29" ht="15.5">
      <c r="A277" s="13" t="str">
        <f>IF(OR(ISBLANK(C277),ISBLANK(D277),ISBLANK(F277),ISBLANK(G277)),"",COUNTIF($B$5:B277,"JAMBUTU"))</f>
        <v/>
      </c>
      <c r="B277" s="8" t="str">
        <f t="shared" si="35"/>
        <v/>
      </c>
      <c r="C277" s="8"/>
      <c r="D277" s="8"/>
      <c r="E277" s="13"/>
      <c r="F277" s="12"/>
      <c r="G277" s="11"/>
      <c r="H277" s="12"/>
      <c r="I277" s="11"/>
      <c r="J277" s="10">
        <f t="shared" si="29"/>
        <v>0</v>
      </c>
      <c r="K277" s="10">
        <f t="shared" si="30"/>
        <v>0</v>
      </c>
      <c r="L277" s="9" t="str">
        <f t="shared" si="31"/>
        <v/>
      </c>
      <c r="M277" s="8"/>
      <c r="N277" s="8"/>
      <c r="O277" s="8"/>
      <c r="P277" s="8"/>
      <c r="Q277" s="8"/>
      <c r="R277" s="8"/>
      <c r="S277" s="8"/>
      <c r="T277" s="8"/>
      <c r="U277" s="8"/>
      <c r="V277" s="7"/>
      <c r="W277" s="6" t="str">
        <f t="array" ref="W277">IF(NOT(ISBLANK(D277)),_xludf.XLOOKUP(D277,[2]CODE!$A$4:$A$100,[2]CODE!$D$4:$D$100),"")</f>
        <v/>
      </c>
      <c r="X277" s="5" t="str">
        <f t="array" ref="X277">IF(NOT(AND(ISBLANK(D277),ISBLANK(C277))),_xludf.XLOOKUP(D277,[2]CODE!$A$4:$A$100,[2]CODE!$E$4:$E$100),"")</f>
        <v/>
      </c>
      <c r="Y277" s="5" t="str">
        <f t="shared" si="32"/>
        <v/>
      </c>
      <c r="Z277" s="5" t="str">
        <f t="shared" si="33"/>
        <v/>
      </c>
      <c r="AA277" s="4">
        <f t="shared" si="34"/>
        <v>0</v>
      </c>
      <c r="AC277" s="2"/>
    </row>
    <row r="278" spans="1:29" ht="15.5">
      <c r="A278" s="13" t="str">
        <f>IF(OR(ISBLANK(C278),ISBLANK(D278),ISBLANK(F278),ISBLANK(G278)),"",COUNTIF($B$5:B278,"JAMBUTU"))</f>
        <v/>
      </c>
      <c r="B278" s="8" t="str">
        <f t="shared" si="35"/>
        <v/>
      </c>
      <c r="C278" s="8"/>
      <c r="D278" s="8"/>
      <c r="E278" s="13"/>
      <c r="F278" s="12"/>
      <c r="G278" s="11"/>
      <c r="H278" s="12"/>
      <c r="I278" s="11"/>
      <c r="J278" s="10">
        <f t="shared" si="29"/>
        <v>0</v>
      </c>
      <c r="K278" s="10">
        <f t="shared" si="30"/>
        <v>0</v>
      </c>
      <c r="L278" s="9" t="str">
        <f t="shared" si="31"/>
        <v/>
      </c>
      <c r="M278" s="8"/>
      <c r="N278" s="8"/>
      <c r="O278" s="8"/>
      <c r="P278" s="8"/>
      <c r="Q278" s="8"/>
      <c r="R278" s="8"/>
      <c r="S278" s="8"/>
      <c r="T278" s="8"/>
      <c r="U278" s="8"/>
      <c r="V278" s="7"/>
      <c r="W278" s="6" t="str">
        <f t="array" ref="W278">IF(NOT(ISBLANK(D278)),_xludf.XLOOKUP(D278,[2]CODE!$A$4:$A$100,[2]CODE!$D$4:$D$100),"")</f>
        <v/>
      </c>
      <c r="X278" s="5" t="str">
        <f t="array" ref="X278">IF(NOT(AND(ISBLANK(D278),ISBLANK(C278))),_xludf.XLOOKUP(D278,[2]CODE!$A$4:$A$100,[2]CODE!$E$4:$E$100),"")</f>
        <v/>
      </c>
      <c r="Y278" s="5" t="str">
        <f t="shared" si="32"/>
        <v/>
      </c>
      <c r="Z278" s="5" t="str">
        <f t="shared" si="33"/>
        <v/>
      </c>
      <c r="AA278" s="4">
        <f t="shared" si="34"/>
        <v>0</v>
      </c>
      <c r="AC278" s="2"/>
    </row>
    <row r="279" spans="1:29" ht="15.5">
      <c r="A279" s="13" t="str">
        <f>IF(OR(ISBLANK(C279),ISBLANK(D279),ISBLANK(F279),ISBLANK(G279)),"",COUNTIF($B$5:B279,"JAMBUTU"))</f>
        <v/>
      </c>
      <c r="B279" s="8" t="str">
        <f t="shared" si="35"/>
        <v/>
      </c>
      <c r="C279" s="8"/>
      <c r="D279" s="8"/>
      <c r="E279" s="13"/>
      <c r="F279" s="12"/>
      <c r="G279" s="11"/>
      <c r="H279" s="12"/>
      <c r="I279" s="11"/>
      <c r="J279" s="10">
        <f t="shared" si="29"/>
        <v>0</v>
      </c>
      <c r="K279" s="10">
        <f t="shared" si="30"/>
        <v>0</v>
      </c>
      <c r="L279" s="9" t="str">
        <f t="shared" si="31"/>
        <v/>
      </c>
      <c r="M279" s="8"/>
      <c r="N279" s="8"/>
      <c r="O279" s="8"/>
      <c r="P279" s="8"/>
      <c r="Q279" s="8"/>
      <c r="R279" s="8"/>
      <c r="S279" s="8"/>
      <c r="T279" s="8"/>
      <c r="U279" s="8"/>
      <c r="V279" s="7"/>
      <c r="W279" s="6" t="str">
        <f t="array" ref="W279">IF(NOT(ISBLANK(D279)),_xludf.XLOOKUP(D279,[2]CODE!$A$4:$A$100,[2]CODE!$D$4:$D$100),"")</f>
        <v/>
      </c>
      <c r="X279" s="5" t="str">
        <f t="array" ref="X279">IF(NOT(AND(ISBLANK(D279),ISBLANK(C279))),_xludf.XLOOKUP(D279,[2]CODE!$A$4:$A$100,[2]CODE!$E$4:$E$100),"")</f>
        <v/>
      </c>
      <c r="Y279" s="5" t="str">
        <f t="shared" si="32"/>
        <v/>
      </c>
      <c r="Z279" s="5" t="str">
        <f t="shared" si="33"/>
        <v/>
      </c>
      <c r="AA279" s="4">
        <f t="shared" si="34"/>
        <v>0</v>
      </c>
      <c r="AC279" s="2"/>
    </row>
    <row r="280" spans="1:29" ht="15.5">
      <c r="A280" s="13" t="str">
        <f>IF(OR(ISBLANK(C280),ISBLANK(D280),ISBLANK(F280),ISBLANK(G280)),"",COUNTIF($B$5:B280,"JAMBUTU"))</f>
        <v/>
      </c>
      <c r="B280" s="8" t="str">
        <f t="shared" si="35"/>
        <v/>
      </c>
      <c r="C280" s="8"/>
      <c r="D280" s="8"/>
      <c r="E280" s="13"/>
      <c r="F280" s="12"/>
      <c r="G280" s="11"/>
      <c r="H280" s="12"/>
      <c r="I280" s="11"/>
      <c r="J280" s="10">
        <f t="shared" si="29"/>
        <v>0</v>
      </c>
      <c r="K280" s="10">
        <f t="shared" si="30"/>
        <v>0</v>
      </c>
      <c r="L280" s="9" t="str">
        <f t="shared" si="31"/>
        <v/>
      </c>
      <c r="M280" s="8"/>
      <c r="N280" s="8"/>
      <c r="O280" s="8"/>
      <c r="P280" s="8"/>
      <c r="Q280" s="8"/>
      <c r="R280" s="8"/>
      <c r="S280" s="8"/>
      <c r="T280" s="8"/>
      <c r="U280" s="8"/>
      <c r="V280" s="7"/>
      <c r="W280" s="6" t="str">
        <f t="array" ref="W280">IF(NOT(ISBLANK(D280)),_xludf.XLOOKUP(D280,[2]CODE!$A$4:$A$100,[2]CODE!$D$4:$D$100),"")</f>
        <v/>
      </c>
      <c r="X280" s="5" t="str">
        <f t="array" ref="X280">IF(NOT(AND(ISBLANK(D280),ISBLANK(C280))),_xludf.XLOOKUP(D280,[2]CODE!$A$4:$A$100,[2]CODE!$E$4:$E$100),"")</f>
        <v/>
      </c>
      <c r="Y280" s="5" t="str">
        <f t="shared" si="32"/>
        <v/>
      </c>
      <c r="Z280" s="5" t="str">
        <f t="shared" si="33"/>
        <v/>
      </c>
      <c r="AA280" s="4">
        <f t="shared" si="34"/>
        <v>0</v>
      </c>
      <c r="AC280" s="2"/>
    </row>
    <row r="281" spans="1:29" ht="15.5">
      <c r="A281" s="13" t="str">
        <f>IF(OR(ISBLANK(C281),ISBLANK(D281),ISBLANK(F281),ISBLANK(G281)),"",COUNTIF($B$5:B281,"JAMBUTU"))</f>
        <v/>
      </c>
      <c r="B281" s="8" t="str">
        <f t="shared" si="35"/>
        <v/>
      </c>
      <c r="C281" s="8"/>
      <c r="D281" s="8"/>
      <c r="E281" s="13"/>
      <c r="F281" s="12"/>
      <c r="G281" s="11"/>
      <c r="H281" s="12"/>
      <c r="I281" s="11"/>
      <c r="J281" s="10">
        <f t="shared" si="29"/>
        <v>0</v>
      </c>
      <c r="K281" s="10">
        <f t="shared" si="30"/>
        <v>0</v>
      </c>
      <c r="L281" s="9" t="str">
        <f t="shared" si="31"/>
        <v/>
      </c>
      <c r="M281" s="8"/>
      <c r="N281" s="8"/>
      <c r="O281" s="8"/>
      <c r="P281" s="8"/>
      <c r="Q281" s="8"/>
      <c r="R281" s="8"/>
      <c r="S281" s="8"/>
      <c r="T281" s="8"/>
      <c r="U281" s="8"/>
      <c r="V281" s="7"/>
      <c r="W281" s="6" t="str">
        <f t="array" ref="W281">IF(NOT(ISBLANK(D281)),_xludf.XLOOKUP(D281,[2]CODE!$A$4:$A$100,[2]CODE!$D$4:$D$100),"")</f>
        <v/>
      </c>
      <c r="X281" s="5" t="str">
        <f t="array" ref="X281">IF(NOT(AND(ISBLANK(D281),ISBLANK(C281))),_xludf.XLOOKUP(D281,[2]CODE!$A$4:$A$100,[2]CODE!$E$4:$E$100),"")</f>
        <v/>
      </c>
      <c r="Y281" s="5" t="str">
        <f t="shared" si="32"/>
        <v/>
      </c>
      <c r="Z281" s="5" t="str">
        <f t="shared" si="33"/>
        <v/>
      </c>
      <c r="AA281" s="4">
        <f t="shared" si="34"/>
        <v>0</v>
      </c>
      <c r="AC281" s="2"/>
    </row>
    <row r="282" spans="1:29" ht="15.5">
      <c r="A282" s="13" t="str">
        <f>IF(OR(ISBLANK(C282),ISBLANK(D282),ISBLANK(F282),ISBLANK(G282)),"",COUNTIF($B$5:B282,"JAMBUTU"))</f>
        <v/>
      </c>
      <c r="B282" s="8" t="str">
        <f t="shared" si="35"/>
        <v/>
      </c>
      <c r="C282" s="8"/>
      <c r="D282" s="8"/>
      <c r="E282" s="13"/>
      <c r="F282" s="12"/>
      <c r="G282" s="11"/>
      <c r="H282" s="12"/>
      <c r="I282" s="11"/>
      <c r="J282" s="10">
        <f t="shared" si="29"/>
        <v>0</v>
      </c>
      <c r="K282" s="10">
        <f t="shared" si="30"/>
        <v>0</v>
      </c>
      <c r="L282" s="9" t="str">
        <f t="shared" si="31"/>
        <v/>
      </c>
      <c r="M282" s="8"/>
      <c r="N282" s="8"/>
      <c r="O282" s="8"/>
      <c r="P282" s="8"/>
      <c r="Q282" s="8"/>
      <c r="R282" s="8"/>
      <c r="S282" s="8"/>
      <c r="T282" s="8"/>
      <c r="U282" s="8"/>
      <c r="V282" s="7"/>
      <c r="W282" s="6" t="str">
        <f t="array" ref="W282">IF(NOT(ISBLANK(D282)),_xludf.XLOOKUP(D282,[2]CODE!$A$4:$A$100,[2]CODE!$D$4:$D$100),"")</f>
        <v/>
      </c>
      <c r="X282" s="5" t="str">
        <f t="array" ref="X282">IF(NOT(AND(ISBLANK(D282),ISBLANK(C282))),_xludf.XLOOKUP(D282,[2]CODE!$A$4:$A$100,[2]CODE!$E$4:$E$100),"")</f>
        <v/>
      </c>
      <c r="Y282" s="5" t="str">
        <f t="shared" si="32"/>
        <v/>
      </c>
      <c r="Z282" s="5" t="str">
        <f t="shared" si="33"/>
        <v/>
      </c>
      <c r="AA282" s="4">
        <f t="shared" si="34"/>
        <v>0</v>
      </c>
      <c r="AC282" s="2"/>
    </row>
    <row r="283" spans="1:29" ht="15.5">
      <c r="A283" s="13" t="str">
        <f>IF(OR(ISBLANK(C283),ISBLANK(D283),ISBLANK(F283),ISBLANK(G283)),"",COUNTIF($B$5:B283,"JAMBUTU"))</f>
        <v/>
      </c>
      <c r="B283" s="8" t="str">
        <f t="shared" si="35"/>
        <v/>
      </c>
      <c r="C283" s="8"/>
      <c r="D283" s="8"/>
      <c r="E283" s="13"/>
      <c r="F283" s="12"/>
      <c r="G283" s="11"/>
      <c r="H283" s="12"/>
      <c r="I283" s="11"/>
      <c r="J283" s="10">
        <f t="shared" si="29"/>
        <v>0</v>
      </c>
      <c r="K283" s="10">
        <f t="shared" si="30"/>
        <v>0</v>
      </c>
      <c r="L283" s="9" t="str">
        <f t="shared" si="31"/>
        <v/>
      </c>
      <c r="M283" s="8"/>
      <c r="N283" s="8"/>
      <c r="O283" s="8"/>
      <c r="P283" s="8"/>
      <c r="Q283" s="8"/>
      <c r="R283" s="8"/>
      <c r="S283" s="8"/>
      <c r="T283" s="8"/>
      <c r="U283" s="8"/>
      <c r="V283" s="7"/>
      <c r="W283" s="6" t="str">
        <f t="array" ref="W283">IF(NOT(ISBLANK(D283)),_xludf.XLOOKUP(D283,[2]CODE!$A$4:$A$100,[2]CODE!$D$4:$D$100),"")</f>
        <v/>
      </c>
      <c r="X283" s="5" t="str">
        <f t="array" ref="X283">IF(NOT(AND(ISBLANK(D283),ISBLANK(C283))),_xludf.XLOOKUP(D283,[2]CODE!$A$4:$A$100,[2]CODE!$E$4:$E$100),"")</f>
        <v/>
      </c>
      <c r="Y283" s="5" t="str">
        <f t="shared" si="32"/>
        <v/>
      </c>
      <c r="Z283" s="5" t="str">
        <f t="shared" si="33"/>
        <v/>
      </c>
      <c r="AA283" s="4">
        <f t="shared" si="34"/>
        <v>0</v>
      </c>
      <c r="AC283" s="2"/>
    </row>
    <row r="284" spans="1:29" ht="15.5">
      <c r="A284" s="13" t="str">
        <f>IF(OR(ISBLANK(C284),ISBLANK(D284),ISBLANK(F284),ISBLANK(G284)),"",COUNTIF($B$5:B284,"JAMBUTU"))</f>
        <v/>
      </c>
      <c r="B284" s="8" t="str">
        <f t="shared" si="35"/>
        <v/>
      </c>
      <c r="C284" s="8"/>
      <c r="D284" s="8"/>
      <c r="E284" s="13"/>
      <c r="F284" s="12"/>
      <c r="G284" s="11"/>
      <c r="H284" s="12"/>
      <c r="I284" s="11"/>
      <c r="J284" s="10">
        <f t="shared" si="29"/>
        <v>0</v>
      </c>
      <c r="K284" s="10">
        <f t="shared" si="30"/>
        <v>0</v>
      </c>
      <c r="L284" s="9" t="str">
        <f t="shared" si="31"/>
        <v/>
      </c>
      <c r="M284" s="8"/>
      <c r="N284" s="8"/>
      <c r="O284" s="8"/>
      <c r="P284" s="8"/>
      <c r="Q284" s="8"/>
      <c r="R284" s="8"/>
      <c r="S284" s="8"/>
      <c r="T284" s="8"/>
      <c r="U284" s="8"/>
      <c r="V284" s="7"/>
      <c r="W284" s="6" t="str">
        <f t="array" ref="W284">IF(NOT(ISBLANK(D284)),_xludf.XLOOKUP(D284,[2]CODE!$A$4:$A$100,[2]CODE!$D$4:$D$100),"")</f>
        <v/>
      </c>
      <c r="X284" s="5" t="str">
        <f t="array" ref="X284">IF(NOT(AND(ISBLANK(D284),ISBLANK(C284))),_xludf.XLOOKUP(D284,[2]CODE!$A$4:$A$100,[2]CODE!$E$4:$E$100),"")</f>
        <v/>
      </c>
      <c r="Y284" s="5" t="str">
        <f t="shared" si="32"/>
        <v/>
      </c>
      <c r="Z284" s="5" t="str">
        <f t="shared" si="33"/>
        <v/>
      </c>
      <c r="AA284" s="4">
        <f t="shared" si="34"/>
        <v>0</v>
      </c>
      <c r="AC284" s="2"/>
    </row>
    <row r="285" spans="1:29" ht="15.5">
      <c r="A285" s="13" t="str">
        <f>IF(OR(ISBLANK(C285),ISBLANK(D285),ISBLANK(F285),ISBLANK(G285)),"",COUNTIF($B$5:B285,"JAMBUTU"))</f>
        <v/>
      </c>
      <c r="B285" s="8" t="str">
        <f t="shared" si="35"/>
        <v/>
      </c>
      <c r="C285" s="8"/>
      <c r="D285" s="8"/>
      <c r="E285" s="13"/>
      <c r="F285" s="12"/>
      <c r="G285" s="11"/>
      <c r="H285" s="12"/>
      <c r="I285" s="11"/>
      <c r="J285" s="10">
        <f t="shared" si="29"/>
        <v>0</v>
      </c>
      <c r="K285" s="10">
        <f t="shared" si="30"/>
        <v>0</v>
      </c>
      <c r="L285" s="9" t="str">
        <f t="shared" si="31"/>
        <v/>
      </c>
      <c r="M285" s="8"/>
      <c r="N285" s="8"/>
      <c r="O285" s="8"/>
      <c r="P285" s="8"/>
      <c r="Q285" s="8"/>
      <c r="R285" s="8"/>
      <c r="S285" s="8"/>
      <c r="T285" s="8"/>
      <c r="U285" s="8"/>
      <c r="V285" s="7"/>
      <c r="W285" s="6" t="str">
        <f t="array" ref="W285">IF(NOT(ISBLANK(D285)),_xludf.XLOOKUP(D285,[2]CODE!$A$4:$A$100,[2]CODE!$D$4:$D$100),"")</f>
        <v/>
      </c>
      <c r="X285" s="5" t="str">
        <f t="array" ref="X285">IF(NOT(AND(ISBLANK(D285),ISBLANK(C285))),_xludf.XLOOKUP(D285,[2]CODE!$A$4:$A$100,[2]CODE!$E$4:$E$100),"")</f>
        <v/>
      </c>
      <c r="Y285" s="5" t="str">
        <f t="shared" si="32"/>
        <v/>
      </c>
      <c r="Z285" s="5" t="str">
        <f t="shared" si="33"/>
        <v/>
      </c>
      <c r="AA285" s="4">
        <f t="shared" si="34"/>
        <v>0</v>
      </c>
      <c r="AC285" s="2"/>
    </row>
    <row r="286" spans="1:29" ht="15.5">
      <c r="A286" s="13" t="str">
        <f>IF(OR(ISBLANK(C286),ISBLANK(D286),ISBLANK(F286),ISBLANK(G286)),"",COUNTIF($B$5:B286,"JAMBUTU"))</f>
        <v/>
      </c>
      <c r="B286" s="8" t="str">
        <f t="shared" si="35"/>
        <v/>
      </c>
      <c r="C286" s="8"/>
      <c r="D286" s="8"/>
      <c r="E286" s="13"/>
      <c r="F286" s="12"/>
      <c r="G286" s="11"/>
      <c r="H286" s="12"/>
      <c r="I286" s="11"/>
      <c r="J286" s="10">
        <f t="shared" si="29"/>
        <v>0</v>
      </c>
      <c r="K286" s="10">
        <f t="shared" si="30"/>
        <v>0</v>
      </c>
      <c r="L286" s="9" t="str">
        <f t="shared" si="31"/>
        <v/>
      </c>
      <c r="M286" s="8"/>
      <c r="N286" s="8"/>
      <c r="O286" s="8"/>
      <c r="P286" s="8"/>
      <c r="Q286" s="8"/>
      <c r="R286" s="8"/>
      <c r="S286" s="8"/>
      <c r="T286" s="8"/>
      <c r="U286" s="8"/>
      <c r="V286" s="7"/>
      <c r="W286" s="6" t="str">
        <f t="array" ref="W286">IF(NOT(ISBLANK(D286)),_xludf.XLOOKUP(D286,[2]CODE!$A$4:$A$100,[2]CODE!$D$4:$D$100),"")</f>
        <v/>
      </c>
      <c r="X286" s="5" t="str">
        <f t="array" ref="X286">IF(NOT(AND(ISBLANK(D286),ISBLANK(C286))),_xludf.XLOOKUP(D286,[2]CODE!$A$4:$A$100,[2]CODE!$E$4:$E$100),"")</f>
        <v/>
      </c>
      <c r="Y286" s="5" t="str">
        <f t="shared" si="32"/>
        <v/>
      </c>
      <c r="Z286" s="5" t="str">
        <f t="shared" si="33"/>
        <v/>
      </c>
      <c r="AA286" s="4">
        <f t="shared" si="34"/>
        <v>0</v>
      </c>
      <c r="AC286" s="2"/>
    </row>
    <row r="287" spans="1:29" ht="15.5">
      <c r="A287" s="13" t="str">
        <f>IF(OR(ISBLANK(C287),ISBLANK(D287),ISBLANK(F287),ISBLANK(G287)),"",COUNTIF($B$5:B287,"JAMBUTU"))</f>
        <v/>
      </c>
      <c r="B287" s="8" t="str">
        <f t="shared" si="35"/>
        <v/>
      </c>
      <c r="C287" s="8"/>
      <c r="D287" s="8"/>
      <c r="E287" s="13"/>
      <c r="F287" s="12"/>
      <c r="G287" s="11"/>
      <c r="H287" s="12"/>
      <c r="I287" s="11"/>
      <c r="J287" s="10">
        <f t="shared" si="29"/>
        <v>0</v>
      </c>
      <c r="K287" s="10">
        <f t="shared" si="30"/>
        <v>0</v>
      </c>
      <c r="L287" s="9" t="str">
        <f t="shared" si="31"/>
        <v/>
      </c>
      <c r="M287" s="8"/>
      <c r="N287" s="8"/>
      <c r="O287" s="8"/>
      <c r="P287" s="8"/>
      <c r="Q287" s="8"/>
      <c r="R287" s="8"/>
      <c r="S287" s="8"/>
      <c r="T287" s="8"/>
      <c r="U287" s="8"/>
      <c r="V287" s="7"/>
      <c r="W287" s="6" t="str">
        <f t="array" ref="W287">IF(NOT(ISBLANK(D287)),_xludf.XLOOKUP(D287,[2]CODE!$A$4:$A$100,[2]CODE!$D$4:$D$100),"")</f>
        <v/>
      </c>
      <c r="X287" s="5" t="str">
        <f t="array" ref="X287">IF(NOT(AND(ISBLANK(D287),ISBLANK(C287))),_xludf.XLOOKUP(D287,[2]CODE!$A$4:$A$100,[2]CODE!$E$4:$E$100),"")</f>
        <v/>
      </c>
      <c r="Y287" s="5" t="str">
        <f t="shared" si="32"/>
        <v/>
      </c>
      <c r="Z287" s="5" t="str">
        <f t="shared" si="33"/>
        <v/>
      </c>
      <c r="AA287" s="4">
        <f t="shared" si="34"/>
        <v>0</v>
      </c>
      <c r="AC287" s="2"/>
    </row>
    <row r="288" spans="1:29" ht="15.5">
      <c r="A288" s="13" t="str">
        <f>IF(OR(ISBLANK(C288),ISBLANK(D288),ISBLANK(F288),ISBLANK(G288)),"",COUNTIF($B$5:B288,"JAMBUTU"))</f>
        <v/>
      </c>
      <c r="B288" s="8" t="str">
        <f t="shared" si="35"/>
        <v/>
      </c>
      <c r="C288" s="8"/>
      <c r="D288" s="8"/>
      <c r="E288" s="13"/>
      <c r="F288" s="12"/>
      <c r="G288" s="11"/>
      <c r="H288" s="12"/>
      <c r="I288" s="11"/>
      <c r="J288" s="10">
        <f t="shared" si="29"/>
        <v>0</v>
      </c>
      <c r="K288" s="10">
        <f t="shared" si="30"/>
        <v>0</v>
      </c>
      <c r="L288" s="9" t="str">
        <f t="shared" si="31"/>
        <v/>
      </c>
      <c r="M288" s="8"/>
      <c r="N288" s="8"/>
      <c r="O288" s="8"/>
      <c r="P288" s="8"/>
      <c r="Q288" s="8"/>
      <c r="R288" s="8"/>
      <c r="S288" s="8"/>
      <c r="T288" s="8"/>
      <c r="U288" s="8"/>
      <c r="V288" s="7"/>
      <c r="W288" s="6" t="str">
        <f t="array" ref="W288">IF(NOT(ISBLANK(D288)),_xludf.XLOOKUP(D288,[2]CODE!$A$4:$A$100,[2]CODE!$D$4:$D$100),"")</f>
        <v/>
      </c>
      <c r="X288" s="5" t="str">
        <f t="array" ref="X288">IF(NOT(AND(ISBLANK(D288),ISBLANK(C288))),_xludf.XLOOKUP(D288,[2]CODE!$A$4:$A$100,[2]CODE!$E$4:$E$100),"")</f>
        <v/>
      </c>
      <c r="Y288" s="5" t="str">
        <f t="shared" si="32"/>
        <v/>
      </c>
      <c r="Z288" s="5" t="str">
        <f t="shared" si="33"/>
        <v/>
      </c>
      <c r="AA288" s="4">
        <f t="shared" si="34"/>
        <v>0</v>
      </c>
      <c r="AC288" s="2"/>
    </row>
    <row r="289" spans="1:29" ht="15.5">
      <c r="A289" s="13" t="str">
        <f>IF(OR(ISBLANK(C289),ISBLANK(D289),ISBLANK(F289),ISBLANK(G289)),"",COUNTIF($B$5:B289,"JAMBUTU"))</f>
        <v/>
      </c>
      <c r="B289" s="8" t="str">
        <f t="shared" si="35"/>
        <v/>
      </c>
      <c r="C289" s="8"/>
      <c r="D289" s="8"/>
      <c r="E289" s="13"/>
      <c r="F289" s="12"/>
      <c r="G289" s="11"/>
      <c r="H289" s="12"/>
      <c r="I289" s="11"/>
      <c r="J289" s="10">
        <f t="shared" si="29"/>
        <v>0</v>
      </c>
      <c r="K289" s="10">
        <f t="shared" si="30"/>
        <v>0</v>
      </c>
      <c r="L289" s="9" t="str">
        <f t="shared" si="31"/>
        <v/>
      </c>
      <c r="M289" s="8"/>
      <c r="N289" s="8"/>
      <c r="O289" s="8"/>
      <c r="P289" s="8"/>
      <c r="Q289" s="8"/>
      <c r="R289" s="8"/>
      <c r="S289" s="8"/>
      <c r="T289" s="8"/>
      <c r="U289" s="8"/>
      <c r="V289" s="7"/>
      <c r="W289" s="6" t="str">
        <f t="array" ref="W289">IF(NOT(ISBLANK(D289)),_xludf.XLOOKUP(D289,[2]CODE!$A$4:$A$100,[2]CODE!$D$4:$D$100),"")</f>
        <v/>
      </c>
      <c r="X289" s="5" t="str">
        <f t="array" ref="X289">IF(NOT(AND(ISBLANK(D289),ISBLANK(C289))),_xludf.XLOOKUP(D289,[2]CODE!$A$4:$A$100,[2]CODE!$E$4:$E$100),"")</f>
        <v/>
      </c>
      <c r="Y289" s="5" t="str">
        <f t="shared" si="32"/>
        <v/>
      </c>
      <c r="Z289" s="5" t="str">
        <f t="shared" si="33"/>
        <v/>
      </c>
      <c r="AA289" s="4">
        <f t="shared" si="34"/>
        <v>0</v>
      </c>
      <c r="AC289" s="2"/>
    </row>
    <row r="290" spans="1:29" ht="15.5">
      <c r="A290" s="13" t="str">
        <f>IF(OR(ISBLANK(C290),ISBLANK(D290),ISBLANK(F290),ISBLANK(G290)),"",COUNTIF($B$5:B290,"JAMBUTU"))</f>
        <v/>
      </c>
      <c r="B290" s="8" t="str">
        <f t="shared" si="35"/>
        <v/>
      </c>
      <c r="C290" s="8"/>
      <c r="D290" s="8"/>
      <c r="E290" s="13"/>
      <c r="F290" s="12"/>
      <c r="G290" s="11"/>
      <c r="H290" s="12"/>
      <c r="I290" s="11"/>
      <c r="J290" s="10">
        <f t="shared" si="29"/>
        <v>0</v>
      </c>
      <c r="K290" s="10">
        <f t="shared" si="30"/>
        <v>0</v>
      </c>
      <c r="L290" s="9" t="str">
        <f t="shared" si="31"/>
        <v/>
      </c>
      <c r="M290" s="8"/>
      <c r="N290" s="8"/>
      <c r="O290" s="8"/>
      <c r="P290" s="8"/>
      <c r="Q290" s="8"/>
      <c r="R290" s="8"/>
      <c r="S290" s="8"/>
      <c r="T290" s="8"/>
      <c r="U290" s="8"/>
      <c r="V290" s="7"/>
      <c r="W290" s="6" t="str">
        <f t="array" ref="W290">IF(NOT(ISBLANK(D290)),_xludf.XLOOKUP(D290,[2]CODE!$A$4:$A$100,[2]CODE!$D$4:$D$100),"")</f>
        <v/>
      </c>
      <c r="X290" s="5" t="str">
        <f t="array" ref="X290">IF(NOT(AND(ISBLANK(D290),ISBLANK(C290))),_xludf.XLOOKUP(D290,[2]CODE!$A$4:$A$100,[2]CODE!$E$4:$E$100),"")</f>
        <v/>
      </c>
      <c r="Y290" s="5" t="str">
        <f t="shared" si="32"/>
        <v/>
      </c>
      <c r="Z290" s="5" t="str">
        <f t="shared" si="33"/>
        <v/>
      </c>
      <c r="AA290" s="4">
        <f t="shared" si="34"/>
        <v>0</v>
      </c>
      <c r="AC290" s="2"/>
    </row>
    <row r="291" spans="1:29" ht="15.5">
      <c r="A291" s="13" t="str">
        <f>IF(OR(ISBLANK(C291),ISBLANK(D291),ISBLANK(F291),ISBLANK(G291)),"",COUNTIF($B$5:B291,"JAMBUTU"))</f>
        <v/>
      </c>
      <c r="B291" s="8" t="str">
        <f t="shared" si="35"/>
        <v/>
      </c>
      <c r="C291" s="8"/>
      <c r="D291" s="8"/>
      <c r="E291" s="13"/>
      <c r="F291" s="12"/>
      <c r="G291" s="11"/>
      <c r="H291" s="12"/>
      <c r="I291" s="11"/>
      <c r="J291" s="10">
        <f t="shared" si="29"/>
        <v>0</v>
      </c>
      <c r="K291" s="10">
        <f t="shared" si="30"/>
        <v>0</v>
      </c>
      <c r="L291" s="9" t="str">
        <f t="shared" si="31"/>
        <v/>
      </c>
      <c r="M291" s="8"/>
      <c r="N291" s="8"/>
      <c r="O291" s="8"/>
      <c r="P291" s="8"/>
      <c r="Q291" s="8"/>
      <c r="R291" s="8"/>
      <c r="S291" s="8"/>
      <c r="T291" s="8"/>
      <c r="U291" s="8"/>
      <c r="V291" s="7"/>
      <c r="W291" s="6" t="str">
        <f t="array" ref="W291">IF(NOT(ISBLANK(D291)),_xludf.XLOOKUP(D291,[2]CODE!$A$4:$A$100,[2]CODE!$D$4:$D$100),"")</f>
        <v/>
      </c>
      <c r="X291" s="5" t="str">
        <f t="array" ref="X291">IF(NOT(AND(ISBLANK(D291),ISBLANK(C291))),_xludf.XLOOKUP(D291,[2]CODE!$A$4:$A$100,[2]CODE!$E$4:$E$100),"")</f>
        <v/>
      </c>
      <c r="Y291" s="5" t="str">
        <f t="shared" si="32"/>
        <v/>
      </c>
      <c r="Z291" s="5" t="str">
        <f t="shared" si="33"/>
        <v/>
      </c>
      <c r="AA291" s="4">
        <f t="shared" si="34"/>
        <v>0</v>
      </c>
      <c r="AC291" s="2"/>
    </row>
    <row r="292" spans="1:29" ht="15.5">
      <c r="A292" s="13" t="str">
        <f>IF(OR(ISBLANK(C292),ISBLANK(D292),ISBLANK(F292),ISBLANK(G292)),"",COUNTIF($B$5:B292,"JAMBUTU"))</f>
        <v/>
      </c>
      <c r="B292" s="8" t="str">
        <f t="shared" si="35"/>
        <v/>
      </c>
      <c r="C292" s="8"/>
      <c r="D292" s="8"/>
      <c r="E292" s="13"/>
      <c r="F292" s="12"/>
      <c r="G292" s="11"/>
      <c r="H292" s="12"/>
      <c r="I292" s="11"/>
      <c r="J292" s="10">
        <f t="shared" si="29"/>
        <v>0</v>
      </c>
      <c r="K292" s="10">
        <f t="shared" si="30"/>
        <v>0</v>
      </c>
      <c r="L292" s="9" t="str">
        <f t="shared" si="31"/>
        <v/>
      </c>
      <c r="M292" s="8"/>
      <c r="N292" s="8"/>
      <c r="O292" s="8"/>
      <c r="P292" s="8"/>
      <c r="Q292" s="8"/>
      <c r="R292" s="8"/>
      <c r="S292" s="8"/>
      <c r="T292" s="8"/>
      <c r="U292" s="8"/>
      <c r="V292" s="7"/>
      <c r="W292" s="6" t="str">
        <f t="array" ref="W292">IF(NOT(ISBLANK(D292)),_xludf.XLOOKUP(D292,[2]CODE!$A$4:$A$100,[2]CODE!$D$4:$D$100),"")</f>
        <v/>
      </c>
      <c r="X292" s="5" t="str">
        <f t="array" ref="X292">IF(NOT(AND(ISBLANK(D292),ISBLANK(C292))),_xludf.XLOOKUP(D292,[2]CODE!$A$4:$A$100,[2]CODE!$E$4:$E$100),"")</f>
        <v/>
      </c>
      <c r="Y292" s="5" t="str">
        <f t="shared" si="32"/>
        <v/>
      </c>
      <c r="Z292" s="5" t="str">
        <f t="shared" si="33"/>
        <v/>
      </c>
      <c r="AA292" s="4">
        <f t="shared" si="34"/>
        <v>0</v>
      </c>
      <c r="AC292" s="2"/>
    </row>
    <row r="293" spans="1:29" ht="15.5">
      <c r="A293" s="13" t="str">
        <f>IF(OR(ISBLANK(C293),ISBLANK(D293),ISBLANK(F293),ISBLANK(G293)),"",COUNTIF($B$5:B293,"JAMBUTU"))</f>
        <v/>
      </c>
      <c r="B293" s="8" t="str">
        <f t="shared" si="35"/>
        <v/>
      </c>
      <c r="C293" s="8"/>
      <c r="D293" s="8"/>
      <c r="E293" s="13"/>
      <c r="F293" s="12"/>
      <c r="G293" s="11"/>
      <c r="H293" s="12"/>
      <c r="I293" s="11"/>
      <c r="J293" s="10">
        <f t="shared" si="29"/>
        <v>0</v>
      </c>
      <c r="K293" s="10">
        <f t="shared" si="30"/>
        <v>0</v>
      </c>
      <c r="L293" s="9" t="str">
        <f t="shared" si="31"/>
        <v/>
      </c>
      <c r="M293" s="8"/>
      <c r="N293" s="8"/>
      <c r="O293" s="8"/>
      <c r="P293" s="8"/>
      <c r="Q293" s="8"/>
      <c r="R293" s="8"/>
      <c r="S293" s="8"/>
      <c r="T293" s="8"/>
      <c r="U293" s="8"/>
      <c r="V293" s="7"/>
      <c r="W293" s="6" t="str">
        <f t="array" ref="W293">IF(NOT(ISBLANK(D293)),_xludf.XLOOKUP(D293,[2]CODE!$A$4:$A$100,[2]CODE!$D$4:$D$100),"")</f>
        <v/>
      </c>
      <c r="X293" s="5" t="str">
        <f t="array" ref="X293">IF(NOT(AND(ISBLANK(D293),ISBLANK(C293))),_xludf.XLOOKUP(D293,[2]CODE!$A$4:$A$100,[2]CODE!$E$4:$E$100),"")</f>
        <v/>
      </c>
      <c r="Y293" s="5" t="str">
        <f t="shared" si="32"/>
        <v/>
      </c>
      <c r="Z293" s="5" t="str">
        <f t="shared" si="33"/>
        <v/>
      </c>
      <c r="AA293" s="4">
        <f t="shared" si="34"/>
        <v>0</v>
      </c>
      <c r="AC293" s="2"/>
    </row>
    <row r="294" spans="1:29" ht="15.5">
      <c r="A294" s="13" t="str">
        <f>IF(OR(ISBLANK(C294),ISBLANK(D294),ISBLANK(F294),ISBLANK(G294)),"",COUNTIF($B$5:B294,"JAMBUTU"))</f>
        <v/>
      </c>
      <c r="B294" s="8" t="str">
        <f t="shared" si="35"/>
        <v/>
      </c>
      <c r="C294" s="8"/>
      <c r="D294" s="8"/>
      <c r="E294" s="13"/>
      <c r="F294" s="12"/>
      <c r="G294" s="11"/>
      <c r="H294" s="12"/>
      <c r="I294" s="11"/>
      <c r="J294" s="10">
        <f t="shared" si="29"/>
        <v>0</v>
      </c>
      <c r="K294" s="10">
        <f t="shared" si="30"/>
        <v>0</v>
      </c>
      <c r="L294" s="9" t="str">
        <f t="shared" si="31"/>
        <v/>
      </c>
      <c r="M294" s="8"/>
      <c r="N294" s="8"/>
      <c r="O294" s="8"/>
      <c r="P294" s="8"/>
      <c r="Q294" s="8"/>
      <c r="R294" s="8"/>
      <c r="S294" s="8"/>
      <c r="T294" s="8"/>
      <c r="U294" s="8"/>
      <c r="V294" s="7"/>
      <c r="W294" s="6" t="str">
        <f t="array" ref="W294">IF(NOT(ISBLANK(D294)),_xludf.XLOOKUP(D294,[2]CODE!$A$4:$A$100,[2]CODE!$D$4:$D$100),"")</f>
        <v/>
      </c>
      <c r="X294" s="5" t="str">
        <f t="array" ref="X294">IF(NOT(AND(ISBLANK(D294),ISBLANK(C294))),_xludf.XLOOKUP(D294,[2]CODE!$A$4:$A$100,[2]CODE!$E$4:$E$100),"")</f>
        <v/>
      </c>
      <c r="Y294" s="5" t="str">
        <f t="shared" si="32"/>
        <v/>
      </c>
      <c r="Z294" s="5" t="str">
        <f t="shared" si="33"/>
        <v/>
      </c>
      <c r="AA294" s="4">
        <f t="shared" si="34"/>
        <v>0</v>
      </c>
      <c r="AC294" s="2"/>
    </row>
    <row r="295" spans="1:29" ht="15.5">
      <c r="A295" s="13" t="str">
        <f>IF(OR(ISBLANK(C295),ISBLANK(D295),ISBLANK(F295),ISBLANK(G295)),"",COUNTIF($B$5:B295,"JAMBUTU"))</f>
        <v/>
      </c>
      <c r="B295" s="8" t="str">
        <f t="shared" si="35"/>
        <v/>
      </c>
      <c r="C295" s="8"/>
      <c r="D295" s="8"/>
      <c r="E295" s="13"/>
      <c r="F295" s="12"/>
      <c r="G295" s="11"/>
      <c r="H295" s="12"/>
      <c r="I295" s="11"/>
      <c r="J295" s="10">
        <f t="shared" si="29"/>
        <v>0</v>
      </c>
      <c r="K295" s="10">
        <f t="shared" si="30"/>
        <v>0</v>
      </c>
      <c r="L295" s="9" t="str">
        <f t="shared" si="31"/>
        <v/>
      </c>
      <c r="M295" s="8"/>
      <c r="N295" s="8"/>
      <c r="O295" s="8"/>
      <c r="P295" s="8"/>
      <c r="Q295" s="8"/>
      <c r="R295" s="8"/>
      <c r="S295" s="8"/>
      <c r="T295" s="8"/>
      <c r="U295" s="8"/>
      <c r="V295" s="7"/>
      <c r="W295" s="6" t="str">
        <f t="array" ref="W295">IF(NOT(ISBLANK(D295)),_xludf.XLOOKUP(D295,[2]CODE!$A$4:$A$100,[2]CODE!$D$4:$D$100),"")</f>
        <v/>
      </c>
      <c r="X295" s="5" t="str">
        <f t="array" ref="X295">IF(NOT(AND(ISBLANK(D295),ISBLANK(C295))),_xludf.XLOOKUP(D295,[2]CODE!$A$4:$A$100,[2]CODE!$E$4:$E$100),"")</f>
        <v/>
      </c>
      <c r="Y295" s="5" t="str">
        <f t="shared" si="32"/>
        <v/>
      </c>
      <c r="Z295" s="5" t="str">
        <f t="shared" si="33"/>
        <v/>
      </c>
      <c r="AA295" s="4">
        <f t="shared" si="34"/>
        <v>0</v>
      </c>
      <c r="AC295" s="2"/>
    </row>
    <row r="296" spans="1:29" ht="15.5">
      <c r="A296" s="13" t="str">
        <f>IF(OR(ISBLANK(C296),ISBLANK(D296),ISBLANK(F296),ISBLANK(G296)),"",COUNTIF($B$5:B296,"JAMBUTU"))</f>
        <v/>
      </c>
      <c r="B296" s="8" t="str">
        <f t="shared" si="35"/>
        <v/>
      </c>
      <c r="C296" s="8"/>
      <c r="D296" s="8"/>
      <c r="E296" s="13"/>
      <c r="F296" s="12"/>
      <c r="G296" s="11"/>
      <c r="H296" s="12"/>
      <c r="I296" s="11"/>
      <c r="J296" s="10">
        <f t="shared" si="29"/>
        <v>0</v>
      </c>
      <c r="K296" s="10">
        <f t="shared" si="30"/>
        <v>0</v>
      </c>
      <c r="L296" s="9" t="str">
        <f t="shared" si="31"/>
        <v/>
      </c>
      <c r="M296" s="8"/>
      <c r="N296" s="8"/>
      <c r="O296" s="8"/>
      <c r="P296" s="8"/>
      <c r="Q296" s="8"/>
      <c r="R296" s="8"/>
      <c r="S296" s="8"/>
      <c r="T296" s="8"/>
      <c r="U296" s="8"/>
      <c r="V296" s="7"/>
      <c r="W296" s="6" t="str">
        <f t="array" ref="W296">IF(NOT(ISBLANK(D296)),_xludf.XLOOKUP(D296,[2]CODE!$A$4:$A$100,[2]CODE!$D$4:$D$100),"")</f>
        <v/>
      </c>
      <c r="X296" s="5" t="str">
        <f t="array" ref="X296">IF(NOT(AND(ISBLANK(D296),ISBLANK(C296))),_xludf.XLOOKUP(D296,[2]CODE!$A$4:$A$100,[2]CODE!$E$4:$E$100),"")</f>
        <v/>
      </c>
      <c r="Y296" s="5" t="str">
        <f t="shared" si="32"/>
        <v/>
      </c>
      <c r="Z296" s="5" t="str">
        <f t="shared" si="33"/>
        <v/>
      </c>
      <c r="AA296" s="4">
        <f t="shared" si="34"/>
        <v>0</v>
      </c>
      <c r="AC296" s="2"/>
    </row>
    <row r="297" spans="1:29" ht="15.5">
      <c r="A297" s="13" t="str">
        <f>IF(OR(ISBLANK(C297),ISBLANK(D297),ISBLANK(F297),ISBLANK(G297)),"",COUNTIF($B$5:B297,"JAMBUTU"))</f>
        <v/>
      </c>
      <c r="B297" s="8" t="str">
        <f t="shared" si="35"/>
        <v/>
      </c>
      <c r="C297" s="8"/>
      <c r="D297" s="8"/>
      <c r="E297" s="13"/>
      <c r="F297" s="12"/>
      <c r="G297" s="11"/>
      <c r="H297" s="12"/>
      <c r="I297" s="11"/>
      <c r="J297" s="10">
        <f t="shared" si="29"/>
        <v>0</v>
      </c>
      <c r="K297" s="10">
        <f t="shared" si="30"/>
        <v>0</v>
      </c>
      <c r="L297" s="9" t="str">
        <f t="shared" si="31"/>
        <v/>
      </c>
      <c r="M297" s="8"/>
      <c r="N297" s="8"/>
      <c r="O297" s="8"/>
      <c r="P297" s="8"/>
      <c r="Q297" s="8"/>
      <c r="R297" s="8"/>
      <c r="S297" s="8"/>
      <c r="T297" s="8"/>
      <c r="U297" s="8"/>
      <c r="V297" s="7"/>
      <c r="W297" s="6" t="str">
        <f t="array" ref="W297">IF(NOT(ISBLANK(D297)),_xludf.XLOOKUP(D297,[2]CODE!$A$4:$A$100,[2]CODE!$D$4:$D$100),"")</f>
        <v/>
      </c>
      <c r="X297" s="5" t="str">
        <f t="array" ref="X297">IF(NOT(AND(ISBLANK(D297),ISBLANK(C297))),_xludf.XLOOKUP(D297,[2]CODE!$A$4:$A$100,[2]CODE!$E$4:$E$100),"")</f>
        <v/>
      </c>
      <c r="Y297" s="5" t="str">
        <f t="shared" si="32"/>
        <v/>
      </c>
      <c r="Z297" s="5" t="str">
        <f t="shared" si="33"/>
        <v/>
      </c>
      <c r="AA297" s="4">
        <f t="shared" si="34"/>
        <v>0</v>
      </c>
      <c r="AC297" s="2"/>
    </row>
    <row r="298" spans="1:29" ht="15.5">
      <c r="A298" s="13" t="str">
        <f>IF(OR(ISBLANK(C298),ISBLANK(D298),ISBLANK(F298),ISBLANK(G298)),"",COUNTIF($B$5:B298,"JAMBUTU"))</f>
        <v/>
      </c>
      <c r="B298" s="8" t="str">
        <f t="shared" si="35"/>
        <v/>
      </c>
      <c r="C298" s="8"/>
      <c r="D298" s="8"/>
      <c r="E298" s="13"/>
      <c r="F298" s="12"/>
      <c r="G298" s="11"/>
      <c r="H298" s="12"/>
      <c r="I298" s="11"/>
      <c r="J298" s="10">
        <f t="shared" si="29"/>
        <v>0</v>
      </c>
      <c r="K298" s="10">
        <f t="shared" si="30"/>
        <v>0</v>
      </c>
      <c r="L298" s="9" t="str">
        <f t="shared" si="31"/>
        <v/>
      </c>
      <c r="M298" s="8"/>
      <c r="N298" s="8"/>
      <c r="O298" s="8"/>
      <c r="P298" s="8"/>
      <c r="Q298" s="8"/>
      <c r="R298" s="8"/>
      <c r="S298" s="8"/>
      <c r="T298" s="8"/>
      <c r="U298" s="8"/>
      <c r="V298" s="7"/>
      <c r="W298" s="6" t="str">
        <f t="array" ref="W298">IF(NOT(ISBLANK(D298)),_xludf.XLOOKUP(D298,[2]CODE!$A$4:$A$100,[2]CODE!$D$4:$D$100),"")</f>
        <v/>
      </c>
      <c r="X298" s="5" t="str">
        <f t="array" ref="X298">IF(NOT(AND(ISBLANK(D298),ISBLANK(C298))),_xludf.XLOOKUP(D298,[2]CODE!$A$4:$A$100,[2]CODE!$E$4:$E$100),"")</f>
        <v/>
      </c>
      <c r="Y298" s="5" t="str">
        <f t="shared" si="32"/>
        <v/>
      </c>
      <c r="Z298" s="5" t="str">
        <f t="shared" si="33"/>
        <v/>
      </c>
      <c r="AA298" s="4">
        <f t="shared" si="34"/>
        <v>0</v>
      </c>
      <c r="AC298" s="2"/>
    </row>
    <row r="299" spans="1:29" ht="15.5">
      <c r="A299" s="13" t="str">
        <f>IF(OR(ISBLANK(C299),ISBLANK(D299),ISBLANK(F299),ISBLANK(G299)),"",COUNTIF($B$5:B299,"JAMBUTU"))</f>
        <v/>
      </c>
      <c r="B299" s="8" t="str">
        <f t="shared" si="35"/>
        <v/>
      </c>
      <c r="C299" s="8"/>
      <c r="D299" s="8"/>
      <c r="E299" s="13"/>
      <c r="F299" s="12"/>
      <c r="G299" s="11"/>
      <c r="H299" s="12"/>
      <c r="I299" s="11"/>
      <c r="J299" s="10">
        <f t="shared" si="29"/>
        <v>0</v>
      </c>
      <c r="K299" s="10">
        <f t="shared" si="30"/>
        <v>0</v>
      </c>
      <c r="L299" s="9" t="str">
        <f t="shared" si="31"/>
        <v/>
      </c>
      <c r="M299" s="8"/>
      <c r="N299" s="8"/>
      <c r="O299" s="8"/>
      <c r="P299" s="8"/>
      <c r="Q299" s="8"/>
      <c r="R299" s="8"/>
      <c r="S299" s="8"/>
      <c r="T299" s="8"/>
      <c r="U299" s="8"/>
      <c r="V299" s="7"/>
      <c r="W299" s="6" t="str">
        <f t="array" ref="W299">IF(NOT(ISBLANK(D299)),_xludf.XLOOKUP(D299,[2]CODE!$A$4:$A$100,[2]CODE!$D$4:$D$100),"")</f>
        <v/>
      </c>
      <c r="X299" s="5" t="str">
        <f t="array" ref="X299">IF(NOT(AND(ISBLANK(D299),ISBLANK(C299))),_xludf.XLOOKUP(D299,[2]CODE!$A$4:$A$100,[2]CODE!$E$4:$E$100),"")</f>
        <v/>
      </c>
      <c r="Y299" s="5" t="str">
        <f t="shared" si="32"/>
        <v/>
      </c>
      <c r="Z299" s="5" t="str">
        <f t="shared" si="33"/>
        <v/>
      </c>
      <c r="AA299" s="4">
        <f t="shared" si="34"/>
        <v>0</v>
      </c>
      <c r="AC299" s="2"/>
    </row>
    <row r="300" spans="1:29" ht="15.5">
      <c r="A300" s="13" t="str">
        <f>IF(OR(ISBLANK(C300),ISBLANK(D300),ISBLANK(F300),ISBLANK(G300)),"",COUNTIF($B$5:B300,"JAMBUTU"))</f>
        <v/>
      </c>
      <c r="B300" s="8" t="str">
        <f t="shared" si="35"/>
        <v/>
      </c>
      <c r="C300" s="8"/>
      <c r="D300" s="8"/>
      <c r="E300" s="13"/>
      <c r="F300" s="12"/>
      <c r="G300" s="11"/>
      <c r="H300" s="12"/>
      <c r="I300" s="11"/>
      <c r="J300" s="10">
        <f t="shared" si="29"/>
        <v>0</v>
      </c>
      <c r="K300" s="10">
        <f t="shared" si="30"/>
        <v>0</v>
      </c>
      <c r="L300" s="9" t="str">
        <f t="shared" si="31"/>
        <v/>
      </c>
      <c r="M300" s="8"/>
      <c r="N300" s="8"/>
      <c r="O300" s="8"/>
      <c r="P300" s="8"/>
      <c r="Q300" s="8"/>
      <c r="R300" s="8"/>
      <c r="S300" s="8"/>
      <c r="T300" s="8"/>
      <c r="U300" s="8"/>
      <c r="V300" s="7"/>
      <c r="W300" s="6" t="str">
        <f t="array" ref="W300">IF(NOT(ISBLANK(D300)),_xludf.XLOOKUP(D300,[2]CODE!$A$4:$A$100,[2]CODE!$D$4:$D$100),"")</f>
        <v/>
      </c>
      <c r="X300" s="5" t="str">
        <f t="array" ref="X300">IF(NOT(AND(ISBLANK(D300),ISBLANK(C300))),_xludf.XLOOKUP(D300,[2]CODE!$A$4:$A$100,[2]CODE!$E$4:$E$100),"")</f>
        <v/>
      </c>
      <c r="Y300" s="5" t="str">
        <f t="shared" si="32"/>
        <v/>
      </c>
      <c r="Z300" s="5" t="str">
        <f t="shared" si="33"/>
        <v/>
      </c>
      <c r="AA300" s="4">
        <f t="shared" si="34"/>
        <v>0</v>
      </c>
      <c r="AC300" s="2"/>
    </row>
    <row r="301" spans="1:29" ht="15.5">
      <c r="A301" s="13" t="str">
        <f>IF(OR(ISBLANK(C301),ISBLANK(D301),ISBLANK(F301),ISBLANK(G301)),"",COUNTIF($B$5:B301,"JAMBUTU"))</f>
        <v/>
      </c>
      <c r="B301" s="8" t="str">
        <f t="shared" si="35"/>
        <v/>
      </c>
      <c r="C301" s="8"/>
      <c r="D301" s="8"/>
      <c r="E301" s="13"/>
      <c r="F301" s="12"/>
      <c r="G301" s="11"/>
      <c r="H301" s="12"/>
      <c r="I301" s="11"/>
      <c r="J301" s="10">
        <f t="shared" si="29"/>
        <v>0</v>
      </c>
      <c r="K301" s="10">
        <f t="shared" si="30"/>
        <v>0</v>
      </c>
      <c r="L301" s="9" t="str">
        <f t="shared" si="31"/>
        <v/>
      </c>
      <c r="M301" s="8"/>
      <c r="N301" s="8"/>
      <c r="O301" s="8"/>
      <c r="P301" s="8"/>
      <c r="Q301" s="8"/>
      <c r="R301" s="8"/>
      <c r="S301" s="8"/>
      <c r="T301" s="8"/>
      <c r="U301" s="8"/>
      <c r="V301" s="7"/>
      <c r="W301" s="6" t="str">
        <f t="array" ref="W301">IF(NOT(ISBLANK(D301)),_xludf.XLOOKUP(D301,[2]CODE!$A$4:$A$100,[2]CODE!$D$4:$D$100),"")</f>
        <v/>
      </c>
      <c r="X301" s="5" t="str">
        <f t="array" ref="X301">IF(NOT(AND(ISBLANK(D301),ISBLANK(C301))),_xludf.XLOOKUP(D301,[2]CODE!$A$4:$A$100,[2]CODE!$E$4:$E$100),"")</f>
        <v/>
      </c>
      <c r="Y301" s="5" t="str">
        <f t="shared" si="32"/>
        <v/>
      </c>
      <c r="Z301" s="5" t="str">
        <f t="shared" si="33"/>
        <v/>
      </c>
      <c r="AA301" s="4">
        <f t="shared" si="34"/>
        <v>0</v>
      </c>
      <c r="AC301" s="2"/>
    </row>
    <row r="302" spans="1:29" ht="15.5">
      <c r="A302" s="13" t="str">
        <f>IF(OR(ISBLANK(C302),ISBLANK(D302),ISBLANK(F302),ISBLANK(G302)),"",COUNTIF($B$5:B302,"JAMBUTU"))</f>
        <v/>
      </c>
      <c r="B302" s="8" t="str">
        <f t="shared" si="35"/>
        <v/>
      </c>
      <c r="C302" s="8"/>
      <c r="D302" s="8"/>
      <c r="E302" s="13"/>
      <c r="F302" s="12"/>
      <c r="G302" s="11"/>
      <c r="H302" s="12"/>
      <c r="I302" s="11"/>
      <c r="J302" s="10">
        <f t="shared" si="29"/>
        <v>0</v>
      </c>
      <c r="K302" s="10">
        <f t="shared" si="30"/>
        <v>0</v>
      </c>
      <c r="L302" s="9" t="str">
        <f t="shared" si="31"/>
        <v/>
      </c>
      <c r="M302" s="8"/>
      <c r="N302" s="8"/>
      <c r="O302" s="8"/>
      <c r="P302" s="8"/>
      <c r="Q302" s="8"/>
      <c r="R302" s="8"/>
      <c r="S302" s="8"/>
      <c r="T302" s="8"/>
      <c r="U302" s="8"/>
      <c r="V302" s="7"/>
      <c r="W302" s="6" t="str">
        <f t="array" ref="W302">IF(NOT(ISBLANK(D302)),_xludf.XLOOKUP(D302,[2]CODE!$A$4:$A$100,[2]CODE!$D$4:$D$100),"")</f>
        <v/>
      </c>
      <c r="X302" s="5" t="str">
        <f t="array" ref="X302">IF(NOT(AND(ISBLANK(D302),ISBLANK(C302))),_xludf.XLOOKUP(D302,[2]CODE!$A$4:$A$100,[2]CODE!$E$4:$E$100),"")</f>
        <v/>
      </c>
      <c r="Y302" s="5" t="str">
        <f t="shared" si="32"/>
        <v/>
      </c>
      <c r="Z302" s="5" t="str">
        <f t="shared" si="33"/>
        <v/>
      </c>
      <c r="AA302" s="4">
        <f t="shared" si="34"/>
        <v>0</v>
      </c>
      <c r="AC302" s="2"/>
    </row>
    <row r="303" spans="1:29" ht="15.5">
      <c r="A303" s="13" t="str">
        <f>IF(OR(ISBLANK(C303),ISBLANK(D303),ISBLANK(F303),ISBLANK(G303)),"",COUNTIF($B$5:B303,"JAMBUTU"))</f>
        <v/>
      </c>
      <c r="B303" s="8" t="str">
        <f t="shared" si="35"/>
        <v/>
      </c>
      <c r="C303" s="8"/>
      <c r="D303" s="8"/>
      <c r="E303" s="13"/>
      <c r="F303" s="12"/>
      <c r="G303" s="11"/>
      <c r="H303" s="12"/>
      <c r="I303" s="11"/>
      <c r="J303" s="10">
        <f t="shared" si="29"/>
        <v>0</v>
      </c>
      <c r="K303" s="10">
        <f t="shared" si="30"/>
        <v>0</v>
      </c>
      <c r="L303" s="9" t="str">
        <f t="shared" si="31"/>
        <v/>
      </c>
      <c r="M303" s="8"/>
      <c r="N303" s="8"/>
      <c r="O303" s="8"/>
      <c r="P303" s="8"/>
      <c r="Q303" s="8"/>
      <c r="R303" s="8"/>
      <c r="S303" s="8"/>
      <c r="T303" s="8"/>
      <c r="U303" s="8"/>
      <c r="V303" s="7"/>
      <c r="W303" s="6" t="str">
        <f t="array" ref="W303">IF(NOT(ISBLANK(D303)),_xludf.XLOOKUP(D303,[2]CODE!$A$4:$A$100,[2]CODE!$D$4:$D$100),"")</f>
        <v/>
      </c>
      <c r="X303" s="5" t="str">
        <f t="array" ref="X303">IF(NOT(AND(ISBLANK(D303),ISBLANK(C303))),_xludf.XLOOKUP(D303,[2]CODE!$A$4:$A$100,[2]CODE!$E$4:$E$100),"")</f>
        <v/>
      </c>
      <c r="Y303" s="5" t="str">
        <f t="shared" si="32"/>
        <v/>
      </c>
      <c r="Z303" s="5" t="str">
        <f t="shared" si="33"/>
        <v/>
      </c>
      <c r="AA303" s="4">
        <f t="shared" si="34"/>
        <v>0</v>
      </c>
      <c r="AC303" s="2"/>
    </row>
    <row r="304" spans="1:29" ht="15.5">
      <c r="A304" s="13" t="str">
        <f>IF(OR(ISBLANK(C304),ISBLANK(D304),ISBLANK(F304),ISBLANK(G304)),"",COUNTIF($B$5:B304,"JAMBUTU"))</f>
        <v/>
      </c>
      <c r="B304" s="8" t="str">
        <f t="shared" si="35"/>
        <v/>
      </c>
      <c r="C304" s="8"/>
      <c r="D304" s="8"/>
      <c r="E304" s="13"/>
      <c r="F304" s="12"/>
      <c r="G304" s="11"/>
      <c r="H304" s="12"/>
      <c r="I304" s="11"/>
      <c r="J304" s="10">
        <f t="shared" si="29"/>
        <v>0</v>
      </c>
      <c r="K304" s="10">
        <f t="shared" si="30"/>
        <v>0</v>
      </c>
      <c r="L304" s="9" t="str">
        <f t="shared" si="31"/>
        <v/>
      </c>
      <c r="M304" s="8"/>
      <c r="N304" s="8"/>
      <c r="O304" s="8"/>
      <c r="P304" s="8"/>
      <c r="Q304" s="8"/>
      <c r="R304" s="8"/>
      <c r="S304" s="8"/>
      <c r="T304" s="8"/>
      <c r="U304" s="8"/>
      <c r="V304" s="7"/>
      <c r="W304" s="6" t="str">
        <f t="array" ref="W304">IF(NOT(ISBLANK(D304)),_xludf.XLOOKUP(D304,[2]CODE!$A$4:$A$100,[2]CODE!$D$4:$D$100),"")</f>
        <v/>
      </c>
      <c r="X304" s="5" t="str">
        <f t="array" ref="X304">IF(NOT(AND(ISBLANK(D304),ISBLANK(C304))),_xludf.XLOOKUP(D304,[2]CODE!$A$4:$A$100,[2]CODE!$E$4:$E$100),"")</f>
        <v/>
      </c>
      <c r="Y304" s="5" t="str">
        <f t="shared" si="32"/>
        <v/>
      </c>
      <c r="Z304" s="5" t="str">
        <f t="shared" si="33"/>
        <v/>
      </c>
      <c r="AA304" s="4">
        <f t="shared" si="34"/>
        <v>0</v>
      </c>
      <c r="AC304" s="2"/>
    </row>
    <row r="305" spans="1:29" ht="15.5">
      <c r="A305" s="13" t="str">
        <f>IF(OR(ISBLANK(C305),ISBLANK(D305),ISBLANK(F305),ISBLANK(G305)),"",COUNTIF($B$5:B305,"JAMBUTU"))</f>
        <v/>
      </c>
      <c r="B305" s="8" t="str">
        <f t="shared" si="35"/>
        <v/>
      </c>
      <c r="C305" s="8"/>
      <c r="D305" s="8"/>
      <c r="E305" s="13"/>
      <c r="F305" s="12"/>
      <c r="G305" s="11"/>
      <c r="H305" s="12"/>
      <c r="I305" s="11"/>
      <c r="J305" s="10">
        <f t="shared" si="29"/>
        <v>0</v>
      </c>
      <c r="K305" s="10">
        <f t="shared" si="30"/>
        <v>0</v>
      </c>
      <c r="L305" s="9" t="str">
        <f t="shared" si="31"/>
        <v/>
      </c>
      <c r="M305" s="8"/>
      <c r="N305" s="8"/>
      <c r="O305" s="8"/>
      <c r="P305" s="8"/>
      <c r="Q305" s="8"/>
      <c r="R305" s="8"/>
      <c r="S305" s="8"/>
      <c r="T305" s="8"/>
      <c r="U305" s="8"/>
      <c r="V305" s="7"/>
      <c r="W305" s="6" t="str">
        <f t="array" ref="W305">IF(NOT(ISBLANK(D305)),_xludf.XLOOKUP(D305,[2]CODE!$A$4:$A$100,[2]CODE!$D$4:$D$100),"")</f>
        <v/>
      </c>
      <c r="X305" s="5" t="str">
        <f t="array" ref="X305">IF(NOT(AND(ISBLANK(D305),ISBLANK(C305))),_xludf.XLOOKUP(D305,[2]CODE!$A$4:$A$100,[2]CODE!$E$4:$E$100),"")</f>
        <v/>
      </c>
      <c r="Y305" s="5" t="str">
        <f t="shared" si="32"/>
        <v/>
      </c>
      <c r="Z305" s="5" t="str">
        <f t="shared" si="33"/>
        <v/>
      </c>
      <c r="AA305" s="4">
        <f t="shared" si="34"/>
        <v>0</v>
      </c>
      <c r="AC305" s="2"/>
    </row>
    <row r="306" spans="1:29" ht="15.5">
      <c r="A306" s="13" t="str">
        <f>IF(OR(ISBLANK(C306),ISBLANK(D306),ISBLANK(F306),ISBLANK(G306)),"",COUNTIF($B$5:B306,"JAMBUTU"))</f>
        <v/>
      </c>
      <c r="B306" s="8" t="str">
        <f t="shared" si="35"/>
        <v/>
      </c>
      <c r="C306" s="8"/>
      <c r="D306" s="8"/>
      <c r="E306" s="13"/>
      <c r="F306" s="12"/>
      <c r="G306" s="11"/>
      <c r="H306" s="12"/>
      <c r="I306" s="15"/>
      <c r="J306" s="10">
        <f t="shared" si="29"/>
        <v>0</v>
      </c>
      <c r="K306" s="10">
        <f t="shared" si="30"/>
        <v>0</v>
      </c>
      <c r="L306" s="9" t="str">
        <f t="shared" si="31"/>
        <v/>
      </c>
      <c r="M306" s="8"/>
      <c r="N306" s="8"/>
      <c r="O306" s="8"/>
      <c r="P306" s="8"/>
      <c r="Q306" s="8"/>
      <c r="R306" s="8"/>
      <c r="S306" s="8"/>
      <c r="T306" s="8"/>
      <c r="U306" s="8"/>
      <c r="V306" s="7"/>
      <c r="W306" s="6" t="str">
        <f t="array" ref="W306">IF(NOT(ISBLANK(D306)),_xludf.XLOOKUP(D306,[2]CODE!$A$4:$A$100,[2]CODE!$D$4:$D$100),"")</f>
        <v/>
      </c>
      <c r="X306" s="5" t="str">
        <f t="array" ref="X306">IF(NOT(AND(ISBLANK(D306),ISBLANK(C306))),_xludf.XLOOKUP(D306,[2]CODE!$A$4:$A$100,[2]CODE!$E$4:$E$100),"")</f>
        <v/>
      </c>
      <c r="Y306" s="5" t="str">
        <f t="shared" si="32"/>
        <v/>
      </c>
      <c r="Z306" s="5" t="str">
        <f t="shared" si="33"/>
        <v/>
      </c>
      <c r="AA306" s="4">
        <f t="shared" si="34"/>
        <v>0</v>
      </c>
      <c r="AC306" s="2"/>
    </row>
    <row r="307" spans="1:29" ht="15.5">
      <c r="A307" s="13" t="str">
        <f>IF(OR(ISBLANK(C307),ISBLANK(D307),ISBLANK(F307),ISBLANK(G307)),"",COUNTIF($B$5:B307,"JAMBUTU"))</f>
        <v/>
      </c>
      <c r="B307" s="8" t="str">
        <f t="shared" si="35"/>
        <v/>
      </c>
      <c r="C307" s="8"/>
      <c r="D307" s="8"/>
      <c r="E307" s="13"/>
      <c r="F307" s="12"/>
      <c r="G307" s="11"/>
      <c r="H307" s="12"/>
      <c r="I307" s="11"/>
      <c r="J307" s="10">
        <f t="shared" si="29"/>
        <v>0</v>
      </c>
      <c r="K307" s="10">
        <f t="shared" si="30"/>
        <v>0</v>
      </c>
      <c r="L307" s="9" t="str">
        <f t="shared" si="31"/>
        <v/>
      </c>
      <c r="M307" s="8"/>
      <c r="N307" s="8"/>
      <c r="O307" s="8"/>
      <c r="P307" s="8"/>
      <c r="Q307" s="8"/>
      <c r="R307" s="8"/>
      <c r="S307" s="8"/>
      <c r="T307" s="8"/>
      <c r="U307" s="8"/>
      <c r="V307" s="7"/>
      <c r="W307" s="6" t="str">
        <f t="array" ref="W307">IF(NOT(ISBLANK(D307)),_xludf.XLOOKUP(D307,[2]CODE!$A$4:$A$100,[2]CODE!$D$4:$D$100),"")</f>
        <v/>
      </c>
      <c r="X307" s="5" t="str">
        <f t="array" ref="X307">IF(NOT(AND(ISBLANK(D307),ISBLANK(C307))),_xludf.XLOOKUP(D307,[2]CODE!$A$4:$A$100,[2]CODE!$E$4:$E$100),"")</f>
        <v/>
      </c>
      <c r="Y307" s="5" t="str">
        <f t="shared" si="32"/>
        <v/>
      </c>
      <c r="Z307" s="5" t="str">
        <f t="shared" si="33"/>
        <v/>
      </c>
      <c r="AA307" s="4">
        <f t="shared" si="34"/>
        <v>0</v>
      </c>
      <c r="AC307" s="2"/>
    </row>
    <row r="308" spans="1:29" ht="15.5">
      <c r="A308" s="13" t="str">
        <f>IF(OR(ISBLANK(C308),ISBLANK(D308),ISBLANK(F308),ISBLANK(G308)),"",COUNTIF($B$5:B308,"JAMBUTU"))</f>
        <v/>
      </c>
      <c r="B308" s="8" t="str">
        <f t="shared" si="35"/>
        <v/>
      </c>
      <c r="C308" s="8"/>
      <c r="D308" s="8"/>
      <c r="E308" s="13"/>
      <c r="F308" s="12"/>
      <c r="G308" s="11"/>
      <c r="H308" s="12"/>
      <c r="I308" s="11"/>
      <c r="J308" s="10">
        <f t="shared" si="29"/>
        <v>0</v>
      </c>
      <c r="K308" s="10">
        <f t="shared" si="30"/>
        <v>0</v>
      </c>
      <c r="L308" s="9" t="str">
        <f t="shared" si="31"/>
        <v/>
      </c>
      <c r="M308" s="8"/>
      <c r="N308" s="8"/>
      <c r="O308" s="8"/>
      <c r="P308" s="8"/>
      <c r="Q308" s="8"/>
      <c r="R308" s="8"/>
      <c r="S308" s="8"/>
      <c r="T308" s="8"/>
      <c r="U308" s="8"/>
      <c r="V308" s="7"/>
      <c r="W308" s="6" t="str">
        <f t="array" ref="W308">IF(NOT(ISBLANK(D308)),_xludf.XLOOKUP(D308,[2]CODE!$A$4:$A$100,[2]CODE!$D$4:$D$100),"")</f>
        <v/>
      </c>
      <c r="X308" s="5" t="str">
        <f t="array" ref="X308">IF(NOT(AND(ISBLANK(D308),ISBLANK(C308))),_xludf.XLOOKUP(D308,[2]CODE!$A$4:$A$100,[2]CODE!$E$4:$E$100),"")</f>
        <v/>
      </c>
      <c r="Y308" s="5" t="str">
        <f t="shared" si="32"/>
        <v/>
      </c>
      <c r="Z308" s="5" t="str">
        <f t="shared" si="33"/>
        <v/>
      </c>
      <c r="AA308" s="4">
        <f t="shared" si="34"/>
        <v>0</v>
      </c>
      <c r="AC308" s="2"/>
    </row>
    <row r="309" spans="1:29" ht="15.5">
      <c r="A309" s="13" t="str">
        <f>IF(OR(ISBLANK(C309),ISBLANK(D309),ISBLANK(F309),ISBLANK(G309)),"",COUNTIF($B$5:B309,"JAMBUTU"))</f>
        <v/>
      </c>
      <c r="B309" s="8" t="str">
        <f t="shared" si="35"/>
        <v/>
      </c>
      <c r="C309" s="8"/>
      <c r="D309" s="8"/>
      <c r="E309" s="13"/>
      <c r="F309" s="12"/>
      <c r="G309" s="11"/>
      <c r="H309" s="12"/>
      <c r="I309" s="15"/>
      <c r="J309" s="10">
        <f t="shared" si="29"/>
        <v>0</v>
      </c>
      <c r="K309" s="10">
        <f t="shared" si="30"/>
        <v>0</v>
      </c>
      <c r="L309" s="9" t="str">
        <f t="shared" si="31"/>
        <v/>
      </c>
      <c r="M309" s="8"/>
      <c r="N309" s="8"/>
      <c r="O309" s="8"/>
      <c r="P309" s="8"/>
      <c r="Q309" s="8"/>
      <c r="R309" s="8"/>
      <c r="S309" s="8"/>
      <c r="T309" s="8"/>
      <c r="U309" s="8"/>
      <c r="V309" s="7"/>
      <c r="W309" s="6" t="str">
        <f t="array" ref="W309">IF(NOT(ISBLANK(D309)),_xludf.XLOOKUP(D309,[2]CODE!$A$4:$A$100,[2]CODE!$D$4:$D$100),"")</f>
        <v/>
      </c>
      <c r="X309" s="5" t="str">
        <f t="array" ref="X309">IF(NOT(AND(ISBLANK(D309),ISBLANK(C309))),_xludf.XLOOKUP(D309,[2]CODE!$A$4:$A$100,[2]CODE!$E$4:$E$100),"")</f>
        <v/>
      </c>
      <c r="Y309" s="5" t="str">
        <f t="shared" si="32"/>
        <v/>
      </c>
      <c r="Z309" s="5" t="str">
        <f t="shared" si="33"/>
        <v/>
      </c>
      <c r="AA309" s="4">
        <f t="shared" si="34"/>
        <v>0</v>
      </c>
      <c r="AC309" s="2"/>
    </row>
    <row r="310" spans="1:29" ht="15.5">
      <c r="A310" s="13" t="str">
        <f>IF(OR(ISBLANK(C310),ISBLANK(D310),ISBLANK(F310),ISBLANK(G310)),"",COUNTIF($B$5:B310,"JAMBUTU"))</f>
        <v/>
      </c>
      <c r="B310" s="8" t="str">
        <f t="shared" si="35"/>
        <v/>
      </c>
      <c r="C310" s="8"/>
      <c r="D310" s="8"/>
      <c r="E310" s="13"/>
      <c r="F310" s="12"/>
      <c r="G310" s="11"/>
      <c r="H310" s="12"/>
      <c r="I310" s="11"/>
      <c r="J310" s="10">
        <f t="shared" si="29"/>
        <v>0</v>
      </c>
      <c r="K310" s="10">
        <f t="shared" si="30"/>
        <v>0</v>
      </c>
      <c r="L310" s="9" t="str">
        <f t="shared" si="31"/>
        <v/>
      </c>
      <c r="M310" s="8"/>
      <c r="N310" s="8"/>
      <c r="O310" s="8"/>
      <c r="P310" s="8"/>
      <c r="Q310" s="8"/>
      <c r="R310" s="8"/>
      <c r="S310" s="8"/>
      <c r="T310" s="8"/>
      <c r="U310" s="8"/>
      <c r="V310" s="7"/>
      <c r="W310" s="6" t="str">
        <f t="array" ref="W310">IF(NOT(ISBLANK(D310)),_xludf.XLOOKUP(D310,[2]CODE!$A$4:$A$100,[2]CODE!$D$4:$D$100),"")</f>
        <v/>
      </c>
      <c r="X310" s="5" t="str">
        <f t="array" ref="X310">IF(NOT(AND(ISBLANK(D310),ISBLANK(C310))),_xludf.XLOOKUP(D310,[2]CODE!$A$4:$A$100,[2]CODE!$E$4:$E$100),"")</f>
        <v/>
      </c>
      <c r="Y310" s="5" t="str">
        <f t="shared" si="32"/>
        <v/>
      </c>
      <c r="Z310" s="5" t="str">
        <f t="shared" si="33"/>
        <v/>
      </c>
      <c r="AA310" s="4">
        <f t="shared" si="34"/>
        <v>0</v>
      </c>
      <c r="AC310" s="2"/>
    </row>
    <row r="311" spans="1:29" ht="15.5">
      <c r="A311" s="13" t="str">
        <f>IF(OR(ISBLANK(C311),ISBLANK(D311),ISBLANK(F311),ISBLANK(G311)),"",COUNTIF($B$5:B311,"JAMBUTU"))</f>
        <v/>
      </c>
      <c r="B311" s="8" t="str">
        <f t="shared" si="35"/>
        <v/>
      </c>
      <c r="C311" s="8"/>
      <c r="D311" s="8"/>
      <c r="E311" s="13"/>
      <c r="F311" s="12"/>
      <c r="G311" s="11"/>
      <c r="H311" s="12"/>
      <c r="I311" s="11"/>
      <c r="J311" s="10">
        <f t="shared" si="29"/>
        <v>0</v>
      </c>
      <c r="K311" s="10">
        <f t="shared" si="30"/>
        <v>0</v>
      </c>
      <c r="L311" s="9" t="str">
        <f t="shared" si="31"/>
        <v/>
      </c>
      <c r="M311" s="8"/>
      <c r="N311" s="8"/>
      <c r="O311" s="8"/>
      <c r="P311" s="8"/>
      <c r="Q311" s="8"/>
      <c r="R311" s="8"/>
      <c r="S311" s="8"/>
      <c r="T311" s="8"/>
      <c r="U311" s="8"/>
      <c r="V311" s="7"/>
      <c r="W311" s="6" t="str">
        <f t="array" ref="W311">IF(NOT(ISBLANK(D311)),_xludf.XLOOKUP(D311,[2]CODE!$A$4:$A$100,[2]CODE!$D$4:$D$100),"")</f>
        <v/>
      </c>
      <c r="X311" s="5" t="str">
        <f t="array" ref="X311">IF(NOT(AND(ISBLANK(D311),ISBLANK(C311))),_xludf.XLOOKUP(D311,[2]CODE!$A$4:$A$100,[2]CODE!$E$4:$E$100),"")</f>
        <v/>
      </c>
      <c r="Y311" s="5" t="str">
        <f t="shared" si="32"/>
        <v/>
      </c>
      <c r="Z311" s="5" t="str">
        <f t="shared" si="33"/>
        <v/>
      </c>
      <c r="AA311" s="4">
        <f t="shared" si="34"/>
        <v>0</v>
      </c>
      <c r="AC311" s="2"/>
    </row>
    <row r="312" spans="1:29" ht="15.5">
      <c r="A312" s="13" t="str">
        <f>IF(OR(ISBLANK(C312),ISBLANK(D312),ISBLANK(F312),ISBLANK(G312)),"",COUNTIF($B$5:B312,"JAMBUTU"))</f>
        <v/>
      </c>
      <c r="B312" s="8" t="str">
        <f t="shared" si="35"/>
        <v/>
      </c>
      <c r="C312" s="8"/>
      <c r="D312" s="8"/>
      <c r="E312" s="13"/>
      <c r="F312" s="12"/>
      <c r="G312" s="11"/>
      <c r="H312" s="12"/>
      <c r="I312" s="11"/>
      <c r="J312" s="10">
        <f t="shared" si="29"/>
        <v>0</v>
      </c>
      <c r="K312" s="10">
        <f t="shared" si="30"/>
        <v>0</v>
      </c>
      <c r="L312" s="9" t="str">
        <f t="shared" si="31"/>
        <v/>
      </c>
      <c r="M312" s="8"/>
      <c r="N312" s="8"/>
      <c r="O312" s="8"/>
      <c r="P312" s="8"/>
      <c r="Q312" s="8"/>
      <c r="R312" s="8"/>
      <c r="S312" s="8"/>
      <c r="T312" s="8"/>
      <c r="U312" s="8"/>
      <c r="V312" s="7"/>
      <c r="W312" s="6" t="str">
        <f t="array" ref="W312">IF(NOT(ISBLANK(D312)),_xludf.XLOOKUP(D312,[2]CODE!$A$4:$A$100,[2]CODE!$D$4:$D$100),"")</f>
        <v/>
      </c>
      <c r="X312" s="5" t="str">
        <f t="array" ref="X312">IF(NOT(AND(ISBLANK(D312),ISBLANK(C312))),_xludf.XLOOKUP(D312,[2]CODE!$A$4:$A$100,[2]CODE!$E$4:$E$100),"")</f>
        <v/>
      </c>
      <c r="Y312" s="5" t="str">
        <f t="shared" si="32"/>
        <v/>
      </c>
      <c r="Z312" s="5" t="str">
        <f t="shared" si="33"/>
        <v/>
      </c>
      <c r="AA312" s="4">
        <f t="shared" si="34"/>
        <v>0</v>
      </c>
      <c r="AC312" s="2"/>
    </row>
    <row r="313" spans="1:29" ht="15.5">
      <c r="A313" s="13" t="str">
        <f>IF(OR(ISBLANK(C313),ISBLANK(D313),ISBLANK(F313),ISBLANK(G313)),"",COUNTIF($B$5:B313,"JAMBUTU"))</f>
        <v/>
      </c>
      <c r="B313" s="8" t="str">
        <f t="shared" si="35"/>
        <v/>
      </c>
      <c r="C313" s="8"/>
      <c r="D313" s="8"/>
      <c r="E313" s="13"/>
      <c r="F313" s="12"/>
      <c r="G313" s="11"/>
      <c r="H313" s="12"/>
      <c r="I313" s="15"/>
      <c r="J313" s="10">
        <f t="shared" si="29"/>
        <v>0</v>
      </c>
      <c r="K313" s="10">
        <f t="shared" si="30"/>
        <v>0</v>
      </c>
      <c r="L313" s="9" t="str">
        <f t="shared" si="31"/>
        <v/>
      </c>
      <c r="M313" s="8"/>
      <c r="N313" s="8"/>
      <c r="O313" s="8"/>
      <c r="P313" s="8"/>
      <c r="Q313" s="8"/>
      <c r="R313" s="8"/>
      <c r="S313" s="8"/>
      <c r="T313" s="8"/>
      <c r="U313" s="8"/>
      <c r="V313" s="7"/>
      <c r="W313" s="6" t="str">
        <f t="array" ref="W313">IF(NOT(ISBLANK(D313)),_xludf.XLOOKUP(D313,[2]CODE!$A$4:$A$100,[2]CODE!$D$4:$D$100),"")</f>
        <v/>
      </c>
      <c r="X313" s="5" t="str">
        <f t="array" ref="X313">IF(NOT(AND(ISBLANK(D313),ISBLANK(C313))),_xludf.XLOOKUP(D313,[2]CODE!$A$4:$A$100,[2]CODE!$E$4:$E$100),"")</f>
        <v/>
      </c>
      <c r="Y313" s="5" t="str">
        <f t="shared" si="32"/>
        <v/>
      </c>
      <c r="Z313" s="5" t="str">
        <f t="shared" si="33"/>
        <v/>
      </c>
      <c r="AA313" s="4">
        <f t="shared" si="34"/>
        <v>0</v>
      </c>
      <c r="AC313" s="2"/>
    </row>
    <row r="314" spans="1:29" ht="15.5">
      <c r="A314" s="13" t="str">
        <f>IF(OR(ISBLANK(C314),ISBLANK(D314),ISBLANK(F314),ISBLANK(G314)),"",COUNTIF($B$5:B314,"JAMBUTU"))</f>
        <v/>
      </c>
      <c r="B314" s="8" t="str">
        <f t="shared" si="35"/>
        <v/>
      </c>
      <c r="C314" s="8"/>
      <c r="D314" s="8"/>
      <c r="E314" s="13"/>
      <c r="F314" s="12"/>
      <c r="G314" s="11"/>
      <c r="H314" s="12"/>
      <c r="I314" s="11"/>
      <c r="J314" s="10">
        <f t="shared" si="29"/>
        <v>0</v>
      </c>
      <c r="K314" s="10">
        <f t="shared" si="30"/>
        <v>0</v>
      </c>
      <c r="L314" s="9" t="str">
        <f t="shared" si="31"/>
        <v/>
      </c>
      <c r="M314" s="8"/>
      <c r="N314" s="8"/>
      <c r="O314" s="8"/>
      <c r="P314" s="8"/>
      <c r="Q314" s="8"/>
      <c r="R314" s="8"/>
      <c r="S314" s="8"/>
      <c r="T314" s="8"/>
      <c r="U314" s="8"/>
      <c r="V314" s="7"/>
      <c r="W314" s="6" t="str">
        <f t="array" ref="W314">IF(NOT(ISBLANK(D314)),_xludf.XLOOKUP(D314,[2]CODE!$A$4:$A$100,[2]CODE!$D$4:$D$100),"")</f>
        <v/>
      </c>
      <c r="X314" s="5" t="str">
        <f t="array" ref="X314">IF(NOT(AND(ISBLANK(D314),ISBLANK(C314))),_xludf.XLOOKUP(D314,[2]CODE!$A$4:$A$100,[2]CODE!$E$4:$E$100),"")</f>
        <v/>
      </c>
      <c r="Y314" s="5" t="str">
        <f t="shared" si="32"/>
        <v/>
      </c>
      <c r="Z314" s="5" t="str">
        <f t="shared" si="33"/>
        <v/>
      </c>
      <c r="AA314" s="4">
        <f t="shared" si="34"/>
        <v>0</v>
      </c>
      <c r="AC314" s="2"/>
    </row>
    <row r="315" spans="1:29" ht="15.5">
      <c r="A315" s="13" t="str">
        <f>IF(OR(ISBLANK(C315),ISBLANK(D315),ISBLANK(F315),ISBLANK(G315)),"",COUNTIF($B$5:B315,"JAMBUTU"))</f>
        <v/>
      </c>
      <c r="B315" s="8" t="str">
        <f t="shared" si="35"/>
        <v/>
      </c>
      <c r="C315" s="8"/>
      <c r="D315" s="8"/>
      <c r="E315" s="13"/>
      <c r="F315" s="12"/>
      <c r="G315" s="11"/>
      <c r="H315" s="12"/>
      <c r="I315" s="11"/>
      <c r="J315" s="10">
        <f t="shared" si="29"/>
        <v>0</v>
      </c>
      <c r="K315" s="10">
        <f t="shared" si="30"/>
        <v>0</v>
      </c>
      <c r="L315" s="9" t="str">
        <f t="shared" si="31"/>
        <v/>
      </c>
      <c r="M315" s="8"/>
      <c r="N315" s="8"/>
      <c r="O315" s="8"/>
      <c r="P315" s="8"/>
      <c r="Q315" s="8"/>
      <c r="R315" s="8"/>
      <c r="S315" s="8"/>
      <c r="T315" s="8"/>
      <c r="U315" s="8"/>
      <c r="V315" s="7"/>
      <c r="W315" s="6" t="str">
        <f t="array" ref="W315">IF(NOT(ISBLANK(D315)),_xludf.XLOOKUP(D315,[2]CODE!$A$4:$A$100,[2]CODE!$D$4:$D$100),"")</f>
        <v/>
      </c>
      <c r="X315" s="5" t="str">
        <f t="array" ref="X315">IF(NOT(AND(ISBLANK(D315),ISBLANK(C315))),_xludf.XLOOKUP(D315,[2]CODE!$A$4:$A$100,[2]CODE!$E$4:$E$100),"")</f>
        <v/>
      </c>
      <c r="Y315" s="5" t="str">
        <f t="shared" si="32"/>
        <v/>
      </c>
      <c r="Z315" s="5" t="str">
        <f t="shared" si="33"/>
        <v/>
      </c>
      <c r="AA315" s="4">
        <f t="shared" si="34"/>
        <v>0</v>
      </c>
      <c r="AC315" s="2"/>
    </row>
    <row r="316" spans="1:29" ht="15.5">
      <c r="A316" s="13" t="str">
        <f>IF(OR(ISBLANK(C316),ISBLANK(D316),ISBLANK(F316),ISBLANK(G316)),"",COUNTIF($B$5:B316,"JAMBUTU"))</f>
        <v/>
      </c>
      <c r="B316" s="8" t="str">
        <f t="shared" si="35"/>
        <v/>
      </c>
      <c r="C316" s="8"/>
      <c r="D316" s="8"/>
      <c r="E316" s="13"/>
      <c r="F316" s="12"/>
      <c r="G316" s="11"/>
      <c r="H316" s="12"/>
      <c r="I316" s="15"/>
      <c r="J316" s="10">
        <f t="shared" si="29"/>
        <v>0</v>
      </c>
      <c r="K316" s="10">
        <f t="shared" si="30"/>
        <v>0</v>
      </c>
      <c r="L316" s="9" t="str">
        <f t="shared" si="31"/>
        <v/>
      </c>
      <c r="M316" s="8"/>
      <c r="N316" s="8"/>
      <c r="O316" s="8"/>
      <c r="P316" s="8"/>
      <c r="Q316" s="8"/>
      <c r="R316" s="8"/>
      <c r="S316" s="8"/>
      <c r="T316" s="8"/>
      <c r="U316" s="8"/>
      <c r="V316" s="7"/>
      <c r="W316" s="6" t="str">
        <f t="array" ref="W316">IF(NOT(ISBLANK(D316)),_xludf.XLOOKUP(D316,[2]CODE!$A$4:$A$100,[2]CODE!$D$4:$D$100),"")</f>
        <v/>
      </c>
      <c r="X316" s="5" t="str">
        <f t="array" ref="X316">IF(NOT(AND(ISBLANK(D316),ISBLANK(C316))),_xludf.XLOOKUP(D316,[2]CODE!$A$4:$A$100,[2]CODE!$E$4:$E$100),"")</f>
        <v/>
      </c>
      <c r="Y316" s="5" t="str">
        <f t="shared" si="32"/>
        <v/>
      </c>
      <c r="Z316" s="5" t="str">
        <f t="shared" si="33"/>
        <v/>
      </c>
      <c r="AA316" s="4">
        <f t="shared" si="34"/>
        <v>0</v>
      </c>
      <c r="AC316" s="2"/>
    </row>
    <row r="317" spans="1:29" ht="15.5">
      <c r="A317" s="13" t="str">
        <f>IF(OR(ISBLANK(C317),ISBLANK(D317),ISBLANK(F317),ISBLANK(G317)),"",COUNTIF($B$5:B317,"JAMBUTU"))</f>
        <v/>
      </c>
      <c r="B317" s="8" t="str">
        <f t="shared" si="35"/>
        <v/>
      </c>
      <c r="C317" s="8"/>
      <c r="D317" s="8"/>
      <c r="E317" s="13"/>
      <c r="F317" s="12"/>
      <c r="G317" s="15"/>
      <c r="H317" s="12"/>
      <c r="I317" s="15"/>
      <c r="J317" s="10">
        <f t="shared" si="29"/>
        <v>0</v>
      </c>
      <c r="K317" s="10">
        <f t="shared" si="30"/>
        <v>0</v>
      </c>
      <c r="L317" s="9" t="str">
        <f t="shared" si="31"/>
        <v/>
      </c>
      <c r="M317" s="8"/>
      <c r="N317" s="8"/>
      <c r="O317" s="8"/>
      <c r="P317" s="8"/>
      <c r="Q317" s="8"/>
      <c r="R317" s="8"/>
      <c r="S317" s="8"/>
      <c r="T317" s="8"/>
      <c r="U317" s="8"/>
      <c r="V317" s="7"/>
      <c r="W317" s="6" t="str">
        <f t="array" ref="W317">IF(NOT(ISBLANK(D317)),_xludf.XLOOKUP(D317,[2]CODE!$A$4:$A$100,[2]CODE!$D$4:$D$100),"")</f>
        <v/>
      </c>
      <c r="X317" s="5" t="str">
        <f t="array" ref="X317">IF(NOT(AND(ISBLANK(D317),ISBLANK(C317))),_xludf.XLOOKUP(D317,[2]CODE!$A$4:$A$100,[2]CODE!$E$4:$E$100),"")</f>
        <v/>
      </c>
      <c r="Y317" s="5" t="str">
        <f t="shared" si="32"/>
        <v/>
      </c>
      <c r="Z317" s="5" t="str">
        <f t="shared" si="33"/>
        <v/>
      </c>
      <c r="AA317" s="4">
        <f t="shared" si="34"/>
        <v>0</v>
      </c>
      <c r="AC317" s="2"/>
    </row>
    <row r="318" spans="1:29" ht="15.5">
      <c r="A318" s="13" t="str">
        <f>IF(OR(ISBLANK(C318),ISBLANK(D318),ISBLANK(F318),ISBLANK(G318)),"",COUNTIF($B$5:B318,"JAMBUTU"))</f>
        <v/>
      </c>
      <c r="B318" s="8" t="str">
        <f t="shared" si="35"/>
        <v/>
      </c>
      <c r="C318" s="8"/>
      <c r="D318" s="8"/>
      <c r="E318" s="13"/>
      <c r="F318" s="12"/>
      <c r="G318" s="11"/>
      <c r="H318" s="12"/>
      <c r="I318" s="15"/>
      <c r="J318" s="10">
        <f t="shared" si="29"/>
        <v>0</v>
      </c>
      <c r="K318" s="10">
        <f t="shared" si="30"/>
        <v>0</v>
      </c>
      <c r="L318" s="9" t="str">
        <f t="shared" si="31"/>
        <v/>
      </c>
      <c r="M318" s="8"/>
      <c r="N318" s="8"/>
      <c r="O318" s="8"/>
      <c r="P318" s="8"/>
      <c r="Q318" s="8"/>
      <c r="R318" s="8"/>
      <c r="S318" s="8"/>
      <c r="T318" s="8"/>
      <c r="U318" s="8"/>
      <c r="V318" s="7"/>
      <c r="W318" s="6" t="str">
        <f t="array" ref="W318">IF(NOT(ISBLANK(D318)),_xludf.XLOOKUP(D318,[2]CODE!$A$4:$A$100,[2]CODE!$D$4:$D$100),"")</f>
        <v/>
      </c>
      <c r="X318" s="5" t="str">
        <f t="array" ref="X318">IF(NOT(AND(ISBLANK(D318),ISBLANK(C318))),_xludf.XLOOKUP(D318,[2]CODE!$A$4:$A$100,[2]CODE!$E$4:$E$100),"")</f>
        <v/>
      </c>
      <c r="Y318" s="5" t="str">
        <f t="shared" si="32"/>
        <v/>
      </c>
      <c r="Z318" s="5" t="str">
        <f t="shared" si="33"/>
        <v/>
      </c>
      <c r="AA318" s="4">
        <f t="shared" si="34"/>
        <v>0</v>
      </c>
      <c r="AC318" s="2"/>
    </row>
    <row r="319" spans="1:29" ht="15.5">
      <c r="A319" s="13" t="str">
        <f>IF(OR(ISBLANK(C319),ISBLANK(D319),ISBLANK(F319),ISBLANK(G319)),"",COUNTIF($B$5:B319,"JAMBUTU"))</f>
        <v/>
      </c>
      <c r="B319" s="8" t="str">
        <f t="shared" si="35"/>
        <v/>
      </c>
      <c r="C319" s="8"/>
      <c r="D319" s="8"/>
      <c r="E319" s="13"/>
      <c r="F319" s="12"/>
      <c r="G319" s="11"/>
      <c r="H319" s="12"/>
      <c r="I319" s="15"/>
      <c r="J319" s="10">
        <f t="shared" si="29"/>
        <v>0</v>
      </c>
      <c r="K319" s="10">
        <f t="shared" si="30"/>
        <v>0</v>
      </c>
      <c r="L319" s="9" t="str">
        <f t="shared" si="31"/>
        <v/>
      </c>
      <c r="M319" s="8"/>
      <c r="N319" s="8"/>
      <c r="O319" s="8"/>
      <c r="P319" s="8"/>
      <c r="Q319" s="8"/>
      <c r="R319" s="8"/>
      <c r="S319" s="8"/>
      <c r="T319" s="8"/>
      <c r="U319" s="8"/>
      <c r="V319" s="7"/>
      <c r="W319" s="6" t="str">
        <f t="array" ref="W319">IF(NOT(ISBLANK(D319)),_xludf.XLOOKUP(D319,[2]CODE!$A$4:$A$100,[2]CODE!$D$4:$D$100),"")</f>
        <v/>
      </c>
      <c r="X319" s="5" t="str">
        <f t="array" ref="X319">IF(NOT(AND(ISBLANK(D319),ISBLANK(C319))),_xludf.XLOOKUP(D319,[2]CODE!$A$4:$A$100,[2]CODE!$E$4:$E$100),"")</f>
        <v/>
      </c>
      <c r="Y319" s="5" t="str">
        <f t="shared" si="32"/>
        <v/>
      </c>
      <c r="Z319" s="5" t="str">
        <f t="shared" si="33"/>
        <v/>
      </c>
      <c r="AA319" s="4">
        <f t="shared" si="34"/>
        <v>0</v>
      </c>
      <c r="AC319" s="2"/>
    </row>
    <row r="320" spans="1:29" ht="15.5">
      <c r="A320" s="13" t="str">
        <f>IF(OR(ISBLANK(C320),ISBLANK(D320),ISBLANK(F320),ISBLANK(G320)),"",COUNTIF($B$5:B320,"JAMBUTU"))</f>
        <v/>
      </c>
      <c r="B320" s="8" t="str">
        <f t="shared" si="35"/>
        <v/>
      </c>
      <c r="C320" s="8"/>
      <c r="D320" s="8"/>
      <c r="E320" s="13"/>
      <c r="F320" s="12"/>
      <c r="G320" s="11"/>
      <c r="H320" s="12"/>
      <c r="I320" s="15"/>
      <c r="J320" s="10">
        <f t="shared" si="29"/>
        <v>0</v>
      </c>
      <c r="K320" s="10">
        <f t="shared" si="30"/>
        <v>0</v>
      </c>
      <c r="L320" s="9" t="str">
        <f t="shared" si="31"/>
        <v/>
      </c>
      <c r="M320" s="8"/>
      <c r="N320" s="8"/>
      <c r="O320" s="8"/>
      <c r="P320" s="8"/>
      <c r="Q320" s="8"/>
      <c r="R320" s="8"/>
      <c r="S320" s="8"/>
      <c r="T320" s="8"/>
      <c r="U320" s="8"/>
      <c r="V320" s="7"/>
      <c r="W320" s="6" t="str">
        <f t="array" ref="W320">IF(NOT(ISBLANK(D320)),_xludf.XLOOKUP(D320,[2]CODE!$A$4:$A$100,[2]CODE!$D$4:$D$100),"")</f>
        <v/>
      </c>
      <c r="X320" s="5" t="str">
        <f t="array" ref="X320">IF(NOT(AND(ISBLANK(D320),ISBLANK(C320))),_xludf.XLOOKUP(D320,[2]CODE!$A$4:$A$100,[2]CODE!$E$4:$E$100),"")</f>
        <v/>
      </c>
      <c r="Y320" s="5" t="str">
        <f t="shared" si="32"/>
        <v/>
      </c>
      <c r="Z320" s="5" t="str">
        <f t="shared" si="33"/>
        <v/>
      </c>
      <c r="AA320" s="4">
        <f t="shared" si="34"/>
        <v>0</v>
      </c>
      <c r="AC320" s="2"/>
    </row>
    <row r="321" spans="1:29" ht="15.5">
      <c r="A321" s="13" t="str">
        <f>IF(OR(ISBLANK(C321),ISBLANK(D321),ISBLANK(F321),ISBLANK(G321)),"",COUNTIF($B$5:B321,"JAMBUTU"))</f>
        <v/>
      </c>
      <c r="B321" s="8" t="str">
        <f t="shared" si="35"/>
        <v/>
      </c>
      <c r="C321" s="8"/>
      <c r="D321" s="8"/>
      <c r="E321" s="13"/>
      <c r="F321" s="12"/>
      <c r="G321" s="11"/>
      <c r="H321" s="12"/>
      <c r="I321" s="15"/>
      <c r="J321" s="10">
        <f t="shared" si="29"/>
        <v>0</v>
      </c>
      <c r="K321" s="10">
        <f t="shared" si="30"/>
        <v>0</v>
      </c>
      <c r="L321" s="9" t="str">
        <f t="shared" si="31"/>
        <v/>
      </c>
      <c r="M321" s="8"/>
      <c r="N321" s="8"/>
      <c r="O321" s="8"/>
      <c r="P321" s="8"/>
      <c r="Q321" s="8"/>
      <c r="R321" s="8"/>
      <c r="S321" s="8"/>
      <c r="T321" s="8"/>
      <c r="U321" s="8"/>
      <c r="V321" s="7"/>
      <c r="W321" s="6" t="str">
        <f t="array" ref="W321">IF(NOT(ISBLANK(D321)),_xludf.XLOOKUP(D321,[2]CODE!$A$4:$A$100,[2]CODE!$D$4:$D$100),"")</f>
        <v/>
      </c>
      <c r="X321" s="5" t="str">
        <f t="array" ref="X321">IF(NOT(AND(ISBLANK(D321),ISBLANK(C321))),_xludf.XLOOKUP(D321,[2]CODE!$A$4:$A$100,[2]CODE!$E$4:$E$100),"")</f>
        <v/>
      </c>
      <c r="Y321" s="5" t="str">
        <f t="shared" si="32"/>
        <v/>
      </c>
      <c r="Z321" s="5" t="str">
        <f t="shared" si="33"/>
        <v/>
      </c>
      <c r="AA321" s="4">
        <f t="shared" si="34"/>
        <v>0</v>
      </c>
      <c r="AC321" s="2"/>
    </row>
    <row r="322" spans="1:29" ht="15.5">
      <c r="A322" s="13" t="str">
        <f>IF(OR(ISBLANK(C322),ISBLANK(D322),ISBLANK(F322),ISBLANK(G322)),"",COUNTIF($B$5:B322,"JAMBUTU"))</f>
        <v/>
      </c>
      <c r="B322" s="8" t="str">
        <f t="shared" si="35"/>
        <v/>
      </c>
      <c r="C322" s="8"/>
      <c r="D322" s="8"/>
      <c r="E322" s="13"/>
      <c r="F322" s="12"/>
      <c r="G322" s="11"/>
      <c r="H322" s="12"/>
      <c r="I322" s="15"/>
      <c r="J322" s="10">
        <f t="shared" si="29"/>
        <v>0</v>
      </c>
      <c r="K322" s="10">
        <f t="shared" si="30"/>
        <v>0</v>
      </c>
      <c r="L322" s="9" t="str">
        <f t="shared" si="31"/>
        <v/>
      </c>
      <c r="M322" s="8"/>
      <c r="N322" s="8"/>
      <c r="O322" s="8"/>
      <c r="P322" s="8"/>
      <c r="Q322" s="8"/>
      <c r="R322" s="8"/>
      <c r="S322" s="8"/>
      <c r="T322" s="8"/>
      <c r="U322" s="8"/>
      <c r="V322" s="7"/>
      <c r="W322" s="6" t="str">
        <f t="array" ref="W322">IF(NOT(ISBLANK(D322)),_xludf.XLOOKUP(D322,[2]CODE!$A$4:$A$100,[2]CODE!$D$4:$D$100),"")</f>
        <v/>
      </c>
      <c r="X322" s="5" t="str">
        <f t="array" ref="X322">IF(NOT(AND(ISBLANK(D322),ISBLANK(C322))),_xludf.XLOOKUP(D322,[2]CODE!$A$4:$A$100,[2]CODE!$E$4:$E$100),"")</f>
        <v/>
      </c>
      <c r="Y322" s="5" t="str">
        <f t="shared" si="32"/>
        <v/>
      </c>
      <c r="Z322" s="5" t="str">
        <f t="shared" si="33"/>
        <v/>
      </c>
      <c r="AA322" s="4">
        <f t="shared" si="34"/>
        <v>0</v>
      </c>
      <c r="AC322" s="2"/>
    </row>
    <row r="323" spans="1:29" ht="15.5">
      <c r="A323" s="13" t="str">
        <f>IF(OR(ISBLANK(C323),ISBLANK(D323),ISBLANK(F323),ISBLANK(G323)),"",COUNTIF($B$5:B323,"JAMBUTU"))</f>
        <v/>
      </c>
      <c r="B323" s="8" t="str">
        <f t="shared" si="35"/>
        <v/>
      </c>
      <c r="C323" s="8"/>
      <c r="D323" s="8"/>
      <c r="E323" s="13"/>
      <c r="F323" s="12"/>
      <c r="G323" s="11"/>
      <c r="H323" s="12"/>
      <c r="I323" s="11"/>
      <c r="J323" s="10">
        <f t="shared" si="29"/>
        <v>0</v>
      </c>
      <c r="K323" s="10">
        <f t="shared" si="30"/>
        <v>0</v>
      </c>
      <c r="L323" s="9" t="str">
        <f t="shared" si="31"/>
        <v/>
      </c>
      <c r="M323" s="8"/>
      <c r="N323" s="8"/>
      <c r="O323" s="8"/>
      <c r="P323" s="8"/>
      <c r="Q323" s="8"/>
      <c r="R323" s="8"/>
      <c r="S323" s="8"/>
      <c r="T323" s="8"/>
      <c r="U323" s="8"/>
      <c r="V323" s="7"/>
      <c r="W323" s="6" t="str">
        <f t="array" ref="W323">IF(NOT(ISBLANK(D323)),_xludf.XLOOKUP(D323,[2]CODE!$A$4:$A$100,[2]CODE!$D$4:$D$100),"")</f>
        <v/>
      </c>
      <c r="X323" s="5" t="str">
        <f t="array" ref="X323">IF(NOT(AND(ISBLANK(D323),ISBLANK(C323))),_xludf.XLOOKUP(D323,[2]CODE!$A$4:$A$100,[2]CODE!$E$4:$E$100),"")</f>
        <v/>
      </c>
      <c r="Y323" s="5" t="str">
        <f t="shared" si="32"/>
        <v/>
      </c>
      <c r="Z323" s="5" t="str">
        <f t="shared" si="33"/>
        <v/>
      </c>
      <c r="AA323" s="4">
        <f t="shared" si="34"/>
        <v>0</v>
      </c>
      <c r="AC323" s="2"/>
    </row>
    <row r="324" spans="1:29" ht="15.5">
      <c r="A324" s="13" t="str">
        <f>IF(OR(ISBLANK(C324),ISBLANK(D324),ISBLANK(F324),ISBLANK(G324)),"",COUNTIF($B$5:B324,"JAMBUTU"))</f>
        <v/>
      </c>
      <c r="B324" s="8" t="str">
        <f t="shared" si="35"/>
        <v/>
      </c>
      <c r="C324" s="8"/>
      <c r="D324" s="8"/>
      <c r="E324" s="13"/>
      <c r="F324" s="12"/>
      <c r="G324" s="11"/>
      <c r="H324" s="12"/>
      <c r="I324" s="11"/>
      <c r="J324" s="10">
        <f t="shared" si="29"/>
        <v>0</v>
      </c>
      <c r="K324" s="10">
        <f t="shared" si="30"/>
        <v>0</v>
      </c>
      <c r="L324" s="9" t="str">
        <f t="shared" si="31"/>
        <v/>
      </c>
      <c r="M324" s="8"/>
      <c r="N324" s="8"/>
      <c r="O324" s="8"/>
      <c r="P324" s="8"/>
      <c r="Q324" s="8"/>
      <c r="R324" s="8"/>
      <c r="S324" s="8"/>
      <c r="T324" s="8"/>
      <c r="U324" s="8"/>
      <c r="V324" s="7"/>
      <c r="W324" s="6" t="str">
        <f t="array" ref="W324">IF(NOT(ISBLANK(D324)),_xludf.XLOOKUP(D324,[2]CODE!$A$4:$A$100,[2]CODE!$D$4:$D$100),"")</f>
        <v/>
      </c>
      <c r="X324" s="5" t="str">
        <f t="array" ref="X324">IF(NOT(AND(ISBLANK(D324),ISBLANK(C324))),_xludf.XLOOKUP(D324,[2]CODE!$A$4:$A$100,[2]CODE!$E$4:$E$100),"")</f>
        <v/>
      </c>
      <c r="Y324" s="5" t="str">
        <f t="shared" si="32"/>
        <v/>
      </c>
      <c r="Z324" s="5" t="str">
        <f t="shared" si="33"/>
        <v/>
      </c>
      <c r="AA324" s="4">
        <f t="shared" si="34"/>
        <v>0</v>
      </c>
      <c r="AC324" s="2"/>
    </row>
    <row r="325" spans="1:29" ht="15.5">
      <c r="A325" s="13" t="str">
        <f>IF(OR(ISBLANK(C325),ISBLANK(D325),ISBLANK(F325),ISBLANK(G325)),"",COUNTIF($B$5:B325,"JAMBUTU"))</f>
        <v/>
      </c>
      <c r="B325" s="8" t="str">
        <f t="shared" si="35"/>
        <v/>
      </c>
      <c r="C325" s="8"/>
      <c r="D325" s="8"/>
      <c r="E325" s="13"/>
      <c r="F325" s="12"/>
      <c r="G325" s="15"/>
      <c r="H325" s="12"/>
      <c r="I325" s="15"/>
      <c r="J325" s="10">
        <f t="shared" ref="J325:J388" si="36">DATE(YEAR(F325),MONTH(F325),DAY(F325))+TIME(HOUR(G325),MINUTE(G325), SECOND(G325))</f>
        <v>0</v>
      </c>
      <c r="K325" s="10">
        <f t="shared" ref="K325:K388" si="37">DATE(YEAR(H325),MONTH(H325),DAY(H325))+TIME(HOUR(I325),MINUTE(I325), SECOND(I325))</f>
        <v>0</v>
      </c>
      <c r="L325" s="9" t="str">
        <f t="shared" ref="L325:L388" si="38">IF(ISBLANK(I325),"",IF(J325&gt;K325,(K325+1)-J325,K325-J325))</f>
        <v/>
      </c>
      <c r="M325" s="8"/>
      <c r="N325" s="8"/>
      <c r="O325" s="8"/>
      <c r="P325" s="8"/>
      <c r="Q325" s="8"/>
      <c r="R325" s="8"/>
      <c r="S325" s="8"/>
      <c r="T325" s="8"/>
      <c r="U325" s="8"/>
      <c r="V325" s="7"/>
      <c r="W325" s="6" t="str">
        <f t="array" ref="W325">IF(NOT(ISBLANK(D325)),_xludf.XLOOKUP(D325,[2]CODE!$A$4:$A$100,[2]CODE!$D$4:$D$100),"")</f>
        <v/>
      </c>
      <c r="X325" s="5" t="str">
        <f t="array" ref="X325">IF(NOT(AND(ISBLANK(D325),ISBLANK(C325))),_xludf.XLOOKUP(D325,[2]CODE!$A$4:$A$100,[2]CODE!$E$4:$E$100),"")</f>
        <v/>
      </c>
      <c r="Y325" s="5" t="str">
        <f t="shared" ref="Y325:Y388" si="39">LEFT(C325,4)</f>
        <v/>
      </c>
      <c r="Z325" s="5" t="str">
        <f t="shared" ref="Z325:Z388" si="40">IF(NOT(ISBLANK(C325)), IF(K325&gt;J325,"YES","NO"),"")</f>
        <v/>
      </c>
      <c r="AA325" s="4">
        <f t="shared" ref="AA325:AA388" si="41">IF(AND(F325=H325,Z325="NO"),1+H325,H325)</f>
        <v>0</v>
      </c>
      <c r="AC325" s="2"/>
    </row>
    <row r="326" spans="1:29" ht="15.5">
      <c r="A326" s="13" t="str">
        <f>IF(OR(ISBLANK(C326),ISBLANK(D326),ISBLANK(F326),ISBLANK(G326)),"",COUNTIF($B$5:B326,"JAMBUTU"))</f>
        <v/>
      </c>
      <c r="B326" s="8" t="str">
        <f t="shared" si="35"/>
        <v/>
      </c>
      <c r="C326" s="8"/>
      <c r="D326" s="8"/>
      <c r="E326" s="13"/>
      <c r="F326" s="12"/>
      <c r="G326" s="15"/>
      <c r="H326" s="12"/>
      <c r="I326" s="15"/>
      <c r="J326" s="10">
        <f t="shared" si="36"/>
        <v>0</v>
      </c>
      <c r="K326" s="10">
        <f t="shared" si="37"/>
        <v>0</v>
      </c>
      <c r="L326" s="9" t="str">
        <f t="shared" si="38"/>
        <v/>
      </c>
      <c r="M326" s="8"/>
      <c r="N326" s="8"/>
      <c r="O326" s="8"/>
      <c r="P326" s="8"/>
      <c r="Q326" s="8"/>
      <c r="R326" s="8"/>
      <c r="S326" s="8"/>
      <c r="T326" s="8"/>
      <c r="U326" s="8"/>
      <c r="V326" s="7"/>
      <c r="W326" s="6" t="str">
        <f t="array" ref="W326">IF(NOT(ISBLANK(D326)),_xludf.XLOOKUP(D326,[2]CODE!$A$4:$A$100,[2]CODE!$D$4:$D$100),"")</f>
        <v/>
      </c>
      <c r="X326" s="5" t="str">
        <f t="array" ref="X326">IF(NOT(AND(ISBLANK(D326),ISBLANK(C326))),_xludf.XLOOKUP(D326,[2]CODE!$A$4:$A$100,[2]CODE!$E$4:$E$100),"")</f>
        <v/>
      </c>
      <c r="Y326" s="5" t="str">
        <f t="shared" si="39"/>
        <v/>
      </c>
      <c r="Z326" s="5" t="str">
        <f t="shared" si="40"/>
        <v/>
      </c>
      <c r="AA326" s="4">
        <f t="shared" si="41"/>
        <v>0</v>
      </c>
      <c r="AC326" s="2"/>
    </row>
    <row r="327" spans="1:29" ht="15.5">
      <c r="A327" s="13" t="str">
        <f>IF(OR(ISBLANK(C327),ISBLANK(D327),ISBLANK(F327),ISBLANK(G327)),"",COUNTIF($B$5:B327,"JAMBUTU"))</f>
        <v/>
      </c>
      <c r="B327" s="8" t="str">
        <f t="shared" si="35"/>
        <v/>
      </c>
      <c r="C327" s="8"/>
      <c r="D327" s="8"/>
      <c r="E327" s="13"/>
      <c r="F327" s="12"/>
      <c r="G327" s="11"/>
      <c r="H327" s="12"/>
      <c r="I327" s="15"/>
      <c r="J327" s="10">
        <f t="shared" si="36"/>
        <v>0</v>
      </c>
      <c r="K327" s="10">
        <f t="shared" si="37"/>
        <v>0</v>
      </c>
      <c r="L327" s="9" t="str">
        <f t="shared" si="38"/>
        <v/>
      </c>
      <c r="M327" s="8"/>
      <c r="N327" s="8"/>
      <c r="O327" s="8"/>
      <c r="P327" s="8"/>
      <c r="Q327" s="8"/>
      <c r="R327" s="8"/>
      <c r="S327" s="8"/>
      <c r="T327" s="8"/>
      <c r="U327" s="8"/>
      <c r="V327" s="7"/>
      <c r="W327" s="6" t="str">
        <f t="array" ref="W327">IF(NOT(ISBLANK(D327)),_xludf.XLOOKUP(D327,[2]CODE!$A$4:$A$100,[2]CODE!$D$4:$D$100),"")</f>
        <v/>
      </c>
      <c r="X327" s="5" t="str">
        <f t="array" ref="X327">IF(NOT(AND(ISBLANK(D327),ISBLANK(C327))),_xludf.XLOOKUP(D327,[2]CODE!$A$4:$A$100,[2]CODE!$E$4:$E$100),"")</f>
        <v/>
      </c>
      <c r="Y327" s="5" t="str">
        <f t="shared" si="39"/>
        <v/>
      </c>
      <c r="Z327" s="5" t="str">
        <f t="shared" si="40"/>
        <v/>
      </c>
      <c r="AA327" s="4">
        <f t="shared" si="41"/>
        <v>0</v>
      </c>
      <c r="AC327" s="2"/>
    </row>
    <row r="328" spans="1:29" ht="15.5">
      <c r="A328" s="13" t="str">
        <f>IF(OR(ISBLANK(C328),ISBLANK(D328),ISBLANK(F328),ISBLANK(G328)),"",COUNTIF($B$5:B328,"JAMBUTU"))</f>
        <v/>
      </c>
      <c r="B328" s="8" t="str">
        <f t="shared" si="35"/>
        <v/>
      </c>
      <c r="C328" s="8"/>
      <c r="D328" s="8"/>
      <c r="E328" s="13"/>
      <c r="F328" s="12"/>
      <c r="G328" s="11"/>
      <c r="H328" s="12"/>
      <c r="I328" s="15"/>
      <c r="J328" s="10">
        <f t="shared" si="36"/>
        <v>0</v>
      </c>
      <c r="K328" s="10">
        <f t="shared" si="37"/>
        <v>0</v>
      </c>
      <c r="L328" s="9" t="str">
        <f t="shared" si="38"/>
        <v/>
      </c>
      <c r="M328" s="8"/>
      <c r="N328" s="8"/>
      <c r="O328" s="8"/>
      <c r="P328" s="8"/>
      <c r="Q328" s="8"/>
      <c r="R328" s="8"/>
      <c r="S328" s="8"/>
      <c r="T328" s="8"/>
      <c r="U328" s="8"/>
      <c r="V328" s="7"/>
      <c r="W328" s="6" t="str">
        <f t="array" ref="W328">IF(NOT(ISBLANK(D328)),_xludf.XLOOKUP(D328,[2]CODE!$A$4:$A$100,[2]CODE!$D$4:$D$100),"")</f>
        <v/>
      </c>
      <c r="X328" s="5" t="str">
        <f t="array" ref="X328">IF(NOT(AND(ISBLANK(D328),ISBLANK(C328))),_xludf.XLOOKUP(D328,[2]CODE!$A$4:$A$100,[2]CODE!$E$4:$E$100),"")</f>
        <v/>
      </c>
      <c r="Y328" s="5" t="str">
        <f t="shared" si="39"/>
        <v/>
      </c>
      <c r="Z328" s="5" t="str">
        <f t="shared" si="40"/>
        <v/>
      </c>
      <c r="AA328" s="4">
        <f t="shared" si="41"/>
        <v>0</v>
      </c>
      <c r="AC328" s="2"/>
    </row>
    <row r="329" spans="1:29" ht="15.5">
      <c r="A329" s="13" t="str">
        <f>IF(OR(ISBLANK(C329),ISBLANK(D329),ISBLANK(F329),ISBLANK(G329)),"",COUNTIF($B$5:B329,"JAMBUTU"))</f>
        <v/>
      </c>
      <c r="B329" s="8" t="str">
        <f t="shared" si="35"/>
        <v/>
      </c>
      <c r="C329" s="8"/>
      <c r="D329" s="8"/>
      <c r="E329" s="13"/>
      <c r="F329" s="12"/>
      <c r="G329" s="11"/>
      <c r="H329" s="12"/>
      <c r="I329" s="15"/>
      <c r="J329" s="10">
        <f t="shared" si="36"/>
        <v>0</v>
      </c>
      <c r="K329" s="10">
        <f t="shared" si="37"/>
        <v>0</v>
      </c>
      <c r="L329" s="9" t="str">
        <f t="shared" si="38"/>
        <v/>
      </c>
      <c r="M329" s="8"/>
      <c r="N329" s="8"/>
      <c r="O329" s="8"/>
      <c r="P329" s="8"/>
      <c r="Q329" s="8"/>
      <c r="R329" s="8"/>
      <c r="S329" s="8"/>
      <c r="T329" s="8"/>
      <c r="U329" s="8"/>
      <c r="V329" s="7"/>
      <c r="W329" s="6" t="str">
        <f t="array" ref="W329">IF(NOT(ISBLANK(D329)),_xludf.XLOOKUP(D329,[2]CODE!$A$4:$A$100,[2]CODE!$D$4:$D$100),"")</f>
        <v/>
      </c>
      <c r="X329" s="5" t="str">
        <f t="array" ref="X329">IF(NOT(AND(ISBLANK(D329),ISBLANK(C329))),_xludf.XLOOKUP(D329,[2]CODE!$A$4:$A$100,[2]CODE!$E$4:$E$100),"")</f>
        <v/>
      </c>
      <c r="Y329" s="5" t="str">
        <f t="shared" si="39"/>
        <v/>
      </c>
      <c r="Z329" s="5" t="str">
        <f t="shared" si="40"/>
        <v/>
      </c>
      <c r="AA329" s="4">
        <f t="shared" si="41"/>
        <v>0</v>
      </c>
      <c r="AC329" s="2"/>
    </row>
    <row r="330" spans="1:29" ht="15.5">
      <c r="A330" s="13" t="str">
        <f>IF(OR(ISBLANK(C330),ISBLANK(D330),ISBLANK(F330),ISBLANK(G330)),"",COUNTIF($B$5:B330,"JAMBUTU"))</f>
        <v/>
      </c>
      <c r="B330" s="8" t="str">
        <f t="shared" si="35"/>
        <v/>
      </c>
      <c r="C330" s="8"/>
      <c r="D330" s="8"/>
      <c r="E330" s="13"/>
      <c r="F330" s="12"/>
      <c r="G330" s="11"/>
      <c r="H330" s="12"/>
      <c r="I330" s="15"/>
      <c r="J330" s="10">
        <f t="shared" si="36"/>
        <v>0</v>
      </c>
      <c r="K330" s="10">
        <f t="shared" si="37"/>
        <v>0</v>
      </c>
      <c r="L330" s="9" t="str">
        <f t="shared" si="38"/>
        <v/>
      </c>
      <c r="M330" s="8"/>
      <c r="N330" s="8"/>
      <c r="O330" s="8"/>
      <c r="P330" s="8"/>
      <c r="Q330" s="8"/>
      <c r="R330" s="8"/>
      <c r="S330" s="8"/>
      <c r="T330" s="8"/>
      <c r="U330" s="8"/>
      <c r="V330" s="7"/>
      <c r="W330" s="6" t="str">
        <f t="array" ref="W330">IF(NOT(ISBLANK(D330)),_xludf.XLOOKUP(D330,[2]CODE!$A$4:$A$100,[2]CODE!$D$4:$D$100),"")</f>
        <v/>
      </c>
      <c r="X330" s="5" t="str">
        <f t="array" ref="X330">IF(NOT(AND(ISBLANK(D330),ISBLANK(C330))),_xludf.XLOOKUP(D330,[2]CODE!$A$4:$A$100,[2]CODE!$E$4:$E$100),"")</f>
        <v/>
      </c>
      <c r="Y330" s="5" t="str">
        <f t="shared" si="39"/>
        <v/>
      </c>
      <c r="Z330" s="5" t="str">
        <f t="shared" si="40"/>
        <v/>
      </c>
      <c r="AA330" s="4">
        <f t="shared" si="41"/>
        <v>0</v>
      </c>
      <c r="AC330" s="2"/>
    </row>
    <row r="331" spans="1:29" ht="15.5">
      <c r="A331" s="13" t="str">
        <f>IF(OR(ISBLANK(C331),ISBLANK(D331),ISBLANK(F331),ISBLANK(G331)),"",COUNTIF($B$5:B331,"JAMBUTU"))</f>
        <v/>
      </c>
      <c r="B331" s="8" t="str">
        <f t="shared" si="35"/>
        <v/>
      </c>
      <c r="C331" s="8"/>
      <c r="D331" s="8"/>
      <c r="E331" s="13"/>
      <c r="F331" s="12"/>
      <c r="G331" s="11"/>
      <c r="H331" s="12"/>
      <c r="I331" s="15"/>
      <c r="J331" s="10">
        <f t="shared" si="36"/>
        <v>0</v>
      </c>
      <c r="K331" s="10">
        <f t="shared" si="37"/>
        <v>0</v>
      </c>
      <c r="L331" s="9" t="str">
        <f t="shared" si="38"/>
        <v/>
      </c>
      <c r="M331" s="8"/>
      <c r="N331" s="8"/>
      <c r="O331" s="8"/>
      <c r="P331" s="8"/>
      <c r="Q331" s="8"/>
      <c r="R331" s="8"/>
      <c r="S331" s="8"/>
      <c r="T331" s="8"/>
      <c r="U331" s="8"/>
      <c r="V331" s="7"/>
      <c r="W331" s="6" t="str">
        <f t="array" ref="W331">IF(NOT(ISBLANK(D331)),_xludf.XLOOKUP(D331,[2]CODE!$A$4:$A$100,[2]CODE!$D$4:$D$100),"")</f>
        <v/>
      </c>
      <c r="X331" s="5" t="str">
        <f t="array" ref="X331">IF(NOT(AND(ISBLANK(D331),ISBLANK(C331))),_xludf.XLOOKUP(D331,[2]CODE!$A$4:$A$100,[2]CODE!$E$4:$E$100),"")</f>
        <v/>
      </c>
      <c r="Y331" s="5" t="str">
        <f t="shared" si="39"/>
        <v/>
      </c>
      <c r="Z331" s="5" t="str">
        <f t="shared" si="40"/>
        <v/>
      </c>
      <c r="AA331" s="4">
        <f t="shared" si="41"/>
        <v>0</v>
      </c>
      <c r="AC331" s="2"/>
    </row>
    <row r="332" spans="1:29" ht="15.5">
      <c r="A332" s="13" t="str">
        <f>IF(OR(ISBLANK(C332),ISBLANK(D332),ISBLANK(F332),ISBLANK(G332)),"",COUNTIF($B$5:B332,"JAMBUTU"))</f>
        <v/>
      </c>
      <c r="B332" s="8" t="str">
        <f t="shared" si="35"/>
        <v/>
      </c>
      <c r="C332" s="8"/>
      <c r="D332" s="8"/>
      <c r="E332" s="13"/>
      <c r="F332" s="12"/>
      <c r="G332" s="11"/>
      <c r="H332" s="12"/>
      <c r="I332" s="15"/>
      <c r="J332" s="10">
        <f t="shared" si="36"/>
        <v>0</v>
      </c>
      <c r="K332" s="10">
        <f t="shared" si="37"/>
        <v>0</v>
      </c>
      <c r="L332" s="9" t="str">
        <f t="shared" si="38"/>
        <v/>
      </c>
      <c r="M332" s="8"/>
      <c r="N332" s="8"/>
      <c r="O332" s="8"/>
      <c r="P332" s="8"/>
      <c r="Q332" s="8"/>
      <c r="R332" s="8"/>
      <c r="S332" s="8"/>
      <c r="T332" s="8"/>
      <c r="U332" s="8"/>
      <c r="V332" s="7"/>
      <c r="W332" s="6" t="str">
        <f t="array" ref="W332">IF(NOT(ISBLANK(D332)),_xludf.XLOOKUP(D332,[2]CODE!$A$4:$A$100,[2]CODE!$D$4:$D$100),"")</f>
        <v/>
      </c>
      <c r="X332" s="5" t="str">
        <f t="array" ref="X332">IF(NOT(AND(ISBLANK(D332),ISBLANK(C332))),_xludf.XLOOKUP(D332,[2]CODE!$A$4:$A$100,[2]CODE!$E$4:$E$100),"")</f>
        <v/>
      </c>
      <c r="Y332" s="5" t="str">
        <f t="shared" si="39"/>
        <v/>
      </c>
      <c r="Z332" s="5" t="str">
        <f t="shared" si="40"/>
        <v/>
      </c>
      <c r="AA332" s="4">
        <f t="shared" si="41"/>
        <v>0</v>
      </c>
      <c r="AC332" s="2"/>
    </row>
    <row r="333" spans="1:29" ht="15.5">
      <c r="A333" s="13" t="str">
        <f>IF(OR(ISBLANK(C333),ISBLANK(D333),ISBLANK(F333),ISBLANK(G333)),"",COUNTIF($B$5:B333,"JAMBUTU"))</f>
        <v/>
      </c>
      <c r="B333" s="8" t="str">
        <f t="shared" si="35"/>
        <v/>
      </c>
      <c r="C333" s="8"/>
      <c r="D333" s="8"/>
      <c r="E333" s="13"/>
      <c r="F333" s="12"/>
      <c r="G333" s="11"/>
      <c r="H333" s="12"/>
      <c r="I333" s="15"/>
      <c r="J333" s="10">
        <f t="shared" si="36"/>
        <v>0</v>
      </c>
      <c r="K333" s="10">
        <f t="shared" si="37"/>
        <v>0</v>
      </c>
      <c r="L333" s="9" t="str">
        <f t="shared" si="38"/>
        <v/>
      </c>
      <c r="M333" s="8"/>
      <c r="N333" s="8"/>
      <c r="O333" s="8"/>
      <c r="P333" s="8"/>
      <c r="Q333" s="8"/>
      <c r="R333" s="8"/>
      <c r="S333" s="8"/>
      <c r="T333" s="8"/>
      <c r="U333" s="8"/>
      <c r="V333" s="7"/>
      <c r="W333" s="6" t="str">
        <f t="array" ref="W333">IF(NOT(ISBLANK(D333)),_xludf.XLOOKUP(D333,[2]CODE!$A$4:$A$100,[2]CODE!$D$4:$D$100),"")</f>
        <v/>
      </c>
      <c r="X333" s="5" t="str">
        <f t="array" ref="X333">IF(NOT(AND(ISBLANK(D333),ISBLANK(C333))),_xludf.XLOOKUP(D333,[2]CODE!$A$4:$A$100,[2]CODE!$E$4:$E$100),"")</f>
        <v/>
      </c>
      <c r="Y333" s="5" t="str">
        <f t="shared" si="39"/>
        <v/>
      </c>
      <c r="Z333" s="5" t="str">
        <f t="shared" si="40"/>
        <v/>
      </c>
      <c r="AA333" s="4">
        <f t="shared" si="41"/>
        <v>0</v>
      </c>
      <c r="AC333" s="2"/>
    </row>
    <row r="334" spans="1:29" ht="15.5">
      <c r="A334" s="13" t="str">
        <f>IF(OR(ISBLANK(C334),ISBLANK(D334),ISBLANK(F334),ISBLANK(G334)),"",COUNTIF($B$5:B334,"JAMBUTU"))</f>
        <v/>
      </c>
      <c r="B334" s="8" t="str">
        <f t="shared" si="35"/>
        <v/>
      </c>
      <c r="C334" s="8"/>
      <c r="D334" s="8"/>
      <c r="E334" s="13"/>
      <c r="F334" s="12"/>
      <c r="G334" s="11"/>
      <c r="H334" s="12"/>
      <c r="I334" s="15"/>
      <c r="J334" s="10">
        <f t="shared" si="36"/>
        <v>0</v>
      </c>
      <c r="K334" s="10">
        <f t="shared" si="37"/>
        <v>0</v>
      </c>
      <c r="L334" s="9" t="str">
        <f t="shared" si="38"/>
        <v/>
      </c>
      <c r="M334" s="8"/>
      <c r="N334" s="8"/>
      <c r="O334" s="8"/>
      <c r="P334" s="8"/>
      <c r="Q334" s="8"/>
      <c r="R334" s="8"/>
      <c r="S334" s="8"/>
      <c r="T334" s="8"/>
      <c r="U334" s="8"/>
      <c r="V334" s="7"/>
      <c r="W334" s="6" t="str">
        <f t="array" ref="W334">IF(NOT(ISBLANK(D334)),_xludf.XLOOKUP(D334,[2]CODE!$A$4:$A$100,[2]CODE!$D$4:$D$100),"")</f>
        <v/>
      </c>
      <c r="X334" s="5" t="str">
        <f t="array" ref="X334">IF(NOT(AND(ISBLANK(D334),ISBLANK(C334))),_xludf.XLOOKUP(D334,[2]CODE!$A$4:$A$100,[2]CODE!$E$4:$E$100),"")</f>
        <v/>
      </c>
      <c r="Y334" s="5" t="str">
        <f t="shared" si="39"/>
        <v/>
      </c>
      <c r="Z334" s="5" t="str">
        <f t="shared" si="40"/>
        <v/>
      </c>
      <c r="AA334" s="4">
        <f t="shared" si="41"/>
        <v>0</v>
      </c>
      <c r="AC334" s="2"/>
    </row>
    <row r="335" spans="1:29" ht="15.5">
      <c r="A335" s="13" t="str">
        <f>IF(OR(ISBLANK(C335),ISBLANK(D335),ISBLANK(F335),ISBLANK(G335)),"",COUNTIF($B$5:B335,"JAMBUTU"))</f>
        <v/>
      </c>
      <c r="B335" s="8" t="str">
        <f t="shared" si="35"/>
        <v/>
      </c>
      <c r="C335" s="8"/>
      <c r="D335" s="8"/>
      <c r="E335" s="13"/>
      <c r="F335" s="12"/>
      <c r="G335" s="11"/>
      <c r="H335" s="12"/>
      <c r="I335" s="11"/>
      <c r="J335" s="10">
        <f t="shared" si="36"/>
        <v>0</v>
      </c>
      <c r="K335" s="10">
        <f t="shared" si="37"/>
        <v>0</v>
      </c>
      <c r="L335" s="9" t="str">
        <f t="shared" si="38"/>
        <v/>
      </c>
      <c r="M335" s="8"/>
      <c r="N335" s="8"/>
      <c r="O335" s="8"/>
      <c r="P335" s="8"/>
      <c r="Q335" s="8"/>
      <c r="R335" s="8"/>
      <c r="S335" s="8"/>
      <c r="T335" s="8"/>
      <c r="U335" s="8"/>
      <c r="V335" s="7"/>
      <c r="W335" s="6" t="str">
        <f t="array" ref="W335">IF(NOT(ISBLANK(D335)),_xludf.XLOOKUP(D335,[2]CODE!$A$4:$A$100,[2]CODE!$D$4:$D$100),"")</f>
        <v/>
      </c>
      <c r="X335" s="5" t="str">
        <f t="array" ref="X335">IF(NOT(AND(ISBLANK(D335),ISBLANK(C335))),_xludf.XLOOKUP(D335,[2]CODE!$A$4:$A$100,[2]CODE!$E$4:$E$100),"")</f>
        <v/>
      </c>
      <c r="Y335" s="5" t="str">
        <f t="shared" si="39"/>
        <v/>
      </c>
      <c r="Z335" s="5" t="str">
        <f t="shared" si="40"/>
        <v/>
      </c>
      <c r="AA335" s="4">
        <f t="shared" si="41"/>
        <v>0</v>
      </c>
      <c r="AC335" s="2"/>
    </row>
    <row r="336" spans="1:29" ht="15.5">
      <c r="A336" s="13" t="str">
        <f>IF(OR(ISBLANK(C336),ISBLANK(D336),ISBLANK(F336),ISBLANK(G336)),"",COUNTIF($B$5:B336,"JAMBUTU"))</f>
        <v/>
      </c>
      <c r="B336" s="8" t="str">
        <f t="shared" si="35"/>
        <v/>
      </c>
      <c r="C336" s="8"/>
      <c r="D336" s="8"/>
      <c r="E336" s="13"/>
      <c r="F336" s="12"/>
      <c r="G336" s="11"/>
      <c r="H336" s="12"/>
      <c r="I336" s="11"/>
      <c r="J336" s="10">
        <f t="shared" si="36"/>
        <v>0</v>
      </c>
      <c r="K336" s="10">
        <f t="shared" si="37"/>
        <v>0</v>
      </c>
      <c r="L336" s="9" t="str">
        <f t="shared" si="38"/>
        <v/>
      </c>
      <c r="M336" s="8"/>
      <c r="N336" s="8"/>
      <c r="O336" s="8"/>
      <c r="P336" s="8"/>
      <c r="Q336" s="8"/>
      <c r="R336" s="8"/>
      <c r="S336" s="8"/>
      <c r="T336" s="8"/>
      <c r="U336" s="8"/>
      <c r="V336" s="7"/>
      <c r="W336" s="6" t="str">
        <f t="array" ref="W336">IF(NOT(ISBLANK(D336)),_xludf.XLOOKUP(D336,[2]CODE!$A$4:$A$100,[2]CODE!$D$4:$D$100),"")</f>
        <v/>
      </c>
      <c r="X336" s="5" t="str">
        <f t="array" ref="X336">IF(NOT(AND(ISBLANK(D336),ISBLANK(C336))),_xludf.XLOOKUP(D336,[2]CODE!$A$4:$A$100,[2]CODE!$E$4:$E$100),"")</f>
        <v/>
      </c>
      <c r="Y336" s="5" t="str">
        <f t="shared" si="39"/>
        <v/>
      </c>
      <c r="Z336" s="5" t="str">
        <f t="shared" si="40"/>
        <v/>
      </c>
      <c r="AA336" s="4">
        <f t="shared" si="41"/>
        <v>0</v>
      </c>
      <c r="AC336" s="2"/>
    </row>
    <row r="337" spans="1:29" ht="15.5">
      <c r="A337" s="13" t="str">
        <f>IF(OR(ISBLANK(C337),ISBLANK(D337),ISBLANK(F337),ISBLANK(G337)),"",COUNTIF($B$5:B337,"JAMBUTU"))</f>
        <v/>
      </c>
      <c r="B337" s="8" t="str">
        <f t="shared" si="35"/>
        <v/>
      </c>
      <c r="C337" s="8"/>
      <c r="D337" s="8"/>
      <c r="E337" s="13"/>
      <c r="F337" s="12"/>
      <c r="G337" s="11"/>
      <c r="H337" s="12"/>
      <c r="I337" s="11"/>
      <c r="J337" s="10">
        <f t="shared" si="36"/>
        <v>0</v>
      </c>
      <c r="K337" s="10">
        <f t="shared" si="37"/>
        <v>0</v>
      </c>
      <c r="L337" s="9" t="str">
        <f t="shared" si="38"/>
        <v/>
      </c>
      <c r="M337" s="8"/>
      <c r="N337" s="8"/>
      <c r="O337" s="8"/>
      <c r="P337" s="8"/>
      <c r="Q337" s="8"/>
      <c r="R337" s="8"/>
      <c r="S337" s="8"/>
      <c r="T337" s="8"/>
      <c r="U337" s="8"/>
      <c r="V337" s="7"/>
      <c r="W337" s="6" t="str">
        <f t="array" ref="W337">IF(NOT(ISBLANK(D337)),_xludf.XLOOKUP(D337,[2]CODE!$A$4:$A$100,[2]CODE!$D$4:$D$100),"")</f>
        <v/>
      </c>
      <c r="X337" s="5" t="str">
        <f t="array" ref="X337">IF(NOT(AND(ISBLANK(D337),ISBLANK(C337))),_xludf.XLOOKUP(D337,[2]CODE!$A$4:$A$100,[2]CODE!$E$4:$E$100),"")</f>
        <v/>
      </c>
      <c r="Y337" s="5" t="str">
        <f t="shared" si="39"/>
        <v/>
      </c>
      <c r="Z337" s="5" t="str">
        <f t="shared" si="40"/>
        <v/>
      </c>
      <c r="AA337" s="4">
        <f t="shared" si="41"/>
        <v>0</v>
      </c>
      <c r="AC337" s="2"/>
    </row>
    <row r="338" spans="1:29" ht="15.5">
      <c r="A338" s="13" t="str">
        <f>IF(OR(ISBLANK(C338),ISBLANK(D338),ISBLANK(F338),ISBLANK(G338)),"",COUNTIF($B$5:B338,"JAMBUTU"))</f>
        <v/>
      </c>
      <c r="B338" s="8" t="str">
        <f t="shared" si="35"/>
        <v/>
      </c>
      <c r="C338" s="8"/>
      <c r="D338" s="8"/>
      <c r="E338" s="13"/>
      <c r="F338" s="12"/>
      <c r="G338" s="11"/>
      <c r="H338" s="12"/>
      <c r="I338" s="11"/>
      <c r="J338" s="10">
        <f t="shared" si="36"/>
        <v>0</v>
      </c>
      <c r="K338" s="10">
        <f t="shared" si="37"/>
        <v>0</v>
      </c>
      <c r="L338" s="9" t="str">
        <f t="shared" si="38"/>
        <v/>
      </c>
      <c r="M338" s="8"/>
      <c r="N338" s="8"/>
      <c r="O338" s="8"/>
      <c r="P338" s="8"/>
      <c r="Q338" s="8"/>
      <c r="R338" s="8"/>
      <c r="S338" s="8"/>
      <c r="T338" s="8"/>
      <c r="U338" s="8"/>
      <c r="V338" s="7"/>
      <c r="W338" s="6" t="str">
        <f t="array" ref="W338">IF(NOT(ISBLANK(D338)),_xludf.XLOOKUP(D338,[2]CODE!$A$4:$A$100,[2]CODE!$D$4:$D$100),"")</f>
        <v/>
      </c>
      <c r="X338" s="5" t="str">
        <f t="array" ref="X338">IF(NOT(AND(ISBLANK(D338),ISBLANK(C338))),_xludf.XLOOKUP(D338,[2]CODE!$A$4:$A$100,[2]CODE!$E$4:$E$100),"")</f>
        <v/>
      </c>
      <c r="Y338" s="5" t="str">
        <f t="shared" si="39"/>
        <v/>
      </c>
      <c r="Z338" s="5" t="str">
        <f t="shared" si="40"/>
        <v/>
      </c>
      <c r="AA338" s="4">
        <f t="shared" si="41"/>
        <v>0</v>
      </c>
      <c r="AC338" s="2"/>
    </row>
    <row r="339" spans="1:29" ht="15.5">
      <c r="A339" s="13" t="str">
        <f>IF(OR(ISBLANK(C339),ISBLANK(D339),ISBLANK(F339),ISBLANK(G339)),"",COUNTIF($B$5:B339,"JAMBUTU"))</f>
        <v/>
      </c>
      <c r="B339" s="8" t="str">
        <f t="shared" ref="B339:B402" si="42">IF(C339&lt;&gt;"","Jambutu","")</f>
        <v/>
      </c>
      <c r="C339" s="8"/>
      <c r="D339" s="8"/>
      <c r="E339" s="13"/>
      <c r="F339" s="12"/>
      <c r="G339" s="11"/>
      <c r="H339" s="12"/>
      <c r="I339" s="11"/>
      <c r="J339" s="10">
        <f t="shared" si="36"/>
        <v>0</v>
      </c>
      <c r="K339" s="10">
        <f t="shared" si="37"/>
        <v>0</v>
      </c>
      <c r="L339" s="9" t="str">
        <f t="shared" si="38"/>
        <v/>
      </c>
      <c r="M339" s="8"/>
      <c r="N339" s="8"/>
      <c r="O339" s="8"/>
      <c r="P339" s="8"/>
      <c r="Q339" s="8"/>
      <c r="R339" s="8"/>
      <c r="S339" s="8"/>
      <c r="T339" s="8"/>
      <c r="U339" s="8"/>
      <c r="V339" s="7"/>
      <c r="W339" s="6" t="str">
        <f t="array" ref="W339">IF(NOT(ISBLANK(D339)),_xludf.XLOOKUP(D339,[2]CODE!$A$4:$A$100,[2]CODE!$D$4:$D$100),"")</f>
        <v/>
      </c>
      <c r="X339" s="5" t="str">
        <f t="array" ref="X339">IF(NOT(AND(ISBLANK(D339),ISBLANK(C339))),_xludf.XLOOKUP(D339,[2]CODE!$A$4:$A$100,[2]CODE!$E$4:$E$100),"")</f>
        <v/>
      </c>
      <c r="Y339" s="5" t="str">
        <f t="shared" si="39"/>
        <v/>
      </c>
      <c r="Z339" s="5" t="str">
        <f t="shared" si="40"/>
        <v/>
      </c>
      <c r="AA339" s="4">
        <f t="shared" si="41"/>
        <v>0</v>
      </c>
      <c r="AC339" s="2"/>
    </row>
    <row r="340" spans="1:29" ht="15.5">
      <c r="A340" s="13" t="str">
        <f>IF(OR(ISBLANK(C340),ISBLANK(D340),ISBLANK(F340),ISBLANK(G340)),"",COUNTIF($B$5:B340,"JAMBUTU"))</f>
        <v/>
      </c>
      <c r="B340" s="8" t="str">
        <f t="shared" si="42"/>
        <v/>
      </c>
      <c r="C340" s="8"/>
      <c r="D340" s="8"/>
      <c r="E340" s="13"/>
      <c r="F340" s="12"/>
      <c r="G340" s="11"/>
      <c r="H340" s="12"/>
      <c r="I340" s="11"/>
      <c r="J340" s="10">
        <f t="shared" si="36"/>
        <v>0</v>
      </c>
      <c r="K340" s="10">
        <f t="shared" si="37"/>
        <v>0</v>
      </c>
      <c r="L340" s="9" t="str">
        <f t="shared" si="38"/>
        <v/>
      </c>
      <c r="M340" s="8"/>
      <c r="N340" s="8"/>
      <c r="O340" s="8"/>
      <c r="P340" s="8"/>
      <c r="Q340" s="8"/>
      <c r="R340" s="8"/>
      <c r="S340" s="8"/>
      <c r="T340" s="8"/>
      <c r="U340" s="8"/>
      <c r="V340" s="7"/>
      <c r="W340" s="6" t="str">
        <f t="array" ref="W340">IF(NOT(ISBLANK(D340)),_xludf.XLOOKUP(D340,[2]CODE!$A$4:$A$100,[2]CODE!$D$4:$D$100),"")</f>
        <v/>
      </c>
      <c r="X340" s="5" t="str">
        <f t="array" ref="X340">IF(NOT(AND(ISBLANK(D340),ISBLANK(C340))),_xludf.XLOOKUP(D340,[2]CODE!$A$4:$A$100,[2]CODE!$E$4:$E$100),"")</f>
        <v/>
      </c>
      <c r="Y340" s="5" t="str">
        <f t="shared" si="39"/>
        <v/>
      </c>
      <c r="Z340" s="5" t="str">
        <f t="shared" si="40"/>
        <v/>
      </c>
      <c r="AA340" s="4">
        <f t="shared" si="41"/>
        <v>0</v>
      </c>
      <c r="AC340" s="2"/>
    </row>
    <row r="341" spans="1:29" ht="15.5">
      <c r="A341" s="13" t="str">
        <f>IF(OR(ISBLANK(C341),ISBLANK(D341),ISBLANK(F341),ISBLANK(G341)),"",COUNTIF($B$5:B341,"JAMBUTU"))</f>
        <v/>
      </c>
      <c r="B341" s="8" t="str">
        <f t="shared" si="42"/>
        <v/>
      </c>
      <c r="C341" s="8"/>
      <c r="D341" s="8"/>
      <c r="E341" s="13"/>
      <c r="F341" s="12"/>
      <c r="G341" s="11"/>
      <c r="H341" s="12"/>
      <c r="I341" s="11"/>
      <c r="J341" s="10">
        <f t="shared" si="36"/>
        <v>0</v>
      </c>
      <c r="K341" s="10">
        <f t="shared" si="37"/>
        <v>0</v>
      </c>
      <c r="L341" s="9" t="str">
        <f t="shared" si="38"/>
        <v/>
      </c>
      <c r="M341" s="8"/>
      <c r="N341" s="8"/>
      <c r="O341" s="8"/>
      <c r="P341" s="8"/>
      <c r="Q341" s="8"/>
      <c r="R341" s="8"/>
      <c r="S341" s="8"/>
      <c r="T341" s="8"/>
      <c r="U341" s="8"/>
      <c r="V341" s="7"/>
      <c r="W341" s="6" t="str">
        <f t="array" ref="W341">IF(NOT(ISBLANK(D341)),_xludf.XLOOKUP(D341,[2]CODE!$A$4:$A$100,[2]CODE!$D$4:$D$100),"")</f>
        <v/>
      </c>
      <c r="X341" s="5" t="str">
        <f t="array" ref="X341">IF(NOT(AND(ISBLANK(D341),ISBLANK(C341))),_xludf.XLOOKUP(D341,[2]CODE!$A$4:$A$100,[2]CODE!$E$4:$E$100),"")</f>
        <v/>
      </c>
      <c r="Y341" s="5" t="str">
        <f t="shared" si="39"/>
        <v/>
      </c>
      <c r="Z341" s="5" t="str">
        <f t="shared" si="40"/>
        <v/>
      </c>
      <c r="AA341" s="4">
        <f t="shared" si="41"/>
        <v>0</v>
      </c>
      <c r="AC341" s="2"/>
    </row>
    <row r="342" spans="1:29" ht="15.5">
      <c r="A342" s="13" t="str">
        <f>IF(OR(ISBLANK(C342),ISBLANK(D342),ISBLANK(F342),ISBLANK(G342)),"",COUNTIF($B$5:B342,"JAMBUTU"))</f>
        <v/>
      </c>
      <c r="B342" s="8" t="str">
        <f t="shared" si="42"/>
        <v/>
      </c>
      <c r="C342" s="8"/>
      <c r="D342" s="8"/>
      <c r="E342" s="13"/>
      <c r="F342" s="12"/>
      <c r="G342" s="11"/>
      <c r="H342" s="12"/>
      <c r="I342" s="11"/>
      <c r="J342" s="10">
        <f t="shared" si="36"/>
        <v>0</v>
      </c>
      <c r="K342" s="10">
        <f t="shared" si="37"/>
        <v>0</v>
      </c>
      <c r="L342" s="9" t="str">
        <f t="shared" si="38"/>
        <v/>
      </c>
      <c r="M342" s="8"/>
      <c r="N342" s="8"/>
      <c r="O342" s="8"/>
      <c r="P342" s="8"/>
      <c r="Q342" s="8"/>
      <c r="R342" s="8"/>
      <c r="S342" s="8"/>
      <c r="T342" s="8"/>
      <c r="U342" s="8"/>
      <c r="V342" s="7"/>
      <c r="W342" s="6" t="str">
        <f t="array" ref="W342">IF(NOT(ISBLANK(D342)),_xludf.XLOOKUP(D342,[2]CODE!$A$4:$A$100,[2]CODE!$D$4:$D$100),"")</f>
        <v/>
      </c>
      <c r="X342" s="5" t="str">
        <f t="array" ref="X342">IF(NOT(AND(ISBLANK(D342),ISBLANK(C342))),_xludf.XLOOKUP(D342,[2]CODE!$A$4:$A$100,[2]CODE!$E$4:$E$100),"")</f>
        <v/>
      </c>
      <c r="Y342" s="5" t="str">
        <f t="shared" si="39"/>
        <v/>
      </c>
      <c r="Z342" s="5" t="str">
        <f t="shared" si="40"/>
        <v/>
      </c>
      <c r="AA342" s="4">
        <f t="shared" si="41"/>
        <v>0</v>
      </c>
      <c r="AC342" s="2"/>
    </row>
    <row r="343" spans="1:29" ht="15.5">
      <c r="A343" s="13" t="str">
        <f>IF(OR(ISBLANK(C343),ISBLANK(D343),ISBLANK(F343),ISBLANK(G343)),"",COUNTIF($B$5:B343,"JAMBUTU"))</f>
        <v/>
      </c>
      <c r="B343" s="8" t="str">
        <f t="shared" si="42"/>
        <v/>
      </c>
      <c r="C343" s="8"/>
      <c r="D343" s="8"/>
      <c r="E343" s="13"/>
      <c r="F343" s="12"/>
      <c r="G343" s="11"/>
      <c r="H343" s="12"/>
      <c r="I343" s="11"/>
      <c r="J343" s="10">
        <f t="shared" si="36"/>
        <v>0</v>
      </c>
      <c r="K343" s="10">
        <f t="shared" si="37"/>
        <v>0</v>
      </c>
      <c r="L343" s="9" t="str">
        <f t="shared" si="38"/>
        <v/>
      </c>
      <c r="M343" s="8"/>
      <c r="N343" s="8"/>
      <c r="O343" s="8"/>
      <c r="P343" s="8"/>
      <c r="Q343" s="8"/>
      <c r="R343" s="8"/>
      <c r="S343" s="8"/>
      <c r="T343" s="8"/>
      <c r="U343" s="8"/>
      <c r="V343" s="7"/>
      <c r="W343" s="6" t="str">
        <f t="array" ref="W343">IF(NOT(ISBLANK(D343)),_xludf.XLOOKUP(D343,[2]CODE!$A$4:$A$100,[2]CODE!$D$4:$D$100),"")</f>
        <v/>
      </c>
      <c r="X343" s="5" t="str">
        <f t="array" ref="X343">IF(NOT(AND(ISBLANK(D343),ISBLANK(C343))),_xludf.XLOOKUP(D343,[2]CODE!$A$4:$A$100,[2]CODE!$E$4:$E$100),"")</f>
        <v/>
      </c>
      <c r="Y343" s="5" t="str">
        <f t="shared" si="39"/>
        <v/>
      </c>
      <c r="Z343" s="5" t="str">
        <f t="shared" si="40"/>
        <v/>
      </c>
      <c r="AA343" s="4">
        <f t="shared" si="41"/>
        <v>0</v>
      </c>
      <c r="AC343" s="2"/>
    </row>
    <row r="344" spans="1:29" ht="15.5">
      <c r="A344" s="13" t="str">
        <f>IF(OR(ISBLANK(C344),ISBLANK(D344),ISBLANK(F344),ISBLANK(G344)),"",COUNTIF($B$5:B344,"JAMBUTU"))</f>
        <v/>
      </c>
      <c r="B344" s="8" t="str">
        <f t="shared" si="42"/>
        <v/>
      </c>
      <c r="C344" s="8"/>
      <c r="D344" s="8"/>
      <c r="E344" s="13"/>
      <c r="F344" s="12"/>
      <c r="G344" s="11"/>
      <c r="H344" s="12"/>
      <c r="I344" s="11"/>
      <c r="J344" s="10">
        <f t="shared" si="36"/>
        <v>0</v>
      </c>
      <c r="K344" s="10">
        <f t="shared" si="37"/>
        <v>0</v>
      </c>
      <c r="L344" s="9" t="str">
        <f t="shared" si="38"/>
        <v/>
      </c>
      <c r="M344" s="8"/>
      <c r="N344" s="8"/>
      <c r="O344" s="8"/>
      <c r="P344" s="8"/>
      <c r="Q344" s="8"/>
      <c r="R344" s="8"/>
      <c r="S344" s="8"/>
      <c r="T344" s="8"/>
      <c r="U344" s="8"/>
      <c r="V344" s="7"/>
      <c r="W344" s="6" t="str">
        <f t="array" ref="W344">IF(NOT(ISBLANK(D344)),_xludf.XLOOKUP(D344,[2]CODE!$A$4:$A$100,[2]CODE!$D$4:$D$100),"")</f>
        <v/>
      </c>
      <c r="X344" s="5" t="str">
        <f t="array" ref="X344">IF(NOT(AND(ISBLANK(D344),ISBLANK(C344))),_xludf.XLOOKUP(D344,[2]CODE!$A$4:$A$100,[2]CODE!$E$4:$E$100),"")</f>
        <v/>
      </c>
      <c r="Y344" s="5" t="str">
        <f t="shared" si="39"/>
        <v/>
      </c>
      <c r="Z344" s="5" t="str">
        <f t="shared" si="40"/>
        <v/>
      </c>
      <c r="AA344" s="4">
        <f t="shared" si="41"/>
        <v>0</v>
      </c>
      <c r="AC344" s="2"/>
    </row>
    <row r="345" spans="1:29" ht="15.5">
      <c r="A345" s="13" t="str">
        <f>IF(OR(ISBLANK(C345),ISBLANK(D345),ISBLANK(F345),ISBLANK(G345)),"",COUNTIF($B$5:B345,"JAMBUTU"))</f>
        <v/>
      </c>
      <c r="B345" s="8" t="str">
        <f t="shared" si="42"/>
        <v/>
      </c>
      <c r="C345" s="8"/>
      <c r="D345" s="8"/>
      <c r="E345" s="13"/>
      <c r="F345" s="12"/>
      <c r="G345" s="11"/>
      <c r="H345" s="12"/>
      <c r="I345" s="11"/>
      <c r="J345" s="10">
        <f t="shared" si="36"/>
        <v>0</v>
      </c>
      <c r="K345" s="10">
        <f t="shared" si="37"/>
        <v>0</v>
      </c>
      <c r="L345" s="9" t="str">
        <f t="shared" si="38"/>
        <v/>
      </c>
      <c r="M345" s="8"/>
      <c r="N345" s="8"/>
      <c r="O345" s="8"/>
      <c r="P345" s="8"/>
      <c r="Q345" s="8"/>
      <c r="R345" s="8"/>
      <c r="S345" s="8"/>
      <c r="T345" s="8"/>
      <c r="U345" s="8"/>
      <c r="V345" s="7"/>
      <c r="W345" s="6" t="str">
        <f t="array" ref="W345">IF(NOT(ISBLANK(D345)),_xludf.XLOOKUP(D345,[2]CODE!$A$4:$A$100,[2]CODE!$D$4:$D$100),"")</f>
        <v/>
      </c>
      <c r="X345" s="5" t="str">
        <f t="array" ref="X345">IF(NOT(AND(ISBLANK(D345),ISBLANK(C345))),_xludf.XLOOKUP(D345,[2]CODE!$A$4:$A$100,[2]CODE!$E$4:$E$100),"")</f>
        <v/>
      </c>
      <c r="Y345" s="5" t="str">
        <f t="shared" si="39"/>
        <v/>
      </c>
      <c r="Z345" s="5" t="str">
        <f t="shared" si="40"/>
        <v/>
      </c>
      <c r="AA345" s="4">
        <f t="shared" si="41"/>
        <v>0</v>
      </c>
      <c r="AC345" s="2"/>
    </row>
    <row r="346" spans="1:29" ht="15.5">
      <c r="A346" s="13" t="str">
        <f>IF(OR(ISBLANK(C346),ISBLANK(D346),ISBLANK(F346),ISBLANK(G346)),"",COUNTIF($B$5:B346,"JAMBUTU"))</f>
        <v/>
      </c>
      <c r="B346" s="8" t="str">
        <f t="shared" si="42"/>
        <v/>
      </c>
      <c r="C346" s="8"/>
      <c r="D346" s="8"/>
      <c r="E346" s="13"/>
      <c r="F346" s="12"/>
      <c r="G346" s="11"/>
      <c r="H346" s="12"/>
      <c r="I346" s="11"/>
      <c r="J346" s="10">
        <f t="shared" si="36"/>
        <v>0</v>
      </c>
      <c r="K346" s="10">
        <f t="shared" si="37"/>
        <v>0</v>
      </c>
      <c r="L346" s="9" t="str">
        <f t="shared" si="38"/>
        <v/>
      </c>
      <c r="M346" s="8"/>
      <c r="N346" s="8"/>
      <c r="O346" s="8"/>
      <c r="P346" s="8"/>
      <c r="Q346" s="8"/>
      <c r="R346" s="8"/>
      <c r="S346" s="8"/>
      <c r="T346" s="8"/>
      <c r="U346" s="8"/>
      <c r="V346" s="7"/>
      <c r="W346" s="6" t="str">
        <f t="array" ref="W346">IF(NOT(ISBLANK(D346)),_xludf.XLOOKUP(D346,[2]CODE!$A$4:$A$100,[2]CODE!$D$4:$D$100),"")</f>
        <v/>
      </c>
      <c r="X346" s="5" t="str">
        <f t="array" ref="X346">IF(NOT(AND(ISBLANK(D346),ISBLANK(C346))),_xludf.XLOOKUP(D346,[2]CODE!$A$4:$A$100,[2]CODE!$E$4:$E$100),"")</f>
        <v/>
      </c>
      <c r="Y346" s="5" t="str">
        <f t="shared" si="39"/>
        <v/>
      </c>
      <c r="Z346" s="5" t="str">
        <f t="shared" si="40"/>
        <v/>
      </c>
      <c r="AA346" s="4">
        <f t="shared" si="41"/>
        <v>0</v>
      </c>
      <c r="AC346" s="2"/>
    </row>
    <row r="347" spans="1:29" ht="15.5">
      <c r="A347" s="13" t="str">
        <f>IF(OR(ISBLANK(C347),ISBLANK(D347),ISBLANK(F347),ISBLANK(G347)),"",COUNTIF($B$5:B347,"JAMBUTU"))</f>
        <v/>
      </c>
      <c r="B347" s="8" t="str">
        <f t="shared" si="42"/>
        <v/>
      </c>
      <c r="C347" s="8"/>
      <c r="D347" s="8"/>
      <c r="E347" s="13"/>
      <c r="F347" s="12"/>
      <c r="G347" s="11"/>
      <c r="H347" s="12"/>
      <c r="I347" s="11"/>
      <c r="J347" s="10">
        <f t="shared" si="36"/>
        <v>0</v>
      </c>
      <c r="K347" s="10">
        <f t="shared" si="37"/>
        <v>0</v>
      </c>
      <c r="L347" s="9" t="str">
        <f t="shared" si="38"/>
        <v/>
      </c>
      <c r="M347" s="8"/>
      <c r="N347" s="8"/>
      <c r="O347" s="8"/>
      <c r="P347" s="8"/>
      <c r="Q347" s="8"/>
      <c r="R347" s="8"/>
      <c r="S347" s="8"/>
      <c r="T347" s="8"/>
      <c r="U347" s="8"/>
      <c r="V347" s="7"/>
      <c r="W347" s="6" t="str">
        <f t="array" ref="W347">IF(NOT(ISBLANK(D347)),_xludf.XLOOKUP(D347,[2]CODE!$A$4:$A$100,[2]CODE!$D$4:$D$100),"")</f>
        <v/>
      </c>
      <c r="X347" s="5" t="str">
        <f t="array" ref="X347">IF(NOT(AND(ISBLANK(D347),ISBLANK(C347))),_xludf.XLOOKUP(D347,[2]CODE!$A$4:$A$100,[2]CODE!$E$4:$E$100),"")</f>
        <v/>
      </c>
      <c r="Y347" s="5" t="str">
        <f t="shared" si="39"/>
        <v/>
      </c>
      <c r="Z347" s="5" t="str">
        <f t="shared" si="40"/>
        <v/>
      </c>
      <c r="AA347" s="4">
        <f t="shared" si="41"/>
        <v>0</v>
      </c>
      <c r="AC347" s="2"/>
    </row>
    <row r="348" spans="1:29" ht="15.5">
      <c r="A348" s="13" t="str">
        <f>IF(OR(ISBLANK(C348),ISBLANK(D348),ISBLANK(F348),ISBLANK(G348)),"",COUNTIF($B$5:B348,"JAMBUTU"))</f>
        <v/>
      </c>
      <c r="B348" s="8" t="str">
        <f t="shared" si="42"/>
        <v/>
      </c>
      <c r="C348" s="8"/>
      <c r="D348" s="8"/>
      <c r="E348" s="13"/>
      <c r="F348" s="12"/>
      <c r="G348" s="11"/>
      <c r="H348" s="12"/>
      <c r="I348" s="11"/>
      <c r="J348" s="10">
        <f t="shared" si="36"/>
        <v>0</v>
      </c>
      <c r="K348" s="10">
        <f t="shared" si="37"/>
        <v>0</v>
      </c>
      <c r="L348" s="9" t="str">
        <f t="shared" si="38"/>
        <v/>
      </c>
      <c r="M348" s="8"/>
      <c r="N348" s="8"/>
      <c r="O348" s="8"/>
      <c r="P348" s="8"/>
      <c r="Q348" s="8"/>
      <c r="R348" s="8"/>
      <c r="S348" s="8"/>
      <c r="T348" s="8"/>
      <c r="U348" s="8"/>
      <c r="V348" s="7"/>
      <c r="W348" s="6" t="str">
        <f t="array" ref="W348">IF(NOT(ISBLANK(D348)),_xludf.XLOOKUP(D348,[2]CODE!$A$4:$A$100,[2]CODE!$D$4:$D$100),"")</f>
        <v/>
      </c>
      <c r="X348" s="5" t="str">
        <f t="array" ref="X348">IF(NOT(AND(ISBLANK(D348),ISBLANK(C348))),_xludf.XLOOKUP(D348,[2]CODE!$A$4:$A$100,[2]CODE!$E$4:$E$100),"")</f>
        <v/>
      </c>
      <c r="Y348" s="5" t="str">
        <f t="shared" si="39"/>
        <v/>
      </c>
      <c r="Z348" s="5" t="str">
        <f t="shared" si="40"/>
        <v/>
      </c>
      <c r="AA348" s="4">
        <f t="shared" si="41"/>
        <v>0</v>
      </c>
      <c r="AC348" s="2"/>
    </row>
    <row r="349" spans="1:29" ht="15.5">
      <c r="A349" s="13" t="str">
        <f>IF(OR(ISBLANK(C349),ISBLANK(D349),ISBLANK(F349),ISBLANK(G349)),"",COUNTIF($B$5:B349,"JAMBUTU"))</f>
        <v/>
      </c>
      <c r="B349" s="8" t="str">
        <f t="shared" si="42"/>
        <v/>
      </c>
      <c r="C349" s="8"/>
      <c r="D349" s="8"/>
      <c r="E349" s="13"/>
      <c r="F349" s="12"/>
      <c r="G349" s="11"/>
      <c r="H349" s="12"/>
      <c r="I349" s="11"/>
      <c r="J349" s="10">
        <f t="shared" si="36"/>
        <v>0</v>
      </c>
      <c r="K349" s="10">
        <f t="shared" si="37"/>
        <v>0</v>
      </c>
      <c r="L349" s="9" t="str">
        <f t="shared" si="38"/>
        <v/>
      </c>
      <c r="M349" s="8"/>
      <c r="N349" s="8"/>
      <c r="O349" s="8"/>
      <c r="P349" s="8"/>
      <c r="Q349" s="8"/>
      <c r="R349" s="8"/>
      <c r="S349" s="8"/>
      <c r="T349" s="8"/>
      <c r="U349" s="8"/>
      <c r="V349" s="7"/>
      <c r="W349" s="6" t="str">
        <f t="array" ref="W349">IF(NOT(ISBLANK(D349)),_xludf.XLOOKUP(D349,[2]CODE!$A$4:$A$100,[2]CODE!$D$4:$D$100),"")</f>
        <v/>
      </c>
      <c r="X349" s="5" t="str">
        <f t="array" ref="X349">IF(NOT(AND(ISBLANK(D349),ISBLANK(C349))),_xludf.XLOOKUP(D349,[2]CODE!$A$4:$A$100,[2]CODE!$E$4:$E$100),"")</f>
        <v/>
      </c>
      <c r="Y349" s="5" t="str">
        <f t="shared" si="39"/>
        <v/>
      </c>
      <c r="Z349" s="5" t="str">
        <f t="shared" si="40"/>
        <v/>
      </c>
      <c r="AA349" s="4">
        <f t="shared" si="41"/>
        <v>0</v>
      </c>
      <c r="AC349" s="2"/>
    </row>
    <row r="350" spans="1:29" ht="15.5">
      <c r="A350" s="13" t="str">
        <f>IF(OR(ISBLANK(C350),ISBLANK(D350),ISBLANK(F350),ISBLANK(G350)),"",COUNTIF($B$5:B350,"JAMBUTU"))</f>
        <v/>
      </c>
      <c r="B350" s="8" t="str">
        <f t="shared" si="42"/>
        <v/>
      </c>
      <c r="C350" s="8"/>
      <c r="D350" s="8"/>
      <c r="E350" s="13"/>
      <c r="F350" s="12"/>
      <c r="G350" s="11"/>
      <c r="H350" s="12"/>
      <c r="I350" s="11"/>
      <c r="J350" s="10">
        <f t="shared" si="36"/>
        <v>0</v>
      </c>
      <c r="K350" s="10">
        <f t="shared" si="37"/>
        <v>0</v>
      </c>
      <c r="L350" s="9" t="str">
        <f t="shared" si="38"/>
        <v/>
      </c>
      <c r="M350" s="8"/>
      <c r="N350" s="8"/>
      <c r="O350" s="8"/>
      <c r="P350" s="8"/>
      <c r="Q350" s="8"/>
      <c r="R350" s="8"/>
      <c r="S350" s="8"/>
      <c r="T350" s="8"/>
      <c r="U350" s="8"/>
      <c r="V350" s="7"/>
      <c r="W350" s="6" t="str">
        <f t="array" ref="W350">IF(NOT(ISBLANK(D350)),_xludf.XLOOKUP(D350,[2]CODE!$A$4:$A$100,[2]CODE!$D$4:$D$100),"")</f>
        <v/>
      </c>
      <c r="X350" s="5" t="str">
        <f t="array" ref="X350">IF(NOT(AND(ISBLANK(D350),ISBLANK(C350))),_xludf.XLOOKUP(D350,[2]CODE!$A$4:$A$100,[2]CODE!$E$4:$E$100),"")</f>
        <v/>
      </c>
      <c r="Y350" s="5" t="str">
        <f t="shared" si="39"/>
        <v/>
      </c>
      <c r="Z350" s="5" t="str">
        <f t="shared" si="40"/>
        <v/>
      </c>
      <c r="AA350" s="4">
        <f t="shared" si="41"/>
        <v>0</v>
      </c>
      <c r="AC350" s="2"/>
    </row>
    <row r="351" spans="1:29" ht="15.5">
      <c r="A351" s="13" t="str">
        <f>IF(OR(ISBLANK(C351),ISBLANK(D351),ISBLANK(F351),ISBLANK(G351)),"",COUNTIF($B$5:B351,"JAMBUTU"))</f>
        <v/>
      </c>
      <c r="B351" s="8" t="str">
        <f t="shared" si="42"/>
        <v/>
      </c>
      <c r="C351" s="8"/>
      <c r="D351" s="8"/>
      <c r="E351" s="13"/>
      <c r="F351" s="12"/>
      <c r="G351" s="11"/>
      <c r="H351" s="12"/>
      <c r="I351" s="11"/>
      <c r="J351" s="10">
        <f t="shared" si="36"/>
        <v>0</v>
      </c>
      <c r="K351" s="10">
        <f t="shared" si="37"/>
        <v>0</v>
      </c>
      <c r="L351" s="9" t="str">
        <f t="shared" si="38"/>
        <v/>
      </c>
      <c r="M351" s="8"/>
      <c r="N351" s="8"/>
      <c r="O351" s="8"/>
      <c r="P351" s="8"/>
      <c r="Q351" s="8"/>
      <c r="R351" s="8"/>
      <c r="S351" s="8"/>
      <c r="T351" s="8"/>
      <c r="U351" s="8"/>
      <c r="V351" s="7"/>
      <c r="W351" s="6" t="str">
        <f t="array" ref="W351">IF(NOT(ISBLANK(D351)),_xludf.XLOOKUP(D351,[2]CODE!$A$4:$A$100,[2]CODE!$D$4:$D$100),"")</f>
        <v/>
      </c>
      <c r="X351" s="5" t="str">
        <f t="array" ref="X351">IF(NOT(AND(ISBLANK(D351),ISBLANK(C351))),_xludf.XLOOKUP(D351,[2]CODE!$A$4:$A$100,[2]CODE!$E$4:$E$100),"")</f>
        <v/>
      </c>
      <c r="Y351" s="5" t="str">
        <f t="shared" si="39"/>
        <v/>
      </c>
      <c r="Z351" s="5" t="str">
        <f t="shared" si="40"/>
        <v/>
      </c>
      <c r="AA351" s="4">
        <f t="shared" si="41"/>
        <v>0</v>
      </c>
      <c r="AC351" s="2"/>
    </row>
    <row r="352" spans="1:29" ht="15.5">
      <c r="A352" s="13" t="str">
        <f>IF(OR(ISBLANK(C352),ISBLANK(D352),ISBLANK(F352),ISBLANK(G352)),"",COUNTIF($B$5:B352,"JAMBUTU"))</f>
        <v/>
      </c>
      <c r="B352" s="8" t="str">
        <f t="shared" si="42"/>
        <v/>
      </c>
      <c r="C352" s="8"/>
      <c r="D352" s="8"/>
      <c r="E352" s="13"/>
      <c r="F352" s="12"/>
      <c r="G352" s="11"/>
      <c r="H352" s="12"/>
      <c r="I352" s="11"/>
      <c r="J352" s="10">
        <f t="shared" si="36"/>
        <v>0</v>
      </c>
      <c r="K352" s="10">
        <f t="shared" si="37"/>
        <v>0</v>
      </c>
      <c r="L352" s="9" t="str">
        <f t="shared" si="38"/>
        <v/>
      </c>
      <c r="M352" s="8"/>
      <c r="N352" s="8"/>
      <c r="O352" s="8"/>
      <c r="P352" s="8"/>
      <c r="Q352" s="8"/>
      <c r="R352" s="8"/>
      <c r="S352" s="8"/>
      <c r="T352" s="8"/>
      <c r="U352" s="8"/>
      <c r="V352" s="7"/>
      <c r="W352" s="6" t="str">
        <f t="array" ref="W352">IF(NOT(ISBLANK(D352)),_xludf.XLOOKUP(D352,[2]CODE!$A$4:$A$100,[2]CODE!$D$4:$D$100),"")</f>
        <v/>
      </c>
      <c r="X352" s="5" t="str">
        <f t="array" ref="X352">IF(NOT(AND(ISBLANK(D352),ISBLANK(C352))),_xludf.XLOOKUP(D352,[2]CODE!$A$4:$A$100,[2]CODE!$E$4:$E$100),"")</f>
        <v/>
      </c>
      <c r="Y352" s="5" t="str">
        <f t="shared" si="39"/>
        <v/>
      </c>
      <c r="Z352" s="5" t="str">
        <f t="shared" si="40"/>
        <v/>
      </c>
      <c r="AA352" s="4">
        <f t="shared" si="41"/>
        <v>0</v>
      </c>
      <c r="AC352" s="2"/>
    </row>
    <row r="353" spans="1:29" ht="15.5">
      <c r="A353" s="13" t="str">
        <f>IF(OR(ISBLANK(C353),ISBLANK(D353),ISBLANK(F353),ISBLANK(G353)),"",COUNTIF($B$5:B353,"JAMBUTU"))</f>
        <v/>
      </c>
      <c r="B353" s="8" t="str">
        <f t="shared" si="42"/>
        <v/>
      </c>
      <c r="C353" s="8"/>
      <c r="D353" s="8"/>
      <c r="E353" s="13"/>
      <c r="F353" s="12"/>
      <c r="G353" s="11"/>
      <c r="H353" s="12"/>
      <c r="I353" s="11"/>
      <c r="J353" s="10">
        <f t="shared" si="36"/>
        <v>0</v>
      </c>
      <c r="K353" s="10">
        <f t="shared" si="37"/>
        <v>0</v>
      </c>
      <c r="L353" s="9" t="str">
        <f t="shared" si="38"/>
        <v/>
      </c>
      <c r="M353" s="8"/>
      <c r="N353" s="8"/>
      <c r="O353" s="8"/>
      <c r="P353" s="8"/>
      <c r="Q353" s="8"/>
      <c r="R353" s="8"/>
      <c r="S353" s="8"/>
      <c r="T353" s="8"/>
      <c r="U353" s="8"/>
      <c r="V353" s="7"/>
      <c r="W353" s="6" t="str">
        <f t="array" ref="W353">IF(NOT(ISBLANK(D353)),_xludf.XLOOKUP(D353,[2]CODE!$A$4:$A$100,[2]CODE!$D$4:$D$100),"")</f>
        <v/>
      </c>
      <c r="X353" s="5" t="str">
        <f t="array" ref="X353">IF(NOT(AND(ISBLANK(D353),ISBLANK(C353))),_xludf.XLOOKUP(D353,[2]CODE!$A$4:$A$100,[2]CODE!$E$4:$E$100),"")</f>
        <v/>
      </c>
      <c r="Y353" s="5" t="str">
        <f t="shared" si="39"/>
        <v/>
      </c>
      <c r="Z353" s="5" t="str">
        <f t="shared" si="40"/>
        <v/>
      </c>
      <c r="AA353" s="4">
        <f t="shared" si="41"/>
        <v>0</v>
      </c>
      <c r="AC353" s="2"/>
    </row>
    <row r="354" spans="1:29" ht="15.5">
      <c r="A354" s="13" t="str">
        <f>IF(OR(ISBLANK(C354),ISBLANK(D354),ISBLANK(F354),ISBLANK(G354)),"",COUNTIF($B$5:B354,"JAMBUTU"))</f>
        <v/>
      </c>
      <c r="B354" s="8" t="str">
        <f t="shared" si="42"/>
        <v/>
      </c>
      <c r="C354" s="8"/>
      <c r="D354" s="8"/>
      <c r="E354" s="13"/>
      <c r="F354" s="12"/>
      <c r="G354" s="11"/>
      <c r="H354" s="12"/>
      <c r="I354" s="11"/>
      <c r="J354" s="10">
        <f t="shared" si="36"/>
        <v>0</v>
      </c>
      <c r="K354" s="10">
        <f t="shared" si="37"/>
        <v>0</v>
      </c>
      <c r="L354" s="9" t="str">
        <f t="shared" si="38"/>
        <v/>
      </c>
      <c r="M354" s="8"/>
      <c r="N354" s="8"/>
      <c r="O354" s="8"/>
      <c r="P354" s="8"/>
      <c r="Q354" s="8"/>
      <c r="R354" s="8"/>
      <c r="S354" s="8"/>
      <c r="T354" s="8"/>
      <c r="U354" s="8"/>
      <c r="V354" s="7"/>
      <c r="W354" s="6" t="str">
        <f t="array" ref="W354">IF(NOT(ISBLANK(D354)),_xludf.XLOOKUP(D354,[2]CODE!$A$4:$A$100,[2]CODE!$D$4:$D$100),"")</f>
        <v/>
      </c>
      <c r="X354" s="5" t="str">
        <f t="array" ref="X354">IF(NOT(AND(ISBLANK(D354),ISBLANK(C354))),_xludf.XLOOKUP(D354,[2]CODE!$A$4:$A$100,[2]CODE!$E$4:$E$100),"")</f>
        <v/>
      </c>
      <c r="Y354" s="5" t="str">
        <f t="shared" si="39"/>
        <v/>
      </c>
      <c r="Z354" s="5" t="str">
        <f t="shared" si="40"/>
        <v/>
      </c>
      <c r="AA354" s="4">
        <f t="shared" si="41"/>
        <v>0</v>
      </c>
      <c r="AC354" s="2"/>
    </row>
    <row r="355" spans="1:29" ht="15.5">
      <c r="A355" s="13" t="str">
        <f>IF(OR(ISBLANK(C355),ISBLANK(D355),ISBLANK(F355),ISBLANK(G355)),"",COUNTIF($B$5:B355,"JAMBUTU"))</f>
        <v/>
      </c>
      <c r="B355" s="8" t="str">
        <f t="shared" si="42"/>
        <v/>
      </c>
      <c r="C355" s="8"/>
      <c r="D355" s="8"/>
      <c r="E355" s="13"/>
      <c r="F355" s="12"/>
      <c r="G355" s="11"/>
      <c r="H355" s="12"/>
      <c r="I355" s="11"/>
      <c r="J355" s="10">
        <f t="shared" si="36"/>
        <v>0</v>
      </c>
      <c r="K355" s="10">
        <f t="shared" si="37"/>
        <v>0</v>
      </c>
      <c r="L355" s="9" t="str">
        <f t="shared" si="38"/>
        <v/>
      </c>
      <c r="M355" s="8"/>
      <c r="N355" s="8"/>
      <c r="O355" s="8"/>
      <c r="P355" s="8"/>
      <c r="Q355" s="8"/>
      <c r="R355" s="8"/>
      <c r="S355" s="8"/>
      <c r="T355" s="8"/>
      <c r="U355" s="8"/>
      <c r="V355" s="7"/>
      <c r="W355" s="6" t="str">
        <f t="array" ref="W355">IF(NOT(ISBLANK(D355)),_xludf.XLOOKUP(D355,[2]CODE!$A$4:$A$100,[2]CODE!$D$4:$D$100),"")</f>
        <v/>
      </c>
      <c r="X355" s="5" t="str">
        <f t="array" ref="X355">IF(NOT(AND(ISBLANK(D355),ISBLANK(C355))),_xludf.XLOOKUP(D355,[2]CODE!$A$4:$A$100,[2]CODE!$E$4:$E$100),"")</f>
        <v/>
      </c>
      <c r="Y355" s="5" t="str">
        <f t="shared" si="39"/>
        <v/>
      </c>
      <c r="Z355" s="5" t="str">
        <f t="shared" si="40"/>
        <v/>
      </c>
      <c r="AA355" s="4">
        <f t="shared" si="41"/>
        <v>0</v>
      </c>
      <c r="AC355" s="2"/>
    </row>
    <row r="356" spans="1:29" ht="15.5">
      <c r="A356" s="13" t="str">
        <f>IF(OR(ISBLANK(C356),ISBLANK(D356),ISBLANK(F356),ISBLANK(G356)),"",COUNTIF($B$5:B356,"JAMBUTU"))</f>
        <v/>
      </c>
      <c r="B356" s="8" t="str">
        <f t="shared" si="42"/>
        <v/>
      </c>
      <c r="C356" s="8"/>
      <c r="D356" s="8"/>
      <c r="E356" s="13"/>
      <c r="F356" s="12"/>
      <c r="G356" s="11"/>
      <c r="H356" s="12"/>
      <c r="I356" s="11"/>
      <c r="J356" s="10">
        <f t="shared" si="36"/>
        <v>0</v>
      </c>
      <c r="K356" s="10">
        <f t="shared" si="37"/>
        <v>0</v>
      </c>
      <c r="L356" s="9" t="str">
        <f t="shared" si="38"/>
        <v/>
      </c>
      <c r="M356" s="8"/>
      <c r="N356" s="8"/>
      <c r="O356" s="8"/>
      <c r="P356" s="8"/>
      <c r="Q356" s="8"/>
      <c r="R356" s="8"/>
      <c r="S356" s="8"/>
      <c r="T356" s="8"/>
      <c r="U356" s="8"/>
      <c r="V356" s="7"/>
      <c r="W356" s="6" t="str">
        <f t="array" ref="W356">IF(NOT(ISBLANK(D356)),_xludf.XLOOKUP(D356,[2]CODE!$A$4:$A$100,[2]CODE!$D$4:$D$100),"")</f>
        <v/>
      </c>
      <c r="X356" s="5" t="str">
        <f t="array" ref="X356">IF(NOT(AND(ISBLANK(D356),ISBLANK(C356))),_xludf.XLOOKUP(D356,[2]CODE!$A$4:$A$100,[2]CODE!$E$4:$E$100),"")</f>
        <v/>
      </c>
      <c r="Y356" s="5" t="str">
        <f t="shared" si="39"/>
        <v/>
      </c>
      <c r="Z356" s="5" t="str">
        <f t="shared" si="40"/>
        <v/>
      </c>
      <c r="AA356" s="4">
        <f t="shared" si="41"/>
        <v>0</v>
      </c>
      <c r="AC356" s="2"/>
    </row>
    <row r="357" spans="1:29" ht="15.5">
      <c r="A357" s="13" t="str">
        <f>IF(OR(ISBLANK(C357),ISBLANK(D357),ISBLANK(F357),ISBLANK(G357)),"",COUNTIF($B$5:B357,"JAMBUTU"))</f>
        <v/>
      </c>
      <c r="B357" s="8" t="str">
        <f t="shared" si="42"/>
        <v/>
      </c>
      <c r="C357" s="8"/>
      <c r="D357" s="8"/>
      <c r="E357" s="13"/>
      <c r="F357" s="12"/>
      <c r="G357" s="11"/>
      <c r="H357" s="12"/>
      <c r="I357" s="11"/>
      <c r="J357" s="10">
        <f t="shared" si="36"/>
        <v>0</v>
      </c>
      <c r="K357" s="10">
        <f t="shared" si="37"/>
        <v>0</v>
      </c>
      <c r="L357" s="9" t="str">
        <f t="shared" si="38"/>
        <v/>
      </c>
      <c r="M357" s="8"/>
      <c r="N357" s="8"/>
      <c r="O357" s="8"/>
      <c r="P357" s="8"/>
      <c r="Q357" s="8"/>
      <c r="R357" s="8"/>
      <c r="S357" s="8"/>
      <c r="T357" s="8"/>
      <c r="U357" s="8"/>
      <c r="V357" s="7"/>
      <c r="W357" s="6" t="str">
        <f t="array" ref="W357">IF(NOT(ISBLANK(D357)),_xludf.XLOOKUP(D357,[2]CODE!$A$4:$A$100,[2]CODE!$D$4:$D$100),"")</f>
        <v/>
      </c>
      <c r="X357" s="5" t="str">
        <f t="array" ref="X357">IF(NOT(AND(ISBLANK(D357),ISBLANK(C357))),_xludf.XLOOKUP(D357,[2]CODE!$A$4:$A$100,[2]CODE!$E$4:$E$100),"")</f>
        <v/>
      </c>
      <c r="Y357" s="5" t="str">
        <f t="shared" si="39"/>
        <v/>
      </c>
      <c r="Z357" s="5" t="str">
        <f t="shared" si="40"/>
        <v/>
      </c>
      <c r="AA357" s="4">
        <f t="shared" si="41"/>
        <v>0</v>
      </c>
      <c r="AC357" s="2"/>
    </row>
    <row r="358" spans="1:29" ht="15.5">
      <c r="A358" s="13" t="str">
        <f>IF(OR(ISBLANK(C358),ISBLANK(D358),ISBLANK(F358),ISBLANK(G358)),"",COUNTIF($B$5:B358,"JAMBUTU"))</f>
        <v/>
      </c>
      <c r="B358" s="8" t="str">
        <f t="shared" si="42"/>
        <v/>
      </c>
      <c r="C358" s="8"/>
      <c r="D358" s="8"/>
      <c r="E358" s="13"/>
      <c r="F358" s="12"/>
      <c r="G358" s="11"/>
      <c r="H358" s="12"/>
      <c r="I358" s="11"/>
      <c r="J358" s="10">
        <f t="shared" si="36"/>
        <v>0</v>
      </c>
      <c r="K358" s="10">
        <f t="shared" si="37"/>
        <v>0</v>
      </c>
      <c r="L358" s="9" t="str">
        <f t="shared" si="38"/>
        <v/>
      </c>
      <c r="M358" s="8"/>
      <c r="N358" s="8"/>
      <c r="O358" s="8"/>
      <c r="P358" s="8"/>
      <c r="Q358" s="8"/>
      <c r="R358" s="8"/>
      <c r="S358" s="8"/>
      <c r="T358" s="8"/>
      <c r="U358" s="8"/>
      <c r="V358" s="7"/>
      <c r="W358" s="6" t="str">
        <f t="array" ref="W358">IF(NOT(ISBLANK(D358)),_xludf.XLOOKUP(D358,[2]CODE!$A$4:$A$100,[2]CODE!$D$4:$D$100),"")</f>
        <v/>
      </c>
      <c r="X358" s="5" t="str">
        <f t="array" ref="X358">IF(NOT(AND(ISBLANK(D358),ISBLANK(C358))),_xludf.XLOOKUP(D358,[2]CODE!$A$4:$A$100,[2]CODE!$E$4:$E$100),"")</f>
        <v/>
      </c>
      <c r="Y358" s="5" t="str">
        <f t="shared" si="39"/>
        <v/>
      </c>
      <c r="Z358" s="5" t="str">
        <f t="shared" si="40"/>
        <v/>
      </c>
      <c r="AA358" s="4">
        <f t="shared" si="41"/>
        <v>0</v>
      </c>
      <c r="AC358" s="2"/>
    </row>
    <row r="359" spans="1:29" ht="15.5">
      <c r="A359" s="13" t="str">
        <f>IF(OR(ISBLANK(C359),ISBLANK(D359),ISBLANK(F359),ISBLANK(G359)),"",COUNTIF($B$5:B359,"JAMBUTU"))</f>
        <v/>
      </c>
      <c r="B359" s="8" t="str">
        <f t="shared" si="42"/>
        <v/>
      </c>
      <c r="C359" s="8"/>
      <c r="D359" s="8"/>
      <c r="E359" s="13"/>
      <c r="F359" s="12"/>
      <c r="G359" s="11"/>
      <c r="H359" s="12"/>
      <c r="I359" s="11"/>
      <c r="J359" s="10">
        <f t="shared" si="36"/>
        <v>0</v>
      </c>
      <c r="K359" s="10">
        <f t="shared" si="37"/>
        <v>0</v>
      </c>
      <c r="L359" s="9" t="str">
        <f t="shared" si="38"/>
        <v/>
      </c>
      <c r="M359" s="8"/>
      <c r="N359" s="8"/>
      <c r="O359" s="8"/>
      <c r="P359" s="8"/>
      <c r="Q359" s="8"/>
      <c r="R359" s="8"/>
      <c r="S359" s="8"/>
      <c r="T359" s="8"/>
      <c r="U359" s="8"/>
      <c r="V359" s="7"/>
      <c r="W359" s="6" t="str">
        <f t="array" ref="W359">IF(NOT(ISBLANK(D359)),_xludf.XLOOKUP(D359,[2]CODE!$A$4:$A$100,[2]CODE!$D$4:$D$100),"")</f>
        <v/>
      </c>
      <c r="X359" s="5" t="str">
        <f t="array" ref="X359">IF(NOT(AND(ISBLANK(D359),ISBLANK(C359))),_xludf.XLOOKUP(D359,[2]CODE!$A$4:$A$100,[2]CODE!$E$4:$E$100),"")</f>
        <v/>
      </c>
      <c r="Y359" s="5" t="str">
        <f t="shared" si="39"/>
        <v/>
      </c>
      <c r="Z359" s="5" t="str">
        <f t="shared" si="40"/>
        <v/>
      </c>
      <c r="AA359" s="4">
        <f t="shared" si="41"/>
        <v>0</v>
      </c>
      <c r="AC359" s="2"/>
    </row>
    <row r="360" spans="1:29" ht="15.5">
      <c r="A360" s="13" t="str">
        <f>IF(OR(ISBLANK(C360),ISBLANK(D360),ISBLANK(F360),ISBLANK(G360)),"",COUNTIF($B$5:B360,"JAMBUTU"))</f>
        <v/>
      </c>
      <c r="B360" s="8" t="str">
        <f t="shared" si="42"/>
        <v/>
      </c>
      <c r="C360" s="8"/>
      <c r="D360" s="8"/>
      <c r="E360" s="13"/>
      <c r="F360" s="12"/>
      <c r="G360" s="11"/>
      <c r="H360" s="12"/>
      <c r="I360" s="11"/>
      <c r="J360" s="10">
        <f t="shared" si="36"/>
        <v>0</v>
      </c>
      <c r="K360" s="10">
        <f t="shared" si="37"/>
        <v>0</v>
      </c>
      <c r="L360" s="9" t="str">
        <f t="shared" si="38"/>
        <v/>
      </c>
      <c r="M360" s="8"/>
      <c r="N360" s="8"/>
      <c r="O360" s="8"/>
      <c r="P360" s="8"/>
      <c r="Q360" s="8"/>
      <c r="R360" s="8"/>
      <c r="S360" s="8"/>
      <c r="T360" s="8"/>
      <c r="U360" s="8"/>
      <c r="V360" s="7"/>
      <c r="W360" s="6" t="str">
        <f t="array" ref="W360">IF(NOT(ISBLANK(D360)),_xludf.XLOOKUP(D360,[2]CODE!$A$4:$A$100,[2]CODE!$D$4:$D$100),"")</f>
        <v/>
      </c>
      <c r="X360" s="5" t="str">
        <f t="array" ref="X360">IF(NOT(AND(ISBLANK(D360),ISBLANK(C360))),_xludf.XLOOKUP(D360,[2]CODE!$A$4:$A$100,[2]CODE!$E$4:$E$100),"")</f>
        <v/>
      </c>
      <c r="Y360" s="5" t="str">
        <f t="shared" si="39"/>
        <v/>
      </c>
      <c r="Z360" s="5" t="str">
        <f t="shared" si="40"/>
        <v/>
      </c>
      <c r="AA360" s="4">
        <f t="shared" si="41"/>
        <v>0</v>
      </c>
      <c r="AC360" s="2"/>
    </row>
    <row r="361" spans="1:29" ht="15.5">
      <c r="A361" s="13" t="str">
        <f>IF(OR(ISBLANK(C361),ISBLANK(D361),ISBLANK(F361),ISBLANK(G361)),"",COUNTIF($B$5:B361,"JAMBUTU"))</f>
        <v/>
      </c>
      <c r="B361" s="8" t="str">
        <f t="shared" si="42"/>
        <v/>
      </c>
      <c r="C361" s="8"/>
      <c r="D361" s="8"/>
      <c r="E361" s="13"/>
      <c r="F361" s="12"/>
      <c r="G361" s="11"/>
      <c r="H361" s="12"/>
      <c r="I361" s="11"/>
      <c r="J361" s="10">
        <f t="shared" si="36"/>
        <v>0</v>
      </c>
      <c r="K361" s="10">
        <f t="shared" si="37"/>
        <v>0</v>
      </c>
      <c r="L361" s="9" t="str">
        <f t="shared" si="38"/>
        <v/>
      </c>
      <c r="M361" s="8"/>
      <c r="N361" s="8"/>
      <c r="O361" s="8"/>
      <c r="P361" s="8"/>
      <c r="Q361" s="8"/>
      <c r="R361" s="8"/>
      <c r="S361" s="8"/>
      <c r="T361" s="8"/>
      <c r="U361" s="8"/>
      <c r="V361" s="7"/>
      <c r="W361" s="6" t="str">
        <f t="array" ref="W361">IF(NOT(ISBLANK(D361)),_xludf.XLOOKUP(D361,[2]CODE!$A$4:$A$100,[2]CODE!$D$4:$D$100),"")</f>
        <v/>
      </c>
      <c r="X361" s="5" t="str">
        <f t="array" ref="X361">IF(NOT(AND(ISBLANK(D361),ISBLANK(C361))),_xludf.XLOOKUP(D361,[2]CODE!$A$4:$A$100,[2]CODE!$E$4:$E$100),"")</f>
        <v/>
      </c>
      <c r="Y361" s="5" t="str">
        <f t="shared" si="39"/>
        <v/>
      </c>
      <c r="Z361" s="5" t="str">
        <f t="shared" si="40"/>
        <v/>
      </c>
      <c r="AA361" s="4">
        <f t="shared" si="41"/>
        <v>0</v>
      </c>
      <c r="AC361" s="2"/>
    </row>
    <row r="362" spans="1:29" ht="15.5">
      <c r="A362" s="13" t="str">
        <f>IF(OR(ISBLANK(C362),ISBLANK(D362),ISBLANK(F362),ISBLANK(G362)),"",COUNTIF($B$5:B362,"JAMBUTU"))</f>
        <v/>
      </c>
      <c r="B362" s="8" t="str">
        <f t="shared" si="42"/>
        <v/>
      </c>
      <c r="C362" s="8"/>
      <c r="D362" s="8"/>
      <c r="E362" s="13"/>
      <c r="F362" s="12"/>
      <c r="G362" s="11"/>
      <c r="H362" s="12"/>
      <c r="I362" s="11"/>
      <c r="J362" s="10">
        <f t="shared" si="36"/>
        <v>0</v>
      </c>
      <c r="K362" s="10">
        <f t="shared" si="37"/>
        <v>0</v>
      </c>
      <c r="L362" s="9" t="str">
        <f t="shared" si="38"/>
        <v/>
      </c>
      <c r="M362" s="8"/>
      <c r="N362" s="8"/>
      <c r="O362" s="8"/>
      <c r="P362" s="8"/>
      <c r="Q362" s="8"/>
      <c r="R362" s="8"/>
      <c r="S362" s="8"/>
      <c r="T362" s="8"/>
      <c r="U362" s="8"/>
      <c r="V362" s="7"/>
      <c r="W362" s="6" t="str">
        <f t="array" ref="W362">IF(NOT(ISBLANK(D362)),_xludf.XLOOKUP(D362,[2]CODE!$A$4:$A$100,[2]CODE!$D$4:$D$100),"")</f>
        <v/>
      </c>
      <c r="X362" s="5" t="str">
        <f t="array" ref="X362">IF(NOT(AND(ISBLANK(D362),ISBLANK(C362))),_xludf.XLOOKUP(D362,[2]CODE!$A$4:$A$100,[2]CODE!$E$4:$E$100),"")</f>
        <v/>
      </c>
      <c r="Y362" s="5" t="str">
        <f t="shared" si="39"/>
        <v/>
      </c>
      <c r="Z362" s="5" t="str">
        <f t="shared" si="40"/>
        <v/>
      </c>
      <c r="AA362" s="4">
        <f t="shared" si="41"/>
        <v>0</v>
      </c>
      <c r="AC362" s="2"/>
    </row>
    <row r="363" spans="1:29" ht="15.5">
      <c r="A363" s="13" t="str">
        <f>IF(OR(ISBLANK(C363),ISBLANK(D363),ISBLANK(F363),ISBLANK(G363)),"",COUNTIF($B$5:B363,"JAMBUTU"))</f>
        <v/>
      </c>
      <c r="B363" s="8" t="str">
        <f t="shared" si="42"/>
        <v/>
      </c>
      <c r="C363" s="8"/>
      <c r="D363" s="8"/>
      <c r="E363" s="13"/>
      <c r="F363" s="12"/>
      <c r="G363" s="11"/>
      <c r="H363" s="12"/>
      <c r="I363" s="11"/>
      <c r="J363" s="10">
        <f t="shared" si="36"/>
        <v>0</v>
      </c>
      <c r="K363" s="10">
        <f t="shared" si="37"/>
        <v>0</v>
      </c>
      <c r="L363" s="9" t="str">
        <f t="shared" si="38"/>
        <v/>
      </c>
      <c r="M363" s="8"/>
      <c r="N363" s="8"/>
      <c r="O363" s="8"/>
      <c r="P363" s="8"/>
      <c r="Q363" s="8"/>
      <c r="R363" s="8"/>
      <c r="S363" s="8"/>
      <c r="T363" s="8"/>
      <c r="U363" s="8"/>
      <c r="V363" s="7"/>
      <c r="W363" s="6" t="str">
        <f t="array" ref="W363">IF(NOT(ISBLANK(D363)),_xludf.XLOOKUP(D363,[2]CODE!$A$4:$A$100,[2]CODE!$D$4:$D$100),"")</f>
        <v/>
      </c>
      <c r="X363" s="5" t="str">
        <f t="array" ref="X363">IF(NOT(AND(ISBLANK(D363),ISBLANK(C363))),_xludf.XLOOKUP(D363,[2]CODE!$A$4:$A$100,[2]CODE!$E$4:$E$100),"")</f>
        <v/>
      </c>
      <c r="Y363" s="5" t="str">
        <f t="shared" si="39"/>
        <v/>
      </c>
      <c r="Z363" s="5" t="str">
        <f t="shared" si="40"/>
        <v/>
      </c>
      <c r="AA363" s="4">
        <f t="shared" si="41"/>
        <v>0</v>
      </c>
      <c r="AC363" s="2"/>
    </row>
    <row r="364" spans="1:29" ht="15.5">
      <c r="A364" s="13" t="str">
        <f>IF(OR(ISBLANK(C364),ISBLANK(D364),ISBLANK(F364),ISBLANK(G364)),"",COUNTIF($B$5:B364,"JAMBUTU"))</f>
        <v/>
      </c>
      <c r="B364" s="8" t="str">
        <f t="shared" si="42"/>
        <v/>
      </c>
      <c r="C364" s="8"/>
      <c r="D364" s="8"/>
      <c r="E364" s="13"/>
      <c r="F364" s="12"/>
      <c r="G364" s="11"/>
      <c r="H364" s="12"/>
      <c r="I364" s="11"/>
      <c r="J364" s="10">
        <f t="shared" si="36"/>
        <v>0</v>
      </c>
      <c r="K364" s="10">
        <f t="shared" si="37"/>
        <v>0</v>
      </c>
      <c r="L364" s="9" t="str">
        <f t="shared" si="38"/>
        <v/>
      </c>
      <c r="M364" s="8"/>
      <c r="N364" s="8"/>
      <c r="O364" s="8"/>
      <c r="P364" s="8"/>
      <c r="Q364" s="8"/>
      <c r="R364" s="8"/>
      <c r="S364" s="8"/>
      <c r="T364" s="8"/>
      <c r="U364" s="8"/>
      <c r="V364" s="7"/>
      <c r="W364" s="6" t="str">
        <f t="array" ref="W364">IF(NOT(ISBLANK(D364)),_xludf.XLOOKUP(D364,[2]CODE!$A$4:$A$100,[2]CODE!$D$4:$D$100),"")</f>
        <v/>
      </c>
      <c r="X364" s="5" t="str">
        <f t="array" ref="X364">IF(NOT(AND(ISBLANK(D364),ISBLANK(C364))),_xludf.XLOOKUP(D364,[2]CODE!$A$4:$A$100,[2]CODE!$E$4:$E$100),"")</f>
        <v/>
      </c>
      <c r="Y364" s="5" t="str">
        <f t="shared" si="39"/>
        <v/>
      </c>
      <c r="Z364" s="5" t="str">
        <f t="shared" si="40"/>
        <v/>
      </c>
      <c r="AA364" s="4">
        <f t="shared" si="41"/>
        <v>0</v>
      </c>
      <c r="AC364" s="2"/>
    </row>
    <row r="365" spans="1:29" ht="15.5">
      <c r="A365" s="13" t="str">
        <f>IF(OR(ISBLANK(C365),ISBLANK(D365),ISBLANK(F365),ISBLANK(G365)),"",COUNTIF($B$5:B365,"JAMBUTU"))</f>
        <v/>
      </c>
      <c r="B365" s="8" t="str">
        <f t="shared" si="42"/>
        <v/>
      </c>
      <c r="C365" s="8"/>
      <c r="D365" s="8"/>
      <c r="E365" s="13"/>
      <c r="F365" s="12"/>
      <c r="G365" s="11"/>
      <c r="H365" s="12"/>
      <c r="I365" s="11"/>
      <c r="J365" s="10">
        <f t="shared" si="36"/>
        <v>0</v>
      </c>
      <c r="K365" s="10">
        <f t="shared" si="37"/>
        <v>0</v>
      </c>
      <c r="L365" s="9" t="str">
        <f t="shared" si="38"/>
        <v/>
      </c>
      <c r="M365" s="8"/>
      <c r="N365" s="8"/>
      <c r="O365" s="8"/>
      <c r="P365" s="8"/>
      <c r="Q365" s="8"/>
      <c r="R365" s="8"/>
      <c r="S365" s="8"/>
      <c r="T365" s="8"/>
      <c r="U365" s="8"/>
      <c r="V365" s="7"/>
      <c r="W365" s="6" t="str">
        <f t="array" ref="W365">IF(NOT(ISBLANK(D365)),_xludf.XLOOKUP(D365,[2]CODE!$A$4:$A$100,[2]CODE!$D$4:$D$100),"")</f>
        <v/>
      </c>
      <c r="X365" s="5" t="str">
        <f t="array" ref="X365">IF(NOT(AND(ISBLANK(D365),ISBLANK(C365))),_xludf.XLOOKUP(D365,[2]CODE!$A$4:$A$100,[2]CODE!$E$4:$E$100),"")</f>
        <v/>
      </c>
      <c r="Y365" s="5" t="str">
        <f t="shared" si="39"/>
        <v/>
      </c>
      <c r="Z365" s="5" t="str">
        <f t="shared" si="40"/>
        <v/>
      </c>
      <c r="AA365" s="4">
        <f t="shared" si="41"/>
        <v>0</v>
      </c>
      <c r="AC365" s="2"/>
    </row>
    <row r="366" spans="1:29" ht="15.5">
      <c r="A366" s="13" t="str">
        <f>IF(OR(ISBLANK(C366),ISBLANK(D366),ISBLANK(F366),ISBLANK(G366)),"",COUNTIF($B$5:B366,"JAMBUTU"))</f>
        <v/>
      </c>
      <c r="B366" s="8" t="str">
        <f t="shared" si="42"/>
        <v/>
      </c>
      <c r="C366" s="8"/>
      <c r="D366" s="8"/>
      <c r="E366" s="13"/>
      <c r="F366" s="12"/>
      <c r="G366" s="11"/>
      <c r="H366" s="12"/>
      <c r="I366" s="11"/>
      <c r="J366" s="10">
        <f t="shared" si="36"/>
        <v>0</v>
      </c>
      <c r="K366" s="10">
        <f t="shared" si="37"/>
        <v>0</v>
      </c>
      <c r="L366" s="9" t="str">
        <f t="shared" si="38"/>
        <v/>
      </c>
      <c r="M366" s="8"/>
      <c r="N366" s="8"/>
      <c r="O366" s="8"/>
      <c r="P366" s="8"/>
      <c r="Q366" s="8"/>
      <c r="R366" s="8"/>
      <c r="S366" s="8"/>
      <c r="T366" s="8"/>
      <c r="U366" s="8"/>
      <c r="V366" s="7"/>
      <c r="W366" s="6" t="str">
        <f t="array" ref="W366">IF(NOT(ISBLANK(D366)),_xludf.XLOOKUP(D366,[2]CODE!$A$4:$A$100,[2]CODE!$D$4:$D$100),"")</f>
        <v/>
      </c>
      <c r="X366" s="5" t="str">
        <f t="array" ref="X366">IF(NOT(AND(ISBLANK(D366),ISBLANK(C366))),_xludf.XLOOKUP(D366,[2]CODE!$A$4:$A$100,[2]CODE!$E$4:$E$100),"")</f>
        <v/>
      </c>
      <c r="Y366" s="5" t="str">
        <f t="shared" si="39"/>
        <v/>
      </c>
      <c r="Z366" s="5" t="str">
        <f t="shared" si="40"/>
        <v/>
      </c>
      <c r="AA366" s="4">
        <f t="shared" si="41"/>
        <v>0</v>
      </c>
      <c r="AC366" s="2"/>
    </row>
    <row r="367" spans="1:29" ht="15.5">
      <c r="A367" s="13" t="str">
        <f>IF(OR(ISBLANK(C367),ISBLANK(D367),ISBLANK(F367),ISBLANK(G367)),"",COUNTIF($B$5:B367,"JAMBUTU"))</f>
        <v/>
      </c>
      <c r="B367" s="8" t="str">
        <f t="shared" si="42"/>
        <v/>
      </c>
      <c r="C367" s="8"/>
      <c r="D367" s="8"/>
      <c r="E367" s="13"/>
      <c r="F367" s="12"/>
      <c r="G367" s="11"/>
      <c r="H367" s="12"/>
      <c r="I367" s="11"/>
      <c r="J367" s="10">
        <f t="shared" si="36"/>
        <v>0</v>
      </c>
      <c r="K367" s="10">
        <f t="shared" si="37"/>
        <v>0</v>
      </c>
      <c r="L367" s="9" t="str">
        <f t="shared" si="38"/>
        <v/>
      </c>
      <c r="M367" s="8"/>
      <c r="N367" s="8"/>
      <c r="O367" s="8"/>
      <c r="P367" s="8"/>
      <c r="Q367" s="8"/>
      <c r="R367" s="8"/>
      <c r="S367" s="8"/>
      <c r="T367" s="8"/>
      <c r="U367" s="8"/>
      <c r="V367" s="7"/>
      <c r="W367" s="6" t="str">
        <f t="array" ref="W367">IF(NOT(ISBLANK(D367)),_xludf.XLOOKUP(D367,[2]CODE!$A$4:$A$100,[2]CODE!$D$4:$D$100),"")</f>
        <v/>
      </c>
      <c r="X367" s="5" t="str">
        <f t="array" ref="X367">IF(NOT(AND(ISBLANK(D367),ISBLANK(C367))),_xludf.XLOOKUP(D367,[2]CODE!$A$4:$A$100,[2]CODE!$E$4:$E$100),"")</f>
        <v/>
      </c>
      <c r="Y367" s="5" t="str">
        <f t="shared" si="39"/>
        <v/>
      </c>
      <c r="Z367" s="5" t="str">
        <f t="shared" si="40"/>
        <v/>
      </c>
      <c r="AA367" s="4">
        <f t="shared" si="41"/>
        <v>0</v>
      </c>
      <c r="AC367" s="2"/>
    </row>
    <row r="368" spans="1:29" ht="15.5">
      <c r="A368" s="13" t="str">
        <f>IF(OR(ISBLANK(C368),ISBLANK(D368),ISBLANK(F368),ISBLANK(G368)),"",COUNTIF($B$5:B368,"JAMBUTU"))</f>
        <v/>
      </c>
      <c r="B368" s="8" t="str">
        <f t="shared" si="42"/>
        <v/>
      </c>
      <c r="C368" s="8"/>
      <c r="D368" s="8"/>
      <c r="E368" s="13"/>
      <c r="F368" s="12"/>
      <c r="G368" s="11"/>
      <c r="H368" s="12"/>
      <c r="I368" s="11"/>
      <c r="J368" s="10">
        <f t="shared" si="36"/>
        <v>0</v>
      </c>
      <c r="K368" s="10">
        <f t="shared" si="37"/>
        <v>0</v>
      </c>
      <c r="L368" s="9" t="str">
        <f t="shared" si="38"/>
        <v/>
      </c>
      <c r="M368" s="8"/>
      <c r="N368" s="8"/>
      <c r="O368" s="8"/>
      <c r="P368" s="8"/>
      <c r="Q368" s="8"/>
      <c r="R368" s="8"/>
      <c r="S368" s="8"/>
      <c r="T368" s="8"/>
      <c r="U368" s="8"/>
      <c r="V368" s="7"/>
      <c r="W368" s="6" t="str">
        <f t="array" ref="W368">IF(NOT(ISBLANK(D368)),_xludf.XLOOKUP(D368,[2]CODE!$A$4:$A$100,[2]CODE!$D$4:$D$100),"")</f>
        <v/>
      </c>
      <c r="X368" s="5" t="str">
        <f t="array" ref="X368">IF(NOT(AND(ISBLANK(D368),ISBLANK(C368))),_xludf.XLOOKUP(D368,[2]CODE!$A$4:$A$100,[2]CODE!$E$4:$E$100),"")</f>
        <v/>
      </c>
      <c r="Y368" s="5" t="str">
        <f t="shared" si="39"/>
        <v/>
      </c>
      <c r="Z368" s="5" t="str">
        <f t="shared" si="40"/>
        <v/>
      </c>
      <c r="AA368" s="4">
        <f t="shared" si="41"/>
        <v>0</v>
      </c>
      <c r="AC368" s="2"/>
    </row>
    <row r="369" spans="1:29" ht="15.5">
      <c r="A369" s="13" t="str">
        <f>IF(OR(ISBLANK(C369),ISBLANK(D369),ISBLANK(F369),ISBLANK(G369)),"",COUNTIF($B$5:B369,"JAMBUTU"))</f>
        <v/>
      </c>
      <c r="B369" s="8" t="str">
        <f t="shared" si="42"/>
        <v/>
      </c>
      <c r="C369" s="8"/>
      <c r="D369" s="8"/>
      <c r="E369" s="13"/>
      <c r="F369" s="12"/>
      <c r="G369" s="11"/>
      <c r="H369" s="12"/>
      <c r="I369" s="11"/>
      <c r="J369" s="10">
        <f t="shared" si="36"/>
        <v>0</v>
      </c>
      <c r="K369" s="10">
        <f t="shared" si="37"/>
        <v>0</v>
      </c>
      <c r="L369" s="9" t="str">
        <f t="shared" si="38"/>
        <v/>
      </c>
      <c r="M369" s="8"/>
      <c r="N369" s="8"/>
      <c r="O369" s="8"/>
      <c r="P369" s="8"/>
      <c r="Q369" s="8"/>
      <c r="R369" s="8"/>
      <c r="S369" s="8"/>
      <c r="T369" s="8"/>
      <c r="U369" s="8"/>
      <c r="V369" s="7"/>
      <c r="W369" s="6" t="str">
        <f t="array" ref="W369">IF(NOT(ISBLANK(D369)),_xludf.XLOOKUP(D369,[2]CODE!$A$4:$A$100,[2]CODE!$D$4:$D$100),"")</f>
        <v/>
      </c>
      <c r="X369" s="5" t="str">
        <f t="array" ref="X369">IF(NOT(AND(ISBLANK(D369),ISBLANK(C369))),_xludf.XLOOKUP(D369,[2]CODE!$A$4:$A$100,[2]CODE!$E$4:$E$100),"")</f>
        <v/>
      </c>
      <c r="Y369" s="5" t="str">
        <f t="shared" si="39"/>
        <v/>
      </c>
      <c r="Z369" s="5" t="str">
        <f t="shared" si="40"/>
        <v/>
      </c>
      <c r="AA369" s="4">
        <f t="shared" si="41"/>
        <v>0</v>
      </c>
      <c r="AC369" s="2"/>
    </row>
    <row r="370" spans="1:29" ht="15.5">
      <c r="A370" s="13" t="str">
        <f>IF(OR(ISBLANK(C370),ISBLANK(D370),ISBLANK(F370),ISBLANK(G370)),"",COUNTIF($B$5:B370,"JAMBUTU"))</f>
        <v/>
      </c>
      <c r="B370" s="8" t="str">
        <f t="shared" si="42"/>
        <v/>
      </c>
      <c r="C370" s="8"/>
      <c r="D370" s="8"/>
      <c r="E370" s="13"/>
      <c r="F370" s="12"/>
      <c r="G370" s="11"/>
      <c r="H370" s="12"/>
      <c r="I370" s="11"/>
      <c r="J370" s="10">
        <f t="shared" si="36"/>
        <v>0</v>
      </c>
      <c r="K370" s="10">
        <f t="shared" si="37"/>
        <v>0</v>
      </c>
      <c r="L370" s="9" t="str">
        <f t="shared" si="38"/>
        <v/>
      </c>
      <c r="M370" s="8"/>
      <c r="N370" s="8"/>
      <c r="O370" s="8"/>
      <c r="P370" s="8"/>
      <c r="Q370" s="8"/>
      <c r="R370" s="8"/>
      <c r="S370" s="8"/>
      <c r="T370" s="8"/>
      <c r="U370" s="8"/>
      <c r="V370" s="7"/>
      <c r="W370" s="6" t="str">
        <f t="array" ref="W370">IF(NOT(ISBLANK(D370)),_xludf.XLOOKUP(D370,[2]CODE!$A$4:$A$100,[2]CODE!$D$4:$D$100),"")</f>
        <v/>
      </c>
      <c r="X370" s="5" t="str">
        <f t="array" ref="X370">IF(NOT(AND(ISBLANK(D370),ISBLANK(C370))),_xludf.XLOOKUP(D370,[2]CODE!$A$4:$A$100,[2]CODE!$E$4:$E$100),"")</f>
        <v/>
      </c>
      <c r="Y370" s="5" t="str">
        <f t="shared" si="39"/>
        <v/>
      </c>
      <c r="Z370" s="5" t="str">
        <f t="shared" si="40"/>
        <v/>
      </c>
      <c r="AA370" s="4">
        <f t="shared" si="41"/>
        <v>0</v>
      </c>
      <c r="AC370" s="2"/>
    </row>
    <row r="371" spans="1:29" ht="15.5">
      <c r="A371" s="13" t="str">
        <f>IF(OR(ISBLANK(C371),ISBLANK(D371),ISBLANK(F371),ISBLANK(G371)),"",COUNTIF($B$5:B371,"JAMBUTU"))</f>
        <v/>
      </c>
      <c r="B371" s="8" t="str">
        <f t="shared" si="42"/>
        <v/>
      </c>
      <c r="C371" s="8"/>
      <c r="D371" s="8"/>
      <c r="E371" s="13"/>
      <c r="F371" s="12"/>
      <c r="G371" s="11"/>
      <c r="H371" s="12"/>
      <c r="I371" s="11"/>
      <c r="J371" s="10">
        <f t="shared" si="36"/>
        <v>0</v>
      </c>
      <c r="K371" s="10">
        <f t="shared" si="37"/>
        <v>0</v>
      </c>
      <c r="L371" s="9" t="str">
        <f t="shared" si="38"/>
        <v/>
      </c>
      <c r="M371" s="8"/>
      <c r="N371" s="8"/>
      <c r="O371" s="8"/>
      <c r="P371" s="8"/>
      <c r="Q371" s="8"/>
      <c r="R371" s="8"/>
      <c r="S371" s="8"/>
      <c r="T371" s="8"/>
      <c r="U371" s="8"/>
      <c r="V371" s="7"/>
      <c r="W371" s="6" t="str">
        <f t="array" ref="W371">IF(NOT(ISBLANK(D371)),_xludf.XLOOKUP(D371,[2]CODE!$A$4:$A$100,[2]CODE!$D$4:$D$100),"")</f>
        <v/>
      </c>
      <c r="X371" s="5" t="str">
        <f t="array" ref="X371">IF(NOT(AND(ISBLANK(D371),ISBLANK(C371))),_xludf.XLOOKUP(D371,[2]CODE!$A$4:$A$100,[2]CODE!$E$4:$E$100),"")</f>
        <v/>
      </c>
      <c r="Y371" s="5" t="str">
        <f t="shared" si="39"/>
        <v/>
      </c>
      <c r="Z371" s="5" t="str">
        <f t="shared" si="40"/>
        <v/>
      </c>
      <c r="AA371" s="4">
        <f t="shared" si="41"/>
        <v>0</v>
      </c>
      <c r="AC371" s="2"/>
    </row>
    <row r="372" spans="1:29" ht="15.5">
      <c r="A372" s="13" t="str">
        <f>IF(OR(ISBLANK(C372),ISBLANK(D372),ISBLANK(F372),ISBLANK(G372)),"",COUNTIF($B$5:B372,"JAMBUTU"))</f>
        <v/>
      </c>
      <c r="B372" s="8" t="str">
        <f t="shared" si="42"/>
        <v/>
      </c>
      <c r="C372" s="8"/>
      <c r="D372" s="8"/>
      <c r="E372" s="13"/>
      <c r="F372" s="12"/>
      <c r="G372" s="11"/>
      <c r="H372" s="12"/>
      <c r="I372" s="11"/>
      <c r="J372" s="10">
        <f t="shared" si="36"/>
        <v>0</v>
      </c>
      <c r="K372" s="10">
        <f t="shared" si="37"/>
        <v>0</v>
      </c>
      <c r="L372" s="9" t="str">
        <f t="shared" si="38"/>
        <v/>
      </c>
      <c r="M372" s="8"/>
      <c r="N372" s="8"/>
      <c r="O372" s="8"/>
      <c r="P372" s="8"/>
      <c r="Q372" s="8"/>
      <c r="R372" s="8"/>
      <c r="S372" s="8"/>
      <c r="T372" s="8"/>
      <c r="U372" s="8"/>
      <c r="V372" s="7"/>
      <c r="W372" s="6" t="str">
        <f t="array" ref="W372">IF(NOT(ISBLANK(D372)),_xludf.XLOOKUP(D372,[2]CODE!$A$4:$A$100,[2]CODE!$D$4:$D$100),"")</f>
        <v/>
      </c>
      <c r="X372" s="5" t="str">
        <f t="array" ref="X372">IF(NOT(AND(ISBLANK(D372),ISBLANK(C372))),_xludf.XLOOKUP(D372,[2]CODE!$A$4:$A$100,[2]CODE!$E$4:$E$100),"")</f>
        <v/>
      </c>
      <c r="Y372" s="5" t="str">
        <f t="shared" si="39"/>
        <v/>
      </c>
      <c r="Z372" s="5" t="str">
        <f t="shared" si="40"/>
        <v/>
      </c>
      <c r="AA372" s="4">
        <f t="shared" si="41"/>
        <v>0</v>
      </c>
      <c r="AC372" s="2"/>
    </row>
    <row r="373" spans="1:29" ht="15.5">
      <c r="A373" s="13" t="str">
        <f>IF(OR(ISBLANK(C373),ISBLANK(D373),ISBLANK(F373),ISBLANK(G373)),"",COUNTIF($B$5:B373,"JAMBUTU"))</f>
        <v/>
      </c>
      <c r="B373" s="8" t="str">
        <f t="shared" si="42"/>
        <v/>
      </c>
      <c r="C373" s="8"/>
      <c r="D373" s="8"/>
      <c r="E373" s="13"/>
      <c r="F373" s="12"/>
      <c r="G373" s="11"/>
      <c r="H373" s="12"/>
      <c r="I373" s="11"/>
      <c r="J373" s="10">
        <f t="shared" si="36"/>
        <v>0</v>
      </c>
      <c r="K373" s="10">
        <f t="shared" si="37"/>
        <v>0</v>
      </c>
      <c r="L373" s="9" t="str">
        <f t="shared" si="38"/>
        <v/>
      </c>
      <c r="M373" s="8"/>
      <c r="N373" s="8"/>
      <c r="O373" s="8"/>
      <c r="P373" s="8"/>
      <c r="Q373" s="8"/>
      <c r="R373" s="8"/>
      <c r="S373" s="8"/>
      <c r="T373" s="8"/>
      <c r="U373" s="8"/>
      <c r="V373" s="7"/>
      <c r="W373" s="6" t="str">
        <f t="array" ref="W373">IF(NOT(ISBLANK(D373)),_xludf.XLOOKUP(D373,[2]CODE!$A$4:$A$100,[2]CODE!$D$4:$D$100),"")</f>
        <v/>
      </c>
      <c r="X373" s="5" t="str">
        <f t="array" ref="X373">IF(NOT(AND(ISBLANK(D373),ISBLANK(C373))),_xludf.XLOOKUP(D373,[2]CODE!$A$4:$A$100,[2]CODE!$E$4:$E$100),"")</f>
        <v/>
      </c>
      <c r="Y373" s="5" t="str">
        <f t="shared" si="39"/>
        <v/>
      </c>
      <c r="Z373" s="5" t="str">
        <f t="shared" si="40"/>
        <v/>
      </c>
      <c r="AA373" s="4">
        <f t="shared" si="41"/>
        <v>0</v>
      </c>
      <c r="AC373" s="2"/>
    </row>
    <row r="374" spans="1:29" ht="15.5">
      <c r="A374" s="13" t="str">
        <f>IF(OR(ISBLANK(C374),ISBLANK(D374),ISBLANK(F374),ISBLANK(G374)),"",COUNTIF($B$5:B374,"JAMBUTU"))</f>
        <v/>
      </c>
      <c r="B374" s="8" t="str">
        <f t="shared" si="42"/>
        <v/>
      </c>
      <c r="C374" s="8"/>
      <c r="D374" s="8"/>
      <c r="E374" s="13"/>
      <c r="F374" s="12"/>
      <c r="G374" s="11"/>
      <c r="H374" s="12"/>
      <c r="I374" s="11"/>
      <c r="J374" s="10">
        <f t="shared" si="36"/>
        <v>0</v>
      </c>
      <c r="K374" s="10">
        <f t="shared" si="37"/>
        <v>0</v>
      </c>
      <c r="L374" s="9" t="str">
        <f t="shared" si="38"/>
        <v/>
      </c>
      <c r="M374" s="8"/>
      <c r="N374" s="8"/>
      <c r="O374" s="8"/>
      <c r="P374" s="8"/>
      <c r="Q374" s="8"/>
      <c r="R374" s="8"/>
      <c r="S374" s="8"/>
      <c r="T374" s="8"/>
      <c r="U374" s="8"/>
      <c r="V374" s="7"/>
      <c r="W374" s="6" t="str">
        <f t="array" ref="W374">IF(NOT(ISBLANK(D374)),_xludf.XLOOKUP(D374,[2]CODE!$A$4:$A$100,[2]CODE!$D$4:$D$100),"")</f>
        <v/>
      </c>
      <c r="X374" s="5" t="str">
        <f t="array" ref="X374">IF(NOT(AND(ISBLANK(D374),ISBLANK(C374))),_xludf.XLOOKUP(D374,[2]CODE!$A$4:$A$100,[2]CODE!$E$4:$E$100),"")</f>
        <v/>
      </c>
      <c r="Y374" s="5" t="str">
        <f t="shared" si="39"/>
        <v/>
      </c>
      <c r="Z374" s="5" t="str">
        <f t="shared" si="40"/>
        <v/>
      </c>
      <c r="AA374" s="4">
        <f t="shared" si="41"/>
        <v>0</v>
      </c>
      <c r="AC374" s="2"/>
    </row>
    <row r="375" spans="1:29" ht="15.5">
      <c r="A375" s="13" t="str">
        <f>IF(OR(ISBLANK(C375),ISBLANK(D375),ISBLANK(F375),ISBLANK(G375)),"",COUNTIF($B$5:B375,"JAMBUTU"))</f>
        <v/>
      </c>
      <c r="B375" s="8" t="str">
        <f t="shared" si="42"/>
        <v/>
      </c>
      <c r="C375" s="8"/>
      <c r="D375" s="8"/>
      <c r="E375" s="13"/>
      <c r="F375" s="12"/>
      <c r="G375" s="11"/>
      <c r="H375" s="12"/>
      <c r="I375" s="11"/>
      <c r="J375" s="10">
        <f t="shared" si="36"/>
        <v>0</v>
      </c>
      <c r="K375" s="10">
        <f t="shared" si="37"/>
        <v>0</v>
      </c>
      <c r="L375" s="9" t="str">
        <f t="shared" si="38"/>
        <v/>
      </c>
      <c r="M375" s="8"/>
      <c r="N375" s="8"/>
      <c r="O375" s="8"/>
      <c r="P375" s="8"/>
      <c r="Q375" s="8"/>
      <c r="R375" s="8"/>
      <c r="S375" s="8"/>
      <c r="T375" s="8"/>
      <c r="U375" s="8"/>
      <c r="V375" s="7"/>
      <c r="W375" s="6" t="str">
        <f t="array" ref="W375">IF(NOT(ISBLANK(D375)),_xludf.XLOOKUP(D375,[2]CODE!$A$4:$A$100,[2]CODE!$D$4:$D$100),"")</f>
        <v/>
      </c>
      <c r="X375" s="5" t="str">
        <f t="array" ref="X375">IF(NOT(AND(ISBLANK(D375),ISBLANK(C375))),_xludf.XLOOKUP(D375,[2]CODE!$A$4:$A$100,[2]CODE!$E$4:$E$100),"")</f>
        <v/>
      </c>
      <c r="Y375" s="5" t="str">
        <f t="shared" si="39"/>
        <v/>
      </c>
      <c r="Z375" s="5" t="str">
        <f t="shared" si="40"/>
        <v/>
      </c>
      <c r="AA375" s="4">
        <f t="shared" si="41"/>
        <v>0</v>
      </c>
      <c r="AC375" s="2"/>
    </row>
    <row r="376" spans="1:29" ht="15.5">
      <c r="A376" s="13" t="str">
        <f>IF(OR(ISBLANK(C376),ISBLANK(D376),ISBLANK(F376),ISBLANK(G376)),"",COUNTIF($B$5:B376,"JAMBUTU"))</f>
        <v/>
      </c>
      <c r="B376" s="8" t="str">
        <f t="shared" si="42"/>
        <v/>
      </c>
      <c r="C376" s="8"/>
      <c r="D376" s="8"/>
      <c r="E376" s="13"/>
      <c r="F376" s="12"/>
      <c r="G376" s="11"/>
      <c r="H376" s="12"/>
      <c r="I376" s="11"/>
      <c r="J376" s="10">
        <f t="shared" si="36"/>
        <v>0</v>
      </c>
      <c r="K376" s="10">
        <f t="shared" si="37"/>
        <v>0</v>
      </c>
      <c r="L376" s="9" t="str">
        <f t="shared" si="38"/>
        <v/>
      </c>
      <c r="M376" s="8"/>
      <c r="N376" s="8"/>
      <c r="O376" s="8"/>
      <c r="P376" s="8"/>
      <c r="Q376" s="8"/>
      <c r="R376" s="8"/>
      <c r="S376" s="8"/>
      <c r="T376" s="8"/>
      <c r="U376" s="8"/>
      <c r="V376" s="7"/>
      <c r="W376" s="6" t="str">
        <f t="array" ref="W376">IF(NOT(ISBLANK(D376)),_xludf.XLOOKUP(D376,[2]CODE!$A$4:$A$100,[2]CODE!$D$4:$D$100),"")</f>
        <v/>
      </c>
      <c r="X376" s="5" t="str">
        <f t="array" ref="X376">IF(NOT(AND(ISBLANK(D376),ISBLANK(C376))),_xludf.XLOOKUP(D376,[2]CODE!$A$4:$A$100,[2]CODE!$E$4:$E$100),"")</f>
        <v/>
      </c>
      <c r="Y376" s="5" t="str">
        <f t="shared" si="39"/>
        <v/>
      </c>
      <c r="Z376" s="5" t="str">
        <f t="shared" si="40"/>
        <v/>
      </c>
      <c r="AA376" s="4">
        <f t="shared" si="41"/>
        <v>0</v>
      </c>
      <c r="AC376" s="2"/>
    </row>
    <row r="377" spans="1:29" ht="15.5">
      <c r="A377" s="13" t="str">
        <f>IF(OR(ISBLANK(C377),ISBLANK(D377),ISBLANK(F377),ISBLANK(G377)),"",COUNTIF($B$5:B377,"JAMBUTU"))</f>
        <v/>
      </c>
      <c r="B377" s="8" t="str">
        <f t="shared" si="42"/>
        <v/>
      </c>
      <c r="C377" s="8"/>
      <c r="D377" s="8"/>
      <c r="E377" s="13"/>
      <c r="F377" s="12"/>
      <c r="G377" s="11"/>
      <c r="H377" s="12"/>
      <c r="I377" s="11"/>
      <c r="J377" s="10">
        <f t="shared" si="36"/>
        <v>0</v>
      </c>
      <c r="K377" s="10">
        <f t="shared" si="37"/>
        <v>0</v>
      </c>
      <c r="L377" s="9" t="str">
        <f t="shared" si="38"/>
        <v/>
      </c>
      <c r="M377" s="8"/>
      <c r="N377" s="8"/>
      <c r="O377" s="8"/>
      <c r="P377" s="8"/>
      <c r="Q377" s="8"/>
      <c r="R377" s="8"/>
      <c r="S377" s="8"/>
      <c r="T377" s="8"/>
      <c r="U377" s="8"/>
      <c r="V377" s="7"/>
      <c r="W377" s="6" t="str">
        <f t="array" ref="W377">IF(NOT(ISBLANK(D377)),_xludf.XLOOKUP(D377,[2]CODE!$A$4:$A$100,[2]CODE!$D$4:$D$100),"")</f>
        <v/>
      </c>
      <c r="X377" s="5" t="str">
        <f t="array" ref="X377">IF(NOT(AND(ISBLANK(D377),ISBLANK(C377))),_xludf.XLOOKUP(D377,[2]CODE!$A$4:$A$100,[2]CODE!$E$4:$E$100),"")</f>
        <v/>
      </c>
      <c r="Y377" s="5" t="str">
        <f t="shared" si="39"/>
        <v/>
      </c>
      <c r="Z377" s="5" t="str">
        <f t="shared" si="40"/>
        <v/>
      </c>
      <c r="AA377" s="4">
        <f t="shared" si="41"/>
        <v>0</v>
      </c>
      <c r="AC377" s="2"/>
    </row>
    <row r="378" spans="1:29" ht="15.5">
      <c r="A378" s="13" t="str">
        <f>IF(OR(ISBLANK(C378),ISBLANK(D378),ISBLANK(F378),ISBLANK(G378)),"",COUNTIF($B$5:B378,"JAMBUTU"))</f>
        <v/>
      </c>
      <c r="B378" s="8" t="str">
        <f t="shared" si="42"/>
        <v/>
      </c>
      <c r="C378" s="8"/>
      <c r="D378" s="8"/>
      <c r="E378" s="13"/>
      <c r="F378" s="12"/>
      <c r="G378" s="11"/>
      <c r="H378" s="12"/>
      <c r="I378" s="11"/>
      <c r="J378" s="10">
        <f t="shared" si="36"/>
        <v>0</v>
      </c>
      <c r="K378" s="10">
        <f t="shared" si="37"/>
        <v>0</v>
      </c>
      <c r="L378" s="9" t="str">
        <f t="shared" si="38"/>
        <v/>
      </c>
      <c r="M378" s="8"/>
      <c r="N378" s="8"/>
      <c r="O378" s="8"/>
      <c r="P378" s="8"/>
      <c r="Q378" s="8"/>
      <c r="R378" s="8"/>
      <c r="S378" s="8"/>
      <c r="T378" s="8"/>
      <c r="U378" s="8"/>
      <c r="V378" s="7"/>
      <c r="W378" s="6" t="str">
        <f t="array" ref="W378">IF(NOT(ISBLANK(D378)),_xludf.XLOOKUP(D378,[2]CODE!$A$4:$A$100,[2]CODE!$D$4:$D$100),"")</f>
        <v/>
      </c>
      <c r="X378" s="5" t="str">
        <f t="array" ref="X378">IF(NOT(AND(ISBLANK(D378),ISBLANK(C378))),_xludf.XLOOKUP(D378,[2]CODE!$A$4:$A$100,[2]CODE!$E$4:$E$100),"")</f>
        <v/>
      </c>
      <c r="Y378" s="5" t="str">
        <f t="shared" si="39"/>
        <v/>
      </c>
      <c r="Z378" s="5" t="str">
        <f t="shared" si="40"/>
        <v/>
      </c>
      <c r="AA378" s="4">
        <f t="shared" si="41"/>
        <v>0</v>
      </c>
      <c r="AC378" s="2"/>
    </row>
    <row r="379" spans="1:29" ht="15.5">
      <c r="A379" s="13" t="str">
        <f>IF(OR(ISBLANK(C379),ISBLANK(D379),ISBLANK(F379),ISBLANK(G379)),"",COUNTIF($B$5:B379,"JAMBUTU"))</f>
        <v/>
      </c>
      <c r="B379" s="8" t="str">
        <f t="shared" si="42"/>
        <v/>
      </c>
      <c r="C379" s="8"/>
      <c r="D379" s="8"/>
      <c r="E379" s="13"/>
      <c r="F379" s="12"/>
      <c r="G379" s="11"/>
      <c r="H379" s="12"/>
      <c r="I379" s="11"/>
      <c r="J379" s="10">
        <f t="shared" si="36"/>
        <v>0</v>
      </c>
      <c r="K379" s="10">
        <f t="shared" si="37"/>
        <v>0</v>
      </c>
      <c r="L379" s="9" t="str">
        <f t="shared" si="38"/>
        <v/>
      </c>
      <c r="M379" s="8"/>
      <c r="N379" s="8"/>
      <c r="O379" s="8"/>
      <c r="P379" s="8"/>
      <c r="Q379" s="8"/>
      <c r="R379" s="8"/>
      <c r="S379" s="8"/>
      <c r="T379" s="8"/>
      <c r="U379" s="8"/>
      <c r="V379" s="7"/>
      <c r="W379" s="6" t="str">
        <f t="array" ref="W379">IF(NOT(ISBLANK(D379)),_xludf.XLOOKUP(D379,[2]CODE!$A$4:$A$100,[2]CODE!$D$4:$D$100),"")</f>
        <v/>
      </c>
      <c r="X379" s="5" t="str">
        <f t="array" ref="X379">IF(NOT(AND(ISBLANK(D379),ISBLANK(C379))),_xludf.XLOOKUP(D379,[2]CODE!$A$4:$A$100,[2]CODE!$E$4:$E$100),"")</f>
        <v/>
      </c>
      <c r="Y379" s="5" t="str">
        <f t="shared" si="39"/>
        <v/>
      </c>
      <c r="Z379" s="5" t="str">
        <f t="shared" si="40"/>
        <v/>
      </c>
      <c r="AA379" s="4">
        <f t="shared" si="41"/>
        <v>0</v>
      </c>
      <c r="AC379" s="2"/>
    </row>
    <row r="380" spans="1:29" ht="15.5">
      <c r="A380" s="13" t="str">
        <f>IF(OR(ISBLANK(C380),ISBLANK(D380),ISBLANK(F380),ISBLANK(G380)),"",COUNTIF($B$5:B380,"JAMBUTU"))</f>
        <v/>
      </c>
      <c r="B380" s="8" t="str">
        <f t="shared" si="42"/>
        <v/>
      </c>
      <c r="C380" s="8"/>
      <c r="D380" s="8"/>
      <c r="E380" s="13"/>
      <c r="F380" s="12"/>
      <c r="G380" s="11"/>
      <c r="H380" s="12"/>
      <c r="I380" s="11"/>
      <c r="J380" s="10">
        <f t="shared" si="36"/>
        <v>0</v>
      </c>
      <c r="K380" s="10">
        <f t="shared" si="37"/>
        <v>0</v>
      </c>
      <c r="L380" s="9" t="str">
        <f t="shared" si="38"/>
        <v/>
      </c>
      <c r="M380" s="8"/>
      <c r="N380" s="8"/>
      <c r="O380" s="8"/>
      <c r="P380" s="8"/>
      <c r="Q380" s="8"/>
      <c r="R380" s="8"/>
      <c r="S380" s="8"/>
      <c r="T380" s="8"/>
      <c r="U380" s="8"/>
      <c r="V380" s="7"/>
      <c r="W380" s="6" t="str">
        <f t="array" ref="W380">IF(NOT(ISBLANK(D380)),_xludf.XLOOKUP(D380,[2]CODE!$A$4:$A$100,[2]CODE!$D$4:$D$100),"")</f>
        <v/>
      </c>
      <c r="X380" s="5" t="str">
        <f t="array" ref="X380">IF(NOT(AND(ISBLANK(D380),ISBLANK(C380))),_xludf.XLOOKUP(D380,[2]CODE!$A$4:$A$100,[2]CODE!$E$4:$E$100),"")</f>
        <v/>
      </c>
      <c r="Y380" s="5" t="str">
        <f t="shared" si="39"/>
        <v/>
      </c>
      <c r="Z380" s="5" t="str">
        <f t="shared" si="40"/>
        <v/>
      </c>
      <c r="AA380" s="4">
        <f t="shared" si="41"/>
        <v>0</v>
      </c>
      <c r="AC380" s="2"/>
    </row>
    <row r="381" spans="1:29" ht="15.5">
      <c r="A381" s="13" t="str">
        <f>IF(OR(ISBLANK(C381),ISBLANK(D381),ISBLANK(F381),ISBLANK(G381)),"",COUNTIF($B$5:B381,"JAMBUTU"))</f>
        <v/>
      </c>
      <c r="B381" s="8" t="str">
        <f t="shared" si="42"/>
        <v/>
      </c>
      <c r="C381" s="8"/>
      <c r="D381" s="8"/>
      <c r="E381" s="13"/>
      <c r="F381" s="12"/>
      <c r="G381" s="11"/>
      <c r="H381" s="12"/>
      <c r="I381" s="11"/>
      <c r="J381" s="10">
        <f t="shared" si="36"/>
        <v>0</v>
      </c>
      <c r="K381" s="10">
        <f t="shared" si="37"/>
        <v>0</v>
      </c>
      <c r="L381" s="9" t="str">
        <f t="shared" si="38"/>
        <v/>
      </c>
      <c r="M381" s="8"/>
      <c r="N381" s="8"/>
      <c r="O381" s="8"/>
      <c r="P381" s="8"/>
      <c r="Q381" s="8"/>
      <c r="R381" s="8"/>
      <c r="S381" s="8"/>
      <c r="T381" s="8"/>
      <c r="U381" s="8"/>
      <c r="V381" s="7"/>
      <c r="W381" s="6" t="str">
        <f t="array" ref="W381">IF(NOT(ISBLANK(D381)),_xludf.XLOOKUP(D381,[2]CODE!$A$4:$A$100,[2]CODE!$D$4:$D$100),"")</f>
        <v/>
      </c>
      <c r="X381" s="5" t="str">
        <f t="array" ref="X381">IF(NOT(AND(ISBLANK(D381),ISBLANK(C381))),_xludf.XLOOKUP(D381,[2]CODE!$A$4:$A$100,[2]CODE!$E$4:$E$100),"")</f>
        <v/>
      </c>
      <c r="Y381" s="5" t="str">
        <f t="shared" si="39"/>
        <v/>
      </c>
      <c r="Z381" s="5" t="str">
        <f t="shared" si="40"/>
        <v/>
      </c>
      <c r="AA381" s="4">
        <f t="shared" si="41"/>
        <v>0</v>
      </c>
      <c r="AC381" s="2"/>
    </row>
    <row r="382" spans="1:29" ht="15.5">
      <c r="A382" s="13" t="str">
        <f>IF(OR(ISBLANK(C382),ISBLANK(D382),ISBLANK(F382),ISBLANK(G382)),"",COUNTIF($B$5:B382,"JAMBUTU"))</f>
        <v/>
      </c>
      <c r="B382" s="8" t="str">
        <f t="shared" si="42"/>
        <v/>
      </c>
      <c r="C382" s="8"/>
      <c r="D382" s="8"/>
      <c r="E382" s="13"/>
      <c r="F382" s="12"/>
      <c r="G382" s="11"/>
      <c r="H382" s="12"/>
      <c r="I382" s="11"/>
      <c r="J382" s="10">
        <f t="shared" si="36"/>
        <v>0</v>
      </c>
      <c r="K382" s="10">
        <f t="shared" si="37"/>
        <v>0</v>
      </c>
      <c r="L382" s="9" t="str">
        <f t="shared" si="38"/>
        <v/>
      </c>
      <c r="M382" s="8"/>
      <c r="N382" s="8"/>
      <c r="O382" s="8"/>
      <c r="P382" s="8"/>
      <c r="Q382" s="8"/>
      <c r="R382" s="8"/>
      <c r="S382" s="8"/>
      <c r="T382" s="8"/>
      <c r="U382" s="8"/>
      <c r="V382" s="7"/>
      <c r="W382" s="6" t="str">
        <f t="array" ref="W382">IF(NOT(ISBLANK(D382)),_xludf.XLOOKUP(D382,[2]CODE!$A$4:$A$100,[2]CODE!$D$4:$D$100),"")</f>
        <v/>
      </c>
      <c r="X382" s="5" t="str">
        <f t="array" ref="X382">IF(NOT(AND(ISBLANK(D382),ISBLANK(C382))),_xludf.XLOOKUP(D382,[2]CODE!$A$4:$A$100,[2]CODE!$E$4:$E$100),"")</f>
        <v/>
      </c>
      <c r="Y382" s="5" t="str">
        <f t="shared" si="39"/>
        <v/>
      </c>
      <c r="Z382" s="5" t="str">
        <f t="shared" si="40"/>
        <v/>
      </c>
      <c r="AA382" s="4">
        <f t="shared" si="41"/>
        <v>0</v>
      </c>
      <c r="AC382" s="2"/>
    </row>
    <row r="383" spans="1:29" ht="15.5">
      <c r="A383" s="13" t="str">
        <f>IF(OR(ISBLANK(C383),ISBLANK(D383),ISBLANK(F383),ISBLANK(G383)),"",COUNTIF($B$5:B383,"JAMBUTU"))</f>
        <v/>
      </c>
      <c r="B383" s="8" t="str">
        <f t="shared" si="42"/>
        <v/>
      </c>
      <c r="C383" s="8"/>
      <c r="D383" s="8"/>
      <c r="E383" s="13"/>
      <c r="F383" s="12"/>
      <c r="G383" s="11"/>
      <c r="H383" s="12"/>
      <c r="I383" s="11"/>
      <c r="J383" s="10">
        <f t="shared" si="36"/>
        <v>0</v>
      </c>
      <c r="K383" s="10">
        <f t="shared" si="37"/>
        <v>0</v>
      </c>
      <c r="L383" s="9" t="str">
        <f t="shared" si="38"/>
        <v/>
      </c>
      <c r="M383" s="8"/>
      <c r="N383" s="8"/>
      <c r="O383" s="8"/>
      <c r="P383" s="8"/>
      <c r="Q383" s="8"/>
      <c r="R383" s="8"/>
      <c r="S383" s="8"/>
      <c r="T383" s="8"/>
      <c r="U383" s="8"/>
      <c r="V383" s="7"/>
      <c r="W383" s="6" t="str">
        <f t="array" ref="W383">IF(NOT(ISBLANK(D383)),_xludf.XLOOKUP(D383,[2]CODE!$A$4:$A$100,[2]CODE!$D$4:$D$100),"")</f>
        <v/>
      </c>
      <c r="X383" s="5" t="str">
        <f t="array" ref="X383">IF(NOT(AND(ISBLANK(D383),ISBLANK(C383))),_xludf.XLOOKUP(D383,[2]CODE!$A$4:$A$100,[2]CODE!$E$4:$E$100),"")</f>
        <v/>
      </c>
      <c r="Y383" s="5" t="str">
        <f t="shared" si="39"/>
        <v/>
      </c>
      <c r="Z383" s="5" t="str">
        <f t="shared" si="40"/>
        <v/>
      </c>
      <c r="AA383" s="4">
        <f t="shared" si="41"/>
        <v>0</v>
      </c>
      <c r="AC383" s="2"/>
    </row>
    <row r="384" spans="1:29" ht="15.5">
      <c r="A384" s="13" t="str">
        <f>IF(OR(ISBLANK(C384),ISBLANK(D384),ISBLANK(F384),ISBLANK(G384)),"",COUNTIF($B$5:B384,"JAMBUTU"))</f>
        <v/>
      </c>
      <c r="B384" s="8" t="str">
        <f t="shared" si="42"/>
        <v/>
      </c>
      <c r="C384" s="8"/>
      <c r="D384" s="8"/>
      <c r="E384" s="13"/>
      <c r="F384" s="12"/>
      <c r="G384" s="11"/>
      <c r="H384" s="12"/>
      <c r="I384" s="11"/>
      <c r="J384" s="10">
        <f t="shared" si="36"/>
        <v>0</v>
      </c>
      <c r="K384" s="10">
        <f t="shared" si="37"/>
        <v>0</v>
      </c>
      <c r="L384" s="9" t="str">
        <f t="shared" si="38"/>
        <v/>
      </c>
      <c r="M384" s="8"/>
      <c r="N384" s="8"/>
      <c r="O384" s="8"/>
      <c r="P384" s="8"/>
      <c r="Q384" s="8"/>
      <c r="R384" s="8"/>
      <c r="S384" s="8"/>
      <c r="T384" s="8"/>
      <c r="U384" s="8"/>
      <c r="V384" s="7"/>
      <c r="W384" s="6" t="str">
        <f t="array" ref="W384">IF(NOT(ISBLANK(D384)),_xludf.XLOOKUP(D384,[2]CODE!$A$4:$A$100,[2]CODE!$D$4:$D$100),"")</f>
        <v/>
      </c>
      <c r="X384" s="5" t="str">
        <f t="array" ref="X384">IF(NOT(AND(ISBLANK(D384),ISBLANK(C384))),_xludf.XLOOKUP(D384,[2]CODE!$A$4:$A$100,[2]CODE!$E$4:$E$100),"")</f>
        <v/>
      </c>
      <c r="Y384" s="5" t="str">
        <f t="shared" si="39"/>
        <v/>
      </c>
      <c r="Z384" s="5" t="str">
        <f t="shared" si="40"/>
        <v/>
      </c>
      <c r="AA384" s="4">
        <f t="shared" si="41"/>
        <v>0</v>
      </c>
      <c r="AC384" s="2"/>
    </row>
    <row r="385" spans="1:29" ht="15.5">
      <c r="A385" s="13" t="str">
        <f>IF(OR(ISBLANK(C385),ISBLANK(D385),ISBLANK(F385),ISBLANK(G385)),"",COUNTIF($B$5:B385,"JAMBUTU"))</f>
        <v/>
      </c>
      <c r="B385" s="8" t="str">
        <f t="shared" si="42"/>
        <v/>
      </c>
      <c r="C385" s="8"/>
      <c r="D385" s="8"/>
      <c r="E385" s="13"/>
      <c r="F385" s="12"/>
      <c r="G385" s="11"/>
      <c r="H385" s="12"/>
      <c r="I385" s="11"/>
      <c r="J385" s="10">
        <f t="shared" si="36"/>
        <v>0</v>
      </c>
      <c r="K385" s="10">
        <f t="shared" si="37"/>
        <v>0</v>
      </c>
      <c r="L385" s="9" t="str">
        <f t="shared" si="38"/>
        <v/>
      </c>
      <c r="M385" s="8"/>
      <c r="N385" s="8"/>
      <c r="O385" s="8"/>
      <c r="P385" s="8"/>
      <c r="Q385" s="8"/>
      <c r="R385" s="8"/>
      <c r="S385" s="8"/>
      <c r="T385" s="8"/>
      <c r="U385" s="8"/>
      <c r="V385" s="7"/>
      <c r="W385" s="6" t="str">
        <f t="array" ref="W385">IF(NOT(ISBLANK(D385)),_xludf.XLOOKUP(D385,[2]CODE!$A$4:$A$100,[2]CODE!$D$4:$D$100),"")</f>
        <v/>
      </c>
      <c r="X385" s="5" t="str">
        <f t="array" ref="X385">IF(NOT(AND(ISBLANK(D385),ISBLANK(C385))),_xludf.XLOOKUP(D385,[2]CODE!$A$4:$A$100,[2]CODE!$E$4:$E$100),"")</f>
        <v/>
      </c>
      <c r="Y385" s="5" t="str">
        <f t="shared" si="39"/>
        <v/>
      </c>
      <c r="Z385" s="5" t="str">
        <f t="shared" si="40"/>
        <v/>
      </c>
      <c r="AA385" s="4">
        <f t="shared" si="41"/>
        <v>0</v>
      </c>
      <c r="AC385" s="2"/>
    </row>
    <row r="386" spans="1:29" ht="15.5">
      <c r="A386" s="13" t="str">
        <f>IF(OR(ISBLANK(C386),ISBLANK(D386),ISBLANK(F386),ISBLANK(G386)),"",COUNTIF($B$5:B386,"JAMBUTU"))</f>
        <v/>
      </c>
      <c r="B386" s="8" t="str">
        <f t="shared" si="42"/>
        <v/>
      </c>
      <c r="C386" s="8"/>
      <c r="D386" s="8"/>
      <c r="E386" s="13"/>
      <c r="F386" s="12"/>
      <c r="G386" s="11"/>
      <c r="H386" s="12"/>
      <c r="I386" s="11"/>
      <c r="J386" s="10">
        <f t="shared" si="36"/>
        <v>0</v>
      </c>
      <c r="K386" s="10">
        <f t="shared" si="37"/>
        <v>0</v>
      </c>
      <c r="L386" s="9" t="str">
        <f t="shared" si="38"/>
        <v/>
      </c>
      <c r="M386" s="8"/>
      <c r="N386" s="8"/>
      <c r="O386" s="8"/>
      <c r="P386" s="8"/>
      <c r="Q386" s="8"/>
      <c r="R386" s="8"/>
      <c r="S386" s="8"/>
      <c r="T386" s="8"/>
      <c r="U386" s="8"/>
      <c r="V386" s="7"/>
      <c r="W386" s="6" t="str">
        <f t="array" ref="W386">IF(NOT(ISBLANK(D386)),_xludf.XLOOKUP(D386,[2]CODE!$A$4:$A$100,[2]CODE!$D$4:$D$100),"")</f>
        <v/>
      </c>
      <c r="X386" s="5" t="str">
        <f t="array" ref="X386">IF(NOT(AND(ISBLANK(D386),ISBLANK(C386))),_xludf.XLOOKUP(D386,[2]CODE!$A$4:$A$100,[2]CODE!$E$4:$E$100),"")</f>
        <v/>
      </c>
      <c r="Y386" s="5" t="str">
        <f t="shared" si="39"/>
        <v/>
      </c>
      <c r="Z386" s="5" t="str">
        <f t="shared" si="40"/>
        <v/>
      </c>
      <c r="AA386" s="4">
        <f t="shared" si="41"/>
        <v>0</v>
      </c>
      <c r="AC386" s="2"/>
    </row>
    <row r="387" spans="1:29" ht="15.5">
      <c r="A387" s="13" t="str">
        <f>IF(OR(ISBLANK(C387),ISBLANK(D387),ISBLANK(F387),ISBLANK(G387)),"",COUNTIF($B$5:B387,"JAMBUTU"))</f>
        <v/>
      </c>
      <c r="B387" s="8" t="str">
        <f t="shared" si="42"/>
        <v/>
      </c>
      <c r="C387" s="8"/>
      <c r="D387" s="8"/>
      <c r="E387" s="13"/>
      <c r="F387" s="12"/>
      <c r="G387" s="11"/>
      <c r="H387" s="12"/>
      <c r="I387" s="11"/>
      <c r="J387" s="10">
        <f t="shared" si="36"/>
        <v>0</v>
      </c>
      <c r="K387" s="10">
        <f t="shared" si="37"/>
        <v>0</v>
      </c>
      <c r="L387" s="9" t="str">
        <f t="shared" si="38"/>
        <v/>
      </c>
      <c r="M387" s="8"/>
      <c r="N387" s="8"/>
      <c r="O387" s="8"/>
      <c r="P387" s="8"/>
      <c r="Q387" s="8"/>
      <c r="R387" s="8"/>
      <c r="S387" s="8"/>
      <c r="T387" s="8"/>
      <c r="U387" s="8"/>
      <c r="V387" s="7"/>
      <c r="W387" s="6" t="str">
        <f t="array" ref="W387">IF(NOT(ISBLANK(D387)),_xludf.XLOOKUP(D387,[2]CODE!$A$4:$A$100,[2]CODE!$D$4:$D$100),"")</f>
        <v/>
      </c>
      <c r="X387" s="5" t="str">
        <f t="array" ref="X387">IF(NOT(AND(ISBLANK(D387),ISBLANK(C387))),_xludf.XLOOKUP(D387,[2]CODE!$A$4:$A$100,[2]CODE!$E$4:$E$100),"")</f>
        <v/>
      </c>
      <c r="Y387" s="5" t="str">
        <f t="shared" si="39"/>
        <v/>
      </c>
      <c r="Z387" s="5" t="str">
        <f t="shared" si="40"/>
        <v/>
      </c>
      <c r="AA387" s="4">
        <f t="shared" si="41"/>
        <v>0</v>
      </c>
      <c r="AC387" s="2"/>
    </row>
    <row r="388" spans="1:29" ht="15.5">
      <c r="A388" s="13" t="str">
        <f>IF(OR(ISBLANK(C388),ISBLANK(D388),ISBLANK(F388),ISBLANK(G388)),"",COUNTIF($B$5:B388,"JAMBUTU"))</f>
        <v/>
      </c>
      <c r="B388" s="8" t="str">
        <f t="shared" si="42"/>
        <v/>
      </c>
      <c r="C388" s="8"/>
      <c r="D388" s="8"/>
      <c r="E388" s="13"/>
      <c r="F388" s="12"/>
      <c r="G388" s="11"/>
      <c r="H388" s="12"/>
      <c r="I388" s="11"/>
      <c r="J388" s="10">
        <f t="shared" si="36"/>
        <v>0</v>
      </c>
      <c r="K388" s="10">
        <f t="shared" si="37"/>
        <v>0</v>
      </c>
      <c r="L388" s="9" t="str">
        <f t="shared" si="38"/>
        <v/>
      </c>
      <c r="M388" s="8"/>
      <c r="N388" s="8"/>
      <c r="O388" s="8"/>
      <c r="P388" s="8"/>
      <c r="Q388" s="8"/>
      <c r="R388" s="8"/>
      <c r="S388" s="8"/>
      <c r="T388" s="8"/>
      <c r="U388" s="8"/>
      <c r="V388" s="7"/>
      <c r="W388" s="6" t="str">
        <f t="array" ref="W388">IF(NOT(ISBLANK(D388)),_xludf.XLOOKUP(D388,[2]CODE!$A$4:$A$100,[2]CODE!$D$4:$D$100),"")</f>
        <v/>
      </c>
      <c r="X388" s="5" t="str">
        <f t="array" ref="X388">IF(NOT(AND(ISBLANK(D388),ISBLANK(C388))),_xludf.XLOOKUP(D388,[2]CODE!$A$4:$A$100,[2]CODE!$E$4:$E$100),"")</f>
        <v/>
      </c>
      <c r="Y388" s="5" t="str">
        <f t="shared" si="39"/>
        <v/>
      </c>
      <c r="Z388" s="5" t="str">
        <f t="shared" si="40"/>
        <v/>
      </c>
      <c r="AA388" s="4">
        <f t="shared" si="41"/>
        <v>0</v>
      </c>
      <c r="AC388" s="2"/>
    </row>
    <row r="389" spans="1:29" ht="15.5">
      <c r="A389" s="13" t="str">
        <f>IF(OR(ISBLANK(C389),ISBLANK(D389),ISBLANK(F389),ISBLANK(G389)),"",COUNTIF($B$5:B389,"JAMBUTU"))</f>
        <v/>
      </c>
      <c r="B389" s="8" t="str">
        <f t="shared" si="42"/>
        <v/>
      </c>
      <c r="C389" s="8"/>
      <c r="D389" s="8"/>
      <c r="E389" s="13"/>
      <c r="F389" s="12"/>
      <c r="G389" s="11"/>
      <c r="H389" s="12"/>
      <c r="I389" s="11"/>
      <c r="J389" s="10">
        <f t="shared" ref="J389:J452" si="43">DATE(YEAR(F389),MONTH(F389),DAY(F389))+TIME(HOUR(G389),MINUTE(G389), SECOND(G389))</f>
        <v>0</v>
      </c>
      <c r="K389" s="10">
        <f t="shared" ref="K389:K452" si="44">DATE(YEAR(H389),MONTH(H389),DAY(H389))+TIME(HOUR(I389),MINUTE(I389), SECOND(I389))</f>
        <v>0</v>
      </c>
      <c r="L389" s="9" t="str">
        <f t="shared" ref="L389:L452" si="45">IF(ISBLANK(I389),"",IF(J389&gt;K389,(K389+1)-J389,K389-J389))</f>
        <v/>
      </c>
      <c r="M389" s="8"/>
      <c r="N389" s="8"/>
      <c r="O389" s="8"/>
      <c r="P389" s="8"/>
      <c r="Q389" s="8"/>
      <c r="R389" s="8"/>
      <c r="S389" s="8"/>
      <c r="T389" s="8"/>
      <c r="U389" s="8"/>
      <c r="V389" s="7"/>
      <c r="W389" s="6" t="str">
        <f t="array" ref="W389">IF(NOT(ISBLANK(D389)),_xludf.XLOOKUP(D389,[2]CODE!$A$4:$A$100,[2]CODE!$D$4:$D$100),"")</f>
        <v/>
      </c>
      <c r="X389" s="5" t="str">
        <f t="array" ref="X389">IF(NOT(AND(ISBLANK(D389),ISBLANK(C389))),_xludf.XLOOKUP(D389,[2]CODE!$A$4:$A$100,[2]CODE!$E$4:$E$100),"")</f>
        <v/>
      </c>
      <c r="Y389" s="5" t="str">
        <f t="shared" ref="Y389:Y452" si="46">LEFT(C389,4)</f>
        <v/>
      </c>
      <c r="Z389" s="5" t="str">
        <f t="shared" ref="Z389:Z452" si="47">IF(NOT(ISBLANK(C389)), IF(K389&gt;J389,"YES","NO"),"")</f>
        <v/>
      </c>
      <c r="AA389" s="4">
        <f t="shared" ref="AA389:AA452" si="48">IF(AND(F389=H389,Z389="NO"),1+H389,H389)</f>
        <v>0</v>
      </c>
      <c r="AC389" s="2"/>
    </row>
    <row r="390" spans="1:29" ht="15.5">
      <c r="A390" s="13" t="str">
        <f>IF(OR(ISBLANK(C390),ISBLANK(D390),ISBLANK(F390),ISBLANK(G390)),"",COUNTIF($B$5:B390,"JAMBUTU"))</f>
        <v/>
      </c>
      <c r="B390" s="8" t="str">
        <f t="shared" si="42"/>
        <v/>
      </c>
      <c r="C390" s="8"/>
      <c r="D390" s="8"/>
      <c r="E390" s="13"/>
      <c r="F390" s="12"/>
      <c r="G390" s="11"/>
      <c r="H390" s="12"/>
      <c r="I390" s="11"/>
      <c r="J390" s="10">
        <f t="shared" si="43"/>
        <v>0</v>
      </c>
      <c r="K390" s="10">
        <f t="shared" si="44"/>
        <v>0</v>
      </c>
      <c r="L390" s="9" t="str">
        <f t="shared" si="45"/>
        <v/>
      </c>
      <c r="M390" s="8"/>
      <c r="N390" s="8"/>
      <c r="O390" s="8"/>
      <c r="P390" s="8"/>
      <c r="Q390" s="8"/>
      <c r="R390" s="8"/>
      <c r="S390" s="8"/>
      <c r="T390" s="8"/>
      <c r="U390" s="8"/>
      <c r="V390" s="7"/>
      <c r="W390" s="6" t="str">
        <f t="array" ref="W390">IF(NOT(ISBLANK(D390)),_xludf.XLOOKUP(D390,[2]CODE!$A$4:$A$100,[2]CODE!$D$4:$D$100),"")</f>
        <v/>
      </c>
      <c r="X390" s="5" t="str">
        <f t="array" ref="X390">IF(NOT(AND(ISBLANK(D390),ISBLANK(C390))),_xludf.XLOOKUP(D390,[2]CODE!$A$4:$A$100,[2]CODE!$E$4:$E$100),"")</f>
        <v/>
      </c>
      <c r="Y390" s="5" t="str">
        <f t="shared" si="46"/>
        <v/>
      </c>
      <c r="Z390" s="5" t="str">
        <f t="shared" si="47"/>
        <v/>
      </c>
      <c r="AA390" s="4">
        <f t="shared" si="48"/>
        <v>0</v>
      </c>
      <c r="AC390" s="2"/>
    </row>
    <row r="391" spans="1:29" ht="15.5">
      <c r="A391" s="13" t="str">
        <f>IF(OR(ISBLANK(C391),ISBLANK(D391),ISBLANK(F391),ISBLANK(G391)),"",COUNTIF($B$5:B391,"JAMBUTU"))</f>
        <v/>
      </c>
      <c r="B391" s="8" t="str">
        <f t="shared" si="42"/>
        <v/>
      </c>
      <c r="C391" s="8"/>
      <c r="D391" s="8"/>
      <c r="E391" s="13"/>
      <c r="F391" s="12"/>
      <c r="G391" s="11"/>
      <c r="H391" s="12"/>
      <c r="I391" s="11"/>
      <c r="J391" s="10">
        <f t="shared" si="43"/>
        <v>0</v>
      </c>
      <c r="K391" s="10">
        <f t="shared" si="44"/>
        <v>0</v>
      </c>
      <c r="L391" s="9" t="str">
        <f t="shared" si="45"/>
        <v/>
      </c>
      <c r="M391" s="8"/>
      <c r="N391" s="8"/>
      <c r="O391" s="8"/>
      <c r="P391" s="8"/>
      <c r="Q391" s="8"/>
      <c r="R391" s="8"/>
      <c r="S391" s="8"/>
      <c r="T391" s="8"/>
      <c r="U391" s="8"/>
      <c r="V391" s="7"/>
      <c r="W391" s="6" t="str">
        <f t="array" ref="W391">IF(NOT(ISBLANK(D391)),_xludf.XLOOKUP(D391,[2]CODE!$A$4:$A$100,[2]CODE!$D$4:$D$100),"")</f>
        <v/>
      </c>
      <c r="X391" s="5" t="str">
        <f t="array" ref="X391">IF(NOT(AND(ISBLANK(D391),ISBLANK(C391))),_xludf.XLOOKUP(D391,[2]CODE!$A$4:$A$100,[2]CODE!$E$4:$E$100),"")</f>
        <v/>
      </c>
      <c r="Y391" s="5" t="str">
        <f t="shared" si="46"/>
        <v/>
      </c>
      <c r="Z391" s="5" t="str">
        <f t="shared" si="47"/>
        <v/>
      </c>
      <c r="AA391" s="4">
        <f t="shared" si="48"/>
        <v>0</v>
      </c>
      <c r="AC391" s="2"/>
    </row>
    <row r="392" spans="1:29" ht="15.5">
      <c r="A392" s="13" t="str">
        <f>IF(OR(ISBLANK(C392),ISBLANK(D392),ISBLANK(F392),ISBLANK(G392)),"",COUNTIF($B$5:B392,"JAMBUTU"))</f>
        <v/>
      </c>
      <c r="B392" s="8" t="str">
        <f t="shared" si="42"/>
        <v/>
      </c>
      <c r="C392" s="8"/>
      <c r="D392" s="8"/>
      <c r="E392" s="13"/>
      <c r="F392" s="12"/>
      <c r="G392" s="11"/>
      <c r="H392" s="12"/>
      <c r="I392" s="11"/>
      <c r="J392" s="10">
        <f t="shared" si="43"/>
        <v>0</v>
      </c>
      <c r="K392" s="10">
        <f t="shared" si="44"/>
        <v>0</v>
      </c>
      <c r="L392" s="9" t="str">
        <f t="shared" si="45"/>
        <v/>
      </c>
      <c r="M392" s="8"/>
      <c r="N392" s="8"/>
      <c r="O392" s="8"/>
      <c r="P392" s="8"/>
      <c r="Q392" s="8"/>
      <c r="R392" s="8"/>
      <c r="S392" s="8"/>
      <c r="T392" s="8"/>
      <c r="U392" s="8"/>
      <c r="V392" s="7"/>
      <c r="W392" s="6" t="str">
        <f t="array" ref="W392">IF(NOT(ISBLANK(D392)),_xludf.XLOOKUP(D392,[2]CODE!$A$4:$A$100,[2]CODE!$D$4:$D$100),"")</f>
        <v/>
      </c>
      <c r="X392" s="5" t="str">
        <f t="array" ref="X392">IF(NOT(AND(ISBLANK(D392),ISBLANK(C392))),_xludf.XLOOKUP(D392,[2]CODE!$A$4:$A$100,[2]CODE!$E$4:$E$100),"")</f>
        <v/>
      </c>
      <c r="Y392" s="5" t="str">
        <f t="shared" si="46"/>
        <v/>
      </c>
      <c r="Z392" s="5" t="str">
        <f t="shared" si="47"/>
        <v/>
      </c>
      <c r="AA392" s="4">
        <f t="shared" si="48"/>
        <v>0</v>
      </c>
      <c r="AC392" s="2"/>
    </row>
    <row r="393" spans="1:29" ht="15.5">
      <c r="A393" s="13" t="str">
        <f>IF(OR(ISBLANK(C393),ISBLANK(D393),ISBLANK(F393),ISBLANK(G393)),"",COUNTIF($B$5:B393,"JAMBUTU"))</f>
        <v/>
      </c>
      <c r="B393" s="8" t="str">
        <f t="shared" si="42"/>
        <v/>
      </c>
      <c r="C393" s="8"/>
      <c r="D393" s="8"/>
      <c r="E393" s="13"/>
      <c r="F393" s="12"/>
      <c r="G393" s="11"/>
      <c r="H393" s="12"/>
      <c r="I393" s="11"/>
      <c r="J393" s="10">
        <f t="shared" si="43"/>
        <v>0</v>
      </c>
      <c r="K393" s="10">
        <f t="shared" si="44"/>
        <v>0</v>
      </c>
      <c r="L393" s="9" t="str">
        <f t="shared" si="45"/>
        <v/>
      </c>
      <c r="M393" s="8"/>
      <c r="N393" s="8"/>
      <c r="O393" s="8"/>
      <c r="P393" s="8"/>
      <c r="Q393" s="8"/>
      <c r="R393" s="8"/>
      <c r="S393" s="8"/>
      <c r="T393" s="8"/>
      <c r="U393" s="8"/>
      <c r="V393" s="7"/>
      <c r="W393" s="6" t="str">
        <f t="array" ref="W393">IF(NOT(ISBLANK(D393)),_xludf.XLOOKUP(D393,[2]CODE!$A$4:$A$100,[2]CODE!$D$4:$D$100),"")</f>
        <v/>
      </c>
      <c r="X393" s="5" t="str">
        <f t="array" ref="X393">IF(NOT(AND(ISBLANK(D393),ISBLANK(C393))),_xludf.XLOOKUP(D393,[2]CODE!$A$4:$A$100,[2]CODE!$E$4:$E$100),"")</f>
        <v/>
      </c>
      <c r="Y393" s="5" t="str">
        <f t="shared" si="46"/>
        <v/>
      </c>
      <c r="Z393" s="5" t="str">
        <f t="shared" si="47"/>
        <v/>
      </c>
      <c r="AA393" s="4">
        <f t="shared" si="48"/>
        <v>0</v>
      </c>
      <c r="AC393" s="2"/>
    </row>
    <row r="394" spans="1:29" ht="15.5">
      <c r="A394" s="13" t="str">
        <f>IF(OR(ISBLANK(C394),ISBLANK(D394),ISBLANK(F394),ISBLANK(G394)),"",COUNTIF($B$5:B394,"JAMBUTU"))</f>
        <v/>
      </c>
      <c r="B394" s="8" t="str">
        <f t="shared" si="42"/>
        <v/>
      </c>
      <c r="C394" s="8"/>
      <c r="D394" s="8"/>
      <c r="E394" s="13"/>
      <c r="F394" s="12"/>
      <c r="G394" s="11"/>
      <c r="H394" s="12"/>
      <c r="I394" s="11"/>
      <c r="J394" s="10">
        <f t="shared" si="43"/>
        <v>0</v>
      </c>
      <c r="K394" s="10">
        <f t="shared" si="44"/>
        <v>0</v>
      </c>
      <c r="L394" s="9" t="str">
        <f t="shared" si="45"/>
        <v/>
      </c>
      <c r="M394" s="8"/>
      <c r="N394" s="8"/>
      <c r="O394" s="8"/>
      <c r="P394" s="8"/>
      <c r="Q394" s="8"/>
      <c r="R394" s="8"/>
      <c r="S394" s="8"/>
      <c r="T394" s="8"/>
      <c r="U394" s="8"/>
      <c r="V394" s="7"/>
      <c r="W394" s="6" t="str">
        <f t="array" ref="W394">IF(NOT(ISBLANK(D394)),_xludf.XLOOKUP(D394,[2]CODE!$A$4:$A$100,[2]CODE!$D$4:$D$100),"")</f>
        <v/>
      </c>
      <c r="X394" s="5" t="str">
        <f t="array" ref="X394">IF(NOT(AND(ISBLANK(D394),ISBLANK(C394))),_xludf.XLOOKUP(D394,[2]CODE!$A$4:$A$100,[2]CODE!$E$4:$E$100),"")</f>
        <v/>
      </c>
      <c r="Y394" s="5" t="str">
        <f t="shared" si="46"/>
        <v/>
      </c>
      <c r="Z394" s="5" t="str">
        <f t="shared" si="47"/>
        <v/>
      </c>
      <c r="AA394" s="4">
        <f t="shared" si="48"/>
        <v>0</v>
      </c>
      <c r="AC394" s="2"/>
    </row>
    <row r="395" spans="1:29" ht="15.5">
      <c r="A395" s="13" t="str">
        <f>IF(OR(ISBLANK(C395),ISBLANK(D395),ISBLANK(F395),ISBLANK(G395)),"",COUNTIF($B$5:B395,"JAMBUTU"))</f>
        <v/>
      </c>
      <c r="B395" s="8" t="str">
        <f t="shared" si="42"/>
        <v/>
      </c>
      <c r="C395" s="8"/>
      <c r="D395" s="8"/>
      <c r="E395" s="13"/>
      <c r="F395" s="12"/>
      <c r="G395" s="11"/>
      <c r="H395" s="12"/>
      <c r="I395" s="11"/>
      <c r="J395" s="10">
        <f t="shared" si="43"/>
        <v>0</v>
      </c>
      <c r="K395" s="10">
        <f t="shared" si="44"/>
        <v>0</v>
      </c>
      <c r="L395" s="9" t="str">
        <f t="shared" si="45"/>
        <v/>
      </c>
      <c r="M395" s="8"/>
      <c r="N395" s="8"/>
      <c r="O395" s="8"/>
      <c r="P395" s="8"/>
      <c r="Q395" s="8"/>
      <c r="R395" s="8"/>
      <c r="S395" s="8"/>
      <c r="T395" s="8"/>
      <c r="U395" s="8"/>
      <c r="V395" s="7"/>
      <c r="W395" s="6" t="str">
        <f t="array" ref="W395">IF(NOT(ISBLANK(D395)),_xludf.XLOOKUP(D395,[2]CODE!$A$4:$A$100,[2]CODE!$D$4:$D$100),"")</f>
        <v/>
      </c>
      <c r="X395" s="5" t="str">
        <f t="array" ref="X395">IF(NOT(AND(ISBLANK(D395),ISBLANK(C395))),_xludf.XLOOKUP(D395,[2]CODE!$A$4:$A$100,[2]CODE!$E$4:$E$100),"")</f>
        <v/>
      </c>
      <c r="Y395" s="5" t="str">
        <f t="shared" si="46"/>
        <v/>
      </c>
      <c r="Z395" s="5" t="str">
        <f t="shared" si="47"/>
        <v/>
      </c>
      <c r="AA395" s="4">
        <f t="shared" si="48"/>
        <v>0</v>
      </c>
      <c r="AC395" s="2"/>
    </row>
    <row r="396" spans="1:29" ht="15.5">
      <c r="A396" s="13" t="str">
        <f>IF(OR(ISBLANK(C396),ISBLANK(D396),ISBLANK(F396),ISBLANK(G396)),"",COUNTIF($B$5:B396,"JAMBUTU"))</f>
        <v/>
      </c>
      <c r="B396" s="8" t="str">
        <f t="shared" si="42"/>
        <v/>
      </c>
      <c r="C396" s="8"/>
      <c r="D396" s="8"/>
      <c r="E396" s="13"/>
      <c r="F396" s="12"/>
      <c r="G396" s="11"/>
      <c r="H396" s="12"/>
      <c r="I396" s="11"/>
      <c r="J396" s="10">
        <f t="shared" si="43"/>
        <v>0</v>
      </c>
      <c r="K396" s="10">
        <f t="shared" si="44"/>
        <v>0</v>
      </c>
      <c r="L396" s="9" t="str">
        <f t="shared" si="45"/>
        <v/>
      </c>
      <c r="M396" s="8"/>
      <c r="N396" s="8"/>
      <c r="O396" s="8"/>
      <c r="P396" s="8"/>
      <c r="Q396" s="8"/>
      <c r="R396" s="8"/>
      <c r="S396" s="8"/>
      <c r="T396" s="8"/>
      <c r="U396" s="8"/>
      <c r="V396" s="7"/>
      <c r="W396" s="6" t="str">
        <f t="array" ref="W396">IF(NOT(ISBLANK(D396)),_xludf.XLOOKUP(D396,[2]CODE!$A$4:$A$100,[2]CODE!$D$4:$D$100),"")</f>
        <v/>
      </c>
      <c r="X396" s="5" t="str">
        <f t="array" ref="X396">IF(NOT(AND(ISBLANK(D396),ISBLANK(C396))),_xludf.XLOOKUP(D396,[2]CODE!$A$4:$A$100,[2]CODE!$E$4:$E$100),"")</f>
        <v/>
      </c>
      <c r="Y396" s="5" t="str">
        <f t="shared" si="46"/>
        <v/>
      </c>
      <c r="Z396" s="5" t="str">
        <f t="shared" si="47"/>
        <v/>
      </c>
      <c r="AA396" s="4">
        <f t="shared" si="48"/>
        <v>0</v>
      </c>
      <c r="AC396" s="2"/>
    </row>
    <row r="397" spans="1:29" ht="15.5">
      <c r="A397" s="13" t="str">
        <f>IF(OR(ISBLANK(C397),ISBLANK(D397),ISBLANK(F397),ISBLANK(G397)),"",COUNTIF($B$5:B397,"JAMBUTU"))</f>
        <v/>
      </c>
      <c r="B397" s="8" t="str">
        <f t="shared" si="42"/>
        <v/>
      </c>
      <c r="C397" s="8"/>
      <c r="D397" s="8"/>
      <c r="E397" s="13"/>
      <c r="F397" s="12"/>
      <c r="G397" s="11"/>
      <c r="H397" s="12"/>
      <c r="I397" s="11"/>
      <c r="J397" s="10">
        <f t="shared" si="43"/>
        <v>0</v>
      </c>
      <c r="K397" s="10">
        <f t="shared" si="44"/>
        <v>0</v>
      </c>
      <c r="L397" s="9" t="str">
        <f t="shared" si="45"/>
        <v/>
      </c>
      <c r="M397" s="8"/>
      <c r="N397" s="8"/>
      <c r="O397" s="8"/>
      <c r="P397" s="8"/>
      <c r="Q397" s="8"/>
      <c r="R397" s="8"/>
      <c r="S397" s="8"/>
      <c r="T397" s="8"/>
      <c r="U397" s="8"/>
      <c r="V397" s="7"/>
      <c r="W397" s="6" t="str">
        <f t="array" ref="W397">IF(NOT(ISBLANK(D397)),_xludf.XLOOKUP(D397,[2]CODE!$A$4:$A$100,[2]CODE!$D$4:$D$100),"")</f>
        <v/>
      </c>
      <c r="X397" s="5" t="str">
        <f t="array" ref="X397">IF(NOT(AND(ISBLANK(D397),ISBLANK(C397))),_xludf.XLOOKUP(D397,[2]CODE!$A$4:$A$100,[2]CODE!$E$4:$E$100),"")</f>
        <v/>
      </c>
      <c r="Y397" s="5" t="str">
        <f t="shared" si="46"/>
        <v/>
      </c>
      <c r="Z397" s="5" t="str">
        <f t="shared" si="47"/>
        <v/>
      </c>
      <c r="AA397" s="4">
        <f t="shared" si="48"/>
        <v>0</v>
      </c>
      <c r="AC397" s="2"/>
    </row>
    <row r="398" spans="1:29" ht="15.5">
      <c r="A398" s="13" t="str">
        <f>IF(OR(ISBLANK(C398),ISBLANK(D398),ISBLANK(F398),ISBLANK(G398)),"",COUNTIF($B$5:B398,"JAMBUTU"))</f>
        <v/>
      </c>
      <c r="B398" s="8" t="str">
        <f t="shared" si="42"/>
        <v/>
      </c>
      <c r="C398" s="8"/>
      <c r="D398" s="8"/>
      <c r="E398" s="13"/>
      <c r="F398" s="12"/>
      <c r="G398" s="11"/>
      <c r="H398" s="12"/>
      <c r="I398" s="11"/>
      <c r="J398" s="10">
        <f t="shared" si="43"/>
        <v>0</v>
      </c>
      <c r="K398" s="10">
        <f t="shared" si="44"/>
        <v>0</v>
      </c>
      <c r="L398" s="9" t="str">
        <f t="shared" si="45"/>
        <v/>
      </c>
      <c r="M398" s="8"/>
      <c r="N398" s="8"/>
      <c r="O398" s="8"/>
      <c r="P398" s="8"/>
      <c r="Q398" s="8"/>
      <c r="R398" s="8"/>
      <c r="S398" s="8"/>
      <c r="T398" s="8"/>
      <c r="U398" s="8"/>
      <c r="V398" s="7"/>
      <c r="W398" s="6" t="str">
        <f t="array" ref="W398">IF(NOT(ISBLANK(D398)),_xludf.XLOOKUP(D398,[2]CODE!$A$4:$A$100,[2]CODE!$D$4:$D$100),"")</f>
        <v/>
      </c>
      <c r="X398" s="5" t="str">
        <f t="array" ref="X398">IF(NOT(AND(ISBLANK(D398),ISBLANK(C398))),_xludf.XLOOKUP(D398,[2]CODE!$A$4:$A$100,[2]CODE!$E$4:$E$100),"")</f>
        <v/>
      </c>
      <c r="Y398" s="5" t="str">
        <f t="shared" si="46"/>
        <v/>
      </c>
      <c r="Z398" s="5" t="str">
        <f t="shared" si="47"/>
        <v/>
      </c>
      <c r="AA398" s="4">
        <f t="shared" si="48"/>
        <v>0</v>
      </c>
      <c r="AC398" s="2"/>
    </row>
    <row r="399" spans="1:29" ht="15.5">
      <c r="A399" s="13" t="str">
        <f>IF(OR(ISBLANK(C399),ISBLANK(D399),ISBLANK(F399),ISBLANK(G399)),"",COUNTIF($B$5:B399,"JAMBUTU"))</f>
        <v/>
      </c>
      <c r="B399" s="8" t="str">
        <f t="shared" si="42"/>
        <v/>
      </c>
      <c r="C399" s="8"/>
      <c r="D399" s="8"/>
      <c r="E399" s="13"/>
      <c r="F399" s="12"/>
      <c r="G399" s="11"/>
      <c r="H399" s="12"/>
      <c r="I399" s="11"/>
      <c r="J399" s="10">
        <f t="shared" si="43"/>
        <v>0</v>
      </c>
      <c r="K399" s="10">
        <f t="shared" si="44"/>
        <v>0</v>
      </c>
      <c r="L399" s="9" t="str">
        <f t="shared" si="45"/>
        <v/>
      </c>
      <c r="M399" s="8"/>
      <c r="N399" s="8"/>
      <c r="O399" s="8"/>
      <c r="P399" s="8"/>
      <c r="Q399" s="8"/>
      <c r="R399" s="8"/>
      <c r="S399" s="8"/>
      <c r="T399" s="8"/>
      <c r="U399" s="8"/>
      <c r="V399" s="7"/>
      <c r="W399" s="6" t="str">
        <f t="array" ref="W399">IF(NOT(ISBLANK(D399)),_xludf.XLOOKUP(D399,[2]CODE!$A$4:$A$100,[2]CODE!$D$4:$D$100),"")</f>
        <v/>
      </c>
      <c r="X399" s="5" t="str">
        <f t="array" ref="X399">IF(NOT(AND(ISBLANK(D399),ISBLANK(C399))),_xludf.XLOOKUP(D399,[2]CODE!$A$4:$A$100,[2]CODE!$E$4:$E$100),"")</f>
        <v/>
      </c>
      <c r="Y399" s="5" t="str">
        <f t="shared" si="46"/>
        <v/>
      </c>
      <c r="Z399" s="5" t="str">
        <f t="shared" si="47"/>
        <v/>
      </c>
      <c r="AA399" s="4">
        <f t="shared" si="48"/>
        <v>0</v>
      </c>
      <c r="AC399" s="2"/>
    </row>
    <row r="400" spans="1:29" ht="15.5">
      <c r="A400" s="13" t="str">
        <f>IF(OR(ISBLANK(C400),ISBLANK(D400),ISBLANK(F400),ISBLANK(G400)),"",COUNTIF($B$5:B400,"JAMBUTU"))</f>
        <v/>
      </c>
      <c r="B400" s="8" t="str">
        <f t="shared" si="42"/>
        <v/>
      </c>
      <c r="C400" s="8"/>
      <c r="D400" s="8"/>
      <c r="E400" s="13"/>
      <c r="F400" s="12"/>
      <c r="G400" s="11"/>
      <c r="H400" s="12"/>
      <c r="I400" s="11"/>
      <c r="J400" s="10">
        <f t="shared" si="43"/>
        <v>0</v>
      </c>
      <c r="K400" s="10">
        <f t="shared" si="44"/>
        <v>0</v>
      </c>
      <c r="L400" s="9" t="str">
        <f t="shared" si="45"/>
        <v/>
      </c>
      <c r="M400" s="8"/>
      <c r="N400" s="8"/>
      <c r="O400" s="8"/>
      <c r="P400" s="8"/>
      <c r="Q400" s="8"/>
      <c r="R400" s="8"/>
      <c r="S400" s="8"/>
      <c r="T400" s="8"/>
      <c r="U400" s="8"/>
      <c r="V400" s="7"/>
      <c r="W400" s="6" t="str">
        <f t="array" ref="W400">IF(NOT(ISBLANK(D400)),_xludf.XLOOKUP(D400,[2]CODE!$A$4:$A$100,[2]CODE!$D$4:$D$100),"")</f>
        <v/>
      </c>
      <c r="X400" s="5" t="str">
        <f t="array" ref="X400">IF(NOT(AND(ISBLANK(D400),ISBLANK(C400))),_xludf.XLOOKUP(D400,[2]CODE!$A$4:$A$100,[2]CODE!$E$4:$E$100),"")</f>
        <v/>
      </c>
      <c r="Y400" s="5" t="str">
        <f t="shared" si="46"/>
        <v/>
      </c>
      <c r="Z400" s="5" t="str">
        <f t="shared" si="47"/>
        <v/>
      </c>
      <c r="AA400" s="4">
        <f t="shared" si="48"/>
        <v>0</v>
      </c>
      <c r="AC400" s="2"/>
    </row>
    <row r="401" spans="1:29" ht="15.5">
      <c r="A401" s="13" t="str">
        <f>IF(OR(ISBLANK(C401),ISBLANK(D401),ISBLANK(F401),ISBLANK(G401)),"",COUNTIF($B$5:B401,"JAMBUTU"))</f>
        <v/>
      </c>
      <c r="B401" s="8" t="str">
        <f t="shared" si="42"/>
        <v/>
      </c>
      <c r="C401" s="8"/>
      <c r="D401" s="8"/>
      <c r="E401" s="13"/>
      <c r="F401" s="12"/>
      <c r="G401" s="11"/>
      <c r="H401" s="12"/>
      <c r="I401" s="11"/>
      <c r="J401" s="10">
        <f t="shared" si="43"/>
        <v>0</v>
      </c>
      <c r="K401" s="10">
        <f t="shared" si="44"/>
        <v>0</v>
      </c>
      <c r="L401" s="9" t="str">
        <f t="shared" si="45"/>
        <v/>
      </c>
      <c r="M401" s="8"/>
      <c r="N401" s="8"/>
      <c r="O401" s="8"/>
      <c r="P401" s="8"/>
      <c r="Q401" s="8"/>
      <c r="R401" s="8"/>
      <c r="S401" s="8"/>
      <c r="T401" s="8"/>
      <c r="U401" s="8"/>
      <c r="V401" s="7"/>
      <c r="W401" s="6" t="str">
        <f t="array" ref="W401">IF(NOT(ISBLANK(D401)),_xludf.XLOOKUP(D401,[2]CODE!$A$4:$A$100,[2]CODE!$D$4:$D$100),"")</f>
        <v/>
      </c>
      <c r="X401" s="5" t="str">
        <f t="array" ref="X401">IF(NOT(AND(ISBLANK(D401),ISBLANK(C401))),_xludf.XLOOKUP(D401,[2]CODE!$A$4:$A$100,[2]CODE!$E$4:$E$100),"")</f>
        <v/>
      </c>
      <c r="Y401" s="5" t="str">
        <f t="shared" si="46"/>
        <v/>
      </c>
      <c r="Z401" s="5" t="str">
        <f t="shared" si="47"/>
        <v/>
      </c>
      <c r="AA401" s="4">
        <f t="shared" si="48"/>
        <v>0</v>
      </c>
      <c r="AC401" s="2"/>
    </row>
    <row r="402" spans="1:29" ht="15.5">
      <c r="A402" s="13" t="str">
        <f>IF(OR(ISBLANK(C402),ISBLANK(D402),ISBLANK(F402),ISBLANK(G402)),"",COUNTIF($B$5:B402,"JAMBUTU"))</f>
        <v/>
      </c>
      <c r="B402" s="8" t="str">
        <f t="shared" si="42"/>
        <v/>
      </c>
      <c r="C402" s="8"/>
      <c r="D402" s="8"/>
      <c r="E402" s="13"/>
      <c r="F402" s="12"/>
      <c r="G402" s="11"/>
      <c r="H402" s="12"/>
      <c r="I402" s="11"/>
      <c r="J402" s="10">
        <f t="shared" si="43"/>
        <v>0</v>
      </c>
      <c r="K402" s="10">
        <f t="shared" si="44"/>
        <v>0</v>
      </c>
      <c r="L402" s="9" t="str">
        <f t="shared" si="45"/>
        <v/>
      </c>
      <c r="M402" s="8"/>
      <c r="N402" s="8"/>
      <c r="O402" s="8"/>
      <c r="P402" s="8"/>
      <c r="Q402" s="8"/>
      <c r="R402" s="8"/>
      <c r="S402" s="8"/>
      <c r="T402" s="8"/>
      <c r="U402" s="8"/>
      <c r="V402" s="7"/>
      <c r="W402" s="6" t="str">
        <f t="array" ref="W402">IF(NOT(ISBLANK(D402)),_xludf.XLOOKUP(D402,[2]CODE!$A$4:$A$100,[2]CODE!$D$4:$D$100),"")</f>
        <v/>
      </c>
      <c r="X402" s="5" t="str">
        <f t="array" ref="X402">IF(NOT(AND(ISBLANK(D402),ISBLANK(C402))),_xludf.XLOOKUP(D402,[2]CODE!$A$4:$A$100,[2]CODE!$E$4:$E$100),"")</f>
        <v/>
      </c>
      <c r="Y402" s="5" t="str">
        <f t="shared" si="46"/>
        <v/>
      </c>
      <c r="Z402" s="5" t="str">
        <f t="shared" si="47"/>
        <v/>
      </c>
      <c r="AA402" s="4">
        <f t="shared" si="48"/>
        <v>0</v>
      </c>
      <c r="AC402" s="2"/>
    </row>
    <row r="403" spans="1:29" ht="15.5">
      <c r="A403" s="13" t="str">
        <f>IF(OR(ISBLANK(C403),ISBLANK(D403),ISBLANK(F403),ISBLANK(G403)),"",COUNTIF($B$5:B403,"JAMBUTU"))</f>
        <v/>
      </c>
      <c r="B403" s="8" t="str">
        <f t="shared" ref="B403:B466" si="49">IF(C403&lt;&gt;"","Jambutu","")</f>
        <v/>
      </c>
      <c r="C403" s="8"/>
      <c r="D403" s="8"/>
      <c r="E403" s="13"/>
      <c r="F403" s="12"/>
      <c r="G403" s="17"/>
      <c r="H403" s="12"/>
      <c r="I403" s="17"/>
      <c r="J403" s="10">
        <f t="shared" si="43"/>
        <v>0</v>
      </c>
      <c r="K403" s="10">
        <f t="shared" si="44"/>
        <v>0</v>
      </c>
      <c r="L403" s="9" t="str">
        <f t="shared" si="45"/>
        <v/>
      </c>
      <c r="M403" s="8"/>
      <c r="N403" s="8"/>
      <c r="O403" s="8"/>
      <c r="P403" s="8"/>
      <c r="Q403" s="8"/>
      <c r="R403" s="8"/>
      <c r="S403" s="8"/>
      <c r="T403" s="8"/>
      <c r="U403" s="8"/>
      <c r="V403" s="7"/>
      <c r="W403" s="6" t="str">
        <f t="array" ref="W403">IF(NOT(ISBLANK(D403)),_xludf.XLOOKUP(D403,[2]CODE!$A$4:$A$100,[2]CODE!$D$4:$D$100),"")</f>
        <v/>
      </c>
      <c r="X403" s="5" t="str">
        <f t="array" ref="X403">IF(NOT(AND(ISBLANK(D403),ISBLANK(C403))),_xludf.XLOOKUP(D403,[2]CODE!$A$4:$A$100,[2]CODE!$E$4:$E$100),"")</f>
        <v/>
      </c>
      <c r="Y403" s="5" t="str">
        <f t="shared" si="46"/>
        <v/>
      </c>
      <c r="Z403" s="5" t="str">
        <f t="shared" si="47"/>
        <v/>
      </c>
      <c r="AA403" s="4">
        <f t="shared" si="48"/>
        <v>0</v>
      </c>
      <c r="AC403" s="2"/>
    </row>
    <row r="404" spans="1:29" ht="15.5">
      <c r="A404" s="13" t="str">
        <f>IF(OR(ISBLANK(C404),ISBLANK(D404),ISBLANK(F404),ISBLANK(G404)),"",COUNTIF($B$5:B404,"JAMBUTU"))</f>
        <v/>
      </c>
      <c r="B404" s="8" t="str">
        <f t="shared" si="49"/>
        <v/>
      </c>
      <c r="C404" s="8"/>
      <c r="D404" s="8"/>
      <c r="E404" s="13"/>
      <c r="F404" s="12"/>
      <c r="G404" s="19"/>
      <c r="H404" s="12"/>
      <c r="I404" s="19"/>
      <c r="J404" s="10">
        <f t="shared" si="43"/>
        <v>0</v>
      </c>
      <c r="K404" s="10">
        <f t="shared" si="44"/>
        <v>0</v>
      </c>
      <c r="L404" s="9" t="str">
        <f t="shared" si="45"/>
        <v/>
      </c>
      <c r="M404" s="8"/>
      <c r="N404" s="8"/>
      <c r="O404" s="8"/>
      <c r="P404" s="8"/>
      <c r="Q404" s="8"/>
      <c r="R404" s="8"/>
      <c r="S404" s="8"/>
      <c r="T404" s="8"/>
      <c r="U404" s="8"/>
      <c r="V404" s="7"/>
      <c r="W404" s="6" t="str">
        <f t="array" ref="W404">IF(NOT(ISBLANK(D404)),_xludf.XLOOKUP(D404,[2]CODE!$A$4:$A$100,[2]CODE!$D$4:$D$100),"")</f>
        <v/>
      </c>
      <c r="X404" s="5" t="str">
        <f t="array" ref="X404">IF(NOT(AND(ISBLANK(D404),ISBLANK(C404))),_xludf.XLOOKUP(D404,[2]CODE!$A$4:$A$100,[2]CODE!$E$4:$E$100),"")</f>
        <v/>
      </c>
      <c r="Y404" s="5" t="str">
        <f t="shared" si="46"/>
        <v/>
      </c>
      <c r="Z404" s="5" t="str">
        <f t="shared" si="47"/>
        <v/>
      </c>
      <c r="AA404" s="4">
        <f t="shared" si="48"/>
        <v>0</v>
      </c>
      <c r="AC404" s="2"/>
    </row>
    <row r="405" spans="1:29" ht="15.5">
      <c r="A405" s="13" t="str">
        <f>IF(OR(ISBLANK(C405),ISBLANK(D405),ISBLANK(F405),ISBLANK(G405)),"",COUNTIF($B$5:B405,"JAMBUTU"))</f>
        <v/>
      </c>
      <c r="B405" s="8" t="str">
        <f t="shared" si="49"/>
        <v/>
      </c>
      <c r="C405" s="8"/>
      <c r="D405" s="8"/>
      <c r="E405" s="13"/>
      <c r="F405" s="12"/>
      <c r="G405" s="17"/>
      <c r="H405" s="12"/>
      <c r="I405" s="17"/>
      <c r="J405" s="10">
        <f t="shared" si="43"/>
        <v>0</v>
      </c>
      <c r="K405" s="10">
        <f t="shared" si="44"/>
        <v>0</v>
      </c>
      <c r="L405" s="9" t="str">
        <f t="shared" si="45"/>
        <v/>
      </c>
      <c r="M405" s="8"/>
      <c r="N405" s="8"/>
      <c r="O405" s="8"/>
      <c r="P405" s="8"/>
      <c r="Q405" s="8"/>
      <c r="R405" s="8"/>
      <c r="S405" s="8"/>
      <c r="T405" s="8"/>
      <c r="U405" s="8"/>
      <c r="V405" s="7"/>
      <c r="W405" s="6" t="str">
        <f t="array" ref="W405">IF(NOT(ISBLANK(D405)),_xludf.XLOOKUP(D405,[2]CODE!$A$4:$A$100,[2]CODE!$D$4:$D$100),"")</f>
        <v/>
      </c>
      <c r="X405" s="5" t="str">
        <f t="array" ref="X405">IF(NOT(AND(ISBLANK(D405),ISBLANK(C405))),_xludf.XLOOKUP(D405,[2]CODE!$A$4:$A$100,[2]CODE!$E$4:$E$100),"")</f>
        <v/>
      </c>
      <c r="Y405" s="5" t="str">
        <f t="shared" si="46"/>
        <v/>
      </c>
      <c r="Z405" s="5" t="str">
        <f t="shared" si="47"/>
        <v/>
      </c>
      <c r="AA405" s="4">
        <f t="shared" si="48"/>
        <v>0</v>
      </c>
      <c r="AC405" s="2"/>
    </row>
    <row r="406" spans="1:29" ht="15.5">
      <c r="A406" s="13" t="str">
        <f>IF(OR(ISBLANK(C406),ISBLANK(D406),ISBLANK(F406),ISBLANK(G406)),"",COUNTIF($B$5:B406,"JAMBUTU"))</f>
        <v/>
      </c>
      <c r="B406" s="8" t="str">
        <f t="shared" si="49"/>
        <v/>
      </c>
      <c r="C406" s="8"/>
      <c r="D406" s="8"/>
      <c r="E406" s="13"/>
      <c r="F406" s="12"/>
      <c r="G406" s="17"/>
      <c r="H406" s="12"/>
      <c r="I406" s="17"/>
      <c r="J406" s="10">
        <f t="shared" si="43"/>
        <v>0</v>
      </c>
      <c r="K406" s="10">
        <f t="shared" si="44"/>
        <v>0</v>
      </c>
      <c r="L406" s="9" t="str">
        <f t="shared" si="45"/>
        <v/>
      </c>
      <c r="M406" s="8"/>
      <c r="N406" s="8"/>
      <c r="O406" s="8"/>
      <c r="P406" s="8"/>
      <c r="Q406" s="8"/>
      <c r="R406" s="8"/>
      <c r="S406" s="8"/>
      <c r="T406" s="8"/>
      <c r="U406" s="8"/>
      <c r="V406" s="7"/>
      <c r="W406" s="6" t="str">
        <f t="array" ref="W406">IF(NOT(ISBLANK(D406)),_xludf.XLOOKUP(D406,[2]CODE!$A$4:$A$100,[2]CODE!$D$4:$D$100),"")</f>
        <v/>
      </c>
      <c r="X406" s="5" t="str">
        <f t="array" ref="X406">IF(NOT(AND(ISBLANK(D406),ISBLANK(C406))),_xludf.XLOOKUP(D406,[2]CODE!$A$4:$A$100,[2]CODE!$E$4:$E$100),"")</f>
        <v/>
      </c>
      <c r="Y406" s="5" t="str">
        <f t="shared" si="46"/>
        <v/>
      </c>
      <c r="Z406" s="5" t="str">
        <f t="shared" si="47"/>
        <v/>
      </c>
      <c r="AA406" s="4">
        <f t="shared" si="48"/>
        <v>0</v>
      </c>
      <c r="AC406" s="2"/>
    </row>
    <row r="407" spans="1:29" ht="15.5">
      <c r="A407" s="13" t="str">
        <f>IF(OR(ISBLANK(C407),ISBLANK(D407),ISBLANK(F407),ISBLANK(G407)),"",COUNTIF($B$5:B407,"JAMBUTU"))</f>
        <v/>
      </c>
      <c r="B407" s="8" t="str">
        <f t="shared" si="49"/>
        <v/>
      </c>
      <c r="C407" s="8"/>
      <c r="D407" s="8"/>
      <c r="E407" s="13"/>
      <c r="F407" s="12"/>
      <c r="G407" s="17"/>
      <c r="H407" s="12"/>
      <c r="I407" s="17"/>
      <c r="J407" s="10">
        <f t="shared" si="43"/>
        <v>0</v>
      </c>
      <c r="K407" s="10">
        <f t="shared" si="44"/>
        <v>0</v>
      </c>
      <c r="L407" s="9" t="str">
        <f t="shared" si="45"/>
        <v/>
      </c>
      <c r="M407" s="8"/>
      <c r="N407" s="8"/>
      <c r="O407" s="8"/>
      <c r="P407" s="8"/>
      <c r="Q407" s="8"/>
      <c r="R407" s="8"/>
      <c r="S407" s="8"/>
      <c r="T407" s="8"/>
      <c r="U407" s="8"/>
      <c r="V407" s="7"/>
      <c r="W407" s="6" t="str">
        <f t="array" ref="W407">IF(NOT(ISBLANK(D407)),_xludf.XLOOKUP(D407,[2]CODE!$A$4:$A$100,[2]CODE!$D$4:$D$100),"")</f>
        <v/>
      </c>
      <c r="X407" s="5" t="str">
        <f t="array" ref="X407">IF(NOT(AND(ISBLANK(D407),ISBLANK(C407))),_xludf.XLOOKUP(D407,[2]CODE!$A$4:$A$100,[2]CODE!$E$4:$E$100),"")</f>
        <v/>
      </c>
      <c r="Y407" s="5" t="str">
        <f t="shared" si="46"/>
        <v/>
      </c>
      <c r="Z407" s="5" t="str">
        <f t="shared" si="47"/>
        <v/>
      </c>
      <c r="AA407" s="4">
        <f t="shared" si="48"/>
        <v>0</v>
      </c>
      <c r="AC407" s="2"/>
    </row>
    <row r="408" spans="1:29" ht="15.5">
      <c r="A408" s="13" t="str">
        <f>IF(OR(ISBLANK(C408),ISBLANK(D408),ISBLANK(F408),ISBLANK(G408)),"",COUNTIF($B$5:B408,"JAMBUTU"))</f>
        <v/>
      </c>
      <c r="B408" s="8" t="str">
        <f t="shared" si="49"/>
        <v/>
      </c>
      <c r="C408" s="8"/>
      <c r="D408" s="8"/>
      <c r="E408" s="18"/>
      <c r="F408" s="12"/>
      <c r="G408" s="17"/>
      <c r="H408" s="12"/>
      <c r="I408" s="17"/>
      <c r="J408" s="10">
        <f t="shared" si="43"/>
        <v>0</v>
      </c>
      <c r="K408" s="10">
        <f t="shared" si="44"/>
        <v>0</v>
      </c>
      <c r="L408" s="9" t="str">
        <f t="shared" si="45"/>
        <v/>
      </c>
      <c r="M408" s="8"/>
      <c r="N408" s="8"/>
      <c r="O408" s="8"/>
      <c r="P408" s="8"/>
      <c r="Q408" s="8"/>
      <c r="R408" s="8"/>
      <c r="S408" s="8"/>
      <c r="T408" s="8"/>
      <c r="U408" s="8"/>
      <c r="V408" s="7"/>
      <c r="W408" s="6" t="str">
        <f t="array" ref="W408">IF(NOT(ISBLANK(D408)),_xludf.XLOOKUP(D408,[2]CODE!$A$4:$A$100,[2]CODE!$D$4:$D$100),"")</f>
        <v/>
      </c>
      <c r="X408" s="5" t="str">
        <f t="array" ref="X408">IF(NOT(AND(ISBLANK(D408),ISBLANK(C408))),_xludf.XLOOKUP(D408,[2]CODE!$A$4:$A$100,[2]CODE!$E$4:$E$100),"")</f>
        <v/>
      </c>
      <c r="Y408" s="5" t="str">
        <f t="shared" si="46"/>
        <v/>
      </c>
      <c r="Z408" s="5" t="str">
        <f t="shared" si="47"/>
        <v/>
      </c>
      <c r="AA408" s="4">
        <f t="shared" si="48"/>
        <v>0</v>
      </c>
      <c r="AC408" s="2"/>
    </row>
    <row r="409" spans="1:29" ht="15.5">
      <c r="A409" s="13" t="str">
        <f>IF(OR(ISBLANK(C409),ISBLANK(D409),ISBLANK(F409),ISBLANK(G409)),"",COUNTIF($B$5:B409,"JAMBUTU"))</f>
        <v/>
      </c>
      <c r="B409" s="8" t="str">
        <f t="shared" si="49"/>
        <v/>
      </c>
      <c r="C409" s="8"/>
      <c r="D409" s="8"/>
      <c r="E409" s="18"/>
      <c r="F409" s="12"/>
      <c r="G409" s="17"/>
      <c r="H409" s="12"/>
      <c r="I409" s="17"/>
      <c r="J409" s="10">
        <f t="shared" si="43"/>
        <v>0</v>
      </c>
      <c r="K409" s="10">
        <f t="shared" si="44"/>
        <v>0</v>
      </c>
      <c r="L409" s="9" t="str">
        <f t="shared" si="45"/>
        <v/>
      </c>
      <c r="M409" s="8"/>
      <c r="N409" s="8"/>
      <c r="O409" s="8"/>
      <c r="P409" s="8"/>
      <c r="Q409" s="8"/>
      <c r="R409" s="8"/>
      <c r="S409" s="8"/>
      <c r="T409" s="8"/>
      <c r="U409" s="8"/>
      <c r="V409" s="7"/>
      <c r="W409" s="6" t="str">
        <f t="array" ref="W409">IF(NOT(ISBLANK(D409)),_xludf.XLOOKUP(D409,[2]CODE!$A$4:$A$100,[2]CODE!$D$4:$D$100),"")</f>
        <v/>
      </c>
      <c r="X409" s="5" t="str">
        <f t="array" ref="X409">IF(NOT(AND(ISBLANK(D409),ISBLANK(C409))),_xludf.XLOOKUP(D409,[2]CODE!$A$4:$A$100,[2]CODE!$E$4:$E$100),"")</f>
        <v/>
      </c>
      <c r="Y409" s="5" t="str">
        <f t="shared" si="46"/>
        <v/>
      </c>
      <c r="Z409" s="5" t="str">
        <f t="shared" si="47"/>
        <v/>
      </c>
      <c r="AA409" s="4">
        <f t="shared" si="48"/>
        <v>0</v>
      </c>
      <c r="AC409" s="2"/>
    </row>
    <row r="410" spans="1:29" ht="15.5">
      <c r="A410" s="13" t="str">
        <f>IF(OR(ISBLANK(C410),ISBLANK(D410),ISBLANK(F410),ISBLANK(G410)),"",COUNTIF($B$5:B410,"JAMBUTU"))</f>
        <v/>
      </c>
      <c r="B410" s="8" t="str">
        <f t="shared" si="49"/>
        <v/>
      </c>
      <c r="C410" s="8"/>
      <c r="D410" s="8"/>
      <c r="E410" s="18"/>
      <c r="F410" s="12"/>
      <c r="G410" s="17"/>
      <c r="H410" s="12"/>
      <c r="I410" s="17"/>
      <c r="J410" s="10">
        <f t="shared" si="43"/>
        <v>0</v>
      </c>
      <c r="K410" s="10">
        <f t="shared" si="44"/>
        <v>0</v>
      </c>
      <c r="L410" s="9" t="str">
        <f t="shared" si="45"/>
        <v/>
      </c>
      <c r="M410" s="8"/>
      <c r="N410" s="8"/>
      <c r="O410" s="8"/>
      <c r="P410" s="8"/>
      <c r="Q410" s="8"/>
      <c r="R410" s="8"/>
      <c r="S410" s="8"/>
      <c r="T410" s="8"/>
      <c r="U410" s="8"/>
      <c r="V410" s="7"/>
      <c r="W410" s="6" t="str">
        <f t="array" ref="W410">IF(NOT(ISBLANK(D410)),_xludf.XLOOKUP(D410,[2]CODE!$A$4:$A$100,[2]CODE!$D$4:$D$100),"")</f>
        <v/>
      </c>
      <c r="X410" s="5" t="str">
        <f t="array" ref="X410">IF(NOT(AND(ISBLANK(D410),ISBLANK(C410))),_xludf.XLOOKUP(D410,[2]CODE!$A$4:$A$100,[2]CODE!$E$4:$E$100),"")</f>
        <v/>
      </c>
      <c r="Y410" s="5" t="str">
        <f t="shared" si="46"/>
        <v/>
      </c>
      <c r="Z410" s="5" t="str">
        <f t="shared" si="47"/>
        <v/>
      </c>
      <c r="AA410" s="4">
        <f t="shared" si="48"/>
        <v>0</v>
      </c>
      <c r="AC410" s="2"/>
    </row>
    <row r="411" spans="1:29" ht="15.5">
      <c r="A411" s="13" t="str">
        <f>IF(OR(ISBLANK(C411),ISBLANK(D411),ISBLANK(F411),ISBLANK(G411)),"",COUNTIF($B$5:B411,"JAMBUTU"))</f>
        <v/>
      </c>
      <c r="B411" s="8" t="str">
        <f t="shared" si="49"/>
        <v/>
      </c>
      <c r="C411" s="8"/>
      <c r="D411" s="8"/>
      <c r="E411" s="18"/>
      <c r="F411" s="12"/>
      <c r="G411" s="17"/>
      <c r="H411" s="12"/>
      <c r="I411" s="17"/>
      <c r="J411" s="10">
        <f t="shared" si="43"/>
        <v>0</v>
      </c>
      <c r="K411" s="10">
        <f t="shared" si="44"/>
        <v>0</v>
      </c>
      <c r="L411" s="9" t="str">
        <f t="shared" si="45"/>
        <v/>
      </c>
      <c r="M411" s="8"/>
      <c r="N411" s="8"/>
      <c r="O411" s="8"/>
      <c r="P411" s="8"/>
      <c r="Q411" s="8"/>
      <c r="R411" s="8"/>
      <c r="S411" s="8"/>
      <c r="T411" s="8"/>
      <c r="U411" s="8"/>
      <c r="V411" s="7"/>
      <c r="W411" s="6" t="str">
        <f t="array" ref="W411">IF(NOT(ISBLANK(D411)),_xludf.XLOOKUP(D411,[2]CODE!$A$4:$A$100,[2]CODE!$D$4:$D$100),"")</f>
        <v/>
      </c>
      <c r="X411" s="5" t="str">
        <f t="array" ref="X411">IF(NOT(AND(ISBLANK(D411),ISBLANK(C411))),_xludf.XLOOKUP(D411,[2]CODE!$A$4:$A$100,[2]CODE!$E$4:$E$100),"")</f>
        <v/>
      </c>
      <c r="Y411" s="5" t="str">
        <f t="shared" si="46"/>
        <v/>
      </c>
      <c r="Z411" s="5" t="str">
        <f t="shared" si="47"/>
        <v/>
      </c>
      <c r="AA411" s="4">
        <f t="shared" si="48"/>
        <v>0</v>
      </c>
      <c r="AC411" s="2"/>
    </row>
    <row r="412" spans="1:29" ht="15.5">
      <c r="A412" s="13" t="str">
        <f>IF(OR(ISBLANK(C412),ISBLANK(D412),ISBLANK(F412),ISBLANK(G412)),"",COUNTIF($B$5:B412,"JAMBUTU"))</f>
        <v/>
      </c>
      <c r="B412" s="8" t="str">
        <f t="shared" si="49"/>
        <v/>
      </c>
      <c r="C412" s="8"/>
      <c r="D412" s="8"/>
      <c r="E412" s="18"/>
      <c r="F412" s="12"/>
      <c r="G412" s="17"/>
      <c r="H412" s="12"/>
      <c r="I412" s="17"/>
      <c r="J412" s="10">
        <f t="shared" si="43"/>
        <v>0</v>
      </c>
      <c r="K412" s="10">
        <f t="shared" si="44"/>
        <v>0</v>
      </c>
      <c r="L412" s="9" t="str">
        <f t="shared" si="45"/>
        <v/>
      </c>
      <c r="M412" s="8"/>
      <c r="N412" s="8"/>
      <c r="O412" s="8"/>
      <c r="P412" s="8"/>
      <c r="Q412" s="8"/>
      <c r="R412" s="8"/>
      <c r="S412" s="8"/>
      <c r="T412" s="8"/>
      <c r="U412" s="8"/>
      <c r="V412" s="7"/>
      <c r="W412" s="6" t="str">
        <f t="array" ref="W412">IF(NOT(ISBLANK(D412)),_xludf.XLOOKUP(D412,[2]CODE!$A$4:$A$100,[2]CODE!$D$4:$D$100),"")</f>
        <v/>
      </c>
      <c r="X412" s="5" t="str">
        <f t="array" ref="X412">IF(NOT(AND(ISBLANK(D412),ISBLANK(C412))),_xludf.XLOOKUP(D412,[2]CODE!$A$4:$A$100,[2]CODE!$E$4:$E$100),"")</f>
        <v/>
      </c>
      <c r="Y412" s="5" t="str">
        <f t="shared" si="46"/>
        <v/>
      </c>
      <c r="Z412" s="5" t="str">
        <f t="shared" si="47"/>
        <v/>
      </c>
      <c r="AA412" s="4">
        <f t="shared" si="48"/>
        <v>0</v>
      </c>
      <c r="AC412" s="2"/>
    </row>
    <row r="413" spans="1:29" ht="15.5">
      <c r="A413" s="13" t="str">
        <f>IF(OR(ISBLANK(C413),ISBLANK(D413),ISBLANK(F413),ISBLANK(G413)),"",COUNTIF($B$5:B413,"JAMBUTU"))</f>
        <v/>
      </c>
      <c r="B413" s="8" t="str">
        <f t="shared" si="49"/>
        <v/>
      </c>
      <c r="C413" s="8"/>
      <c r="D413" s="8"/>
      <c r="E413" s="18"/>
      <c r="F413" s="12"/>
      <c r="G413" s="17"/>
      <c r="H413" s="12"/>
      <c r="I413" s="17"/>
      <c r="J413" s="10">
        <f t="shared" si="43"/>
        <v>0</v>
      </c>
      <c r="K413" s="10">
        <f t="shared" si="44"/>
        <v>0</v>
      </c>
      <c r="L413" s="9" t="str">
        <f t="shared" si="45"/>
        <v/>
      </c>
      <c r="M413" s="8"/>
      <c r="N413" s="8"/>
      <c r="O413" s="8"/>
      <c r="P413" s="8"/>
      <c r="Q413" s="8"/>
      <c r="R413" s="8"/>
      <c r="S413" s="8"/>
      <c r="T413" s="8"/>
      <c r="U413" s="8"/>
      <c r="V413" s="7"/>
      <c r="W413" s="6" t="str">
        <f t="array" ref="W413">IF(NOT(ISBLANK(D413)),_xludf.XLOOKUP(D413,[2]CODE!$A$4:$A$100,[2]CODE!$D$4:$D$100),"")</f>
        <v/>
      </c>
      <c r="X413" s="5" t="str">
        <f t="array" ref="X413">IF(NOT(AND(ISBLANK(D413),ISBLANK(C413))),_xludf.XLOOKUP(D413,[2]CODE!$A$4:$A$100,[2]CODE!$E$4:$E$100),"")</f>
        <v/>
      </c>
      <c r="Y413" s="5" t="str">
        <f t="shared" si="46"/>
        <v/>
      </c>
      <c r="Z413" s="5" t="str">
        <f t="shared" si="47"/>
        <v/>
      </c>
      <c r="AA413" s="4">
        <f t="shared" si="48"/>
        <v>0</v>
      </c>
      <c r="AC413" s="2"/>
    </row>
    <row r="414" spans="1:29" ht="15.5">
      <c r="A414" s="13" t="str">
        <f>IF(OR(ISBLANK(C414),ISBLANK(D414),ISBLANK(F414),ISBLANK(G414)),"",COUNTIF($B$5:B414,"JAMBUTU"))</f>
        <v/>
      </c>
      <c r="B414" s="8" t="str">
        <f t="shared" si="49"/>
        <v/>
      </c>
      <c r="C414" s="8"/>
      <c r="D414" s="8"/>
      <c r="E414" s="18"/>
      <c r="F414" s="12"/>
      <c r="G414" s="17"/>
      <c r="H414" s="12"/>
      <c r="I414" s="17"/>
      <c r="J414" s="10">
        <f t="shared" si="43"/>
        <v>0</v>
      </c>
      <c r="K414" s="10">
        <f t="shared" si="44"/>
        <v>0</v>
      </c>
      <c r="L414" s="9" t="str">
        <f t="shared" si="45"/>
        <v/>
      </c>
      <c r="M414" s="8"/>
      <c r="N414" s="8"/>
      <c r="O414" s="8"/>
      <c r="P414" s="8"/>
      <c r="Q414" s="8"/>
      <c r="R414" s="8"/>
      <c r="S414" s="8"/>
      <c r="T414" s="8"/>
      <c r="U414" s="8"/>
      <c r="V414" s="7"/>
      <c r="W414" s="6" t="str">
        <f t="array" ref="W414">IF(NOT(ISBLANK(D414)),_xludf.XLOOKUP(D414,[2]CODE!$A$4:$A$100,[2]CODE!$D$4:$D$100),"")</f>
        <v/>
      </c>
      <c r="X414" s="5" t="str">
        <f t="array" ref="X414">IF(NOT(AND(ISBLANK(D414),ISBLANK(C414))),_xludf.XLOOKUP(D414,[2]CODE!$A$4:$A$100,[2]CODE!$E$4:$E$100),"")</f>
        <v/>
      </c>
      <c r="Y414" s="5" t="str">
        <f t="shared" si="46"/>
        <v/>
      </c>
      <c r="Z414" s="5" t="str">
        <f t="shared" si="47"/>
        <v/>
      </c>
      <c r="AA414" s="4">
        <f t="shared" si="48"/>
        <v>0</v>
      </c>
      <c r="AC414" s="2"/>
    </row>
    <row r="415" spans="1:29" ht="15.5">
      <c r="A415" s="13" t="str">
        <f>IF(OR(ISBLANK(C415),ISBLANK(D415),ISBLANK(F415),ISBLANK(G415)),"",COUNTIF($B$5:B415,"JAMBUTU"))</f>
        <v/>
      </c>
      <c r="B415" s="8" t="str">
        <f t="shared" si="49"/>
        <v/>
      </c>
      <c r="C415" s="8"/>
      <c r="D415" s="8"/>
      <c r="E415" s="18"/>
      <c r="F415" s="12"/>
      <c r="G415" s="17"/>
      <c r="H415" s="12"/>
      <c r="I415" s="17"/>
      <c r="J415" s="10">
        <f t="shared" si="43"/>
        <v>0</v>
      </c>
      <c r="K415" s="10">
        <f t="shared" si="44"/>
        <v>0</v>
      </c>
      <c r="L415" s="9" t="str">
        <f t="shared" si="45"/>
        <v/>
      </c>
      <c r="M415" s="8"/>
      <c r="N415" s="8"/>
      <c r="O415" s="8"/>
      <c r="P415" s="8"/>
      <c r="Q415" s="8"/>
      <c r="R415" s="8"/>
      <c r="S415" s="8"/>
      <c r="T415" s="8"/>
      <c r="U415" s="8"/>
      <c r="V415" s="7"/>
      <c r="W415" s="6" t="str">
        <f t="array" ref="W415">IF(NOT(ISBLANK(D415)),_xludf.XLOOKUP(D415,[2]CODE!$A$4:$A$100,[2]CODE!$D$4:$D$100),"")</f>
        <v/>
      </c>
      <c r="X415" s="5" t="str">
        <f t="array" ref="X415">IF(NOT(AND(ISBLANK(D415),ISBLANK(C415))),_xludf.XLOOKUP(D415,[2]CODE!$A$4:$A$100,[2]CODE!$E$4:$E$100),"")</f>
        <v/>
      </c>
      <c r="Y415" s="5" t="str">
        <f t="shared" si="46"/>
        <v/>
      </c>
      <c r="Z415" s="5" t="str">
        <f t="shared" si="47"/>
        <v/>
      </c>
      <c r="AA415" s="4">
        <f t="shared" si="48"/>
        <v>0</v>
      </c>
      <c r="AC415" s="2"/>
    </row>
    <row r="416" spans="1:29" ht="15.5">
      <c r="A416" s="13" t="str">
        <f>IF(OR(ISBLANK(C416),ISBLANK(D416),ISBLANK(F416),ISBLANK(G416)),"",COUNTIF($B$5:B416,"JAMBUTU"))</f>
        <v/>
      </c>
      <c r="B416" s="8" t="str">
        <f t="shared" si="49"/>
        <v/>
      </c>
      <c r="C416" s="8"/>
      <c r="D416" s="8"/>
      <c r="E416" s="18"/>
      <c r="F416" s="12"/>
      <c r="G416" s="17"/>
      <c r="H416" s="12"/>
      <c r="I416" s="17"/>
      <c r="J416" s="10">
        <f t="shared" si="43"/>
        <v>0</v>
      </c>
      <c r="K416" s="10">
        <f t="shared" si="44"/>
        <v>0</v>
      </c>
      <c r="L416" s="9" t="str">
        <f t="shared" si="45"/>
        <v/>
      </c>
      <c r="M416" s="8"/>
      <c r="N416" s="8"/>
      <c r="O416" s="8"/>
      <c r="P416" s="8"/>
      <c r="Q416" s="8"/>
      <c r="R416" s="8"/>
      <c r="S416" s="8"/>
      <c r="T416" s="8"/>
      <c r="U416" s="8"/>
      <c r="V416" s="7"/>
      <c r="W416" s="6" t="str">
        <f t="array" ref="W416">IF(NOT(ISBLANK(D416)),_xludf.XLOOKUP(D416,[2]CODE!$A$4:$A$100,[2]CODE!$D$4:$D$100),"")</f>
        <v/>
      </c>
      <c r="X416" s="5" t="str">
        <f t="array" ref="X416">IF(NOT(AND(ISBLANK(D416),ISBLANK(C416))),_xludf.XLOOKUP(D416,[2]CODE!$A$4:$A$100,[2]CODE!$E$4:$E$100),"")</f>
        <v/>
      </c>
      <c r="Y416" s="5" t="str">
        <f t="shared" si="46"/>
        <v/>
      </c>
      <c r="Z416" s="5" t="str">
        <f t="shared" si="47"/>
        <v/>
      </c>
      <c r="AA416" s="4">
        <f t="shared" si="48"/>
        <v>0</v>
      </c>
      <c r="AC416" s="2"/>
    </row>
    <row r="417" spans="1:29" ht="15.5">
      <c r="A417" s="13" t="str">
        <f>IF(OR(ISBLANK(C417),ISBLANK(D417),ISBLANK(F417),ISBLANK(G417)),"",COUNTIF($B$5:B417,"JAMBUTU"))</f>
        <v/>
      </c>
      <c r="B417" s="8" t="str">
        <f t="shared" si="49"/>
        <v/>
      </c>
      <c r="C417" s="8"/>
      <c r="D417" s="8"/>
      <c r="E417" s="18"/>
      <c r="F417" s="12"/>
      <c r="G417" s="17"/>
      <c r="H417" s="12"/>
      <c r="I417" s="19"/>
      <c r="J417" s="10">
        <f t="shared" si="43"/>
        <v>0</v>
      </c>
      <c r="K417" s="10">
        <f t="shared" si="44"/>
        <v>0</v>
      </c>
      <c r="L417" s="9" t="str">
        <f t="shared" si="45"/>
        <v/>
      </c>
      <c r="M417" s="8"/>
      <c r="N417" s="8"/>
      <c r="O417" s="8"/>
      <c r="P417" s="8"/>
      <c r="Q417" s="8"/>
      <c r="R417" s="8"/>
      <c r="S417" s="16"/>
      <c r="T417" s="8"/>
      <c r="U417" s="8"/>
      <c r="V417" s="7"/>
      <c r="W417" s="6" t="str">
        <f t="array" ref="W417">IF(NOT(ISBLANK(D417)),_xludf.XLOOKUP(D417,[2]CODE!$A$4:$A$100,[2]CODE!$D$4:$D$100),"")</f>
        <v/>
      </c>
      <c r="X417" s="5" t="str">
        <f t="array" ref="X417">IF(NOT(AND(ISBLANK(D417),ISBLANK(C417))),_xludf.XLOOKUP(D417,[2]CODE!$A$4:$A$100,[2]CODE!$E$4:$E$100),"")</f>
        <v/>
      </c>
      <c r="Y417" s="5" t="str">
        <f t="shared" si="46"/>
        <v/>
      </c>
      <c r="Z417" s="5" t="str">
        <f t="shared" si="47"/>
        <v/>
      </c>
      <c r="AA417" s="4">
        <f t="shared" si="48"/>
        <v>0</v>
      </c>
      <c r="AC417" s="2"/>
    </row>
    <row r="418" spans="1:29" ht="15.5">
      <c r="A418" s="13" t="str">
        <f>IF(OR(ISBLANK(C418),ISBLANK(D418),ISBLANK(F418),ISBLANK(G418)),"",COUNTIF($B$5:B418,"JAMBUTU"))</f>
        <v/>
      </c>
      <c r="B418" s="8" t="str">
        <f t="shared" si="49"/>
        <v/>
      </c>
      <c r="C418" s="8"/>
      <c r="D418" s="8"/>
      <c r="E418" s="18"/>
      <c r="F418" s="12"/>
      <c r="G418" s="17"/>
      <c r="H418" s="12"/>
      <c r="I418" s="17"/>
      <c r="J418" s="10">
        <f t="shared" si="43"/>
        <v>0</v>
      </c>
      <c r="K418" s="10">
        <f t="shared" si="44"/>
        <v>0</v>
      </c>
      <c r="L418" s="9" t="str">
        <f t="shared" si="45"/>
        <v/>
      </c>
      <c r="M418" s="8"/>
      <c r="N418" s="8"/>
      <c r="O418" s="8"/>
      <c r="P418" s="8"/>
      <c r="Q418" s="8"/>
      <c r="R418" s="8"/>
      <c r="S418" s="16"/>
      <c r="T418" s="8"/>
      <c r="U418" s="8"/>
      <c r="V418" s="7"/>
      <c r="W418" s="6" t="str">
        <f t="array" ref="W418">IF(NOT(ISBLANK(D418)),_xludf.XLOOKUP(D418,[2]CODE!$A$4:$A$100,[2]CODE!$D$4:$D$100),"")</f>
        <v/>
      </c>
      <c r="X418" s="5" t="str">
        <f t="array" ref="X418">IF(NOT(AND(ISBLANK(D418),ISBLANK(C418))),_xludf.XLOOKUP(D418,[2]CODE!$A$4:$A$100,[2]CODE!$E$4:$E$100),"")</f>
        <v/>
      </c>
      <c r="Y418" s="5" t="str">
        <f t="shared" si="46"/>
        <v/>
      </c>
      <c r="Z418" s="5" t="str">
        <f t="shared" si="47"/>
        <v/>
      </c>
      <c r="AA418" s="4">
        <f t="shared" si="48"/>
        <v>0</v>
      </c>
      <c r="AC418" s="2"/>
    </row>
    <row r="419" spans="1:29" ht="15.5">
      <c r="A419" s="13" t="str">
        <f>IF(OR(ISBLANK(C419),ISBLANK(D419),ISBLANK(F419),ISBLANK(G419)),"",COUNTIF($B$5:B419,"JAMBUTU"))</f>
        <v/>
      </c>
      <c r="B419" s="8" t="str">
        <f t="shared" si="49"/>
        <v/>
      </c>
      <c r="C419" s="8"/>
      <c r="D419" s="8"/>
      <c r="E419" s="18"/>
      <c r="F419" s="12"/>
      <c r="G419" s="17"/>
      <c r="H419" s="12"/>
      <c r="I419" s="17"/>
      <c r="J419" s="10">
        <f t="shared" si="43"/>
        <v>0</v>
      </c>
      <c r="K419" s="10">
        <f t="shared" si="44"/>
        <v>0</v>
      </c>
      <c r="L419" s="9" t="str">
        <f t="shared" si="45"/>
        <v/>
      </c>
      <c r="M419" s="8"/>
      <c r="N419" s="8"/>
      <c r="O419" s="8"/>
      <c r="P419" s="8"/>
      <c r="Q419" s="8"/>
      <c r="R419" s="8"/>
      <c r="S419" s="16"/>
      <c r="T419" s="8"/>
      <c r="U419" s="8"/>
      <c r="V419" s="7"/>
      <c r="W419" s="6" t="str">
        <f t="array" ref="W419">IF(NOT(ISBLANK(D419)),_xludf.XLOOKUP(D419,[2]CODE!$A$4:$A$100,[2]CODE!$D$4:$D$100),"")</f>
        <v/>
      </c>
      <c r="X419" s="5" t="str">
        <f t="array" ref="X419">IF(NOT(AND(ISBLANK(D419),ISBLANK(C419))),_xludf.XLOOKUP(D419,[2]CODE!$A$4:$A$100,[2]CODE!$E$4:$E$100),"")</f>
        <v/>
      </c>
      <c r="Y419" s="5" t="str">
        <f t="shared" si="46"/>
        <v/>
      </c>
      <c r="Z419" s="5" t="str">
        <f t="shared" si="47"/>
        <v/>
      </c>
      <c r="AA419" s="4">
        <f t="shared" si="48"/>
        <v>0</v>
      </c>
      <c r="AC419" s="2"/>
    </row>
    <row r="420" spans="1:29" ht="15.5">
      <c r="A420" s="13" t="str">
        <f>IF(OR(ISBLANK(C420),ISBLANK(D420),ISBLANK(F420),ISBLANK(G420)),"",COUNTIF($B$5:B420,"JAMBUTU"))</f>
        <v/>
      </c>
      <c r="B420" s="8" t="str">
        <f t="shared" si="49"/>
        <v/>
      </c>
      <c r="C420" s="8"/>
      <c r="D420" s="8"/>
      <c r="E420" s="18"/>
      <c r="F420" s="12"/>
      <c r="G420" s="17"/>
      <c r="H420" s="12"/>
      <c r="I420" s="19"/>
      <c r="J420" s="10">
        <f t="shared" si="43"/>
        <v>0</v>
      </c>
      <c r="K420" s="10">
        <f t="shared" si="44"/>
        <v>0</v>
      </c>
      <c r="L420" s="9" t="str">
        <f t="shared" si="45"/>
        <v/>
      </c>
      <c r="M420" s="8"/>
      <c r="N420" s="8"/>
      <c r="O420" s="8"/>
      <c r="P420" s="8"/>
      <c r="Q420" s="8"/>
      <c r="R420" s="8"/>
      <c r="S420" s="8"/>
      <c r="T420" s="8"/>
      <c r="U420" s="8"/>
      <c r="V420" s="7"/>
      <c r="W420" s="6" t="str">
        <f t="array" ref="W420">IF(NOT(ISBLANK(D420)),_xludf.XLOOKUP(D420,[2]CODE!$A$4:$A$100,[2]CODE!$D$4:$D$100),"")</f>
        <v/>
      </c>
      <c r="X420" s="5" t="str">
        <f t="array" ref="X420">IF(NOT(AND(ISBLANK(D420),ISBLANK(C420))),_xludf.XLOOKUP(D420,[2]CODE!$A$4:$A$100,[2]CODE!$E$4:$E$100),"")</f>
        <v/>
      </c>
      <c r="Y420" s="5" t="str">
        <f t="shared" si="46"/>
        <v/>
      </c>
      <c r="Z420" s="5" t="str">
        <f t="shared" si="47"/>
        <v/>
      </c>
      <c r="AA420" s="4">
        <f t="shared" si="48"/>
        <v>0</v>
      </c>
      <c r="AC420" s="2"/>
    </row>
    <row r="421" spans="1:29" ht="15.5">
      <c r="A421" s="13" t="str">
        <f>IF(OR(ISBLANK(C421),ISBLANK(D421),ISBLANK(F421),ISBLANK(G421)),"",COUNTIF($B$5:B421,"JAMBUTU"))</f>
        <v/>
      </c>
      <c r="B421" s="8" t="str">
        <f t="shared" si="49"/>
        <v/>
      </c>
      <c r="C421" s="8"/>
      <c r="D421" s="8"/>
      <c r="E421" s="18"/>
      <c r="F421" s="12"/>
      <c r="G421" s="17"/>
      <c r="H421" s="12"/>
      <c r="I421" s="17"/>
      <c r="J421" s="10">
        <f t="shared" si="43"/>
        <v>0</v>
      </c>
      <c r="K421" s="10">
        <f t="shared" si="44"/>
        <v>0</v>
      </c>
      <c r="L421" s="9" t="str">
        <f t="shared" si="45"/>
        <v/>
      </c>
      <c r="M421" s="8"/>
      <c r="N421" s="8"/>
      <c r="O421" s="8"/>
      <c r="P421" s="8"/>
      <c r="Q421" s="8"/>
      <c r="R421" s="8"/>
      <c r="S421" s="16"/>
      <c r="T421" s="8"/>
      <c r="U421" s="8"/>
      <c r="V421" s="7"/>
      <c r="W421" s="6" t="str">
        <f t="array" ref="W421">IF(NOT(ISBLANK(D421)),_xludf.XLOOKUP(D421,[2]CODE!$A$4:$A$100,[2]CODE!$D$4:$D$100),"")</f>
        <v/>
      </c>
      <c r="X421" s="5" t="str">
        <f t="array" ref="X421">IF(NOT(AND(ISBLANK(D421),ISBLANK(C421))),_xludf.XLOOKUP(D421,[2]CODE!$A$4:$A$100,[2]CODE!$E$4:$E$100),"")</f>
        <v/>
      </c>
      <c r="Y421" s="5" t="str">
        <f t="shared" si="46"/>
        <v/>
      </c>
      <c r="Z421" s="5" t="str">
        <f t="shared" si="47"/>
        <v/>
      </c>
      <c r="AA421" s="4">
        <f t="shared" si="48"/>
        <v>0</v>
      </c>
      <c r="AC421" s="2"/>
    </row>
    <row r="422" spans="1:29" ht="15.5">
      <c r="A422" s="13" t="str">
        <f>IF(OR(ISBLANK(C422),ISBLANK(D422),ISBLANK(F422),ISBLANK(G422)),"",COUNTIF($B$5:B422,"JAMBUTU"))</f>
        <v/>
      </c>
      <c r="B422" s="8" t="str">
        <f t="shared" si="49"/>
        <v/>
      </c>
      <c r="C422" s="8"/>
      <c r="D422" s="8"/>
      <c r="E422" s="18"/>
      <c r="F422" s="12"/>
      <c r="G422" s="17"/>
      <c r="H422" s="12"/>
      <c r="I422" s="19"/>
      <c r="J422" s="10">
        <f t="shared" si="43"/>
        <v>0</v>
      </c>
      <c r="K422" s="10">
        <f t="shared" si="44"/>
        <v>0</v>
      </c>
      <c r="L422" s="9" t="str">
        <f t="shared" si="45"/>
        <v/>
      </c>
      <c r="M422" s="8"/>
      <c r="N422" s="8"/>
      <c r="O422" s="8"/>
      <c r="P422" s="8"/>
      <c r="Q422" s="8"/>
      <c r="R422" s="8"/>
      <c r="S422" s="16"/>
      <c r="T422" s="8"/>
      <c r="U422" s="8"/>
      <c r="V422" s="7"/>
      <c r="W422" s="6" t="str">
        <f t="array" ref="W422">IF(NOT(ISBLANK(D422)),_xludf.XLOOKUP(D422,[2]CODE!$A$4:$A$100,[2]CODE!$D$4:$D$100),"")</f>
        <v/>
      </c>
      <c r="X422" s="5" t="str">
        <f t="array" ref="X422">IF(NOT(AND(ISBLANK(D422),ISBLANK(C422))),_xludf.XLOOKUP(D422,[2]CODE!$A$4:$A$100,[2]CODE!$E$4:$E$100),"")</f>
        <v/>
      </c>
      <c r="Y422" s="5" t="str">
        <f t="shared" si="46"/>
        <v/>
      </c>
      <c r="Z422" s="5" t="str">
        <f t="shared" si="47"/>
        <v/>
      </c>
      <c r="AA422" s="4">
        <f t="shared" si="48"/>
        <v>0</v>
      </c>
      <c r="AC422" s="2"/>
    </row>
    <row r="423" spans="1:29" ht="15.5">
      <c r="A423" s="13" t="str">
        <f>IF(OR(ISBLANK(C423),ISBLANK(D423),ISBLANK(F423),ISBLANK(G423)),"",COUNTIF($B$5:B423,"JAMBUTU"))</f>
        <v/>
      </c>
      <c r="B423" s="8" t="str">
        <f t="shared" si="49"/>
        <v/>
      </c>
      <c r="C423" s="8"/>
      <c r="D423" s="8"/>
      <c r="E423" s="18"/>
      <c r="F423" s="12"/>
      <c r="G423" s="17"/>
      <c r="H423" s="12"/>
      <c r="I423" s="17"/>
      <c r="J423" s="10">
        <f t="shared" si="43"/>
        <v>0</v>
      </c>
      <c r="K423" s="10">
        <f t="shared" si="44"/>
        <v>0</v>
      </c>
      <c r="L423" s="9" t="str">
        <f t="shared" si="45"/>
        <v/>
      </c>
      <c r="M423" s="8"/>
      <c r="N423" s="8"/>
      <c r="O423" s="8"/>
      <c r="P423" s="8"/>
      <c r="Q423" s="8"/>
      <c r="R423" s="8"/>
      <c r="S423" s="16"/>
      <c r="T423" s="8"/>
      <c r="U423" s="8"/>
      <c r="V423" s="7"/>
      <c r="W423" s="6" t="str">
        <f t="array" ref="W423">IF(NOT(ISBLANK(D423)),_xludf.XLOOKUP(D423,[2]CODE!$A$4:$A$100,[2]CODE!$D$4:$D$100),"")</f>
        <v/>
      </c>
      <c r="X423" s="5" t="str">
        <f t="array" ref="X423">IF(NOT(AND(ISBLANK(D423),ISBLANK(C423))),_xludf.XLOOKUP(D423,[2]CODE!$A$4:$A$100,[2]CODE!$E$4:$E$100),"")</f>
        <v/>
      </c>
      <c r="Y423" s="5" t="str">
        <f t="shared" si="46"/>
        <v/>
      </c>
      <c r="Z423" s="5" t="str">
        <f t="shared" si="47"/>
        <v/>
      </c>
      <c r="AA423" s="4">
        <f t="shared" si="48"/>
        <v>0</v>
      </c>
      <c r="AC423" s="2"/>
    </row>
    <row r="424" spans="1:29" ht="15.5">
      <c r="A424" s="13" t="str">
        <f>IF(OR(ISBLANK(C424),ISBLANK(D424),ISBLANK(F424),ISBLANK(G424)),"",COUNTIF($B$5:B424,"JAMBUTU"))</f>
        <v/>
      </c>
      <c r="B424" s="8" t="str">
        <f t="shared" si="49"/>
        <v/>
      </c>
      <c r="C424" s="8"/>
      <c r="D424" s="8"/>
      <c r="E424" s="18"/>
      <c r="F424" s="12"/>
      <c r="G424" s="17"/>
      <c r="H424" s="12"/>
      <c r="I424" s="17"/>
      <c r="J424" s="10">
        <f t="shared" si="43"/>
        <v>0</v>
      </c>
      <c r="K424" s="10">
        <f t="shared" si="44"/>
        <v>0</v>
      </c>
      <c r="L424" s="9" t="str">
        <f t="shared" si="45"/>
        <v/>
      </c>
      <c r="M424" s="8"/>
      <c r="N424" s="8"/>
      <c r="O424" s="8"/>
      <c r="P424" s="8"/>
      <c r="Q424" s="8"/>
      <c r="R424" s="8"/>
      <c r="S424" s="16"/>
      <c r="T424" s="8"/>
      <c r="U424" s="8"/>
      <c r="V424" s="7"/>
      <c r="W424" s="6" t="str">
        <f t="array" ref="W424">IF(NOT(ISBLANK(D424)),_xludf.XLOOKUP(D424,[2]CODE!$A$4:$A$100,[2]CODE!$D$4:$D$100),"")</f>
        <v/>
      </c>
      <c r="X424" s="5" t="str">
        <f t="array" ref="X424">IF(NOT(AND(ISBLANK(D424),ISBLANK(C424))),_xludf.XLOOKUP(D424,[2]CODE!$A$4:$A$100,[2]CODE!$E$4:$E$100),"")</f>
        <v/>
      </c>
      <c r="Y424" s="5" t="str">
        <f t="shared" si="46"/>
        <v/>
      </c>
      <c r="Z424" s="5" t="str">
        <f t="shared" si="47"/>
        <v/>
      </c>
      <c r="AA424" s="4">
        <f t="shared" si="48"/>
        <v>0</v>
      </c>
      <c r="AC424" s="2"/>
    </row>
    <row r="425" spans="1:29" ht="15.5">
      <c r="A425" s="13" t="str">
        <f>IF(OR(ISBLANK(C425),ISBLANK(D425),ISBLANK(F425),ISBLANK(G425)),"",COUNTIF($B$5:B425,"JAMBUTU"))</f>
        <v/>
      </c>
      <c r="B425" s="8" t="str">
        <f t="shared" si="49"/>
        <v/>
      </c>
      <c r="C425" s="8"/>
      <c r="D425" s="8"/>
      <c r="E425" s="18"/>
      <c r="F425" s="12"/>
      <c r="G425" s="17"/>
      <c r="H425" s="12"/>
      <c r="I425" s="17"/>
      <c r="J425" s="10">
        <f t="shared" si="43"/>
        <v>0</v>
      </c>
      <c r="K425" s="10">
        <f t="shared" si="44"/>
        <v>0</v>
      </c>
      <c r="L425" s="9" t="str">
        <f t="shared" si="45"/>
        <v/>
      </c>
      <c r="M425" s="8"/>
      <c r="N425" s="8"/>
      <c r="O425" s="8"/>
      <c r="P425" s="8"/>
      <c r="Q425" s="8"/>
      <c r="R425" s="8"/>
      <c r="S425" s="8"/>
      <c r="T425" s="8"/>
      <c r="U425" s="8"/>
      <c r="V425" s="7"/>
      <c r="W425" s="6" t="str">
        <f t="array" ref="W425">IF(NOT(ISBLANK(D425)),_xludf.XLOOKUP(D425,[2]CODE!$A$4:$A$100,[2]CODE!$D$4:$D$100),"")</f>
        <v/>
      </c>
      <c r="X425" s="5" t="str">
        <f t="array" ref="X425">IF(NOT(AND(ISBLANK(D425),ISBLANK(C425))),_xludf.XLOOKUP(D425,[2]CODE!$A$4:$A$100,[2]CODE!$E$4:$E$100),"")</f>
        <v/>
      </c>
      <c r="Y425" s="5" t="str">
        <f t="shared" si="46"/>
        <v/>
      </c>
      <c r="Z425" s="5" t="str">
        <f t="shared" si="47"/>
        <v/>
      </c>
      <c r="AA425" s="4">
        <f t="shared" si="48"/>
        <v>0</v>
      </c>
      <c r="AC425" s="2"/>
    </row>
    <row r="426" spans="1:29" ht="15.5">
      <c r="A426" s="13" t="str">
        <f>IF(OR(ISBLANK(C426),ISBLANK(D426),ISBLANK(F426),ISBLANK(G426)),"",COUNTIF($B$5:B426,"JAMBUTU"))</f>
        <v/>
      </c>
      <c r="B426" s="8" t="str">
        <f t="shared" si="49"/>
        <v/>
      </c>
      <c r="C426" s="8"/>
      <c r="D426" s="8"/>
      <c r="E426" s="18"/>
      <c r="F426" s="12"/>
      <c r="G426" s="17"/>
      <c r="H426" s="12"/>
      <c r="I426" s="17"/>
      <c r="J426" s="10">
        <f t="shared" si="43"/>
        <v>0</v>
      </c>
      <c r="K426" s="10">
        <f t="shared" si="44"/>
        <v>0</v>
      </c>
      <c r="L426" s="9" t="str">
        <f t="shared" si="45"/>
        <v/>
      </c>
      <c r="M426" s="8"/>
      <c r="N426" s="8"/>
      <c r="O426" s="8"/>
      <c r="P426" s="8"/>
      <c r="Q426" s="8"/>
      <c r="R426" s="8"/>
      <c r="S426" s="8"/>
      <c r="T426" s="8"/>
      <c r="U426" s="8"/>
      <c r="V426" s="7"/>
      <c r="W426" s="6" t="str">
        <f t="array" ref="W426">IF(NOT(ISBLANK(D426)),_xludf.XLOOKUP(D426,[2]CODE!$A$4:$A$100,[2]CODE!$D$4:$D$100),"")</f>
        <v/>
      </c>
      <c r="X426" s="5" t="str">
        <f t="array" ref="X426">IF(NOT(AND(ISBLANK(D426),ISBLANK(C426))),_xludf.XLOOKUP(D426,[2]CODE!$A$4:$A$100,[2]CODE!$E$4:$E$100),"")</f>
        <v/>
      </c>
      <c r="Y426" s="5" t="str">
        <f t="shared" si="46"/>
        <v/>
      </c>
      <c r="Z426" s="5" t="str">
        <f t="shared" si="47"/>
        <v/>
      </c>
      <c r="AA426" s="4">
        <f t="shared" si="48"/>
        <v>0</v>
      </c>
      <c r="AC426" s="2"/>
    </row>
    <row r="427" spans="1:29" ht="15.5">
      <c r="A427" s="13" t="str">
        <f>IF(OR(ISBLANK(C427),ISBLANK(D427),ISBLANK(F427),ISBLANK(G427)),"",COUNTIF($B$5:B427,"JAMBUTU"))</f>
        <v/>
      </c>
      <c r="B427" s="8" t="str">
        <f t="shared" si="49"/>
        <v/>
      </c>
      <c r="C427" s="8"/>
      <c r="D427" s="8"/>
      <c r="E427" s="18"/>
      <c r="F427" s="12"/>
      <c r="G427" s="17"/>
      <c r="H427" s="12"/>
      <c r="I427" s="17"/>
      <c r="J427" s="10">
        <f t="shared" si="43"/>
        <v>0</v>
      </c>
      <c r="K427" s="10">
        <f t="shared" si="44"/>
        <v>0</v>
      </c>
      <c r="L427" s="9" t="str">
        <f t="shared" si="45"/>
        <v/>
      </c>
      <c r="M427" s="8"/>
      <c r="N427" s="8"/>
      <c r="O427" s="8"/>
      <c r="P427" s="8"/>
      <c r="Q427" s="8"/>
      <c r="R427" s="8"/>
      <c r="S427" s="16"/>
      <c r="T427" s="8"/>
      <c r="U427" s="8"/>
      <c r="V427" s="7"/>
      <c r="W427" s="6" t="str">
        <f t="array" ref="W427">IF(NOT(ISBLANK(D427)),_xludf.XLOOKUP(D427,[2]CODE!$A$4:$A$100,[2]CODE!$D$4:$D$100),"")</f>
        <v/>
      </c>
      <c r="X427" s="5" t="str">
        <f t="array" ref="X427">IF(NOT(AND(ISBLANK(D427),ISBLANK(C427))),_xludf.XLOOKUP(D427,[2]CODE!$A$4:$A$100,[2]CODE!$E$4:$E$100),"")</f>
        <v/>
      </c>
      <c r="Y427" s="5" t="str">
        <f t="shared" si="46"/>
        <v/>
      </c>
      <c r="Z427" s="5" t="str">
        <f t="shared" si="47"/>
        <v/>
      </c>
      <c r="AA427" s="4">
        <f t="shared" si="48"/>
        <v>0</v>
      </c>
      <c r="AC427" s="2"/>
    </row>
    <row r="428" spans="1:29" ht="15.5">
      <c r="A428" s="13" t="str">
        <f>IF(OR(ISBLANK(C428),ISBLANK(D428),ISBLANK(F428),ISBLANK(G428)),"",COUNTIF($B$5:B428,"JAMBUTU"))</f>
        <v/>
      </c>
      <c r="B428" s="8" t="str">
        <f t="shared" si="49"/>
        <v/>
      </c>
      <c r="C428" s="8"/>
      <c r="D428" s="8"/>
      <c r="E428" s="18"/>
      <c r="F428" s="12"/>
      <c r="G428" s="17"/>
      <c r="H428" s="12"/>
      <c r="I428" s="17"/>
      <c r="J428" s="10">
        <f t="shared" si="43"/>
        <v>0</v>
      </c>
      <c r="K428" s="10">
        <f t="shared" si="44"/>
        <v>0</v>
      </c>
      <c r="L428" s="9" t="str">
        <f t="shared" si="45"/>
        <v/>
      </c>
      <c r="M428" s="8"/>
      <c r="N428" s="8"/>
      <c r="O428" s="8"/>
      <c r="P428" s="8"/>
      <c r="Q428" s="8"/>
      <c r="R428" s="8"/>
      <c r="S428" s="16"/>
      <c r="T428" s="8"/>
      <c r="U428" s="8"/>
      <c r="V428" s="7"/>
      <c r="W428" s="6" t="str">
        <f t="array" ref="W428">IF(NOT(ISBLANK(D428)),_xludf.XLOOKUP(D428,[2]CODE!$A$4:$A$100,[2]CODE!$D$4:$D$100),"")</f>
        <v/>
      </c>
      <c r="X428" s="5" t="str">
        <f t="array" ref="X428">IF(NOT(AND(ISBLANK(D428),ISBLANK(C428))),_xludf.XLOOKUP(D428,[2]CODE!$A$4:$A$100,[2]CODE!$E$4:$E$100),"")</f>
        <v/>
      </c>
      <c r="Y428" s="5" t="str">
        <f t="shared" si="46"/>
        <v/>
      </c>
      <c r="Z428" s="5" t="str">
        <f t="shared" si="47"/>
        <v/>
      </c>
      <c r="AA428" s="4">
        <f t="shared" si="48"/>
        <v>0</v>
      </c>
      <c r="AC428" s="2"/>
    </row>
    <row r="429" spans="1:29" ht="15.5">
      <c r="A429" s="13" t="str">
        <f>IF(OR(ISBLANK(C429),ISBLANK(D429),ISBLANK(F429),ISBLANK(G429)),"",COUNTIF($B$5:B429,"JAMBUTU"))</f>
        <v/>
      </c>
      <c r="B429" s="8" t="str">
        <f t="shared" si="49"/>
        <v/>
      </c>
      <c r="C429" s="8"/>
      <c r="D429" s="8"/>
      <c r="E429" s="18"/>
      <c r="F429" s="12"/>
      <c r="G429" s="17"/>
      <c r="H429" s="12"/>
      <c r="I429" s="17"/>
      <c r="J429" s="10">
        <f t="shared" si="43"/>
        <v>0</v>
      </c>
      <c r="K429" s="10">
        <f t="shared" si="44"/>
        <v>0</v>
      </c>
      <c r="L429" s="9" t="str">
        <f t="shared" si="45"/>
        <v/>
      </c>
      <c r="M429" s="8"/>
      <c r="N429" s="8"/>
      <c r="O429" s="8"/>
      <c r="P429" s="8"/>
      <c r="Q429" s="8"/>
      <c r="R429" s="8"/>
      <c r="S429" s="16"/>
      <c r="T429" s="8"/>
      <c r="U429" s="8"/>
      <c r="V429" s="7"/>
      <c r="W429" s="6" t="str">
        <f t="array" ref="W429">IF(NOT(ISBLANK(D429)),_xludf.XLOOKUP(D429,[2]CODE!$A$4:$A$100,[2]CODE!$D$4:$D$100),"")</f>
        <v/>
      </c>
      <c r="X429" s="5" t="str">
        <f t="array" ref="X429">IF(NOT(AND(ISBLANK(D429),ISBLANK(C429))),_xludf.XLOOKUP(D429,[2]CODE!$A$4:$A$100,[2]CODE!$E$4:$E$100),"")</f>
        <v/>
      </c>
      <c r="Y429" s="5" t="str">
        <f t="shared" si="46"/>
        <v/>
      </c>
      <c r="Z429" s="5" t="str">
        <f t="shared" si="47"/>
        <v/>
      </c>
      <c r="AA429" s="4">
        <f t="shared" si="48"/>
        <v>0</v>
      </c>
      <c r="AC429" s="2"/>
    </row>
    <row r="430" spans="1:29" ht="15.5">
      <c r="A430" s="13" t="str">
        <f>IF(OR(ISBLANK(C430),ISBLANK(D430),ISBLANK(F430),ISBLANK(G430)),"",COUNTIF($B$5:B430,"JAMBUTU"))</f>
        <v/>
      </c>
      <c r="B430" s="8" t="str">
        <f t="shared" si="49"/>
        <v/>
      </c>
      <c r="C430" s="8"/>
      <c r="D430" s="8"/>
      <c r="E430" s="18"/>
      <c r="F430" s="12"/>
      <c r="G430" s="17"/>
      <c r="H430" s="12"/>
      <c r="I430" s="17"/>
      <c r="J430" s="10">
        <f t="shared" si="43"/>
        <v>0</v>
      </c>
      <c r="K430" s="10">
        <f t="shared" si="44"/>
        <v>0</v>
      </c>
      <c r="L430" s="9" t="str">
        <f t="shared" si="45"/>
        <v/>
      </c>
      <c r="M430" s="8"/>
      <c r="N430" s="8"/>
      <c r="O430" s="8"/>
      <c r="P430" s="8"/>
      <c r="Q430" s="8"/>
      <c r="R430" s="16"/>
      <c r="S430" s="8"/>
      <c r="T430" s="8"/>
      <c r="U430" s="8"/>
      <c r="V430" s="7"/>
      <c r="W430" s="6" t="str">
        <f t="array" ref="W430">IF(NOT(ISBLANK(D430)),_xludf.XLOOKUP(D430,[2]CODE!$A$4:$A$100,[2]CODE!$D$4:$D$100),"")</f>
        <v/>
      </c>
      <c r="X430" s="5" t="str">
        <f t="array" ref="X430">IF(NOT(AND(ISBLANK(D430),ISBLANK(C430))),_xludf.XLOOKUP(D430,[2]CODE!$A$4:$A$100,[2]CODE!$E$4:$E$100),"")</f>
        <v/>
      </c>
      <c r="Y430" s="5" t="str">
        <f t="shared" si="46"/>
        <v/>
      </c>
      <c r="Z430" s="5" t="str">
        <f t="shared" si="47"/>
        <v/>
      </c>
      <c r="AA430" s="4">
        <f t="shared" si="48"/>
        <v>0</v>
      </c>
      <c r="AC430" s="2"/>
    </row>
    <row r="431" spans="1:29" ht="15.5">
      <c r="A431" s="13" t="str">
        <f>IF(OR(ISBLANK(C431),ISBLANK(D431),ISBLANK(F431),ISBLANK(G431)),"",COUNTIF($B$5:B431,"JAMBUTU"))</f>
        <v/>
      </c>
      <c r="B431" s="8" t="str">
        <f t="shared" si="49"/>
        <v/>
      </c>
      <c r="C431" s="8"/>
      <c r="D431" s="8"/>
      <c r="E431" s="18"/>
      <c r="F431" s="12"/>
      <c r="G431" s="17"/>
      <c r="H431" s="12"/>
      <c r="I431" s="17"/>
      <c r="J431" s="10">
        <f t="shared" si="43"/>
        <v>0</v>
      </c>
      <c r="K431" s="10">
        <f t="shared" si="44"/>
        <v>0</v>
      </c>
      <c r="L431" s="9" t="str">
        <f t="shared" si="45"/>
        <v/>
      </c>
      <c r="M431" s="8"/>
      <c r="N431" s="8"/>
      <c r="O431" s="8"/>
      <c r="P431" s="8"/>
      <c r="Q431" s="8"/>
      <c r="R431" s="8"/>
      <c r="S431" s="16"/>
      <c r="T431" s="8"/>
      <c r="U431" s="8"/>
      <c r="V431" s="7"/>
      <c r="W431" s="6" t="str">
        <f t="array" ref="W431">IF(NOT(ISBLANK(D431)),_xludf.XLOOKUP(D431,[2]CODE!$A$4:$A$100,[2]CODE!$D$4:$D$100),"")</f>
        <v/>
      </c>
      <c r="X431" s="5" t="str">
        <f t="array" ref="X431">IF(NOT(AND(ISBLANK(D431),ISBLANK(C431))),_xludf.XLOOKUP(D431,[2]CODE!$A$4:$A$100,[2]CODE!$E$4:$E$100),"")</f>
        <v/>
      </c>
      <c r="Y431" s="5" t="str">
        <f t="shared" si="46"/>
        <v/>
      </c>
      <c r="Z431" s="5" t="str">
        <f t="shared" si="47"/>
        <v/>
      </c>
      <c r="AA431" s="4">
        <f t="shared" si="48"/>
        <v>0</v>
      </c>
      <c r="AC431" s="2"/>
    </row>
    <row r="432" spans="1:29" ht="15.5">
      <c r="A432" s="13" t="str">
        <f>IF(OR(ISBLANK(C432),ISBLANK(D432),ISBLANK(F432),ISBLANK(G432)),"",COUNTIF($B$5:B432,"JAMBUTU"))</f>
        <v/>
      </c>
      <c r="B432" s="8" t="str">
        <f t="shared" si="49"/>
        <v/>
      </c>
      <c r="C432" s="8"/>
      <c r="D432" s="8"/>
      <c r="E432" s="18"/>
      <c r="F432" s="12"/>
      <c r="G432" s="17"/>
      <c r="H432" s="12"/>
      <c r="I432" s="17"/>
      <c r="J432" s="10">
        <f t="shared" si="43"/>
        <v>0</v>
      </c>
      <c r="K432" s="10">
        <f t="shared" si="44"/>
        <v>0</v>
      </c>
      <c r="L432" s="9" t="str">
        <f t="shared" si="45"/>
        <v/>
      </c>
      <c r="M432" s="8"/>
      <c r="N432" s="8"/>
      <c r="O432" s="8"/>
      <c r="P432" s="8"/>
      <c r="Q432" s="8"/>
      <c r="R432" s="16"/>
      <c r="S432" s="8"/>
      <c r="T432" s="8"/>
      <c r="U432" s="8"/>
      <c r="V432" s="7"/>
      <c r="W432" s="6" t="str">
        <f t="array" ref="W432">IF(NOT(ISBLANK(D432)),_xludf.XLOOKUP(D432,[2]CODE!$A$4:$A$100,[2]CODE!$D$4:$D$100),"")</f>
        <v/>
      </c>
      <c r="X432" s="5" t="str">
        <f t="array" ref="X432">IF(NOT(AND(ISBLANK(D432),ISBLANK(C432))),_xludf.XLOOKUP(D432,[2]CODE!$A$4:$A$100,[2]CODE!$E$4:$E$100),"")</f>
        <v/>
      </c>
      <c r="Y432" s="5" t="str">
        <f t="shared" si="46"/>
        <v/>
      </c>
      <c r="Z432" s="5" t="str">
        <f t="shared" si="47"/>
        <v/>
      </c>
      <c r="AA432" s="4">
        <f t="shared" si="48"/>
        <v>0</v>
      </c>
      <c r="AC432" s="2"/>
    </row>
    <row r="433" spans="1:29" ht="15.5">
      <c r="A433" s="13" t="str">
        <f>IF(OR(ISBLANK(C433),ISBLANK(D433),ISBLANK(F433),ISBLANK(G433)),"",COUNTIF($B$5:B433,"JAMBUTU"))</f>
        <v/>
      </c>
      <c r="B433" s="8" t="str">
        <f t="shared" si="49"/>
        <v/>
      </c>
      <c r="C433" s="8"/>
      <c r="D433" s="8"/>
      <c r="E433" s="18"/>
      <c r="F433" s="12"/>
      <c r="G433" s="17"/>
      <c r="H433" s="12"/>
      <c r="I433" s="17"/>
      <c r="J433" s="10">
        <f t="shared" si="43"/>
        <v>0</v>
      </c>
      <c r="K433" s="10">
        <f t="shared" si="44"/>
        <v>0</v>
      </c>
      <c r="L433" s="9" t="str">
        <f t="shared" si="45"/>
        <v/>
      </c>
      <c r="M433" s="8"/>
      <c r="N433" s="8"/>
      <c r="O433" s="8"/>
      <c r="P433" s="8"/>
      <c r="Q433" s="8"/>
      <c r="R433" s="8"/>
      <c r="S433" s="8"/>
      <c r="T433" s="8"/>
      <c r="U433" s="8"/>
      <c r="V433" s="7"/>
      <c r="W433" s="6" t="str">
        <f t="array" ref="W433">IF(NOT(ISBLANK(D433)),_xludf.XLOOKUP(D433,[2]CODE!$A$4:$A$100,[2]CODE!$D$4:$D$100),"")</f>
        <v/>
      </c>
      <c r="X433" s="5" t="str">
        <f t="array" ref="X433">IF(NOT(AND(ISBLANK(D433),ISBLANK(C433))),_xludf.XLOOKUP(D433,[2]CODE!$A$4:$A$100,[2]CODE!$E$4:$E$100),"")</f>
        <v/>
      </c>
      <c r="Y433" s="5" t="str">
        <f t="shared" si="46"/>
        <v/>
      </c>
      <c r="Z433" s="5" t="str">
        <f t="shared" si="47"/>
        <v/>
      </c>
      <c r="AA433" s="4">
        <f t="shared" si="48"/>
        <v>0</v>
      </c>
      <c r="AC433" s="2"/>
    </row>
    <row r="434" spans="1:29" ht="15.5">
      <c r="A434" s="13" t="str">
        <f>IF(OR(ISBLANK(C434),ISBLANK(D434),ISBLANK(F434),ISBLANK(G434)),"",COUNTIF($B$5:B434,"JAMBUTU"))</f>
        <v/>
      </c>
      <c r="B434" s="8" t="str">
        <f t="shared" si="49"/>
        <v/>
      </c>
      <c r="C434" s="8"/>
      <c r="D434" s="8"/>
      <c r="E434" s="18"/>
      <c r="F434" s="12"/>
      <c r="G434" s="17"/>
      <c r="H434" s="12"/>
      <c r="I434" s="17"/>
      <c r="J434" s="10">
        <f t="shared" si="43"/>
        <v>0</v>
      </c>
      <c r="K434" s="10">
        <f t="shared" si="44"/>
        <v>0</v>
      </c>
      <c r="L434" s="9" t="str">
        <f t="shared" si="45"/>
        <v/>
      </c>
      <c r="M434" s="8"/>
      <c r="N434" s="8"/>
      <c r="O434" s="8"/>
      <c r="P434" s="8"/>
      <c r="Q434" s="8"/>
      <c r="R434" s="8"/>
      <c r="S434" s="8"/>
      <c r="T434" s="8"/>
      <c r="U434" s="8"/>
      <c r="V434" s="7"/>
      <c r="W434" s="6" t="str">
        <f t="array" ref="W434">IF(NOT(ISBLANK(D434)),_xludf.XLOOKUP(D434,[2]CODE!$A$4:$A$100,[2]CODE!$D$4:$D$100),"")</f>
        <v/>
      </c>
      <c r="X434" s="5" t="str">
        <f t="array" ref="X434">IF(NOT(AND(ISBLANK(D434),ISBLANK(C434))),_xludf.XLOOKUP(D434,[2]CODE!$A$4:$A$100,[2]CODE!$E$4:$E$100),"")</f>
        <v/>
      </c>
      <c r="Y434" s="5" t="str">
        <f t="shared" si="46"/>
        <v/>
      </c>
      <c r="Z434" s="5" t="str">
        <f t="shared" si="47"/>
        <v/>
      </c>
      <c r="AA434" s="4">
        <f t="shared" si="48"/>
        <v>0</v>
      </c>
      <c r="AC434" s="2"/>
    </row>
    <row r="435" spans="1:29" ht="15.5">
      <c r="A435" s="13" t="str">
        <f>IF(OR(ISBLANK(C435),ISBLANK(D435),ISBLANK(F435),ISBLANK(G435)),"",COUNTIF($B$5:B435,"JAMBUTU"))</f>
        <v/>
      </c>
      <c r="B435" s="8" t="str">
        <f t="shared" si="49"/>
        <v/>
      </c>
      <c r="C435" s="8"/>
      <c r="D435" s="8"/>
      <c r="E435" s="18"/>
      <c r="F435" s="12"/>
      <c r="G435" s="17"/>
      <c r="H435" s="12"/>
      <c r="I435" s="17"/>
      <c r="J435" s="10">
        <f t="shared" si="43"/>
        <v>0</v>
      </c>
      <c r="K435" s="10">
        <f t="shared" si="44"/>
        <v>0</v>
      </c>
      <c r="L435" s="9" t="str">
        <f t="shared" si="45"/>
        <v/>
      </c>
      <c r="M435" s="8"/>
      <c r="N435" s="8"/>
      <c r="O435" s="8"/>
      <c r="P435" s="8"/>
      <c r="Q435" s="8"/>
      <c r="R435" s="8"/>
      <c r="S435" s="16"/>
      <c r="T435" s="8"/>
      <c r="U435" s="8"/>
      <c r="V435" s="7"/>
      <c r="W435" s="6" t="str">
        <f t="array" ref="W435">IF(NOT(ISBLANK(D435)),_xludf.XLOOKUP(D435,[2]CODE!$A$4:$A$100,[2]CODE!$D$4:$D$100),"")</f>
        <v/>
      </c>
      <c r="X435" s="5" t="str">
        <f t="array" ref="X435">IF(NOT(AND(ISBLANK(D435),ISBLANK(C435))),_xludf.XLOOKUP(D435,[2]CODE!$A$4:$A$100,[2]CODE!$E$4:$E$100),"")</f>
        <v/>
      </c>
      <c r="Y435" s="5" t="str">
        <f t="shared" si="46"/>
        <v/>
      </c>
      <c r="Z435" s="5" t="str">
        <f t="shared" si="47"/>
        <v/>
      </c>
      <c r="AA435" s="4">
        <f t="shared" si="48"/>
        <v>0</v>
      </c>
      <c r="AC435" s="2"/>
    </row>
    <row r="436" spans="1:29" ht="15.5">
      <c r="A436" s="13" t="str">
        <f>IF(OR(ISBLANK(C436),ISBLANK(D436),ISBLANK(F436),ISBLANK(G436)),"",COUNTIF($B$5:B436,"JAMBUTU"))</f>
        <v/>
      </c>
      <c r="B436" s="8" t="str">
        <f t="shared" si="49"/>
        <v/>
      </c>
      <c r="C436" s="8"/>
      <c r="D436" s="8"/>
      <c r="E436" s="18"/>
      <c r="F436" s="12"/>
      <c r="G436" s="17"/>
      <c r="H436" s="12"/>
      <c r="I436" s="17"/>
      <c r="J436" s="10">
        <f t="shared" si="43"/>
        <v>0</v>
      </c>
      <c r="K436" s="10">
        <f t="shared" si="44"/>
        <v>0</v>
      </c>
      <c r="L436" s="9" t="str">
        <f t="shared" si="45"/>
        <v/>
      </c>
      <c r="M436" s="8"/>
      <c r="N436" s="8"/>
      <c r="O436" s="8"/>
      <c r="P436" s="8"/>
      <c r="Q436" s="8"/>
      <c r="R436" s="8"/>
      <c r="S436" s="16"/>
      <c r="T436" s="8"/>
      <c r="U436" s="8"/>
      <c r="V436" s="7"/>
      <c r="W436" s="6" t="str">
        <f t="array" ref="W436">IF(NOT(ISBLANK(D436)),_xludf.XLOOKUP(D436,[2]CODE!$A$4:$A$100,[2]CODE!$D$4:$D$100),"")</f>
        <v/>
      </c>
      <c r="X436" s="5" t="str">
        <f t="array" ref="X436">IF(NOT(AND(ISBLANK(D436),ISBLANK(C436))),_xludf.XLOOKUP(D436,[2]CODE!$A$4:$A$100,[2]CODE!$E$4:$E$100),"")</f>
        <v/>
      </c>
      <c r="Y436" s="5" t="str">
        <f t="shared" si="46"/>
        <v/>
      </c>
      <c r="Z436" s="5" t="str">
        <f t="shared" si="47"/>
        <v/>
      </c>
      <c r="AA436" s="4">
        <f t="shared" si="48"/>
        <v>0</v>
      </c>
      <c r="AC436" s="2"/>
    </row>
    <row r="437" spans="1:29" ht="15.5">
      <c r="A437" s="13" t="str">
        <f>IF(OR(ISBLANK(C437),ISBLANK(D437),ISBLANK(F437),ISBLANK(G437)),"",COUNTIF($B$5:B437,"JAMBUTU"))</f>
        <v/>
      </c>
      <c r="B437" s="8" t="str">
        <f t="shared" si="49"/>
        <v/>
      </c>
      <c r="C437" s="8"/>
      <c r="D437" s="8"/>
      <c r="E437" s="18"/>
      <c r="F437" s="12"/>
      <c r="G437" s="17"/>
      <c r="H437" s="12"/>
      <c r="I437" s="17"/>
      <c r="J437" s="10">
        <f t="shared" si="43"/>
        <v>0</v>
      </c>
      <c r="K437" s="10">
        <f t="shared" si="44"/>
        <v>0</v>
      </c>
      <c r="L437" s="9" t="str">
        <f t="shared" si="45"/>
        <v/>
      </c>
      <c r="M437" s="8"/>
      <c r="N437" s="8"/>
      <c r="O437" s="8"/>
      <c r="P437" s="8"/>
      <c r="Q437" s="8"/>
      <c r="R437" s="8"/>
      <c r="S437" s="8"/>
      <c r="T437" s="8"/>
      <c r="U437" s="8"/>
      <c r="V437" s="7"/>
      <c r="W437" s="6" t="str">
        <f t="array" ref="W437">IF(NOT(ISBLANK(D437)),_xludf.XLOOKUP(D437,[2]CODE!$A$4:$A$100,[2]CODE!$D$4:$D$100),"")</f>
        <v/>
      </c>
      <c r="X437" s="5" t="str">
        <f t="array" ref="X437">IF(NOT(AND(ISBLANK(D437),ISBLANK(C437))),_xludf.XLOOKUP(D437,[2]CODE!$A$4:$A$100,[2]CODE!$E$4:$E$100),"")</f>
        <v/>
      </c>
      <c r="Y437" s="5" t="str">
        <f t="shared" si="46"/>
        <v/>
      </c>
      <c r="Z437" s="5" t="str">
        <f t="shared" si="47"/>
        <v/>
      </c>
      <c r="AA437" s="4">
        <f t="shared" si="48"/>
        <v>0</v>
      </c>
      <c r="AC437" s="2"/>
    </row>
    <row r="438" spans="1:29" ht="15.5">
      <c r="A438" s="13" t="str">
        <f>IF(OR(ISBLANK(C438),ISBLANK(D438),ISBLANK(F438),ISBLANK(G438)),"",COUNTIF($B$5:B438,"JAMBUTU"))</f>
        <v/>
      </c>
      <c r="B438" s="8" t="str">
        <f t="shared" si="49"/>
        <v/>
      </c>
      <c r="C438" s="8"/>
      <c r="D438" s="8"/>
      <c r="E438" s="18"/>
      <c r="F438" s="12"/>
      <c r="G438" s="17"/>
      <c r="H438" s="12"/>
      <c r="I438" s="17"/>
      <c r="J438" s="10">
        <f t="shared" si="43"/>
        <v>0</v>
      </c>
      <c r="K438" s="10">
        <f t="shared" si="44"/>
        <v>0</v>
      </c>
      <c r="L438" s="9" t="str">
        <f t="shared" si="45"/>
        <v/>
      </c>
      <c r="M438" s="8"/>
      <c r="N438" s="8"/>
      <c r="O438" s="8"/>
      <c r="P438" s="8"/>
      <c r="Q438" s="8"/>
      <c r="R438" s="8"/>
      <c r="S438" s="8"/>
      <c r="T438" s="8"/>
      <c r="U438" s="8"/>
      <c r="V438" s="7"/>
      <c r="W438" s="6" t="str">
        <f t="array" ref="W438">IF(NOT(ISBLANK(D438)),_xludf.XLOOKUP(D438,[2]CODE!$A$4:$A$100,[2]CODE!$D$4:$D$100),"")</f>
        <v/>
      </c>
      <c r="X438" s="5" t="str">
        <f t="array" ref="X438">IF(NOT(AND(ISBLANK(D438),ISBLANK(C438))),_xludf.XLOOKUP(D438,[2]CODE!$A$4:$A$100,[2]CODE!$E$4:$E$100),"")</f>
        <v/>
      </c>
      <c r="Y438" s="5" t="str">
        <f t="shared" si="46"/>
        <v/>
      </c>
      <c r="Z438" s="5" t="str">
        <f t="shared" si="47"/>
        <v/>
      </c>
      <c r="AA438" s="4">
        <f t="shared" si="48"/>
        <v>0</v>
      </c>
      <c r="AC438" s="2"/>
    </row>
    <row r="439" spans="1:29" ht="15.5">
      <c r="A439" s="13" t="str">
        <f>IF(OR(ISBLANK(C439),ISBLANK(D439),ISBLANK(F439),ISBLANK(G439)),"",COUNTIF($B$5:B439,"JAMBUTU"))</f>
        <v/>
      </c>
      <c r="B439" s="8" t="str">
        <f t="shared" si="49"/>
        <v/>
      </c>
      <c r="C439" s="8"/>
      <c r="D439" s="8"/>
      <c r="E439" s="18"/>
      <c r="F439" s="12"/>
      <c r="G439" s="17"/>
      <c r="H439" s="12"/>
      <c r="I439" s="17"/>
      <c r="J439" s="10">
        <f t="shared" si="43"/>
        <v>0</v>
      </c>
      <c r="K439" s="10">
        <f t="shared" si="44"/>
        <v>0</v>
      </c>
      <c r="L439" s="9" t="str">
        <f t="shared" si="45"/>
        <v/>
      </c>
      <c r="M439" s="8"/>
      <c r="N439" s="8"/>
      <c r="O439" s="8"/>
      <c r="P439" s="8"/>
      <c r="Q439" s="8"/>
      <c r="R439" s="8"/>
      <c r="S439" s="8"/>
      <c r="T439" s="8"/>
      <c r="U439" s="8"/>
      <c r="V439" s="7"/>
      <c r="W439" s="6" t="str">
        <f t="array" ref="W439">IF(NOT(ISBLANK(D439)),_xludf.XLOOKUP(D439,[2]CODE!$A$4:$A$100,[2]CODE!$D$4:$D$100),"")</f>
        <v/>
      </c>
      <c r="X439" s="5" t="str">
        <f t="array" ref="X439">IF(NOT(AND(ISBLANK(D439),ISBLANK(C439))),_xludf.XLOOKUP(D439,[2]CODE!$A$4:$A$100,[2]CODE!$E$4:$E$100),"")</f>
        <v/>
      </c>
      <c r="Y439" s="5" t="str">
        <f t="shared" si="46"/>
        <v/>
      </c>
      <c r="Z439" s="5" t="str">
        <f t="shared" si="47"/>
        <v/>
      </c>
      <c r="AA439" s="4">
        <f t="shared" si="48"/>
        <v>0</v>
      </c>
      <c r="AC439" s="2"/>
    </row>
    <row r="440" spans="1:29" ht="15.5">
      <c r="A440" s="13" t="str">
        <f>IF(OR(ISBLANK(C440),ISBLANK(D440),ISBLANK(F440),ISBLANK(G440)),"",COUNTIF($B$5:B440,"JAMBUTU"))</f>
        <v/>
      </c>
      <c r="B440" s="8" t="str">
        <f t="shared" si="49"/>
        <v/>
      </c>
      <c r="C440" s="8"/>
      <c r="D440" s="8"/>
      <c r="E440" s="18"/>
      <c r="F440" s="12"/>
      <c r="G440" s="17"/>
      <c r="H440" s="12"/>
      <c r="I440" s="17"/>
      <c r="J440" s="10">
        <f t="shared" si="43"/>
        <v>0</v>
      </c>
      <c r="K440" s="10">
        <f t="shared" si="44"/>
        <v>0</v>
      </c>
      <c r="L440" s="9" t="str">
        <f t="shared" si="45"/>
        <v/>
      </c>
      <c r="M440" s="8"/>
      <c r="N440" s="8"/>
      <c r="O440" s="8"/>
      <c r="P440" s="8"/>
      <c r="Q440" s="8"/>
      <c r="R440" s="8"/>
      <c r="S440" s="8"/>
      <c r="T440" s="8"/>
      <c r="U440" s="8"/>
      <c r="V440" s="7"/>
      <c r="W440" s="6" t="str">
        <f t="array" ref="W440">IF(NOT(ISBLANK(D440)),_xludf.XLOOKUP(D440,[2]CODE!$A$4:$A$100,[2]CODE!$D$4:$D$100),"")</f>
        <v/>
      </c>
      <c r="X440" s="5" t="str">
        <f t="array" ref="X440">IF(NOT(AND(ISBLANK(D440),ISBLANK(C440))),_xludf.XLOOKUP(D440,[2]CODE!$A$4:$A$100,[2]CODE!$E$4:$E$100),"")</f>
        <v/>
      </c>
      <c r="Y440" s="5" t="str">
        <f t="shared" si="46"/>
        <v/>
      </c>
      <c r="Z440" s="5" t="str">
        <f t="shared" si="47"/>
        <v/>
      </c>
      <c r="AA440" s="4">
        <f t="shared" si="48"/>
        <v>0</v>
      </c>
      <c r="AC440" s="2"/>
    </row>
    <row r="441" spans="1:29" ht="15.5">
      <c r="A441" s="13" t="str">
        <f>IF(OR(ISBLANK(C441),ISBLANK(D441),ISBLANK(F441),ISBLANK(G441)),"",COUNTIF($B$5:B441,"JAMBUTU"))</f>
        <v/>
      </c>
      <c r="B441" s="8" t="str">
        <f t="shared" si="49"/>
        <v/>
      </c>
      <c r="C441" s="8"/>
      <c r="D441" s="8"/>
      <c r="E441" s="18"/>
      <c r="F441" s="12"/>
      <c r="G441" s="17"/>
      <c r="H441" s="12"/>
      <c r="I441" s="17"/>
      <c r="J441" s="10">
        <f t="shared" si="43"/>
        <v>0</v>
      </c>
      <c r="K441" s="10">
        <f t="shared" si="44"/>
        <v>0</v>
      </c>
      <c r="L441" s="9" t="str">
        <f t="shared" si="45"/>
        <v/>
      </c>
      <c r="M441" s="8"/>
      <c r="N441" s="8"/>
      <c r="O441" s="8"/>
      <c r="P441" s="8"/>
      <c r="Q441" s="8"/>
      <c r="R441" s="8"/>
      <c r="S441" s="8"/>
      <c r="T441" s="8"/>
      <c r="U441" s="8"/>
      <c r="V441" s="7"/>
      <c r="W441" s="6" t="str">
        <f t="array" ref="W441">IF(NOT(ISBLANK(D441)),_xludf.XLOOKUP(D441,[2]CODE!$A$4:$A$100,[2]CODE!$D$4:$D$100),"")</f>
        <v/>
      </c>
      <c r="X441" s="5" t="str">
        <f t="array" ref="X441">IF(NOT(AND(ISBLANK(D441),ISBLANK(C441))),_xludf.XLOOKUP(D441,[2]CODE!$A$4:$A$100,[2]CODE!$E$4:$E$100),"")</f>
        <v/>
      </c>
      <c r="Y441" s="5" t="str">
        <f t="shared" si="46"/>
        <v/>
      </c>
      <c r="Z441" s="5" t="str">
        <f t="shared" si="47"/>
        <v/>
      </c>
      <c r="AA441" s="4">
        <f t="shared" si="48"/>
        <v>0</v>
      </c>
      <c r="AC441" s="2"/>
    </row>
    <row r="442" spans="1:29" ht="15.5">
      <c r="A442" s="13" t="str">
        <f>IF(OR(ISBLANK(C442),ISBLANK(D442),ISBLANK(F442),ISBLANK(G442)),"",COUNTIF($B$5:B442,"JAMBUTU"))</f>
        <v/>
      </c>
      <c r="B442" s="8" t="str">
        <f t="shared" si="49"/>
        <v/>
      </c>
      <c r="C442" s="8"/>
      <c r="D442" s="8"/>
      <c r="E442" s="18"/>
      <c r="F442" s="12"/>
      <c r="G442" s="17"/>
      <c r="H442" s="12"/>
      <c r="I442" s="17"/>
      <c r="J442" s="10">
        <f t="shared" si="43"/>
        <v>0</v>
      </c>
      <c r="K442" s="10">
        <f t="shared" si="44"/>
        <v>0</v>
      </c>
      <c r="L442" s="9" t="str">
        <f t="shared" si="45"/>
        <v/>
      </c>
      <c r="M442" s="8"/>
      <c r="N442" s="8"/>
      <c r="O442" s="8"/>
      <c r="P442" s="8"/>
      <c r="Q442" s="8"/>
      <c r="R442" s="8"/>
      <c r="S442" s="8"/>
      <c r="T442" s="8"/>
      <c r="U442" s="8"/>
      <c r="V442" s="7"/>
      <c r="W442" s="6" t="str">
        <f t="array" ref="W442">IF(NOT(ISBLANK(D442)),_xludf.XLOOKUP(D442,[2]CODE!$A$4:$A$100,[2]CODE!$D$4:$D$100),"")</f>
        <v/>
      </c>
      <c r="X442" s="5" t="str">
        <f t="array" ref="X442">IF(NOT(AND(ISBLANK(D442),ISBLANK(C442))),_xludf.XLOOKUP(D442,[2]CODE!$A$4:$A$100,[2]CODE!$E$4:$E$100),"")</f>
        <v/>
      </c>
      <c r="Y442" s="5" t="str">
        <f t="shared" si="46"/>
        <v/>
      </c>
      <c r="Z442" s="5" t="str">
        <f t="shared" si="47"/>
        <v/>
      </c>
      <c r="AA442" s="4">
        <f t="shared" si="48"/>
        <v>0</v>
      </c>
      <c r="AC442" s="2"/>
    </row>
    <row r="443" spans="1:29" ht="15.5">
      <c r="A443" s="13" t="str">
        <f>IF(OR(ISBLANK(C443),ISBLANK(D443),ISBLANK(F443),ISBLANK(G443)),"",COUNTIF($B$5:B443,"JAMBUTU"))</f>
        <v/>
      </c>
      <c r="B443" s="8" t="str">
        <f t="shared" si="49"/>
        <v/>
      </c>
      <c r="C443" s="8"/>
      <c r="D443" s="8"/>
      <c r="E443" s="18"/>
      <c r="F443" s="12"/>
      <c r="G443" s="17"/>
      <c r="H443" s="12"/>
      <c r="I443" s="17"/>
      <c r="J443" s="10">
        <f t="shared" si="43"/>
        <v>0</v>
      </c>
      <c r="K443" s="10">
        <f t="shared" si="44"/>
        <v>0</v>
      </c>
      <c r="L443" s="9" t="str">
        <f t="shared" si="45"/>
        <v/>
      </c>
      <c r="M443" s="8"/>
      <c r="N443" s="8"/>
      <c r="O443" s="8"/>
      <c r="P443" s="8"/>
      <c r="Q443" s="8"/>
      <c r="R443" s="8"/>
      <c r="S443" s="8"/>
      <c r="T443" s="8"/>
      <c r="U443" s="8"/>
      <c r="V443" s="7"/>
      <c r="W443" s="6" t="str">
        <f t="array" ref="W443">IF(NOT(ISBLANK(D443)),_xludf.XLOOKUP(D443,[2]CODE!$A$4:$A$100,[2]CODE!$D$4:$D$100),"")</f>
        <v/>
      </c>
      <c r="X443" s="5" t="str">
        <f t="array" ref="X443">IF(NOT(AND(ISBLANK(D443),ISBLANK(C443))),_xludf.XLOOKUP(D443,[2]CODE!$A$4:$A$100,[2]CODE!$E$4:$E$100),"")</f>
        <v/>
      </c>
      <c r="Y443" s="5" t="str">
        <f t="shared" si="46"/>
        <v/>
      </c>
      <c r="Z443" s="5" t="str">
        <f t="shared" si="47"/>
        <v/>
      </c>
      <c r="AA443" s="4">
        <f t="shared" si="48"/>
        <v>0</v>
      </c>
      <c r="AC443" s="2"/>
    </row>
    <row r="444" spans="1:29" ht="15.5">
      <c r="A444" s="13" t="str">
        <f>IF(OR(ISBLANK(C444),ISBLANK(D444),ISBLANK(F444),ISBLANK(G444)),"",COUNTIF($B$5:B444,"JAMBUTU"))</f>
        <v/>
      </c>
      <c r="B444" s="8" t="str">
        <f t="shared" si="49"/>
        <v/>
      </c>
      <c r="C444" s="8"/>
      <c r="D444" s="8"/>
      <c r="E444" s="18"/>
      <c r="F444" s="12"/>
      <c r="G444" s="17"/>
      <c r="H444" s="12"/>
      <c r="I444" s="17"/>
      <c r="J444" s="10">
        <f t="shared" si="43"/>
        <v>0</v>
      </c>
      <c r="K444" s="10">
        <f t="shared" si="44"/>
        <v>0</v>
      </c>
      <c r="L444" s="9" t="str">
        <f t="shared" si="45"/>
        <v/>
      </c>
      <c r="M444" s="8"/>
      <c r="N444" s="8"/>
      <c r="O444" s="8"/>
      <c r="P444" s="8"/>
      <c r="Q444" s="8"/>
      <c r="R444" s="8"/>
      <c r="S444" s="8"/>
      <c r="T444" s="8"/>
      <c r="U444" s="8"/>
      <c r="V444" s="7"/>
      <c r="W444" s="6" t="str">
        <f t="array" ref="W444">IF(NOT(ISBLANK(D444)),_xludf.XLOOKUP(D444,[2]CODE!$A$4:$A$100,[2]CODE!$D$4:$D$100),"")</f>
        <v/>
      </c>
      <c r="X444" s="5" t="str">
        <f t="array" ref="X444">IF(NOT(AND(ISBLANK(D444),ISBLANK(C444))),_xludf.XLOOKUP(D444,[2]CODE!$A$4:$A$100,[2]CODE!$E$4:$E$100),"")</f>
        <v/>
      </c>
      <c r="Y444" s="5" t="str">
        <f t="shared" si="46"/>
        <v/>
      </c>
      <c r="Z444" s="5" t="str">
        <f t="shared" si="47"/>
        <v/>
      </c>
      <c r="AA444" s="4">
        <f t="shared" si="48"/>
        <v>0</v>
      </c>
      <c r="AC444" s="2"/>
    </row>
    <row r="445" spans="1:29" ht="15.5">
      <c r="A445" s="13" t="str">
        <f>IF(OR(ISBLANK(C445),ISBLANK(D445),ISBLANK(F445),ISBLANK(G445)),"",COUNTIF($B$5:B445,"JAMBUTU"))</f>
        <v/>
      </c>
      <c r="B445" s="8" t="str">
        <f t="shared" si="49"/>
        <v/>
      </c>
      <c r="C445" s="8"/>
      <c r="D445" s="8"/>
      <c r="E445" s="18"/>
      <c r="F445" s="12"/>
      <c r="G445" s="17"/>
      <c r="H445" s="12"/>
      <c r="I445" s="17"/>
      <c r="J445" s="10">
        <f t="shared" si="43"/>
        <v>0</v>
      </c>
      <c r="K445" s="10">
        <f t="shared" si="44"/>
        <v>0</v>
      </c>
      <c r="L445" s="9" t="str">
        <f t="shared" si="45"/>
        <v/>
      </c>
      <c r="M445" s="8"/>
      <c r="N445" s="8"/>
      <c r="O445" s="8"/>
      <c r="P445" s="8"/>
      <c r="Q445" s="8"/>
      <c r="R445" s="8"/>
      <c r="S445" s="8"/>
      <c r="T445" s="8"/>
      <c r="U445" s="8"/>
      <c r="V445" s="7"/>
      <c r="W445" s="6" t="str">
        <f t="array" ref="W445">IF(NOT(ISBLANK(D445)),_xludf.XLOOKUP(D445,[2]CODE!$A$4:$A$100,[2]CODE!$D$4:$D$100),"")</f>
        <v/>
      </c>
      <c r="X445" s="5" t="str">
        <f t="array" ref="X445">IF(NOT(AND(ISBLANK(D445),ISBLANK(C445))),_xludf.XLOOKUP(D445,[2]CODE!$A$4:$A$100,[2]CODE!$E$4:$E$100),"")</f>
        <v/>
      </c>
      <c r="Y445" s="5" t="str">
        <f t="shared" si="46"/>
        <v/>
      </c>
      <c r="Z445" s="5" t="str">
        <f t="shared" si="47"/>
        <v/>
      </c>
      <c r="AA445" s="4">
        <f t="shared" si="48"/>
        <v>0</v>
      </c>
      <c r="AC445" s="2"/>
    </row>
    <row r="446" spans="1:29" ht="15.5">
      <c r="A446" s="13" t="str">
        <f>IF(OR(ISBLANK(C446),ISBLANK(D446),ISBLANK(F446),ISBLANK(G446)),"",COUNTIF($B$5:B446,"JAMBUTU"))</f>
        <v/>
      </c>
      <c r="B446" s="8" t="str">
        <f t="shared" si="49"/>
        <v/>
      </c>
      <c r="C446" s="8"/>
      <c r="D446" s="8"/>
      <c r="E446" s="18"/>
      <c r="F446" s="12"/>
      <c r="G446" s="17"/>
      <c r="H446" s="12"/>
      <c r="I446" s="17"/>
      <c r="J446" s="10">
        <f t="shared" si="43"/>
        <v>0</v>
      </c>
      <c r="K446" s="10">
        <f t="shared" si="44"/>
        <v>0</v>
      </c>
      <c r="L446" s="9" t="str">
        <f t="shared" si="45"/>
        <v/>
      </c>
      <c r="M446" s="8"/>
      <c r="N446" s="8"/>
      <c r="O446" s="8"/>
      <c r="P446" s="8"/>
      <c r="Q446" s="8"/>
      <c r="R446" s="8"/>
      <c r="S446" s="8"/>
      <c r="T446" s="8"/>
      <c r="U446" s="8"/>
      <c r="V446" s="7"/>
      <c r="W446" s="6" t="str">
        <f t="array" ref="W446">IF(NOT(ISBLANK(D446)),_xludf.XLOOKUP(D446,[2]CODE!$A$4:$A$100,[2]CODE!$D$4:$D$100),"")</f>
        <v/>
      </c>
      <c r="X446" s="5" t="str">
        <f t="array" ref="X446">IF(NOT(AND(ISBLANK(D446),ISBLANK(C446))),_xludf.XLOOKUP(D446,[2]CODE!$A$4:$A$100,[2]CODE!$E$4:$E$100),"")</f>
        <v/>
      </c>
      <c r="Y446" s="5" t="str">
        <f t="shared" si="46"/>
        <v/>
      </c>
      <c r="Z446" s="5" t="str">
        <f t="shared" si="47"/>
        <v/>
      </c>
      <c r="AA446" s="4">
        <f t="shared" si="48"/>
        <v>0</v>
      </c>
      <c r="AC446" s="2"/>
    </row>
    <row r="447" spans="1:29" ht="15.5">
      <c r="A447" s="13" t="str">
        <f>IF(OR(ISBLANK(C447),ISBLANK(D447),ISBLANK(F447),ISBLANK(G447)),"",COUNTIF($B$5:B447,"JAMBUTU"))</f>
        <v/>
      </c>
      <c r="B447" s="8" t="str">
        <f t="shared" si="49"/>
        <v/>
      </c>
      <c r="C447" s="8"/>
      <c r="D447" s="8"/>
      <c r="E447" s="18"/>
      <c r="F447" s="12"/>
      <c r="G447" s="17"/>
      <c r="H447" s="12"/>
      <c r="I447" s="17"/>
      <c r="J447" s="10">
        <f t="shared" si="43"/>
        <v>0</v>
      </c>
      <c r="K447" s="10">
        <f t="shared" si="44"/>
        <v>0</v>
      </c>
      <c r="L447" s="9" t="str">
        <f t="shared" si="45"/>
        <v/>
      </c>
      <c r="M447" s="8"/>
      <c r="N447" s="8"/>
      <c r="O447" s="8"/>
      <c r="P447" s="8"/>
      <c r="Q447" s="8"/>
      <c r="R447" s="8"/>
      <c r="S447" s="8"/>
      <c r="T447" s="8"/>
      <c r="U447" s="8"/>
      <c r="V447" s="7"/>
      <c r="W447" s="6" t="str">
        <f t="array" ref="W447">IF(NOT(ISBLANK(D447)),_xludf.XLOOKUP(D447,[2]CODE!$A$4:$A$100,[2]CODE!$D$4:$D$100),"")</f>
        <v/>
      </c>
      <c r="X447" s="5" t="str">
        <f t="array" ref="X447">IF(NOT(AND(ISBLANK(D447),ISBLANK(C447))),_xludf.XLOOKUP(D447,[2]CODE!$A$4:$A$100,[2]CODE!$E$4:$E$100),"")</f>
        <v/>
      </c>
      <c r="Y447" s="5" t="str">
        <f t="shared" si="46"/>
        <v/>
      </c>
      <c r="Z447" s="5" t="str">
        <f t="shared" si="47"/>
        <v/>
      </c>
      <c r="AA447" s="4">
        <f t="shared" si="48"/>
        <v>0</v>
      </c>
      <c r="AC447" s="2"/>
    </row>
    <row r="448" spans="1:29" ht="15.5">
      <c r="A448" s="13" t="str">
        <f>IF(OR(ISBLANK(C448),ISBLANK(D448),ISBLANK(F448),ISBLANK(G448)),"",COUNTIF($B$5:B448,"JAMBUTU"))</f>
        <v/>
      </c>
      <c r="B448" s="8" t="str">
        <f t="shared" si="49"/>
        <v/>
      </c>
      <c r="C448" s="8"/>
      <c r="D448" s="8"/>
      <c r="E448" s="18"/>
      <c r="F448" s="12"/>
      <c r="G448" s="17"/>
      <c r="H448" s="12"/>
      <c r="I448" s="17"/>
      <c r="J448" s="10">
        <f t="shared" si="43"/>
        <v>0</v>
      </c>
      <c r="K448" s="10">
        <f t="shared" si="44"/>
        <v>0</v>
      </c>
      <c r="L448" s="9" t="str">
        <f t="shared" si="45"/>
        <v/>
      </c>
      <c r="M448" s="8"/>
      <c r="N448" s="8"/>
      <c r="O448" s="8"/>
      <c r="P448" s="8"/>
      <c r="Q448" s="8"/>
      <c r="R448" s="8"/>
      <c r="S448" s="8"/>
      <c r="T448" s="8"/>
      <c r="U448" s="8"/>
      <c r="V448" s="7"/>
      <c r="W448" s="6" t="str">
        <f t="array" ref="W448">IF(NOT(ISBLANK(D448)),_xludf.XLOOKUP(D448,[2]CODE!$A$4:$A$100,[2]CODE!$D$4:$D$100),"")</f>
        <v/>
      </c>
      <c r="X448" s="5" t="str">
        <f t="array" ref="X448">IF(NOT(AND(ISBLANK(D448),ISBLANK(C448))),_xludf.XLOOKUP(D448,[2]CODE!$A$4:$A$100,[2]CODE!$E$4:$E$100),"")</f>
        <v/>
      </c>
      <c r="Y448" s="5" t="str">
        <f t="shared" si="46"/>
        <v/>
      </c>
      <c r="Z448" s="5" t="str">
        <f t="shared" si="47"/>
        <v/>
      </c>
      <c r="AA448" s="4">
        <f t="shared" si="48"/>
        <v>0</v>
      </c>
      <c r="AC448" s="2"/>
    </row>
    <row r="449" spans="1:29" ht="15.5">
      <c r="A449" s="13" t="str">
        <f>IF(OR(ISBLANK(C449),ISBLANK(D449),ISBLANK(F449),ISBLANK(G449)),"",COUNTIF($B$5:B449,"JAMBUTU"))</f>
        <v/>
      </c>
      <c r="B449" s="8" t="str">
        <f t="shared" si="49"/>
        <v/>
      </c>
      <c r="C449" s="8"/>
      <c r="D449" s="8"/>
      <c r="E449" s="18"/>
      <c r="F449" s="12"/>
      <c r="G449" s="17"/>
      <c r="H449" s="12"/>
      <c r="I449" s="17"/>
      <c r="J449" s="10">
        <f t="shared" si="43"/>
        <v>0</v>
      </c>
      <c r="K449" s="10">
        <f t="shared" si="44"/>
        <v>0</v>
      </c>
      <c r="L449" s="9" t="str">
        <f t="shared" si="45"/>
        <v/>
      </c>
      <c r="M449" s="8"/>
      <c r="N449" s="8"/>
      <c r="O449" s="8"/>
      <c r="P449" s="8"/>
      <c r="Q449" s="8"/>
      <c r="R449" s="8"/>
      <c r="S449" s="8"/>
      <c r="T449" s="8"/>
      <c r="U449" s="8"/>
      <c r="V449" s="7"/>
      <c r="W449" s="6" t="str">
        <f t="array" ref="W449">IF(NOT(ISBLANK(D449)),_xludf.XLOOKUP(D449,[2]CODE!$A$4:$A$100,[2]CODE!$D$4:$D$100),"")</f>
        <v/>
      </c>
      <c r="X449" s="5" t="str">
        <f t="array" ref="X449">IF(NOT(AND(ISBLANK(D449),ISBLANK(C449))),_xludf.XLOOKUP(D449,[2]CODE!$A$4:$A$100,[2]CODE!$E$4:$E$100),"")</f>
        <v/>
      </c>
      <c r="Y449" s="5" t="str">
        <f t="shared" si="46"/>
        <v/>
      </c>
      <c r="Z449" s="5" t="str">
        <f t="shared" si="47"/>
        <v/>
      </c>
      <c r="AA449" s="4">
        <f t="shared" si="48"/>
        <v>0</v>
      </c>
      <c r="AC449" s="2"/>
    </row>
    <row r="450" spans="1:29" ht="15.5">
      <c r="A450" s="13" t="str">
        <f>IF(OR(ISBLANK(C450),ISBLANK(D450),ISBLANK(F450),ISBLANK(G450)),"",COUNTIF($B$5:B450,"JAMBUTU"))</f>
        <v/>
      </c>
      <c r="B450" s="8" t="str">
        <f t="shared" si="49"/>
        <v/>
      </c>
      <c r="C450" s="8"/>
      <c r="D450" s="8"/>
      <c r="E450" s="18"/>
      <c r="F450" s="12"/>
      <c r="G450" s="17"/>
      <c r="H450" s="12"/>
      <c r="I450" s="17"/>
      <c r="J450" s="10">
        <f t="shared" si="43"/>
        <v>0</v>
      </c>
      <c r="K450" s="10">
        <f t="shared" si="44"/>
        <v>0</v>
      </c>
      <c r="L450" s="9" t="str">
        <f t="shared" si="45"/>
        <v/>
      </c>
      <c r="M450" s="8"/>
      <c r="N450" s="8"/>
      <c r="O450" s="8"/>
      <c r="P450" s="8"/>
      <c r="Q450" s="8"/>
      <c r="R450" s="8"/>
      <c r="S450" s="8"/>
      <c r="T450" s="8"/>
      <c r="U450" s="8"/>
      <c r="V450" s="7"/>
      <c r="W450" s="6" t="str">
        <f t="array" ref="W450">IF(NOT(ISBLANK(D450)),_xludf.XLOOKUP(D450,[2]CODE!$A$4:$A$100,[2]CODE!$D$4:$D$100),"")</f>
        <v/>
      </c>
      <c r="X450" s="5" t="str">
        <f t="array" ref="X450">IF(NOT(AND(ISBLANK(D450),ISBLANK(C450))),_xludf.XLOOKUP(D450,[2]CODE!$A$4:$A$100,[2]CODE!$E$4:$E$100),"")</f>
        <v/>
      </c>
      <c r="Y450" s="5" t="str">
        <f t="shared" si="46"/>
        <v/>
      </c>
      <c r="Z450" s="5" t="str">
        <f t="shared" si="47"/>
        <v/>
      </c>
      <c r="AA450" s="4">
        <f t="shared" si="48"/>
        <v>0</v>
      </c>
      <c r="AC450" s="2"/>
    </row>
    <row r="451" spans="1:29" ht="15.5">
      <c r="A451" s="13" t="str">
        <f>IF(OR(ISBLANK(C451),ISBLANK(D451),ISBLANK(F451),ISBLANK(G451)),"",COUNTIF($B$5:B451,"JAMBUTU"))</f>
        <v/>
      </c>
      <c r="B451" s="8" t="str">
        <f t="shared" si="49"/>
        <v/>
      </c>
      <c r="C451" s="8"/>
      <c r="D451" s="8"/>
      <c r="E451" s="18"/>
      <c r="F451" s="12"/>
      <c r="G451" s="17"/>
      <c r="H451" s="12"/>
      <c r="I451" s="17"/>
      <c r="J451" s="10">
        <f t="shared" si="43"/>
        <v>0</v>
      </c>
      <c r="K451" s="10">
        <f t="shared" si="44"/>
        <v>0</v>
      </c>
      <c r="L451" s="9" t="str">
        <f t="shared" si="45"/>
        <v/>
      </c>
      <c r="M451" s="8"/>
      <c r="N451" s="8"/>
      <c r="O451" s="8"/>
      <c r="P451" s="8"/>
      <c r="Q451" s="8"/>
      <c r="R451" s="8"/>
      <c r="S451" s="8"/>
      <c r="T451" s="8"/>
      <c r="U451" s="8"/>
      <c r="V451" s="7"/>
      <c r="W451" s="6" t="str">
        <f t="array" ref="W451">IF(NOT(ISBLANK(D451)),_xludf.XLOOKUP(D451,[2]CODE!$A$4:$A$100,[2]CODE!$D$4:$D$100),"")</f>
        <v/>
      </c>
      <c r="X451" s="5" t="str">
        <f t="array" ref="X451">IF(NOT(AND(ISBLANK(D451),ISBLANK(C451))),_xludf.XLOOKUP(D451,[2]CODE!$A$4:$A$100,[2]CODE!$E$4:$E$100),"")</f>
        <v/>
      </c>
      <c r="Y451" s="5" t="str">
        <f t="shared" si="46"/>
        <v/>
      </c>
      <c r="Z451" s="5" t="str">
        <f t="shared" si="47"/>
        <v/>
      </c>
      <c r="AA451" s="4">
        <f t="shared" si="48"/>
        <v>0</v>
      </c>
      <c r="AC451" s="2"/>
    </row>
    <row r="452" spans="1:29" ht="15.5">
      <c r="A452" s="13" t="str">
        <f>IF(OR(ISBLANK(C452),ISBLANK(D452),ISBLANK(F452),ISBLANK(G452)),"",COUNTIF($B$5:B452,"JAMBUTU"))</f>
        <v/>
      </c>
      <c r="B452" s="8" t="str">
        <f t="shared" si="49"/>
        <v/>
      </c>
      <c r="C452" s="8"/>
      <c r="D452" s="8"/>
      <c r="E452" s="18"/>
      <c r="F452" s="12"/>
      <c r="G452" s="17"/>
      <c r="H452" s="12"/>
      <c r="I452" s="17"/>
      <c r="J452" s="10">
        <f t="shared" si="43"/>
        <v>0</v>
      </c>
      <c r="K452" s="10">
        <f t="shared" si="44"/>
        <v>0</v>
      </c>
      <c r="L452" s="9" t="str">
        <f t="shared" si="45"/>
        <v/>
      </c>
      <c r="M452" s="8"/>
      <c r="N452" s="8"/>
      <c r="O452" s="8"/>
      <c r="P452" s="8"/>
      <c r="Q452" s="8"/>
      <c r="R452" s="8"/>
      <c r="S452" s="8"/>
      <c r="T452" s="8"/>
      <c r="U452" s="8"/>
      <c r="V452" s="7"/>
      <c r="W452" s="6" t="str">
        <f t="array" ref="W452">IF(NOT(ISBLANK(D452)),_xludf.XLOOKUP(D452,[2]CODE!$A$4:$A$100,[2]CODE!$D$4:$D$100),"")</f>
        <v/>
      </c>
      <c r="X452" s="5" t="str">
        <f t="array" ref="X452">IF(NOT(AND(ISBLANK(D452),ISBLANK(C452))),_xludf.XLOOKUP(D452,[2]CODE!$A$4:$A$100,[2]CODE!$E$4:$E$100),"")</f>
        <v/>
      </c>
      <c r="Y452" s="5" t="str">
        <f t="shared" si="46"/>
        <v/>
      </c>
      <c r="Z452" s="5" t="str">
        <f t="shared" si="47"/>
        <v/>
      </c>
      <c r="AA452" s="4">
        <f t="shared" si="48"/>
        <v>0</v>
      </c>
      <c r="AC452" s="2"/>
    </row>
    <row r="453" spans="1:29" ht="15.5">
      <c r="A453" s="13" t="str">
        <f>IF(OR(ISBLANK(C453),ISBLANK(D453),ISBLANK(F453),ISBLANK(G453)),"",COUNTIF($B$5:B453,"JAMBUTU"))</f>
        <v/>
      </c>
      <c r="B453" s="8" t="str">
        <f t="shared" si="49"/>
        <v/>
      </c>
      <c r="C453" s="8"/>
      <c r="D453" s="8"/>
      <c r="E453" s="18"/>
      <c r="F453" s="12"/>
      <c r="G453" s="17"/>
      <c r="H453" s="12"/>
      <c r="I453" s="17"/>
      <c r="J453" s="10">
        <f t="shared" ref="J453:J516" si="50">DATE(YEAR(F453),MONTH(F453),DAY(F453))+TIME(HOUR(G453),MINUTE(G453), SECOND(G453))</f>
        <v>0</v>
      </c>
      <c r="K453" s="10">
        <f t="shared" ref="K453:K516" si="51">DATE(YEAR(H453),MONTH(H453),DAY(H453))+TIME(HOUR(I453),MINUTE(I453), SECOND(I453))</f>
        <v>0</v>
      </c>
      <c r="L453" s="9" t="str">
        <f t="shared" ref="L453:L516" si="52">IF(ISBLANK(I453),"",IF(J453&gt;K453,(K453+1)-J453,K453-J453))</f>
        <v/>
      </c>
      <c r="M453" s="8"/>
      <c r="N453" s="8"/>
      <c r="O453" s="8"/>
      <c r="P453" s="8"/>
      <c r="Q453" s="8"/>
      <c r="R453" s="8"/>
      <c r="S453" s="8"/>
      <c r="T453" s="8"/>
      <c r="U453" s="8"/>
      <c r="V453" s="7"/>
      <c r="W453" s="6" t="str">
        <f t="array" ref="W453">IF(NOT(ISBLANK(D453)),_xludf.XLOOKUP(D453,[2]CODE!$A$4:$A$100,[2]CODE!$D$4:$D$100),"")</f>
        <v/>
      </c>
      <c r="X453" s="5" t="str">
        <f t="array" ref="X453">IF(NOT(AND(ISBLANK(D453),ISBLANK(C453))),_xludf.XLOOKUP(D453,[2]CODE!$A$4:$A$100,[2]CODE!$E$4:$E$100),"")</f>
        <v/>
      </c>
      <c r="Y453" s="5" t="str">
        <f t="shared" ref="Y453:Y516" si="53">LEFT(C453,4)</f>
        <v/>
      </c>
      <c r="Z453" s="5" t="str">
        <f t="shared" ref="Z453:Z516" si="54">IF(NOT(ISBLANK(C453)), IF(K453&gt;J453,"YES","NO"),"")</f>
        <v/>
      </c>
      <c r="AA453" s="4">
        <f t="shared" ref="AA453:AA516" si="55">IF(AND(F453=H453,Z453="NO"),1+H453,H453)</f>
        <v>0</v>
      </c>
      <c r="AC453" s="2"/>
    </row>
    <row r="454" spans="1:29" ht="15.5">
      <c r="A454" s="13" t="str">
        <f>IF(OR(ISBLANK(C454),ISBLANK(D454),ISBLANK(F454),ISBLANK(G454)),"",COUNTIF($B$5:B454,"JAMBUTU"))</f>
        <v/>
      </c>
      <c r="B454" s="8" t="str">
        <f t="shared" si="49"/>
        <v/>
      </c>
      <c r="C454" s="8"/>
      <c r="D454" s="8"/>
      <c r="E454" s="18"/>
      <c r="F454" s="12"/>
      <c r="G454" s="17"/>
      <c r="H454" s="12"/>
      <c r="I454" s="17"/>
      <c r="J454" s="10">
        <f t="shared" si="50"/>
        <v>0</v>
      </c>
      <c r="K454" s="10">
        <f t="shared" si="51"/>
        <v>0</v>
      </c>
      <c r="L454" s="9" t="str">
        <f t="shared" si="52"/>
        <v/>
      </c>
      <c r="M454" s="8"/>
      <c r="N454" s="8"/>
      <c r="O454" s="8"/>
      <c r="P454" s="8"/>
      <c r="Q454" s="8"/>
      <c r="R454" s="16"/>
      <c r="S454" s="8"/>
      <c r="T454" s="8"/>
      <c r="U454" s="8"/>
      <c r="V454" s="7"/>
      <c r="W454" s="6" t="str">
        <f t="array" ref="W454">IF(NOT(ISBLANK(D454)),_xludf.XLOOKUP(D454,[2]CODE!$A$4:$A$100,[2]CODE!$D$4:$D$100),"")</f>
        <v/>
      </c>
      <c r="X454" s="5" t="str">
        <f t="array" ref="X454">IF(NOT(AND(ISBLANK(D454),ISBLANK(C454))),_xludf.XLOOKUP(D454,[2]CODE!$A$4:$A$100,[2]CODE!$E$4:$E$100),"")</f>
        <v/>
      </c>
      <c r="Y454" s="5" t="str">
        <f t="shared" si="53"/>
        <v/>
      </c>
      <c r="Z454" s="5" t="str">
        <f t="shared" si="54"/>
        <v/>
      </c>
      <c r="AA454" s="4">
        <f t="shared" si="55"/>
        <v>0</v>
      </c>
      <c r="AC454" s="2"/>
    </row>
    <row r="455" spans="1:29" ht="15.5">
      <c r="A455" s="13" t="str">
        <f>IF(OR(ISBLANK(C455),ISBLANK(D455),ISBLANK(F455),ISBLANK(G455)),"",COUNTIF($B$5:B455,"JAMBUTU"))</f>
        <v/>
      </c>
      <c r="B455" s="8" t="str">
        <f t="shared" si="49"/>
        <v/>
      </c>
      <c r="C455" s="8"/>
      <c r="D455" s="8"/>
      <c r="E455" s="18"/>
      <c r="F455" s="12"/>
      <c r="G455" s="17"/>
      <c r="H455" s="12"/>
      <c r="I455" s="17"/>
      <c r="J455" s="10">
        <f t="shared" si="50"/>
        <v>0</v>
      </c>
      <c r="K455" s="10">
        <f t="shared" si="51"/>
        <v>0</v>
      </c>
      <c r="L455" s="9" t="str">
        <f t="shared" si="52"/>
        <v/>
      </c>
      <c r="M455" s="8"/>
      <c r="N455" s="8"/>
      <c r="O455" s="8"/>
      <c r="P455" s="8"/>
      <c r="Q455" s="8"/>
      <c r="R455" s="16"/>
      <c r="S455" s="8"/>
      <c r="T455" s="8"/>
      <c r="U455" s="8"/>
      <c r="V455" s="7"/>
      <c r="W455" s="6" t="str">
        <f t="array" ref="W455">IF(NOT(ISBLANK(D455)),_xludf.XLOOKUP(D455,[2]CODE!$A$4:$A$100,[2]CODE!$D$4:$D$100),"")</f>
        <v/>
      </c>
      <c r="X455" s="5" t="str">
        <f t="array" ref="X455">IF(NOT(AND(ISBLANK(D455),ISBLANK(C455))),_xludf.XLOOKUP(D455,[2]CODE!$A$4:$A$100,[2]CODE!$E$4:$E$100),"")</f>
        <v/>
      </c>
      <c r="Y455" s="5" t="str">
        <f t="shared" si="53"/>
        <v/>
      </c>
      <c r="Z455" s="5" t="str">
        <f t="shared" si="54"/>
        <v/>
      </c>
      <c r="AA455" s="4">
        <f t="shared" si="55"/>
        <v>0</v>
      </c>
      <c r="AC455" s="2"/>
    </row>
    <row r="456" spans="1:29" ht="15.5">
      <c r="A456" s="13" t="str">
        <f>IF(OR(ISBLANK(C456),ISBLANK(D456),ISBLANK(F456),ISBLANK(G456)),"",COUNTIF($B$5:B456,"JAMBUTU"))</f>
        <v/>
      </c>
      <c r="B456" s="8" t="str">
        <f t="shared" si="49"/>
        <v/>
      </c>
      <c r="C456" s="8"/>
      <c r="D456" s="8"/>
      <c r="E456" s="18"/>
      <c r="F456" s="12"/>
      <c r="G456" s="17"/>
      <c r="H456" s="12"/>
      <c r="I456" s="17"/>
      <c r="J456" s="10">
        <f t="shared" si="50"/>
        <v>0</v>
      </c>
      <c r="K456" s="10">
        <f t="shared" si="51"/>
        <v>0</v>
      </c>
      <c r="L456" s="9" t="str">
        <f t="shared" si="52"/>
        <v/>
      </c>
      <c r="M456" s="8"/>
      <c r="N456" s="8"/>
      <c r="O456" s="8"/>
      <c r="P456" s="8"/>
      <c r="Q456" s="8"/>
      <c r="R456" s="16"/>
      <c r="S456" s="8"/>
      <c r="T456" s="8"/>
      <c r="U456" s="8"/>
      <c r="V456" s="7"/>
      <c r="W456" s="6" t="str">
        <f t="array" ref="W456">IF(NOT(ISBLANK(D456)),_xludf.XLOOKUP(D456,[2]CODE!$A$4:$A$100,[2]CODE!$D$4:$D$100),"")</f>
        <v/>
      </c>
      <c r="X456" s="5" t="str">
        <f t="array" ref="X456">IF(NOT(AND(ISBLANK(D456),ISBLANK(C456))),_xludf.XLOOKUP(D456,[2]CODE!$A$4:$A$100,[2]CODE!$E$4:$E$100),"")</f>
        <v/>
      </c>
      <c r="Y456" s="5" t="str">
        <f t="shared" si="53"/>
        <v/>
      </c>
      <c r="Z456" s="5" t="str">
        <f t="shared" si="54"/>
        <v/>
      </c>
      <c r="AA456" s="4">
        <f t="shared" si="55"/>
        <v>0</v>
      </c>
      <c r="AC456" s="2"/>
    </row>
    <row r="457" spans="1:29" ht="15.5">
      <c r="A457" s="13" t="str">
        <f>IF(OR(ISBLANK(C457),ISBLANK(D457),ISBLANK(F457),ISBLANK(G457)),"",COUNTIF($B$5:B457,"JAMBUTU"))</f>
        <v/>
      </c>
      <c r="B457" s="8" t="str">
        <f t="shared" si="49"/>
        <v/>
      </c>
      <c r="C457" s="8"/>
      <c r="D457" s="8"/>
      <c r="E457" s="18"/>
      <c r="F457" s="12"/>
      <c r="G457" s="17"/>
      <c r="H457" s="12"/>
      <c r="I457" s="17"/>
      <c r="J457" s="10">
        <f t="shared" si="50"/>
        <v>0</v>
      </c>
      <c r="K457" s="10">
        <f t="shared" si="51"/>
        <v>0</v>
      </c>
      <c r="L457" s="9" t="str">
        <f t="shared" si="52"/>
        <v/>
      </c>
      <c r="M457" s="8"/>
      <c r="N457" s="8"/>
      <c r="O457" s="8"/>
      <c r="P457" s="8"/>
      <c r="Q457" s="8"/>
      <c r="R457" s="16"/>
      <c r="S457" s="8"/>
      <c r="T457" s="8"/>
      <c r="U457" s="8"/>
      <c r="V457" s="7"/>
      <c r="W457" s="6" t="str">
        <f t="array" ref="W457">IF(NOT(ISBLANK(D457)),_xludf.XLOOKUP(D457,[2]CODE!$A$4:$A$100,[2]CODE!$D$4:$D$100),"")</f>
        <v/>
      </c>
      <c r="X457" s="5" t="str">
        <f t="array" ref="X457">IF(NOT(AND(ISBLANK(D457),ISBLANK(C457))),_xludf.XLOOKUP(D457,[2]CODE!$A$4:$A$100,[2]CODE!$E$4:$E$100),"")</f>
        <v/>
      </c>
      <c r="Y457" s="5" t="str">
        <f t="shared" si="53"/>
        <v/>
      </c>
      <c r="Z457" s="5" t="str">
        <f t="shared" si="54"/>
        <v/>
      </c>
      <c r="AA457" s="4">
        <f t="shared" si="55"/>
        <v>0</v>
      </c>
      <c r="AC457" s="2"/>
    </row>
    <row r="458" spans="1:29" ht="15.5">
      <c r="A458" s="13" t="str">
        <f>IF(OR(ISBLANK(C458),ISBLANK(D458),ISBLANK(F458),ISBLANK(G458)),"",COUNTIF($B$5:B458,"JAMBUTU"))</f>
        <v/>
      </c>
      <c r="B458" s="8" t="str">
        <f t="shared" si="49"/>
        <v/>
      </c>
      <c r="C458" s="8"/>
      <c r="D458" s="8"/>
      <c r="E458" s="18"/>
      <c r="F458" s="12"/>
      <c r="G458" s="17"/>
      <c r="H458" s="12"/>
      <c r="I458" s="17"/>
      <c r="J458" s="10">
        <f t="shared" si="50"/>
        <v>0</v>
      </c>
      <c r="K458" s="10">
        <f t="shared" si="51"/>
        <v>0</v>
      </c>
      <c r="L458" s="9" t="str">
        <f t="shared" si="52"/>
        <v/>
      </c>
      <c r="M458" s="8"/>
      <c r="N458" s="8"/>
      <c r="O458" s="8"/>
      <c r="P458" s="8"/>
      <c r="Q458" s="8"/>
      <c r="R458" s="8"/>
      <c r="S458" s="8"/>
      <c r="T458" s="8"/>
      <c r="U458" s="8"/>
      <c r="V458" s="7"/>
      <c r="W458" s="6" t="str">
        <f t="array" ref="W458">IF(NOT(ISBLANK(D458)),_xludf.XLOOKUP(D458,[2]CODE!$A$4:$A$100,[2]CODE!$D$4:$D$100),"")</f>
        <v/>
      </c>
      <c r="X458" s="5" t="str">
        <f t="array" ref="X458">IF(NOT(AND(ISBLANK(D458),ISBLANK(C458))),_xludf.XLOOKUP(D458,[2]CODE!$A$4:$A$100,[2]CODE!$E$4:$E$100),"")</f>
        <v/>
      </c>
      <c r="Y458" s="5" t="str">
        <f t="shared" si="53"/>
        <v/>
      </c>
      <c r="Z458" s="5" t="str">
        <f t="shared" si="54"/>
        <v/>
      </c>
      <c r="AA458" s="4">
        <f t="shared" si="55"/>
        <v>0</v>
      </c>
      <c r="AC458" s="2"/>
    </row>
    <row r="459" spans="1:29" ht="15.5">
      <c r="A459" s="13" t="str">
        <f>IF(OR(ISBLANK(C459),ISBLANK(D459),ISBLANK(F459),ISBLANK(G459)),"",COUNTIF($B$5:B459,"JAMBUTU"))</f>
        <v/>
      </c>
      <c r="B459" s="8" t="str">
        <f t="shared" si="49"/>
        <v/>
      </c>
      <c r="C459" s="8"/>
      <c r="D459" s="8"/>
      <c r="E459" s="18"/>
      <c r="F459" s="12"/>
      <c r="G459" s="17"/>
      <c r="H459" s="12"/>
      <c r="I459" s="17"/>
      <c r="J459" s="10">
        <f t="shared" si="50"/>
        <v>0</v>
      </c>
      <c r="K459" s="10">
        <f t="shared" si="51"/>
        <v>0</v>
      </c>
      <c r="L459" s="9" t="str">
        <f t="shared" si="52"/>
        <v/>
      </c>
      <c r="M459" s="8"/>
      <c r="N459" s="8"/>
      <c r="O459" s="8"/>
      <c r="P459" s="8"/>
      <c r="Q459" s="8"/>
      <c r="R459" s="8"/>
      <c r="S459" s="8"/>
      <c r="T459" s="8"/>
      <c r="U459" s="8"/>
      <c r="V459" s="7"/>
      <c r="W459" s="6" t="str">
        <f t="array" ref="W459">IF(NOT(ISBLANK(D459)),_xludf.XLOOKUP(D459,[2]CODE!$A$4:$A$100,[2]CODE!$D$4:$D$100),"")</f>
        <v/>
      </c>
      <c r="X459" s="5" t="str">
        <f t="array" ref="X459">IF(NOT(AND(ISBLANK(D459),ISBLANK(C459))),_xludf.XLOOKUP(D459,[2]CODE!$A$4:$A$100,[2]CODE!$E$4:$E$100),"")</f>
        <v/>
      </c>
      <c r="Y459" s="5" t="str">
        <f t="shared" si="53"/>
        <v/>
      </c>
      <c r="Z459" s="5" t="str">
        <f t="shared" si="54"/>
        <v/>
      </c>
      <c r="AA459" s="4">
        <f t="shared" si="55"/>
        <v>0</v>
      </c>
      <c r="AC459" s="2"/>
    </row>
    <row r="460" spans="1:29" ht="15.5">
      <c r="A460" s="13" t="str">
        <f>IF(OR(ISBLANK(C460),ISBLANK(D460),ISBLANK(F460),ISBLANK(G460)),"",COUNTIF($B$5:B460,"JAMBUTU"))</f>
        <v/>
      </c>
      <c r="B460" s="8" t="str">
        <f t="shared" si="49"/>
        <v/>
      </c>
      <c r="C460" s="8"/>
      <c r="D460" s="8"/>
      <c r="E460" s="18"/>
      <c r="F460" s="12"/>
      <c r="G460" s="17"/>
      <c r="H460" s="12"/>
      <c r="I460" s="17"/>
      <c r="J460" s="10">
        <f t="shared" si="50"/>
        <v>0</v>
      </c>
      <c r="K460" s="10">
        <f t="shared" si="51"/>
        <v>0</v>
      </c>
      <c r="L460" s="9" t="str">
        <f t="shared" si="52"/>
        <v/>
      </c>
      <c r="M460" s="8"/>
      <c r="N460" s="8"/>
      <c r="O460" s="8"/>
      <c r="P460" s="8"/>
      <c r="Q460" s="8"/>
      <c r="R460" s="8"/>
      <c r="S460" s="8"/>
      <c r="T460" s="8"/>
      <c r="U460" s="8"/>
      <c r="V460" s="7"/>
      <c r="W460" s="6" t="str">
        <f t="array" ref="W460">IF(NOT(ISBLANK(D460)),_xludf.XLOOKUP(D460,[2]CODE!$A$4:$A$100,[2]CODE!$D$4:$D$100),"")</f>
        <v/>
      </c>
      <c r="X460" s="5" t="str">
        <f t="array" ref="X460">IF(NOT(AND(ISBLANK(D460),ISBLANK(C460))),_xludf.XLOOKUP(D460,[2]CODE!$A$4:$A$100,[2]CODE!$E$4:$E$100),"")</f>
        <v/>
      </c>
      <c r="Y460" s="5" t="str">
        <f t="shared" si="53"/>
        <v/>
      </c>
      <c r="Z460" s="5" t="str">
        <f t="shared" si="54"/>
        <v/>
      </c>
      <c r="AA460" s="4">
        <f t="shared" si="55"/>
        <v>0</v>
      </c>
      <c r="AC460" s="2"/>
    </row>
    <row r="461" spans="1:29" ht="15.5">
      <c r="A461" s="13" t="str">
        <f>IF(OR(ISBLANK(C461),ISBLANK(D461),ISBLANK(F461),ISBLANK(G461)),"",COUNTIF($B$5:B461,"JAMBUTU"))</f>
        <v/>
      </c>
      <c r="B461" s="8" t="str">
        <f t="shared" si="49"/>
        <v/>
      </c>
      <c r="C461" s="8"/>
      <c r="D461" s="8"/>
      <c r="E461" s="18"/>
      <c r="F461" s="12"/>
      <c r="G461" s="17"/>
      <c r="H461" s="12"/>
      <c r="I461" s="17"/>
      <c r="J461" s="10">
        <f t="shared" si="50"/>
        <v>0</v>
      </c>
      <c r="K461" s="10">
        <f t="shared" si="51"/>
        <v>0</v>
      </c>
      <c r="L461" s="9" t="str">
        <f t="shared" si="52"/>
        <v/>
      </c>
      <c r="M461" s="8"/>
      <c r="N461" s="8"/>
      <c r="O461" s="8"/>
      <c r="P461" s="8"/>
      <c r="Q461" s="8"/>
      <c r="R461" s="8"/>
      <c r="S461" s="8"/>
      <c r="T461" s="8"/>
      <c r="U461" s="8"/>
      <c r="V461" s="7"/>
      <c r="W461" s="6" t="str">
        <f t="array" ref="W461">IF(NOT(ISBLANK(D461)),_xludf.XLOOKUP(D461,[2]CODE!$A$4:$A$100,[2]CODE!$D$4:$D$100),"")</f>
        <v/>
      </c>
      <c r="X461" s="5" t="str">
        <f t="array" ref="X461">IF(NOT(AND(ISBLANK(D461),ISBLANK(C461))),_xludf.XLOOKUP(D461,[2]CODE!$A$4:$A$100,[2]CODE!$E$4:$E$100),"")</f>
        <v/>
      </c>
      <c r="Y461" s="5" t="str">
        <f t="shared" si="53"/>
        <v/>
      </c>
      <c r="Z461" s="5" t="str">
        <f t="shared" si="54"/>
        <v/>
      </c>
      <c r="AA461" s="4">
        <f t="shared" si="55"/>
        <v>0</v>
      </c>
      <c r="AC461" s="2"/>
    </row>
    <row r="462" spans="1:29" ht="15.5">
      <c r="A462" s="13" t="str">
        <f>IF(OR(ISBLANK(C462),ISBLANK(D462),ISBLANK(F462),ISBLANK(G462)),"",COUNTIF($B$5:B462,"JAMBUTU"))</f>
        <v/>
      </c>
      <c r="B462" s="8" t="str">
        <f t="shared" si="49"/>
        <v/>
      </c>
      <c r="C462" s="8"/>
      <c r="D462" s="8"/>
      <c r="E462" s="18"/>
      <c r="F462" s="12"/>
      <c r="G462" s="17"/>
      <c r="H462" s="12"/>
      <c r="I462" s="17"/>
      <c r="J462" s="10">
        <f t="shared" si="50"/>
        <v>0</v>
      </c>
      <c r="K462" s="10">
        <f t="shared" si="51"/>
        <v>0</v>
      </c>
      <c r="L462" s="9" t="str">
        <f t="shared" si="52"/>
        <v/>
      </c>
      <c r="M462" s="8"/>
      <c r="N462" s="8"/>
      <c r="O462" s="8"/>
      <c r="P462" s="8"/>
      <c r="Q462" s="8"/>
      <c r="R462" s="8"/>
      <c r="S462" s="8"/>
      <c r="T462" s="8"/>
      <c r="U462" s="8"/>
      <c r="V462" s="7"/>
      <c r="W462" s="6" t="str">
        <f t="array" ref="W462">IF(NOT(ISBLANK(D462)),_xludf.XLOOKUP(D462,[2]CODE!$A$4:$A$100,[2]CODE!$D$4:$D$100),"")</f>
        <v/>
      </c>
      <c r="X462" s="5" t="str">
        <f t="array" ref="X462">IF(NOT(AND(ISBLANK(D462),ISBLANK(C462))),_xludf.XLOOKUP(D462,[2]CODE!$A$4:$A$100,[2]CODE!$E$4:$E$100),"")</f>
        <v/>
      </c>
      <c r="Y462" s="5" t="str">
        <f t="shared" si="53"/>
        <v/>
      </c>
      <c r="Z462" s="5" t="str">
        <f t="shared" si="54"/>
        <v/>
      </c>
      <c r="AA462" s="4">
        <f t="shared" si="55"/>
        <v>0</v>
      </c>
      <c r="AC462" s="2"/>
    </row>
    <row r="463" spans="1:29" ht="15.5">
      <c r="A463" s="13" t="str">
        <f>IF(OR(ISBLANK(C463),ISBLANK(D463),ISBLANK(F463),ISBLANK(G463)),"",COUNTIF($B$5:B463,"JAMBUTU"))</f>
        <v/>
      </c>
      <c r="B463" s="8" t="str">
        <f t="shared" si="49"/>
        <v/>
      </c>
      <c r="C463" s="8"/>
      <c r="D463" s="8"/>
      <c r="E463" s="18"/>
      <c r="F463" s="12"/>
      <c r="G463" s="17"/>
      <c r="H463" s="12"/>
      <c r="I463" s="17"/>
      <c r="J463" s="10">
        <f t="shared" si="50"/>
        <v>0</v>
      </c>
      <c r="K463" s="10">
        <f t="shared" si="51"/>
        <v>0</v>
      </c>
      <c r="L463" s="9" t="str">
        <f t="shared" si="52"/>
        <v/>
      </c>
      <c r="M463" s="8"/>
      <c r="N463" s="8"/>
      <c r="O463" s="8"/>
      <c r="P463" s="8"/>
      <c r="Q463" s="8"/>
      <c r="R463" s="8"/>
      <c r="S463" s="8"/>
      <c r="T463" s="8"/>
      <c r="U463" s="8"/>
      <c r="V463" s="7"/>
      <c r="W463" s="6" t="str">
        <f t="array" ref="W463">IF(NOT(ISBLANK(D463)),_xludf.XLOOKUP(D463,[2]CODE!$A$4:$A$100,[2]CODE!$D$4:$D$100),"")</f>
        <v/>
      </c>
      <c r="X463" s="5" t="str">
        <f t="array" ref="X463">IF(NOT(AND(ISBLANK(D463),ISBLANK(C463))),_xludf.XLOOKUP(D463,[2]CODE!$A$4:$A$100,[2]CODE!$E$4:$E$100),"")</f>
        <v/>
      </c>
      <c r="Y463" s="5" t="str">
        <f t="shared" si="53"/>
        <v/>
      </c>
      <c r="Z463" s="5" t="str">
        <f t="shared" si="54"/>
        <v/>
      </c>
      <c r="AA463" s="4">
        <f t="shared" si="55"/>
        <v>0</v>
      </c>
      <c r="AC463" s="2"/>
    </row>
    <row r="464" spans="1:29" ht="15.5">
      <c r="A464" s="13" t="str">
        <f>IF(OR(ISBLANK(C464),ISBLANK(D464),ISBLANK(F464),ISBLANK(G464)),"",COUNTIF($B$5:B464,"JAMBUTU"))</f>
        <v/>
      </c>
      <c r="B464" s="8" t="str">
        <f t="shared" si="49"/>
        <v/>
      </c>
      <c r="C464" s="8"/>
      <c r="D464" s="8"/>
      <c r="E464" s="18"/>
      <c r="F464" s="12"/>
      <c r="G464" s="17"/>
      <c r="H464" s="12"/>
      <c r="I464" s="17"/>
      <c r="J464" s="10">
        <f t="shared" si="50"/>
        <v>0</v>
      </c>
      <c r="K464" s="10">
        <f t="shared" si="51"/>
        <v>0</v>
      </c>
      <c r="L464" s="9" t="str">
        <f t="shared" si="52"/>
        <v/>
      </c>
      <c r="M464" s="8"/>
      <c r="N464" s="8"/>
      <c r="O464" s="8"/>
      <c r="P464" s="8"/>
      <c r="Q464" s="8"/>
      <c r="R464" s="8"/>
      <c r="S464" s="8"/>
      <c r="T464" s="8"/>
      <c r="U464" s="8"/>
      <c r="V464" s="7"/>
      <c r="W464" s="6" t="str">
        <f t="array" ref="W464">IF(NOT(ISBLANK(D464)),_xludf.XLOOKUP(D464,[2]CODE!$A$4:$A$100,[2]CODE!$D$4:$D$100),"")</f>
        <v/>
      </c>
      <c r="X464" s="5" t="str">
        <f t="array" ref="X464">IF(NOT(AND(ISBLANK(D464),ISBLANK(C464))),_xludf.XLOOKUP(D464,[2]CODE!$A$4:$A$100,[2]CODE!$E$4:$E$100),"")</f>
        <v/>
      </c>
      <c r="Y464" s="5" t="str">
        <f t="shared" si="53"/>
        <v/>
      </c>
      <c r="Z464" s="5" t="str">
        <f t="shared" si="54"/>
        <v/>
      </c>
      <c r="AA464" s="4">
        <f t="shared" si="55"/>
        <v>0</v>
      </c>
      <c r="AC464" s="2"/>
    </row>
    <row r="465" spans="1:29" ht="15.5">
      <c r="A465" s="13" t="str">
        <f>IF(OR(ISBLANK(C465),ISBLANK(D465),ISBLANK(F465),ISBLANK(G465)),"",COUNTIF($B$5:B465,"JAMBUTU"))</f>
        <v/>
      </c>
      <c r="B465" s="8" t="str">
        <f t="shared" si="49"/>
        <v/>
      </c>
      <c r="C465" s="8"/>
      <c r="D465" s="8"/>
      <c r="E465" s="18"/>
      <c r="F465" s="12"/>
      <c r="G465" s="17"/>
      <c r="H465" s="12"/>
      <c r="I465" s="17"/>
      <c r="J465" s="10">
        <f t="shared" si="50"/>
        <v>0</v>
      </c>
      <c r="K465" s="10">
        <f t="shared" si="51"/>
        <v>0</v>
      </c>
      <c r="L465" s="9" t="str">
        <f t="shared" si="52"/>
        <v/>
      </c>
      <c r="M465" s="8"/>
      <c r="N465" s="8"/>
      <c r="O465" s="8"/>
      <c r="P465" s="8"/>
      <c r="Q465" s="8"/>
      <c r="R465" s="8"/>
      <c r="S465" s="8"/>
      <c r="T465" s="8"/>
      <c r="U465" s="8"/>
      <c r="V465" s="7"/>
      <c r="W465" s="6" t="str">
        <f t="array" ref="W465">IF(NOT(ISBLANK(D465)),_xludf.XLOOKUP(D465,[2]CODE!$A$4:$A$100,[2]CODE!$D$4:$D$100),"")</f>
        <v/>
      </c>
      <c r="X465" s="5" t="str">
        <f t="array" ref="X465">IF(NOT(AND(ISBLANK(D465),ISBLANK(C465))),_xludf.XLOOKUP(D465,[2]CODE!$A$4:$A$100,[2]CODE!$E$4:$E$100),"")</f>
        <v/>
      </c>
      <c r="Y465" s="5" t="str">
        <f t="shared" si="53"/>
        <v/>
      </c>
      <c r="Z465" s="5" t="str">
        <f t="shared" si="54"/>
        <v/>
      </c>
      <c r="AA465" s="4">
        <f t="shared" si="55"/>
        <v>0</v>
      </c>
      <c r="AC465" s="2"/>
    </row>
    <row r="466" spans="1:29" ht="15.5">
      <c r="A466" s="13" t="str">
        <f>IF(OR(ISBLANK(C466),ISBLANK(D466),ISBLANK(F466),ISBLANK(G466)),"",COUNTIF($B$5:B466,"JAMBUTU"))</f>
        <v/>
      </c>
      <c r="B466" s="8" t="str">
        <f t="shared" si="49"/>
        <v/>
      </c>
      <c r="C466" s="8"/>
      <c r="D466" s="8"/>
      <c r="E466" s="18"/>
      <c r="F466" s="12"/>
      <c r="G466" s="17"/>
      <c r="H466" s="12"/>
      <c r="I466" s="17"/>
      <c r="J466" s="10">
        <f t="shared" si="50"/>
        <v>0</v>
      </c>
      <c r="K466" s="10">
        <f t="shared" si="51"/>
        <v>0</v>
      </c>
      <c r="L466" s="9" t="str">
        <f t="shared" si="52"/>
        <v/>
      </c>
      <c r="M466" s="8"/>
      <c r="N466" s="8"/>
      <c r="O466" s="8"/>
      <c r="P466" s="8"/>
      <c r="Q466" s="8"/>
      <c r="R466" s="8"/>
      <c r="S466" s="8"/>
      <c r="T466" s="8"/>
      <c r="U466" s="8"/>
      <c r="V466" s="7"/>
      <c r="W466" s="6" t="str">
        <f t="array" ref="W466">IF(NOT(ISBLANK(D466)),_xludf.XLOOKUP(D466,[2]CODE!$A$4:$A$100,[2]CODE!$D$4:$D$100),"")</f>
        <v/>
      </c>
      <c r="X466" s="5" t="str">
        <f t="array" ref="X466">IF(NOT(AND(ISBLANK(D466),ISBLANK(C466))),_xludf.XLOOKUP(D466,[2]CODE!$A$4:$A$100,[2]CODE!$E$4:$E$100),"")</f>
        <v/>
      </c>
      <c r="Y466" s="5" t="str">
        <f t="shared" si="53"/>
        <v/>
      </c>
      <c r="Z466" s="5" t="str">
        <f t="shared" si="54"/>
        <v/>
      </c>
      <c r="AA466" s="4">
        <f t="shared" si="55"/>
        <v>0</v>
      </c>
      <c r="AC466" s="2"/>
    </row>
    <row r="467" spans="1:29" ht="15.5">
      <c r="A467" s="13" t="str">
        <f>IF(OR(ISBLANK(C467),ISBLANK(D467),ISBLANK(F467),ISBLANK(G467)),"",COUNTIF($B$5:B467,"JAMBUTU"))</f>
        <v/>
      </c>
      <c r="B467" s="8" t="str">
        <f t="shared" ref="B467:B530" si="56">IF(C467&lt;&gt;"","Jambutu","")</f>
        <v/>
      </c>
      <c r="C467" s="8"/>
      <c r="D467" s="8"/>
      <c r="E467" s="18"/>
      <c r="F467" s="12"/>
      <c r="G467" s="17"/>
      <c r="H467" s="12"/>
      <c r="I467" s="17"/>
      <c r="J467" s="10">
        <f t="shared" si="50"/>
        <v>0</v>
      </c>
      <c r="K467" s="10">
        <f t="shared" si="51"/>
        <v>0</v>
      </c>
      <c r="L467" s="9" t="str">
        <f t="shared" si="52"/>
        <v/>
      </c>
      <c r="M467" s="8"/>
      <c r="N467" s="8"/>
      <c r="O467" s="8"/>
      <c r="P467" s="8"/>
      <c r="Q467" s="8"/>
      <c r="R467" s="8"/>
      <c r="S467" s="8"/>
      <c r="T467" s="8"/>
      <c r="U467" s="8"/>
      <c r="V467" s="7"/>
      <c r="W467" s="6" t="str">
        <f t="array" ref="W467">IF(NOT(ISBLANK(D467)),_xludf.XLOOKUP(D467,[2]CODE!$A$4:$A$100,[2]CODE!$D$4:$D$100),"")</f>
        <v/>
      </c>
      <c r="X467" s="5" t="str">
        <f t="array" ref="X467">IF(NOT(AND(ISBLANK(D467),ISBLANK(C467))),_xludf.XLOOKUP(D467,[2]CODE!$A$4:$A$100,[2]CODE!$E$4:$E$100),"")</f>
        <v/>
      </c>
      <c r="Y467" s="5" t="str">
        <f t="shared" si="53"/>
        <v/>
      </c>
      <c r="Z467" s="5" t="str">
        <f t="shared" si="54"/>
        <v/>
      </c>
      <c r="AA467" s="4">
        <f t="shared" si="55"/>
        <v>0</v>
      </c>
      <c r="AC467" s="2"/>
    </row>
    <row r="468" spans="1:29" ht="15.5">
      <c r="A468" s="13" t="str">
        <f>IF(OR(ISBLANK(C468),ISBLANK(D468),ISBLANK(F468),ISBLANK(G468)),"",COUNTIF($B$5:B468,"JAMBUTU"))</f>
        <v/>
      </c>
      <c r="B468" s="8" t="str">
        <f t="shared" si="56"/>
        <v/>
      </c>
      <c r="C468" s="8"/>
      <c r="D468" s="8"/>
      <c r="E468" s="18"/>
      <c r="F468" s="12"/>
      <c r="G468" s="17"/>
      <c r="H468" s="12"/>
      <c r="I468" s="17"/>
      <c r="J468" s="10">
        <f t="shared" si="50"/>
        <v>0</v>
      </c>
      <c r="K468" s="10">
        <f t="shared" si="51"/>
        <v>0</v>
      </c>
      <c r="L468" s="9" t="str">
        <f t="shared" si="52"/>
        <v/>
      </c>
      <c r="M468" s="8"/>
      <c r="N468" s="8"/>
      <c r="O468" s="8"/>
      <c r="P468" s="8"/>
      <c r="Q468" s="8"/>
      <c r="R468" s="8"/>
      <c r="S468" s="8"/>
      <c r="T468" s="8"/>
      <c r="U468" s="8"/>
      <c r="V468" s="7"/>
      <c r="W468" s="6" t="str">
        <f t="array" ref="W468">IF(NOT(ISBLANK(D468)),_xludf.XLOOKUP(D468,[2]CODE!$A$4:$A$100,[2]CODE!$D$4:$D$100),"")</f>
        <v/>
      </c>
      <c r="X468" s="5" t="str">
        <f t="array" ref="X468">IF(NOT(AND(ISBLANK(D468),ISBLANK(C468))),_xludf.XLOOKUP(D468,[2]CODE!$A$4:$A$100,[2]CODE!$E$4:$E$100),"")</f>
        <v/>
      </c>
      <c r="Y468" s="5" t="str">
        <f t="shared" si="53"/>
        <v/>
      </c>
      <c r="Z468" s="5" t="str">
        <f t="shared" si="54"/>
        <v/>
      </c>
      <c r="AA468" s="4">
        <f t="shared" si="55"/>
        <v>0</v>
      </c>
      <c r="AC468" s="2"/>
    </row>
    <row r="469" spans="1:29" ht="15.5">
      <c r="A469" s="13" t="str">
        <f>IF(OR(ISBLANK(C469),ISBLANK(D469),ISBLANK(F469),ISBLANK(G469)),"",COUNTIF($B$5:B469,"JAMBUTU"))</f>
        <v/>
      </c>
      <c r="B469" s="8" t="str">
        <f t="shared" si="56"/>
        <v/>
      </c>
      <c r="C469" s="8"/>
      <c r="D469" s="8"/>
      <c r="E469" s="18"/>
      <c r="F469" s="12"/>
      <c r="G469" s="17"/>
      <c r="H469" s="12"/>
      <c r="I469" s="17"/>
      <c r="J469" s="10">
        <f t="shared" si="50"/>
        <v>0</v>
      </c>
      <c r="K469" s="10">
        <f t="shared" si="51"/>
        <v>0</v>
      </c>
      <c r="L469" s="9" t="str">
        <f t="shared" si="52"/>
        <v/>
      </c>
      <c r="M469" s="8"/>
      <c r="N469" s="8"/>
      <c r="O469" s="8"/>
      <c r="P469" s="8"/>
      <c r="Q469" s="8"/>
      <c r="R469" s="8"/>
      <c r="S469" s="16"/>
      <c r="T469" s="8"/>
      <c r="U469" s="8"/>
      <c r="V469" s="7"/>
      <c r="W469" s="6" t="str">
        <f t="array" ref="W469">IF(NOT(ISBLANK(D469)),_xludf.XLOOKUP(D469,[2]CODE!$A$4:$A$100,[2]CODE!$D$4:$D$100),"")</f>
        <v/>
      </c>
      <c r="X469" s="5" t="str">
        <f t="array" ref="X469">IF(NOT(AND(ISBLANK(D469),ISBLANK(C469))),_xludf.XLOOKUP(D469,[2]CODE!$A$4:$A$100,[2]CODE!$E$4:$E$100),"")</f>
        <v/>
      </c>
      <c r="Y469" s="5" t="str">
        <f t="shared" si="53"/>
        <v/>
      </c>
      <c r="Z469" s="5" t="str">
        <f t="shared" si="54"/>
        <v/>
      </c>
      <c r="AA469" s="4">
        <f t="shared" si="55"/>
        <v>0</v>
      </c>
      <c r="AC469" s="2"/>
    </row>
    <row r="470" spans="1:29" ht="15.5">
      <c r="A470" s="13" t="str">
        <f>IF(OR(ISBLANK(C470),ISBLANK(D470),ISBLANK(F470),ISBLANK(G470)),"",COUNTIF($B$5:B470,"JAMBUTU"))</f>
        <v/>
      </c>
      <c r="B470" s="8" t="str">
        <f t="shared" si="56"/>
        <v/>
      </c>
      <c r="C470" s="8"/>
      <c r="D470" s="8"/>
      <c r="E470" s="18"/>
      <c r="F470" s="12"/>
      <c r="G470" s="17"/>
      <c r="H470" s="12"/>
      <c r="I470" s="17"/>
      <c r="J470" s="10">
        <f t="shared" si="50"/>
        <v>0</v>
      </c>
      <c r="K470" s="10">
        <f t="shared" si="51"/>
        <v>0</v>
      </c>
      <c r="L470" s="9" t="str">
        <f t="shared" si="52"/>
        <v/>
      </c>
      <c r="M470" s="8"/>
      <c r="N470" s="8"/>
      <c r="O470" s="8"/>
      <c r="P470" s="8"/>
      <c r="Q470" s="8"/>
      <c r="R470" s="8"/>
      <c r="S470" s="8"/>
      <c r="T470" s="8"/>
      <c r="U470" s="8"/>
      <c r="V470" s="7"/>
      <c r="W470" s="6" t="str">
        <f t="array" ref="W470">IF(NOT(ISBLANK(D470)),_xludf.XLOOKUP(D470,[2]CODE!$A$4:$A$100,[2]CODE!$D$4:$D$100),"")</f>
        <v/>
      </c>
      <c r="X470" s="5" t="str">
        <f t="array" ref="X470">IF(NOT(AND(ISBLANK(D470),ISBLANK(C470))),_xludf.XLOOKUP(D470,[2]CODE!$A$4:$A$100,[2]CODE!$E$4:$E$100),"")</f>
        <v/>
      </c>
      <c r="Y470" s="5" t="str">
        <f t="shared" si="53"/>
        <v/>
      </c>
      <c r="Z470" s="5" t="str">
        <f t="shared" si="54"/>
        <v/>
      </c>
      <c r="AA470" s="4">
        <f t="shared" si="55"/>
        <v>0</v>
      </c>
      <c r="AC470" s="2"/>
    </row>
    <row r="471" spans="1:29" ht="15.5">
      <c r="A471" s="13" t="str">
        <f>IF(OR(ISBLANK(C471),ISBLANK(D471),ISBLANK(F471),ISBLANK(G471)),"",COUNTIF($B$5:B471,"JAMBUTU"))</f>
        <v/>
      </c>
      <c r="B471" s="8" t="str">
        <f t="shared" si="56"/>
        <v/>
      </c>
      <c r="C471" s="8"/>
      <c r="D471" s="8"/>
      <c r="E471" s="18"/>
      <c r="F471" s="12"/>
      <c r="G471" s="17"/>
      <c r="H471" s="12"/>
      <c r="I471" s="17"/>
      <c r="J471" s="10">
        <f t="shared" si="50"/>
        <v>0</v>
      </c>
      <c r="K471" s="10">
        <f t="shared" si="51"/>
        <v>0</v>
      </c>
      <c r="L471" s="9" t="str">
        <f t="shared" si="52"/>
        <v/>
      </c>
      <c r="M471" s="8"/>
      <c r="N471" s="8"/>
      <c r="O471" s="8"/>
      <c r="P471" s="8"/>
      <c r="Q471" s="8"/>
      <c r="R471" s="8"/>
      <c r="S471" s="8"/>
      <c r="T471" s="8"/>
      <c r="U471" s="8"/>
      <c r="V471" s="7"/>
      <c r="W471" s="6" t="str">
        <f t="array" ref="W471">IF(NOT(ISBLANK(D471)),_xludf.XLOOKUP(D471,[2]CODE!$A$4:$A$100,[2]CODE!$D$4:$D$100),"")</f>
        <v/>
      </c>
      <c r="X471" s="5" t="str">
        <f t="array" ref="X471">IF(NOT(AND(ISBLANK(D471),ISBLANK(C471))),_xludf.XLOOKUP(D471,[2]CODE!$A$4:$A$100,[2]CODE!$E$4:$E$100),"")</f>
        <v/>
      </c>
      <c r="Y471" s="5" t="str">
        <f t="shared" si="53"/>
        <v/>
      </c>
      <c r="Z471" s="5" t="str">
        <f t="shared" si="54"/>
        <v/>
      </c>
      <c r="AA471" s="4">
        <f t="shared" si="55"/>
        <v>0</v>
      </c>
      <c r="AC471" s="2"/>
    </row>
    <row r="472" spans="1:29" ht="15.5">
      <c r="A472" s="13" t="str">
        <f>IF(OR(ISBLANK(C472),ISBLANK(D472),ISBLANK(F472),ISBLANK(G472)),"",COUNTIF($B$5:B472,"JAMBUTU"))</f>
        <v/>
      </c>
      <c r="B472" s="8" t="str">
        <f t="shared" si="56"/>
        <v/>
      </c>
      <c r="C472" s="8"/>
      <c r="D472" s="8"/>
      <c r="E472" s="18"/>
      <c r="F472" s="12"/>
      <c r="G472" s="17"/>
      <c r="H472" s="12"/>
      <c r="I472" s="17"/>
      <c r="J472" s="10">
        <f t="shared" si="50"/>
        <v>0</v>
      </c>
      <c r="K472" s="10">
        <f t="shared" si="51"/>
        <v>0</v>
      </c>
      <c r="L472" s="9" t="str">
        <f t="shared" si="52"/>
        <v/>
      </c>
      <c r="M472" s="8"/>
      <c r="N472" s="8"/>
      <c r="O472" s="8"/>
      <c r="P472" s="8"/>
      <c r="Q472" s="8"/>
      <c r="R472" s="8"/>
      <c r="S472" s="8"/>
      <c r="T472" s="8"/>
      <c r="U472" s="8"/>
      <c r="V472" s="7"/>
      <c r="W472" s="6" t="str">
        <f t="array" ref="W472">IF(NOT(ISBLANK(D472)),_xludf.XLOOKUP(D472,[2]CODE!$A$4:$A$100,[2]CODE!$D$4:$D$100),"")</f>
        <v/>
      </c>
      <c r="X472" s="5" t="str">
        <f t="array" ref="X472">IF(NOT(AND(ISBLANK(D472),ISBLANK(C472))),_xludf.XLOOKUP(D472,[2]CODE!$A$4:$A$100,[2]CODE!$E$4:$E$100),"")</f>
        <v/>
      </c>
      <c r="Y472" s="5" t="str">
        <f t="shared" si="53"/>
        <v/>
      </c>
      <c r="Z472" s="5" t="str">
        <f t="shared" si="54"/>
        <v/>
      </c>
      <c r="AA472" s="4">
        <f t="shared" si="55"/>
        <v>0</v>
      </c>
      <c r="AC472" s="2"/>
    </row>
    <row r="473" spans="1:29" ht="15.5">
      <c r="A473" s="13" t="str">
        <f>IF(OR(ISBLANK(C473),ISBLANK(D473),ISBLANK(F473),ISBLANK(G473)),"",COUNTIF($B$5:B473,"JAMBUTU"))</f>
        <v/>
      </c>
      <c r="B473" s="8" t="str">
        <f t="shared" si="56"/>
        <v/>
      </c>
      <c r="C473" s="8"/>
      <c r="D473" s="8"/>
      <c r="E473" s="18"/>
      <c r="F473" s="12"/>
      <c r="G473" s="17"/>
      <c r="H473" s="12"/>
      <c r="I473" s="17"/>
      <c r="J473" s="10">
        <f t="shared" si="50"/>
        <v>0</v>
      </c>
      <c r="K473" s="10">
        <f t="shared" si="51"/>
        <v>0</v>
      </c>
      <c r="L473" s="9" t="str">
        <f t="shared" si="52"/>
        <v/>
      </c>
      <c r="M473" s="8"/>
      <c r="N473" s="8"/>
      <c r="O473" s="8"/>
      <c r="P473" s="8"/>
      <c r="Q473" s="8"/>
      <c r="R473" s="8"/>
      <c r="S473" s="16"/>
      <c r="T473" s="8"/>
      <c r="U473" s="8"/>
      <c r="V473" s="7"/>
      <c r="W473" s="6" t="str">
        <f t="array" ref="W473">IF(NOT(ISBLANK(D473)),_xludf.XLOOKUP(D473,[2]CODE!$A$4:$A$100,[2]CODE!$D$4:$D$100),"")</f>
        <v/>
      </c>
      <c r="X473" s="5" t="str">
        <f t="array" ref="X473">IF(NOT(AND(ISBLANK(D473),ISBLANK(C473))),_xludf.XLOOKUP(D473,[2]CODE!$A$4:$A$100,[2]CODE!$E$4:$E$100),"")</f>
        <v/>
      </c>
      <c r="Y473" s="5" t="str">
        <f t="shared" si="53"/>
        <v/>
      </c>
      <c r="Z473" s="5" t="str">
        <f t="shared" si="54"/>
        <v/>
      </c>
      <c r="AA473" s="4">
        <f t="shared" si="55"/>
        <v>0</v>
      </c>
      <c r="AC473" s="2"/>
    </row>
    <row r="474" spans="1:29" ht="15.5">
      <c r="A474" s="13" t="str">
        <f>IF(OR(ISBLANK(C474),ISBLANK(D474),ISBLANK(F474),ISBLANK(G474)),"",COUNTIF($B$5:B474,"JAMBUTU"))</f>
        <v/>
      </c>
      <c r="B474" s="8" t="str">
        <f t="shared" si="56"/>
        <v/>
      </c>
      <c r="C474" s="8"/>
      <c r="D474" s="8"/>
      <c r="E474" s="18"/>
      <c r="F474" s="12"/>
      <c r="G474" s="17"/>
      <c r="H474" s="12"/>
      <c r="I474" s="17"/>
      <c r="J474" s="10">
        <f t="shared" si="50"/>
        <v>0</v>
      </c>
      <c r="K474" s="10">
        <f t="shared" si="51"/>
        <v>0</v>
      </c>
      <c r="L474" s="9" t="str">
        <f t="shared" si="52"/>
        <v/>
      </c>
      <c r="M474" s="8"/>
      <c r="N474" s="8"/>
      <c r="O474" s="8"/>
      <c r="P474" s="8"/>
      <c r="Q474" s="8"/>
      <c r="R474" s="16"/>
      <c r="S474" s="8"/>
      <c r="T474" s="8"/>
      <c r="U474" s="8"/>
      <c r="V474" s="7"/>
      <c r="W474" s="6" t="str">
        <f t="array" ref="W474">IF(NOT(ISBLANK(D474)),_xludf.XLOOKUP(D474,[2]CODE!$A$4:$A$100,[2]CODE!$D$4:$D$100),"")</f>
        <v/>
      </c>
      <c r="X474" s="5" t="str">
        <f t="array" ref="X474">IF(NOT(AND(ISBLANK(D474),ISBLANK(C474))),_xludf.XLOOKUP(D474,[2]CODE!$A$4:$A$100,[2]CODE!$E$4:$E$100),"")</f>
        <v/>
      </c>
      <c r="Y474" s="5" t="str">
        <f t="shared" si="53"/>
        <v/>
      </c>
      <c r="Z474" s="5" t="str">
        <f t="shared" si="54"/>
        <v/>
      </c>
      <c r="AA474" s="4">
        <f t="shared" si="55"/>
        <v>0</v>
      </c>
      <c r="AC474" s="2"/>
    </row>
    <row r="475" spans="1:29" ht="15.5">
      <c r="A475" s="13" t="str">
        <f>IF(OR(ISBLANK(C475),ISBLANK(D475),ISBLANK(F475),ISBLANK(G475)),"",COUNTIF($B$5:B475,"JAMBUTU"))</f>
        <v/>
      </c>
      <c r="B475" s="8" t="str">
        <f t="shared" si="56"/>
        <v/>
      </c>
      <c r="C475" s="8"/>
      <c r="D475" s="8"/>
      <c r="E475" s="18"/>
      <c r="F475" s="12"/>
      <c r="G475" s="17"/>
      <c r="H475" s="12"/>
      <c r="I475" s="17"/>
      <c r="J475" s="10">
        <f t="shared" si="50"/>
        <v>0</v>
      </c>
      <c r="K475" s="10">
        <f t="shared" si="51"/>
        <v>0</v>
      </c>
      <c r="L475" s="9" t="str">
        <f t="shared" si="52"/>
        <v/>
      </c>
      <c r="M475" s="8"/>
      <c r="N475" s="8"/>
      <c r="O475" s="8"/>
      <c r="P475" s="8"/>
      <c r="Q475" s="8"/>
      <c r="R475" s="16"/>
      <c r="S475" s="8"/>
      <c r="T475" s="8"/>
      <c r="U475" s="8"/>
      <c r="V475" s="7"/>
      <c r="W475" s="6" t="str">
        <f t="array" ref="W475">IF(NOT(ISBLANK(D475)),_xludf.XLOOKUP(D475,[2]CODE!$A$4:$A$100,[2]CODE!$D$4:$D$100),"")</f>
        <v/>
      </c>
      <c r="X475" s="5" t="str">
        <f t="array" ref="X475">IF(NOT(AND(ISBLANK(D475),ISBLANK(C475))),_xludf.XLOOKUP(D475,[2]CODE!$A$4:$A$100,[2]CODE!$E$4:$E$100),"")</f>
        <v/>
      </c>
      <c r="Y475" s="5" t="str">
        <f t="shared" si="53"/>
        <v/>
      </c>
      <c r="Z475" s="5" t="str">
        <f t="shared" si="54"/>
        <v/>
      </c>
      <c r="AA475" s="4">
        <f t="shared" si="55"/>
        <v>0</v>
      </c>
      <c r="AC475" s="2"/>
    </row>
    <row r="476" spans="1:29" ht="15.5">
      <c r="A476" s="13" t="str">
        <f>IF(OR(ISBLANK(C476),ISBLANK(D476),ISBLANK(F476),ISBLANK(G476)),"",COUNTIF($B$5:B476,"JAMBUTU"))</f>
        <v/>
      </c>
      <c r="B476" s="8" t="str">
        <f t="shared" si="56"/>
        <v/>
      </c>
      <c r="C476" s="8"/>
      <c r="D476" s="8"/>
      <c r="E476" s="13"/>
      <c r="F476" s="12"/>
      <c r="G476" s="11"/>
      <c r="H476" s="12"/>
      <c r="I476" s="11"/>
      <c r="J476" s="10">
        <f t="shared" si="50"/>
        <v>0</v>
      </c>
      <c r="K476" s="10">
        <f t="shared" si="51"/>
        <v>0</v>
      </c>
      <c r="L476" s="9" t="str">
        <f t="shared" si="52"/>
        <v/>
      </c>
      <c r="M476" s="8"/>
      <c r="N476" s="8"/>
      <c r="O476" s="8"/>
      <c r="P476" s="8"/>
      <c r="Q476" s="8"/>
      <c r="R476" s="8"/>
      <c r="S476" s="8"/>
      <c r="T476" s="8"/>
      <c r="U476" s="8"/>
      <c r="V476" s="7"/>
      <c r="W476" s="6" t="str">
        <f t="array" ref="W476">IF(NOT(ISBLANK(D476)),_xludf.XLOOKUP(D476,[2]CODE!$A$4:$A$100,[2]CODE!$D$4:$D$100),"")</f>
        <v/>
      </c>
      <c r="X476" s="5" t="str">
        <f t="array" ref="X476">IF(NOT(AND(ISBLANK(D476),ISBLANK(C476))),_xludf.XLOOKUP(D476,[2]CODE!$A$4:$A$100,[2]CODE!$E$4:$E$100),"")</f>
        <v/>
      </c>
      <c r="Y476" s="5" t="str">
        <f t="shared" si="53"/>
        <v/>
      </c>
      <c r="Z476" s="5" t="str">
        <f t="shared" si="54"/>
        <v/>
      </c>
      <c r="AA476" s="4">
        <f t="shared" si="55"/>
        <v>0</v>
      </c>
      <c r="AC476" s="2"/>
    </row>
    <row r="477" spans="1:29" ht="15.5">
      <c r="A477" s="13" t="str">
        <f>IF(OR(ISBLANK(C477),ISBLANK(D477),ISBLANK(F477),ISBLANK(G477)),"",COUNTIF($B$5:B477,"JAMBUTU"))</f>
        <v/>
      </c>
      <c r="B477" s="8" t="str">
        <f t="shared" si="56"/>
        <v/>
      </c>
      <c r="C477" s="8"/>
      <c r="D477" s="8"/>
      <c r="E477" s="13"/>
      <c r="F477" s="12"/>
      <c r="G477" s="11"/>
      <c r="H477" s="12"/>
      <c r="I477" s="11"/>
      <c r="J477" s="10">
        <f t="shared" si="50"/>
        <v>0</v>
      </c>
      <c r="K477" s="10">
        <f t="shared" si="51"/>
        <v>0</v>
      </c>
      <c r="L477" s="9" t="str">
        <f t="shared" si="52"/>
        <v/>
      </c>
      <c r="M477" s="8"/>
      <c r="N477" s="8"/>
      <c r="O477" s="8"/>
      <c r="P477" s="8"/>
      <c r="Q477" s="8"/>
      <c r="R477" s="8"/>
      <c r="S477" s="8"/>
      <c r="T477" s="8"/>
      <c r="U477" s="8"/>
      <c r="V477" s="7"/>
      <c r="W477" s="6" t="str">
        <f t="array" ref="W477">IF(NOT(ISBLANK(D477)),_xludf.XLOOKUP(D477,[2]CODE!$A$4:$A$100,[2]CODE!$D$4:$D$100),"")</f>
        <v/>
      </c>
      <c r="X477" s="5" t="str">
        <f t="array" ref="X477">IF(NOT(AND(ISBLANK(D477),ISBLANK(C477))),_xludf.XLOOKUP(D477,[2]CODE!$A$4:$A$100,[2]CODE!$E$4:$E$100),"")</f>
        <v/>
      </c>
      <c r="Y477" s="5" t="str">
        <f t="shared" si="53"/>
        <v/>
      </c>
      <c r="Z477" s="5" t="str">
        <f t="shared" si="54"/>
        <v/>
      </c>
      <c r="AA477" s="4">
        <f t="shared" si="55"/>
        <v>0</v>
      </c>
      <c r="AC477" s="2"/>
    </row>
    <row r="478" spans="1:29" ht="15.5">
      <c r="A478" s="13" t="str">
        <f>IF(OR(ISBLANK(C478),ISBLANK(D478),ISBLANK(F478),ISBLANK(G478)),"",COUNTIF($B$5:B478,"JAMBUTU"))</f>
        <v/>
      </c>
      <c r="B478" s="8" t="str">
        <f t="shared" si="56"/>
        <v/>
      </c>
      <c r="C478" s="8"/>
      <c r="D478" s="8"/>
      <c r="E478" s="13"/>
      <c r="F478" s="12"/>
      <c r="G478" s="11"/>
      <c r="H478" s="12"/>
      <c r="I478" s="11"/>
      <c r="J478" s="10">
        <f t="shared" si="50"/>
        <v>0</v>
      </c>
      <c r="K478" s="10">
        <f t="shared" si="51"/>
        <v>0</v>
      </c>
      <c r="L478" s="9" t="str">
        <f t="shared" si="52"/>
        <v/>
      </c>
      <c r="M478" s="8"/>
      <c r="N478" s="8"/>
      <c r="O478" s="8"/>
      <c r="P478" s="8"/>
      <c r="Q478" s="8"/>
      <c r="R478" s="8"/>
      <c r="S478" s="8"/>
      <c r="T478" s="8"/>
      <c r="U478" s="8"/>
      <c r="V478" s="7"/>
      <c r="W478" s="6" t="str">
        <f t="array" ref="W478">IF(NOT(ISBLANK(D478)),_xludf.XLOOKUP(D478,[2]CODE!$A$4:$A$100,[2]CODE!$D$4:$D$100),"")</f>
        <v/>
      </c>
      <c r="X478" s="5" t="str">
        <f t="array" ref="X478">IF(NOT(AND(ISBLANK(D478),ISBLANK(C478))),_xludf.XLOOKUP(D478,[2]CODE!$A$4:$A$100,[2]CODE!$E$4:$E$100),"")</f>
        <v/>
      </c>
      <c r="Y478" s="5" t="str">
        <f t="shared" si="53"/>
        <v/>
      </c>
      <c r="Z478" s="5" t="str">
        <f t="shared" si="54"/>
        <v/>
      </c>
      <c r="AA478" s="4">
        <f t="shared" si="55"/>
        <v>0</v>
      </c>
      <c r="AC478" s="2"/>
    </row>
    <row r="479" spans="1:29" ht="15.5">
      <c r="A479" s="13" t="str">
        <f>IF(OR(ISBLANK(C479),ISBLANK(D479),ISBLANK(F479),ISBLANK(G479)),"",COUNTIF($B$5:B479,"JAMBUTU"))</f>
        <v/>
      </c>
      <c r="B479" s="8" t="str">
        <f t="shared" si="56"/>
        <v/>
      </c>
      <c r="C479" s="8"/>
      <c r="D479" s="8"/>
      <c r="E479" s="13"/>
      <c r="F479" s="12"/>
      <c r="G479" s="11"/>
      <c r="H479" s="12"/>
      <c r="I479" s="11"/>
      <c r="J479" s="10">
        <f t="shared" si="50"/>
        <v>0</v>
      </c>
      <c r="K479" s="10">
        <f t="shared" si="51"/>
        <v>0</v>
      </c>
      <c r="L479" s="9" t="str">
        <f t="shared" si="52"/>
        <v/>
      </c>
      <c r="M479" s="8"/>
      <c r="N479" s="8"/>
      <c r="O479" s="8"/>
      <c r="P479" s="8"/>
      <c r="Q479" s="8"/>
      <c r="R479" s="8"/>
      <c r="S479" s="8"/>
      <c r="T479" s="8"/>
      <c r="U479" s="8"/>
      <c r="V479" s="7"/>
      <c r="W479" s="6" t="str">
        <f t="array" ref="W479">IF(NOT(ISBLANK(D479)),_xludf.XLOOKUP(D479,[2]CODE!$A$4:$A$100,[2]CODE!$D$4:$D$100),"")</f>
        <v/>
      </c>
      <c r="X479" s="5" t="str">
        <f t="array" ref="X479">IF(NOT(AND(ISBLANK(D479),ISBLANK(C479))),_xludf.XLOOKUP(D479,[2]CODE!$A$4:$A$100,[2]CODE!$E$4:$E$100),"")</f>
        <v/>
      </c>
      <c r="Y479" s="5" t="str">
        <f t="shared" si="53"/>
        <v/>
      </c>
      <c r="Z479" s="5" t="str">
        <f t="shared" si="54"/>
        <v/>
      </c>
      <c r="AA479" s="4">
        <f t="shared" si="55"/>
        <v>0</v>
      </c>
      <c r="AC479" s="2"/>
    </row>
    <row r="480" spans="1:29" ht="15.5">
      <c r="A480" s="13" t="str">
        <f>IF(OR(ISBLANK(C480),ISBLANK(D480),ISBLANK(F480),ISBLANK(G480)),"",COUNTIF($B$5:B480,"JAMBUTU"))</f>
        <v/>
      </c>
      <c r="B480" s="8" t="str">
        <f t="shared" si="56"/>
        <v/>
      </c>
      <c r="C480" s="8"/>
      <c r="D480" s="8"/>
      <c r="E480" s="13"/>
      <c r="F480" s="12"/>
      <c r="G480" s="11"/>
      <c r="H480" s="12"/>
      <c r="I480" s="11"/>
      <c r="J480" s="10">
        <f t="shared" si="50"/>
        <v>0</v>
      </c>
      <c r="K480" s="10">
        <f t="shared" si="51"/>
        <v>0</v>
      </c>
      <c r="L480" s="9" t="str">
        <f t="shared" si="52"/>
        <v/>
      </c>
      <c r="M480" s="8"/>
      <c r="N480" s="8"/>
      <c r="O480" s="8"/>
      <c r="P480" s="8"/>
      <c r="Q480" s="8"/>
      <c r="R480" s="8"/>
      <c r="S480" s="8"/>
      <c r="T480" s="8"/>
      <c r="U480" s="8"/>
      <c r="V480" s="7"/>
      <c r="W480" s="6" t="str">
        <f t="array" ref="W480">IF(NOT(ISBLANK(D480)),_xludf.XLOOKUP(D480,[2]CODE!$A$4:$A$100,[2]CODE!$D$4:$D$100),"")</f>
        <v/>
      </c>
      <c r="X480" s="5" t="str">
        <f t="array" ref="X480">IF(NOT(AND(ISBLANK(D480),ISBLANK(C480))),_xludf.XLOOKUP(D480,[2]CODE!$A$4:$A$100,[2]CODE!$E$4:$E$100),"")</f>
        <v/>
      </c>
      <c r="Y480" s="5" t="str">
        <f t="shared" si="53"/>
        <v/>
      </c>
      <c r="Z480" s="5" t="str">
        <f t="shared" si="54"/>
        <v/>
      </c>
      <c r="AA480" s="4">
        <f t="shared" si="55"/>
        <v>0</v>
      </c>
      <c r="AC480" s="2"/>
    </row>
    <row r="481" spans="1:29" ht="15.5">
      <c r="A481" s="13" t="str">
        <f>IF(OR(ISBLANK(C481),ISBLANK(D481),ISBLANK(F481),ISBLANK(G481)),"",COUNTIF($B$5:B481,"JAMBUTU"))</f>
        <v/>
      </c>
      <c r="B481" s="8" t="str">
        <f t="shared" si="56"/>
        <v/>
      </c>
      <c r="C481" s="8"/>
      <c r="D481" s="8"/>
      <c r="E481" s="13"/>
      <c r="F481" s="12"/>
      <c r="G481" s="11"/>
      <c r="H481" s="12"/>
      <c r="I481" s="11"/>
      <c r="J481" s="10">
        <f t="shared" si="50"/>
        <v>0</v>
      </c>
      <c r="K481" s="10">
        <f t="shared" si="51"/>
        <v>0</v>
      </c>
      <c r="L481" s="9" t="str">
        <f t="shared" si="52"/>
        <v/>
      </c>
      <c r="M481" s="8"/>
      <c r="N481" s="8"/>
      <c r="O481" s="8"/>
      <c r="P481" s="8"/>
      <c r="Q481" s="8"/>
      <c r="R481" s="8"/>
      <c r="S481" s="8"/>
      <c r="T481" s="8"/>
      <c r="U481" s="8"/>
      <c r="V481" s="7"/>
      <c r="W481" s="6" t="str">
        <f t="array" ref="W481">IF(NOT(ISBLANK(D481)),_xludf.XLOOKUP(D481,[2]CODE!$A$4:$A$100,[2]CODE!$D$4:$D$100),"")</f>
        <v/>
      </c>
      <c r="X481" s="5" t="str">
        <f t="array" ref="X481">IF(NOT(AND(ISBLANK(D481),ISBLANK(C481))),_xludf.XLOOKUP(D481,[2]CODE!$A$4:$A$100,[2]CODE!$E$4:$E$100),"")</f>
        <v/>
      </c>
      <c r="Y481" s="5" t="str">
        <f t="shared" si="53"/>
        <v/>
      </c>
      <c r="Z481" s="5" t="str">
        <f t="shared" si="54"/>
        <v/>
      </c>
      <c r="AA481" s="4">
        <f t="shared" si="55"/>
        <v>0</v>
      </c>
      <c r="AC481" s="2"/>
    </row>
    <row r="482" spans="1:29" ht="15.5">
      <c r="A482" s="13" t="str">
        <f>IF(OR(ISBLANK(C482),ISBLANK(D482),ISBLANK(F482),ISBLANK(G482)),"",COUNTIF($B$5:B482,"JAMBUTU"))</f>
        <v/>
      </c>
      <c r="B482" s="8" t="str">
        <f t="shared" si="56"/>
        <v/>
      </c>
      <c r="C482" s="8"/>
      <c r="D482" s="8"/>
      <c r="E482" s="13"/>
      <c r="F482" s="12"/>
      <c r="G482" s="11"/>
      <c r="H482" s="12"/>
      <c r="I482" s="11"/>
      <c r="J482" s="10">
        <f t="shared" si="50"/>
        <v>0</v>
      </c>
      <c r="K482" s="10">
        <f t="shared" si="51"/>
        <v>0</v>
      </c>
      <c r="L482" s="9" t="str">
        <f t="shared" si="52"/>
        <v/>
      </c>
      <c r="M482" s="8"/>
      <c r="N482" s="8"/>
      <c r="O482" s="8"/>
      <c r="P482" s="8"/>
      <c r="Q482" s="8"/>
      <c r="R482" s="8"/>
      <c r="S482" s="8"/>
      <c r="T482" s="8"/>
      <c r="U482" s="8"/>
      <c r="V482" s="7"/>
      <c r="W482" s="6" t="str">
        <f t="array" ref="W482">IF(NOT(ISBLANK(D482)),_xludf.XLOOKUP(D482,[2]CODE!$A$4:$A$100,[2]CODE!$D$4:$D$100),"")</f>
        <v/>
      </c>
      <c r="X482" s="5" t="str">
        <f t="array" ref="X482">IF(NOT(AND(ISBLANK(D482),ISBLANK(C482))),_xludf.XLOOKUP(D482,[2]CODE!$A$4:$A$100,[2]CODE!$E$4:$E$100),"")</f>
        <v/>
      </c>
      <c r="Y482" s="5" t="str">
        <f t="shared" si="53"/>
        <v/>
      </c>
      <c r="Z482" s="5" t="str">
        <f t="shared" si="54"/>
        <v/>
      </c>
      <c r="AA482" s="4">
        <f t="shared" si="55"/>
        <v>0</v>
      </c>
      <c r="AC482" s="2"/>
    </row>
    <row r="483" spans="1:29" ht="15.5">
      <c r="A483" s="13" t="str">
        <f>IF(OR(ISBLANK(C483),ISBLANK(D483),ISBLANK(F483),ISBLANK(G483)),"",COUNTIF($B$5:B483,"JAMBUTU"))</f>
        <v/>
      </c>
      <c r="B483" s="8" t="str">
        <f t="shared" si="56"/>
        <v/>
      </c>
      <c r="C483" s="8"/>
      <c r="D483" s="8"/>
      <c r="E483" s="13"/>
      <c r="F483" s="12"/>
      <c r="G483" s="11"/>
      <c r="H483" s="12"/>
      <c r="I483" s="11"/>
      <c r="J483" s="10">
        <f t="shared" si="50"/>
        <v>0</v>
      </c>
      <c r="K483" s="10">
        <f t="shared" si="51"/>
        <v>0</v>
      </c>
      <c r="L483" s="9" t="str">
        <f t="shared" si="52"/>
        <v/>
      </c>
      <c r="M483" s="8"/>
      <c r="N483" s="8"/>
      <c r="O483" s="8"/>
      <c r="P483" s="8"/>
      <c r="Q483" s="8"/>
      <c r="R483" s="8"/>
      <c r="S483" s="8"/>
      <c r="T483" s="8"/>
      <c r="U483" s="8"/>
      <c r="V483" s="7"/>
      <c r="W483" s="6" t="str">
        <f t="array" ref="W483">IF(NOT(ISBLANK(D483)),_xludf.XLOOKUP(D483,[2]CODE!$A$4:$A$100,[2]CODE!$D$4:$D$100),"")</f>
        <v/>
      </c>
      <c r="X483" s="5" t="str">
        <f t="array" ref="X483">IF(NOT(AND(ISBLANK(D483),ISBLANK(C483))),_xludf.XLOOKUP(D483,[2]CODE!$A$4:$A$100,[2]CODE!$E$4:$E$100),"")</f>
        <v/>
      </c>
      <c r="Y483" s="5" t="str">
        <f t="shared" si="53"/>
        <v/>
      </c>
      <c r="Z483" s="5" t="str">
        <f t="shared" si="54"/>
        <v/>
      </c>
      <c r="AA483" s="4">
        <f t="shared" si="55"/>
        <v>0</v>
      </c>
      <c r="AC483" s="2"/>
    </row>
    <row r="484" spans="1:29" ht="15.5">
      <c r="A484" s="13" t="str">
        <f>IF(OR(ISBLANK(C484),ISBLANK(D484),ISBLANK(F484),ISBLANK(G484)),"",COUNTIF($B$5:B484,"JAMBUTU"))</f>
        <v/>
      </c>
      <c r="B484" s="8" t="str">
        <f t="shared" si="56"/>
        <v/>
      </c>
      <c r="C484" s="8"/>
      <c r="D484" s="8"/>
      <c r="E484" s="13"/>
      <c r="F484" s="12"/>
      <c r="G484" s="11"/>
      <c r="H484" s="12"/>
      <c r="I484" s="11"/>
      <c r="J484" s="10">
        <f t="shared" si="50"/>
        <v>0</v>
      </c>
      <c r="K484" s="10">
        <f t="shared" si="51"/>
        <v>0</v>
      </c>
      <c r="L484" s="9" t="str">
        <f t="shared" si="52"/>
        <v/>
      </c>
      <c r="M484" s="8"/>
      <c r="N484" s="8"/>
      <c r="O484" s="8"/>
      <c r="P484" s="8"/>
      <c r="Q484" s="8"/>
      <c r="R484" s="8"/>
      <c r="S484" s="8"/>
      <c r="T484" s="8"/>
      <c r="U484" s="8"/>
      <c r="V484" s="7"/>
      <c r="W484" s="6" t="str">
        <f t="array" ref="W484">IF(NOT(ISBLANK(D484)),_xludf.XLOOKUP(D484,[2]CODE!$A$4:$A$100,[2]CODE!$D$4:$D$100),"")</f>
        <v/>
      </c>
      <c r="X484" s="5" t="str">
        <f t="array" ref="X484">IF(NOT(AND(ISBLANK(D484),ISBLANK(C484))),_xludf.XLOOKUP(D484,[2]CODE!$A$4:$A$100,[2]CODE!$E$4:$E$100),"")</f>
        <v/>
      </c>
      <c r="Y484" s="5" t="str">
        <f t="shared" si="53"/>
        <v/>
      </c>
      <c r="Z484" s="5" t="str">
        <f t="shared" si="54"/>
        <v/>
      </c>
      <c r="AA484" s="4">
        <f t="shared" si="55"/>
        <v>0</v>
      </c>
      <c r="AC484" s="2"/>
    </row>
    <row r="485" spans="1:29" ht="15.5">
      <c r="A485" s="13" t="str">
        <f>IF(OR(ISBLANK(C485),ISBLANK(D485),ISBLANK(F485),ISBLANK(G485)),"",COUNTIF($B$5:B485,"JAMBUTU"))</f>
        <v/>
      </c>
      <c r="B485" s="8" t="str">
        <f t="shared" si="56"/>
        <v/>
      </c>
      <c r="C485" s="8"/>
      <c r="D485" s="8"/>
      <c r="E485" s="13"/>
      <c r="F485" s="12"/>
      <c r="G485" s="11"/>
      <c r="H485" s="12"/>
      <c r="I485" s="11"/>
      <c r="J485" s="10">
        <f t="shared" si="50"/>
        <v>0</v>
      </c>
      <c r="K485" s="10">
        <f t="shared" si="51"/>
        <v>0</v>
      </c>
      <c r="L485" s="9" t="str">
        <f t="shared" si="52"/>
        <v/>
      </c>
      <c r="M485" s="8"/>
      <c r="N485" s="8"/>
      <c r="O485" s="8"/>
      <c r="P485" s="8"/>
      <c r="Q485" s="8"/>
      <c r="R485" s="8"/>
      <c r="S485" s="8"/>
      <c r="T485" s="8"/>
      <c r="U485" s="8"/>
      <c r="V485" s="7"/>
      <c r="W485" s="6" t="str">
        <f t="array" ref="W485">IF(NOT(ISBLANK(D485)),_xludf.XLOOKUP(D485,[2]CODE!$A$4:$A$100,[2]CODE!$D$4:$D$100),"")</f>
        <v/>
      </c>
      <c r="X485" s="5" t="str">
        <f t="array" ref="X485">IF(NOT(AND(ISBLANK(D485),ISBLANK(C485))),_xludf.XLOOKUP(D485,[2]CODE!$A$4:$A$100,[2]CODE!$E$4:$E$100),"")</f>
        <v/>
      </c>
      <c r="Y485" s="5" t="str">
        <f t="shared" si="53"/>
        <v/>
      </c>
      <c r="Z485" s="5" t="str">
        <f t="shared" si="54"/>
        <v/>
      </c>
      <c r="AA485" s="4">
        <f t="shared" si="55"/>
        <v>0</v>
      </c>
      <c r="AC485" s="2"/>
    </row>
    <row r="486" spans="1:29" ht="15.5">
      <c r="A486" s="13" t="str">
        <f>IF(OR(ISBLANK(C486),ISBLANK(D486),ISBLANK(F486),ISBLANK(G486)),"",COUNTIF($B$5:B486,"JAMBUTU"))</f>
        <v/>
      </c>
      <c r="B486" s="8" t="str">
        <f t="shared" si="56"/>
        <v/>
      </c>
      <c r="C486" s="8"/>
      <c r="D486" s="8"/>
      <c r="E486" s="13"/>
      <c r="F486" s="12"/>
      <c r="G486" s="11"/>
      <c r="H486" s="12"/>
      <c r="I486" s="11"/>
      <c r="J486" s="10">
        <f t="shared" si="50"/>
        <v>0</v>
      </c>
      <c r="K486" s="10">
        <f t="shared" si="51"/>
        <v>0</v>
      </c>
      <c r="L486" s="9" t="str">
        <f t="shared" si="52"/>
        <v/>
      </c>
      <c r="M486" s="8"/>
      <c r="N486" s="8"/>
      <c r="O486" s="8"/>
      <c r="P486" s="8"/>
      <c r="Q486" s="8"/>
      <c r="R486" s="8"/>
      <c r="S486" s="8"/>
      <c r="T486" s="8"/>
      <c r="U486" s="8"/>
      <c r="V486" s="7"/>
      <c r="W486" s="6" t="str">
        <f t="array" ref="W486">IF(NOT(ISBLANK(D486)),_xludf.XLOOKUP(D486,[2]CODE!$A$4:$A$100,[2]CODE!$D$4:$D$100),"")</f>
        <v/>
      </c>
      <c r="X486" s="5" t="str">
        <f t="array" ref="X486">IF(NOT(AND(ISBLANK(D486),ISBLANK(C486))),_xludf.XLOOKUP(D486,[2]CODE!$A$4:$A$100,[2]CODE!$E$4:$E$100),"")</f>
        <v/>
      </c>
      <c r="Y486" s="5" t="str">
        <f t="shared" si="53"/>
        <v/>
      </c>
      <c r="Z486" s="5" t="str">
        <f t="shared" si="54"/>
        <v/>
      </c>
      <c r="AA486" s="4">
        <f t="shared" si="55"/>
        <v>0</v>
      </c>
      <c r="AC486" s="2"/>
    </row>
    <row r="487" spans="1:29" ht="15.5">
      <c r="A487" s="13" t="str">
        <f>IF(OR(ISBLANK(C487),ISBLANK(D487),ISBLANK(F487),ISBLANK(G487)),"",COUNTIF($B$5:B487,"JAMBUTU"))</f>
        <v/>
      </c>
      <c r="B487" s="8" t="str">
        <f t="shared" si="56"/>
        <v/>
      </c>
      <c r="C487" s="8"/>
      <c r="D487" s="8"/>
      <c r="E487" s="13"/>
      <c r="F487" s="12"/>
      <c r="G487" s="11"/>
      <c r="H487" s="12"/>
      <c r="I487" s="11"/>
      <c r="J487" s="10">
        <f t="shared" si="50"/>
        <v>0</v>
      </c>
      <c r="K487" s="10">
        <f t="shared" si="51"/>
        <v>0</v>
      </c>
      <c r="L487" s="9" t="str">
        <f t="shared" si="52"/>
        <v/>
      </c>
      <c r="M487" s="8"/>
      <c r="N487" s="8"/>
      <c r="O487" s="8"/>
      <c r="P487" s="8"/>
      <c r="Q487" s="8"/>
      <c r="R487" s="8"/>
      <c r="S487" s="8"/>
      <c r="T487" s="8"/>
      <c r="U487" s="8"/>
      <c r="V487" s="7"/>
      <c r="W487" s="6" t="str">
        <f t="array" ref="W487">IF(NOT(ISBLANK(D487)),_xludf.XLOOKUP(D487,[2]CODE!$A$4:$A$100,[2]CODE!$D$4:$D$100),"")</f>
        <v/>
      </c>
      <c r="X487" s="5" t="str">
        <f t="array" ref="X487">IF(NOT(AND(ISBLANK(D487),ISBLANK(C487))),_xludf.XLOOKUP(D487,[2]CODE!$A$4:$A$100,[2]CODE!$E$4:$E$100),"")</f>
        <v/>
      </c>
      <c r="Y487" s="5" t="str">
        <f t="shared" si="53"/>
        <v/>
      </c>
      <c r="Z487" s="5" t="str">
        <f t="shared" si="54"/>
        <v/>
      </c>
      <c r="AA487" s="4">
        <f t="shared" si="55"/>
        <v>0</v>
      </c>
      <c r="AC487" s="2"/>
    </row>
    <row r="488" spans="1:29" ht="15.5">
      <c r="A488" s="13" t="str">
        <f>IF(OR(ISBLANK(C488),ISBLANK(D488),ISBLANK(F488),ISBLANK(G488)),"",COUNTIF($B$5:B488,"JAMBUTU"))</f>
        <v/>
      </c>
      <c r="B488" s="8" t="str">
        <f t="shared" si="56"/>
        <v/>
      </c>
      <c r="C488" s="8"/>
      <c r="D488" s="8"/>
      <c r="E488" s="13"/>
      <c r="F488" s="12"/>
      <c r="G488" s="11"/>
      <c r="H488" s="12"/>
      <c r="I488" s="11"/>
      <c r="J488" s="10">
        <f t="shared" si="50"/>
        <v>0</v>
      </c>
      <c r="K488" s="10">
        <f t="shared" si="51"/>
        <v>0</v>
      </c>
      <c r="L488" s="9" t="str">
        <f t="shared" si="52"/>
        <v/>
      </c>
      <c r="M488" s="8"/>
      <c r="N488" s="8"/>
      <c r="O488" s="8"/>
      <c r="P488" s="8"/>
      <c r="Q488" s="8"/>
      <c r="R488" s="8"/>
      <c r="S488" s="8"/>
      <c r="T488" s="8"/>
      <c r="U488" s="8"/>
      <c r="V488" s="7"/>
      <c r="W488" s="6" t="str">
        <f t="array" ref="W488">IF(NOT(ISBLANK(D488)),_xludf.XLOOKUP(D488,[2]CODE!$A$4:$A$100,[2]CODE!$D$4:$D$100),"")</f>
        <v/>
      </c>
      <c r="X488" s="5" t="str">
        <f t="array" ref="X488">IF(NOT(AND(ISBLANK(D488),ISBLANK(C488))),_xludf.XLOOKUP(D488,[2]CODE!$A$4:$A$100,[2]CODE!$E$4:$E$100),"")</f>
        <v/>
      </c>
      <c r="Y488" s="5" t="str">
        <f t="shared" si="53"/>
        <v/>
      </c>
      <c r="Z488" s="5" t="str">
        <f t="shared" si="54"/>
        <v/>
      </c>
      <c r="AA488" s="4">
        <f t="shared" si="55"/>
        <v>0</v>
      </c>
      <c r="AC488" s="2"/>
    </row>
    <row r="489" spans="1:29" ht="15.5">
      <c r="A489" s="13" t="str">
        <f>IF(OR(ISBLANK(C489),ISBLANK(D489),ISBLANK(F489),ISBLANK(G489)),"",COUNTIF($B$5:B489,"JAMBUTU"))</f>
        <v/>
      </c>
      <c r="B489" s="8" t="str">
        <f t="shared" si="56"/>
        <v/>
      </c>
      <c r="C489" s="8"/>
      <c r="D489" s="8"/>
      <c r="E489" s="13"/>
      <c r="F489" s="12"/>
      <c r="G489" s="11"/>
      <c r="H489" s="12"/>
      <c r="I489" s="11"/>
      <c r="J489" s="10">
        <f t="shared" si="50"/>
        <v>0</v>
      </c>
      <c r="K489" s="10">
        <f t="shared" si="51"/>
        <v>0</v>
      </c>
      <c r="L489" s="9" t="str">
        <f t="shared" si="52"/>
        <v/>
      </c>
      <c r="M489" s="8"/>
      <c r="N489" s="8"/>
      <c r="O489" s="8"/>
      <c r="P489" s="8"/>
      <c r="Q489" s="8"/>
      <c r="R489" s="8"/>
      <c r="S489" s="8"/>
      <c r="T489" s="8"/>
      <c r="U489" s="8"/>
      <c r="V489" s="7"/>
      <c r="W489" s="6" t="str">
        <f t="array" ref="W489">IF(NOT(ISBLANK(D489)),_xludf.XLOOKUP(D489,[2]CODE!$A$4:$A$100,[2]CODE!$D$4:$D$100),"")</f>
        <v/>
      </c>
      <c r="X489" s="5" t="str">
        <f t="array" ref="X489">IF(NOT(AND(ISBLANK(D489),ISBLANK(C489))),_xludf.XLOOKUP(D489,[2]CODE!$A$4:$A$100,[2]CODE!$E$4:$E$100),"")</f>
        <v/>
      </c>
      <c r="Y489" s="5" t="str">
        <f t="shared" si="53"/>
        <v/>
      </c>
      <c r="Z489" s="5" t="str">
        <f t="shared" si="54"/>
        <v/>
      </c>
      <c r="AA489" s="4">
        <f t="shared" si="55"/>
        <v>0</v>
      </c>
      <c r="AC489" s="2"/>
    </row>
    <row r="490" spans="1:29" ht="15.5">
      <c r="A490" s="13" t="str">
        <f>IF(OR(ISBLANK(C490),ISBLANK(D490),ISBLANK(F490),ISBLANK(G490)),"",COUNTIF($B$5:B490,"JAMBUTU"))</f>
        <v/>
      </c>
      <c r="B490" s="8" t="str">
        <f t="shared" si="56"/>
        <v/>
      </c>
      <c r="C490" s="8"/>
      <c r="D490" s="8"/>
      <c r="E490" s="13"/>
      <c r="F490" s="12"/>
      <c r="G490" s="11"/>
      <c r="H490" s="12"/>
      <c r="I490" s="11"/>
      <c r="J490" s="10">
        <f t="shared" si="50"/>
        <v>0</v>
      </c>
      <c r="K490" s="10">
        <f t="shared" si="51"/>
        <v>0</v>
      </c>
      <c r="L490" s="9" t="str">
        <f t="shared" si="52"/>
        <v/>
      </c>
      <c r="M490" s="8"/>
      <c r="N490" s="8"/>
      <c r="O490" s="8"/>
      <c r="P490" s="8"/>
      <c r="Q490" s="8"/>
      <c r="R490" s="8"/>
      <c r="S490" s="8"/>
      <c r="T490" s="8"/>
      <c r="U490" s="8"/>
      <c r="V490" s="7"/>
      <c r="W490" s="6" t="str">
        <f t="array" ref="W490">IF(NOT(ISBLANK(D490)),_xludf.XLOOKUP(D490,[2]CODE!$A$4:$A$100,[2]CODE!$D$4:$D$100),"")</f>
        <v/>
      </c>
      <c r="X490" s="5" t="str">
        <f t="array" ref="X490">IF(NOT(AND(ISBLANK(D490),ISBLANK(C490))),_xludf.XLOOKUP(D490,[2]CODE!$A$4:$A$100,[2]CODE!$E$4:$E$100),"")</f>
        <v/>
      </c>
      <c r="Y490" s="5" t="str">
        <f t="shared" si="53"/>
        <v/>
      </c>
      <c r="Z490" s="5" t="str">
        <f t="shared" si="54"/>
        <v/>
      </c>
      <c r="AA490" s="4">
        <f t="shared" si="55"/>
        <v>0</v>
      </c>
      <c r="AC490" s="2"/>
    </row>
    <row r="491" spans="1:29" ht="15.5">
      <c r="A491" s="13" t="str">
        <f>IF(OR(ISBLANK(C491),ISBLANK(D491),ISBLANK(F491),ISBLANK(G491)),"",COUNTIF($B$5:B491,"JAMBUTU"))</f>
        <v/>
      </c>
      <c r="B491" s="8" t="str">
        <f t="shared" si="56"/>
        <v/>
      </c>
      <c r="C491" s="8"/>
      <c r="D491" s="8"/>
      <c r="E491" s="13"/>
      <c r="F491" s="12"/>
      <c r="G491" s="11"/>
      <c r="H491" s="12"/>
      <c r="I491" s="11"/>
      <c r="J491" s="10">
        <f t="shared" si="50"/>
        <v>0</v>
      </c>
      <c r="K491" s="10">
        <f t="shared" si="51"/>
        <v>0</v>
      </c>
      <c r="L491" s="9" t="str">
        <f t="shared" si="52"/>
        <v/>
      </c>
      <c r="M491" s="8"/>
      <c r="N491" s="8"/>
      <c r="O491" s="8"/>
      <c r="P491" s="8"/>
      <c r="Q491" s="8"/>
      <c r="R491" s="8"/>
      <c r="S491" s="8"/>
      <c r="T491" s="8"/>
      <c r="U491" s="8"/>
      <c r="V491" s="7"/>
      <c r="W491" s="6" t="str">
        <f t="array" ref="W491">IF(NOT(ISBLANK(D491)),_xludf.XLOOKUP(D491,[2]CODE!$A$4:$A$100,[2]CODE!$D$4:$D$100),"")</f>
        <v/>
      </c>
      <c r="X491" s="5" t="str">
        <f t="array" ref="X491">IF(NOT(AND(ISBLANK(D491),ISBLANK(C491))),_xludf.XLOOKUP(D491,[2]CODE!$A$4:$A$100,[2]CODE!$E$4:$E$100),"")</f>
        <v/>
      </c>
      <c r="Y491" s="5" t="str">
        <f t="shared" si="53"/>
        <v/>
      </c>
      <c r="Z491" s="5" t="str">
        <f t="shared" si="54"/>
        <v/>
      </c>
      <c r="AA491" s="4">
        <f t="shared" si="55"/>
        <v>0</v>
      </c>
      <c r="AC491" s="2"/>
    </row>
    <row r="492" spans="1:29" ht="15.5">
      <c r="A492" s="13" t="str">
        <f>IF(OR(ISBLANK(C492),ISBLANK(D492),ISBLANK(F492),ISBLANK(G492)),"",COUNTIF($B$5:B492,"JAMBUTU"))</f>
        <v/>
      </c>
      <c r="B492" s="8" t="str">
        <f t="shared" si="56"/>
        <v/>
      </c>
      <c r="C492" s="8"/>
      <c r="D492" s="8"/>
      <c r="E492" s="13"/>
      <c r="F492" s="12"/>
      <c r="G492" s="11"/>
      <c r="H492" s="12"/>
      <c r="I492" s="11"/>
      <c r="J492" s="10">
        <f t="shared" si="50"/>
        <v>0</v>
      </c>
      <c r="K492" s="10">
        <f t="shared" si="51"/>
        <v>0</v>
      </c>
      <c r="L492" s="9" t="str">
        <f t="shared" si="52"/>
        <v/>
      </c>
      <c r="M492" s="8"/>
      <c r="N492" s="8"/>
      <c r="O492" s="8"/>
      <c r="P492" s="8"/>
      <c r="Q492" s="8"/>
      <c r="R492" s="8"/>
      <c r="S492" s="8"/>
      <c r="T492" s="8"/>
      <c r="U492" s="8"/>
      <c r="V492" s="7"/>
      <c r="W492" s="6" t="str">
        <f t="array" ref="W492">IF(NOT(ISBLANK(D492)),_xludf.XLOOKUP(D492,[2]CODE!$A$4:$A$100,[2]CODE!$D$4:$D$100),"")</f>
        <v/>
      </c>
      <c r="X492" s="5" t="str">
        <f t="array" ref="X492">IF(NOT(AND(ISBLANK(D492),ISBLANK(C492))),_xludf.XLOOKUP(D492,[2]CODE!$A$4:$A$100,[2]CODE!$E$4:$E$100),"")</f>
        <v/>
      </c>
      <c r="Y492" s="5" t="str">
        <f t="shared" si="53"/>
        <v/>
      </c>
      <c r="Z492" s="5" t="str">
        <f t="shared" si="54"/>
        <v/>
      </c>
      <c r="AA492" s="4">
        <f t="shared" si="55"/>
        <v>0</v>
      </c>
      <c r="AC492" s="2"/>
    </row>
    <row r="493" spans="1:29" ht="15.5">
      <c r="A493" s="13" t="str">
        <f>IF(OR(ISBLANK(C493),ISBLANK(D493),ISBLANK(F493),ISBLANK(G493)),"",COUNTIF($B$5:B493,"JAMBUTU"))</f>
        <v/>
      </c>
      <c r="B493" s="8" t="str">
        <f t="shared" si="56"/>
        <v/>
      </c>
      <c r="C493" s="8"/>
      <c r="D493" s="8"/>
      <c r="E493" s="13"/>
      <c r="F493" s="12"/>
      <c r="G493" s="11"/>
      <c r="H493" s="12"/>
      <c r="I493" s="11"/>
      <c r="J493" s="10">
        <f t="shared" si="50"/>
        <v>0</v>
      </c>
      <c r="K493" s="10">
        <f t="shared" si="51"/>
        <v>0</v>
      </c>
      <c r="L493" s="9" t="str">
        <f t="shared" si="52"/>
        <v/>
      </c>
      <c r="M493" s="8"/>
      <c r="N493" s="8"/>
      <c r="O493" s="8"/>
      <c r="P493" s="8"/>
      <c r="Q493" s="8"/>
      <c r="R493" s="8"/>
      <c r="S493" s="8"/>
      <c r="T493" s="8"/>
      <c r="U493" s="8"/>
      <c r="V493" s="7"/>
      <c r="W493" s="6" t="str">
        <f t="array" ref="W493">IF(NOT(ISBLANK(D493)),_xludf.XLOOKUP(D493,[2]CODE!$A$4:$A$100,[2]CODE!$D$4:$D$100),"")</f>
        <v/>
      </c>
      <c r="X493" s="5" t="str">
        <f t="array" ref="X493">IF(NOT(AND(ISBLANK(D493),ISBLANK(C493))),_xludf.XLOOKUP(D493,[2]CODE!$A$4:$A$100,[2]CODE!$E$4:$E$100),"")</f>
        <v/>
      </c>
      <c r="Y493" s="5" t="str">
        <f t="shared" si="53"/>
        <v/>
      </c>
      <c r="Z493" s="5" t="str">
        <f t="shared" si="54"/>
        <v/>
      </c>
      <c r="AA493" s="4">
        <f t="shared" si="55"/>
        <v>0</v>
      </c>
      <c r="AC493" s="2"/>
    </row>
    <row r="494" spans="1:29" ht="15.5">
      <c r="A494" s="13" t="str">
        <f>IF(OR(ISBLANK(C494),ISBLANK(D494),ISBLANK(F494),ISBLANK(G494)),"",COUNTIF($B$5:B494,"JAMBUTU"))</f>
        <v/>
      </c>
      <c r="B494" s="8" t="str">
        <f t="shared" si="56"/>
        <v/>
      </c>
      <c r="C494" s="8"/>
      <c r="D494" s="8"/>
      <c r="E494" s="13"/>
      <c r="F494" s="12"/>
      <c r="G494" s="11"/>
      <c r="H494" s="12"/>
      <c r="I494" s="11"/>
      <c r="J494" s="10">
        <f t="shared" si="50"/>
        <v>0</v>
      </c>
      <c r="K494" s="10">
        <f t="shared" si="51"/>
        <v>0</v>
      </c>
      <c r="L494" s="9" t="str">
        <f t="shared" si="52"/>
        <v/>
      </c>
      <c r="M494" s="8"/>
      <c r="N494" s="8"/>
      <c r="O494" s="8"/>
      <c r="P494" s="8"/>
      <c r="Q494" s="8"/>
      <c r="R494" s="8"/>
      <c r="S494" s="8"/>
      <c r="T494" s="8"/>
      <c r="U494" s="8"/>
      <c r="V494" s="7"/>
      <c r="W494" s="6" t="str">
        <f t="array" ref="W494">IF(NOT(ISBLANK(D494)),_xludf.XLOOKUP(D494,[2]CODE!$A$4:$A$100,[2]CODE!$D$4:$D$100),"")</f>
        <v/>
      </c>
      <c r="X494" s="5" t="str">
        <f t="array" ref="X494">IF(NOT(AND(ISBLANK(D494),ISBLANK(C494))),_xludf.XLOOKUP(D494,[2]CODE!$A$4:$A$100,[2]CODE!$E$4:$E$100),"")</f>
        <v/>
      </c>
      <c r="Y494" s="5" t="str">
        <f t="shared" si="53"/>
        <v/>
      </c>
      <c r="Z494" s="5" t="str">
        <f t="shared" si="54"/>
        <v/>
      </c>
      <c r="AA494" s="4">
        <f t="shared" si="55"/>
        <v>0</v>
      </c>
      <c r="AC494" s="2"/>
    </row>
    <row r="495" spans="1:29" ht="15.5">
      <c r="A495" s="13" t="str">
        <f>IF(OR(ISBLANK(C495),ISBLANK(D495),ISBLANK(F495),ISBLANK(G495)),"",COUNTIF($B$5:B495,"JAMBUTU"))</f>
        <v/>
      </c>
      <c r="B495" s="8" t="str">
        <f t="shared" si="56"/>
        <v/>
      </c>
      <c r="C495" s="8"/>
      <c r="D495" s="8"/>
      <c r="E495" s="13"/>
      <c r="F495" s="12"/>
      <c r="G495" s="11"/>
      <c r="H495" s="12"/>
      <c r="I495" s="11"/>
      <c r="J495" s="10">
        <f t="shared" si="50"/>
        <v>0</v>
      </c>
      <c r="K495" s="10">
        <f t="shared" si="51"/>
        <v>0</v>
      </c>
      <c r="L495" s="9" t="str">
        <f t="shared" si="52"/>
        <v/>
      </c>
      <c r="M495" s="8"/>
      <c r="N495" s="8"/>
      <c r="O495" s="8"/>
      <c r="P495" s="8"/>
      <c r="Q495" s="8"/>
      <c r="R495" s="8"/>
      <c r="S495" s="8"/>
      <c r="T495" s="8"/>
      <c r="U495" s="8"/>
      <c r="V495" s="7"/>
      <c r="W495" s="6" t="str">
        <f t="array" ref="W495">IF(NOT(ISBLANK(D495)),_xludf.XLOOKUP(D495,[2]CODE!$A$4:$A$100,[2]CODE!$D$4:$D$100),"")</f>
        <v/>
      </c>
      <c r="X495" s="5" t="str">
        <f t="array" ref="X495">IF(NOT(AND(ISBLANK(D495),ISBLANK(C495))),_xludf.XLOOKUP(D495,[2]CODE!$A$4:$A$100,[2]CODE!$E$4:$E$100),"")</f>
        <v/>
      </c>
      <c r="Y495" s="5" t="str">
        <f t="shared" si="53"/>
        <v/>
      </c>
      <c r="Z495" s="5" t="str">
        <f t="shared" si="54"/>
        <v/>
      </c>
      <c r="AA495" s="4">
        <f t="shared" si="55"/>
        <v>0</v>
      </c>
      <c r="AC495" s="2"/>
    </row>
    <row r="496" spans="1:29" ht="15.5">
      <c r="A496" s="13" t="str">
        <f>IF(OR(ISBLANK(C496),ISBLANK(D496),ISBLANK(F496),ISBLANK(G496)),"",COUNTIF($B$5:B496,"JAMBUTU"))</f>
        <v/>
      </c>
      <c r="B496" s="8" t="str">
        <f t="shared" si="56"/>
        <v/>
      </c>
      <c r="C496" s="8"/>
      <c r="D496" s="8"/>
      <c r="E496" s="13"/>
      <c r="F496" s="12"/>
      <c r="G496" s="11"/>
      <c r="H496" s="12"/>
      <c r="I496" s="11"/>
      <c r="J496" s="10">
        <f t="shared" si="50"/>
        <v>0</v>
      </c>
      <c r="K496" s="10">
        <f t="shared" si="51"/>
        <v>0</v>
      </c>
      <c r="L496" s="9" t="str">
        <f t="shared" si="52"/>
        <v/>
      </c>
      <c r="M496" s="8"/>
      <c r="N496" s="8"/>
      <c r="O496" s="8"/>
      <c r="P496" s="8"/>
      <c r="Q496" s="8"/>
      <c r="R496" s="8"/>
      <c r="S496" s="8"/>
      <c r="T496" s="8"/>
      <c r="U496" s="8"/>
      <c r="V496" s="7"/>
      <c r="W496" s="6" t="str">
        <f t="array" ref="W496">IF(NOT(ISBLANK(D496)),_xludf.XLOOKUP(D496,[2]CODE!$A$4:$A$100,[2]CODE!$D$4:$D$100),"")</f>
        <v/>
      </c>
      <c r="X496" s="5" t="str">
        <f t="array" ref="X496">IF(NOT(AND(ISBLANK(D496),ISBLANK(C496))),_xludf.XLOOKUP(D496,[2]CODE!$A$4:$A$100,[2]CODE!$E$4:$E$100),"")</f>
        <v/>
      </c>
      <c r="Y496" s="5" t="str">
        <f t="shared" si="53"/>
        <v/>
      </c>
      <c r="Z496" s="5" t="str">
        <f t="shared" si="54"/>
        <v/>
      </c>
      <c r="AA496" s="4">
        <f t="shared" si="55"/>
        <v>0</v>
      </c>
      <c r="AC496" s="2"/>
    </row>
    <row r="497" spans="1:29" ht="15.5">
      <c r="A497" s="13" t="str">
        <f>IF(OR(ISBLANK(C497),ISBLANK(D497),ISBLANK(F497),ISBLANK(G497)),"",COUNTIF($B$5:B497,"JAMBUTU"))</f>
        <v/>
      </c>
      <c r="B497" s="8" t="str">
        <f t="shared" si="56"/>
        <v/>
      </c>
      <c r="C497" s="8"/>
      <c r="D497" s="8"/>
      <c r="E497" s="13"/>
      <c r="F497" s="12"/>
      <c r="G497" s="11"/>
      <c r="H497" s="12"/>
      <c r="I497" s="11"/>
      <c r="J497" s="10">
        <f t="shared" si="50"/>
        <v>0</v>
      </c>
      <c r="K497" s="10">
        <f t="shared" si="51"/>
        <v>0</v>
      </c>
      <c r="L497" s="9" t="str">
        <f t="shared" si="52"/>
        <v/>
      </c>
      <c r="M497" s="8"/>
      <c r="N497" s="8"/>
      <c r="O497" s="8"/>
      <c r="P497" s="8"/>
      <c r="Q497" s="8"/>
      <c r="R497" s="8"/>
      <c r="S497" s="8"/>
      <c r="T497" s="8"/>
      <c r="U497" s="8"/>
      <c r="V497" s="7"/>
      <c r="W497" s="6" t="str">
        <f t="array" ref="W497">IF(NOT(ISBLANK(D497)),_xludf.XLOOKUP(D497,[2]CODE!$A$4:$A$100,[2]CODE!$D$4:$D$100),"")</f>
        <v/>
      </c>
      <c r="X497" s="5" t="str">
        <f t="array" ref="X497">IF(NOT(AND(ISBLANK(D497),ISBLANK(C497))),_xludf.XLOOKUP(D497,[2]CODE!$A$4:$A$100,[2]CODE!$E$4:$E$100),"")</f>
        <v/>
      </c>
      <c r="Y497" s="5" t="str">
        <f t="shared" si="53"/>
        <v/>
      </c>
      <c r="Z497" s="5" t="str">
        <f t="shared" si="54"/>
        <v/>
      </c>
      <c r="AA497" s="4">
        <f t="shared" si="55"/>
        <v>0</v>
      </c>
      <c r="AC497" s="2"/>
    </row>
    <row r="498" spans="1:29" ht="15.5">
      <c r="A498" s="13" t="str">
        <f>IF(OR(ISBLANK(C498),ISBLANK(D498),ISBLANK(F498),ISBLANK(G498)),"",COUNTIF($B$5:B498,"JAMBUTU"))</f>
        <v/>
      </c>
      <c r="B498" s="8" t="str">
        <f t="shared" si="56"/>
        <v/>
      </c>
      <c r="C498" s="8"/>
      <c r="D498" s="8"/>
      <c r="E498" s="13"/>
      <c r="F498" s="12"/>
      <c r="G498" s="11"/>
      <c r="H498" s="12"/>
      <c r="I498" s="11"/>
      <c r="J498" s="10">
        <f t="shared" si="50"/>
        <v>0</v>
      </c>
      <c r="K498" s="10">
        <f t="shared" si="51"/>
        <v>0</v>
      </c>
      <c r="L498" s="9" t="str">
        <f t="shared" si="52"/>
        <v/>
      </c>
      <c r="M498" s="8"/>
      <c r="N498" s="8"/>
      <c r="O498" s="8"/>
      <c r="P498" s="8"/>
      <c r="Q498" s="8"/>
      <c r="R498" s="8"/>
      <c r="S498" s="8"/>
      <c r="T498" s="8"/>
      <c r="U498" s="8"/>
      <c r="V498" s="7"/>
      <c r="W498" s="6" t="str">
        <f t="array" ref="W498">IF(NOT(ISBLANK(D498)),_xludf.XLOOKUP(D498,[2]CODE!$A$4:$A$100,[2]CODE!$D$4:$D$100),"")</f>
        <v/>
      </c>
      <c r="X498" s="5" t="str">
        <f t="array" ref="X498">IF(NOT(AND(ISBLANK(D498),ISBLANK(C498))),_xludf.XLOOKUP(D498,[2]CODE!$A$4:$A$100,[2]CODE!$E$4:$E$100),"")</f>
        <v/>
      </c>
      <c r="Y498" s="5" t="str">
        <f t="shared" si="53"/>
        <v/>
      </c>
      <c r="Z498" s="5" t="str">
        <f t="shared" si="54"/>
        <v/>
      </c>
      <c r="AA498" s="4">
        <f t="shared" si="55"/>
        <v>0</v>
      </c>
      <c r="AC498" s="2"/>
    </row>
    <row r="499" spans="1:29" ht="15.5">
      <c r="A499" s="13" t="str">
        <f>IF(OR(ISBLANK(C499),ISBLANK(D499),ISBLANK(F499),ISBLANK(G499)),"",COUNTIF($B$5:B499,"JAMBUTU"))</f>
        <v/>
      </c>
      <c r="B499" s="8" t="str">
        <f t="shared" si="56"/>
        <v/>
      </c>
      <c r="C499" s="8"/>
      <c r="D499" s="8"/>
      <c r="E499" s="13"/>
      <c r="F499" s="12"/>
      <c r="G499" s="11"/>
      <c r="H499" s="12"/>
      <c r="I499" s="11"/>
      <c r="J499" s="10">
        <f t="shared" si="50"/>
        <v>0</v>
      </c>
      <c r="K499" s="10">
        <f t="shared" si="51"/>
        <v>0</v>
      </c>
      <c r="L499" s="9" t="str">
        <f t="shared" si="52"/>
        <v/>
      </c>
      <c r="M499" s="8"/>
      <c r="N499" s="8"/>
      <c r="O499" s="8"/>
      <c r="P499" s="8"/>
      <c r="Q499" s="8"/>
      <c r="R499" s="8"/>
      <c r="S499" s="8"/>
      <c r="T499" s="8"/>
      <c r="U499" s="8"/>
      <c r="V499" s="7"/>
      <c r="W499" s="6" t="str">
        <f t="array" ref="W499">IF(NOT(ISBLANK(D499)),_xludf.XLOOKUP(D499,[2]CODE!$A$4:$A$100,[2]CODE!$D$4:$D$100),"")</f>
        <v/>
      </c>
      <c r="X499" s="5" t="str">
        <f t="array" ref="X499">IF(NOT(AND(ISBLANK(D499),ISBLANK(C499))),_xludf.XLOOKUP(D499,[2]CODE!$A$4:$A$100,[2]CODE!$E$4:$E$100),"")</f>
        <v/>
      </c>
      <c r="Y499" s="5" t="str">
        <f t="shared" si="53"/>
        <v/>
      </c>
      <c r="Z499" s="5" t="str">
        <f t="shared" si="54"/>
        <v/>
      </c>
      <c r="AA499" s="4">
        <f t="shared" si="55"/>
        <v>0</v>
      </c>
      <c r="AC499" s="2"/>
    </row>
    <row r="500" spans="1:29" ht="15.5">
      <c r="A500" s="13" t="str">
        <f>IF(OR(ISBLANK(C500),ISBLANK(D500),ISBLANK(F500),ISBLANK(G500)),"",COUNTIF($B$5:B500,"JAMBUTU"))</f>
        <v/>
      </c>
      <c r="B500" s="8" t="str">
        <f t="shared" si="56"/>
        <v/>
      </c>
      <c r="C500" s="8"/>
      <c r="D500" s="8"/>
      <c r="E500" s="13"/>
      <c r="F500" s="12"/>
      <c r="G500" s="11"/>
      <c r="H500" s="12"/>
      <c r="I500" s="11"/>
      <c r="J500" s="10">
        <f t="shared" si="50"/>
        <v>0</v>
      </c>
      <c r="K500" s="10">
        <f t="shared" si="51"/>
        <v>0</v>
      </c>
      <c r="L500" s="9" t="str">
        <f t="shared" si="52"/>
        <v/>
      </c>
      <c r="M500" s="8"/>
      <c r="N500" s="8"/>
      <c r="O500" s="8"/>
      <c r="P500" s="8"/>
      <c r="Q500" s="8"/>
      <c r="R500" s="8"/>
      <c r="S500" s="8"/>
      <c r="T500" s="8"/>
      <c r="U500" s="8"/>
      <c r="V500" s="7"/>
      <c r="W500" s="6" t="str">
        <f t="array" ref="W500">IF(NOT(ISBLANK(D500)),_xludf.XLOOKUP(D500,[2]CODE!$A$4:$A$100,[2]CODE!$D$4:$D$100),"")</f>
        <v/>
      </c>
      <c r="X500" s="5" t="str">
        <f t="array" ref="X500">IF(NOT(AND(ISBLANK(D500),ISBLANK(C500))),_xludf.XLOOKUP(D500,[2]CODE!$A$4:$A$100,[2]CODE!$E$4:$E$100),"")</f>
        <v/>
      </c>
      <c r="Y500" s="5" t="str">
        <f t="shared" si="53"/>
        <v/>
      </c>
      <c r="Z500" s="5" t="str">
        <f t="shared" si="54"/>
        <v/>
      </c>
      <c r="AA500" s="4">
        <f t="shared" si="55"/>
        <v>0</v>
      </c>
      <c r="AC500" s="2"/>
    </row>
    <row r="501" spans="1:29" ht="15.5">
      <c r="A501" s="13" t="str">
        <f>IF(OR(ISBLANK(C501),ISBLANK(D501),ISBLANK(F501),ISBLANK(G501)),"",COUNTIF($B$5:B501,"JAMBUTU"))</f>
        <v/>
      </c>
      <c r="B501" s="8" t="str">
        <f t="shared" si="56"/>
        <v/>
      </c>
      <c r="C501" s="8"/>
      <c r="D501" s="8"/>
      <c r="E501" s="13"/>
      <c r="F501" s="12"/>
      <c r="G501" s="11"/>
      <c r="H501" s="12"/>
      <c r="I501" s="11"/>
      <c r="J501" s="10">
        <f t="shared" si="50"/>
        <v>0</v>
      </c>
      <c r="K501" s="10">
        <f t="shared" si="51"/>
        <v>0</v>
      </c>
      <c r="L501" s="9" t="str">
        <f t="shared" si="52"/>
        <v/>
      </c>
      <c r="M501" s="8"/>
      <c r="N501" s="8"/>
      <c r="O501" s="8"/>
      <c r="P501" s="8"/>
      <c r="Q501" s="8"/>
      <c r="R501" s="8"/>
      <c r="S501" s="8"/>
      <c r="T501" s="8"/>
      <c r="U501" s="8"/>
      <c r="V501" s="7"/>
      <c r="W501" s="6" t="str">
        <f t="array" ref="W501">IF(NOT(ISBLANK(D501)),_xludf.XLOOKUP(D501,[2]CODE!$A$4:$A$100,[2]CODE!$D$4:$D$100),"")</f>
        <v/>
      </c>
      <c r="X501" s="5" t="str">
        <f t="array" ref="X501">IF(NOT(AND(ISBLANK(D501),ISBLANK(C501))),_xludf.XLOOKUP(D501,[2]CODE!$A$4:$A$100,[2]CODE!$E$4:$E$100),"")</f>
        <v/>
      </c>
      <c r="Y501" s="5" t="str">
        <f t="shared" si="53"/>
        <v/>
      </c>
      <c r="Z501" s="5" t="str">
        <f t="shared" si="54"/>
        <v/>
      </c>
      <c r="AA501" s="4">
        <f t="shared" si="55"/>
        <v>0</v>
      </c>
      <c r="AC501" s="2"/>
    </row>
    <row r="502" spans="1:29" ht="15.5">
      <c r="A502" s="13" t="str">
        <f>IF(OR(ISBLANK(C502),ISBLANK(D502),ISBLANK(F502),ISBLANK(G502)),"",COUNTIF($B$5:B502,"JAMBUTU"))</f>
        <v/>
      </c>
      <c r="B502" s="8" t="str">
        <f t="shared" si="56"/>
        <v/>
      </c>
      <c r="C502" s="8"/>
      <c r="D502" s="8"/>
      <c r="E502" s="13"/>
      <c r="F502" s="12"/>
      <c r="G502" s="11"/>
      <c r="H502" s="12"/>
      <c r="I502" s="11"/>
      <c r="J502" s="10">
        <f t="shared" si="50"/>
        <v>0</v>
      </c>
      <c r="K502" s="10">
        <f t="shared" si="51"/>
        <v>0</v>
      </c>
      <c r="L502" s="9" t="str">
        <f t="shared" si="52"/>
        <v/>
      </c>
      <c r="M502" s="8"/>
      <c r="N502" s="8"/>
      <c r="O502" s="8"/>
      <c r="P502" s="8"/>
      <c r="Q502" s="8"/>
      <c r="R502" s="8"/>
      <c r="S502" s="8"/>
      <c r="T502" s="8"/>
      <c r="U502" s="8"/>
      <c r="V502" s="7"/>
      <c r="W502" s="6" t="str">
        <f t="array" ref="W502">IF(NOT(ISBLANK(D502)),_xludf.XLOOKUP(D502,[2]CODE!$A$4:$A$100,[2]CODE!$D$4:$D$100),"")</f>
        <v/>
      </c>
      <c r="X502" s="5" t="str">
        <f t="array" ref="X502">IF(NOT(AND(ISBLANK(D502),ISBLANK(C502))),_xludf.XLOOKUP(D502,[2]CODE!$A$4:$A$100,[2]CODE!$E$4:$E$100),"")</f>
        <v/>
      </c>
      <c r="Y502" s="5" t="str">
        <f t="shared" si="53"/>
        <v/>
      </c>
      <c r="Z502" s="5" t="str">
        <f t="shared" si="54"/>
        <v/>
      </c>
      <c r="AA502" s="4">
        <f t="shared" si="55"/>
        <v>0</v>
      </c>
      <c r="AC502" s="2"/>
    </row>
    <row r="503" spans="1:29" ht="15.5">
      <c r="A503" s="13" t="str">
        <f>IF(OR(ISBLANK(C503),ISBLANK(D503),ISBLANK(F503),ISBLANK(G503)),"",COUNTIF($B$5:B503,"JAMBUTU"))</f>
        <v/>
      </c>
      <c r="B503" s="8" t="str">
        <f t="shared" si="56"/>
        <v/>
      </c>
      <c r="C503" s="8"/>
      <c r="D503" s="8"/>
      <c r="E503" s="13"/>
      <c r="F503" s="12"/>
      <c r="G503" s="11"/>
      <c r="H503" s="12"/>
      <c r="I503" s="11"/>
      <c r="J503" s="10">
        <f t="shared" si="50"/>
        <v>0</v>
      </c>
      <c r="K503" s="10">
        <f t="shared" si="51"/>
        <v>0</v>
      </c>
      <c r="L503" s="9" t="str">
        <f t="shared" si="52"/>
        <v/>
      </c>
      <c r="M503" s="8"/>
      <c r="N503" s="8"/>
      <c r="O503" s="8"/>
      <c r="P503" s="8"/>
      <c r="Q503" s="8"/>
      <c r="R503" s="8"/>
      <c r="S503" s="8"/>
      <c r="T503" s="8"/>
      <c r="U503" s="8"/>
      <c r="V503" s="7"/>
      <c r="W503" s="6" t="str">
        <f t="array" ref="W503">IF(NOT(ISBLANK(D503)),_xludf.XLOOKUP(D503,[2]CODE!$A$4:$A$100,[2]CODE!$D$4:$D$100),"")</f>
        <v/>
      </c>
      <c r="X503" s="5" t="str">
        <f t="array" ref="X503">IF(NOT(AND(ISBLANK(D503),ISBLANK(C503))),_xludf.XLOOKUP(D503,[2]CODE!$A$4:$A$100,[2]CODE!$E$4:$E$100),"")</f>
        <v/>
      </c>
      <c r="Y503" s="5" t="str">
        <f t="shared" si="53"/>
        <v/>
      </c>
      <c r="Z503" s="5" t="str">
        <f t="shared" si="54"/>
        <v/>
      </c>
      <c r="AA503" s="4">
        <f t="shared" si="55"/>
        <v>0</v>
      </c>
      <c r="AC503" s="2"/>
    </row>
    <row r="504" spans="1:29" ht="15.5">
      <c r="A504" s="13" t="str">
        <f>IF(OR(ISBLANK(C504),ISBLANK(D504),ISBLANK(F504),ISBLANK(G504)),"",COUNTIF($B$5:B504,"JAMBUTU"))</f>
        <v/>
      </c>
      <c r="B504" s="8" t="str">
        <f t="shared" si="56"/>
        <v/>
      </c>
      <c r="C504" s="8"/>
      <c r="D504" s="8"/>
      <c r="E504" s="13"/>
      <c r="F504" s="12"/>
      <c r="G504" s="11"/>
      <c r="H504" s="12"/>
      <c r="I504" s="11"/>
      <c r="J504" s="10">
        <f t="shared" si="50"/>
        <v>0</v>
      </c>
      <c r="K504" s="10">
        <f t="shared" si="51"/>
        <v>0</v>
      </c>
      <c r="L504" s="9" t="str">
        <f t="shared" si="52"/>
        <v/>
      </c>
      <c r="M504" s="8"/>
      <c r="N504" s="8"/>
      <c r="O504" s="8"/>
      <c r="P504" s="8"/>
      <c r="Q504" s="8"/>
      <c r="R504" s="8"/>
      <c r="S504" s="8"/>
      <c r="T504" s="8"/>
      <c r="U504" s="8"/>
      <c r="V504" s="7"/>
      <c r="W504" s="6" t="str">
        <f t="array" ref="W504">IF(NOT(ISBLANK(D504)),_xludf.XLOOKUP(D504,[2]CODE!$A$4:$A$100,[2]CODE!$D$4:$D$100),"")</f>
        <v/>
      </c>
      <c r="X504" s="5" t="str">
        <f t="array" ref="X504">IF(NOT(AND(ISBLANK(D504),ISBLANK(C504))),_xludf.XLOOKUP(D504,[2]CODE!$A$4:$A$100,[2]CODE!$E$4:$E$100),"")</f>
        <v/>
      </c>
      <c r="Y504" s="5" t="str">
        <f t="shared" si="53"/>
        <v/>
      </c>
      <c r="Z504" s="5" t="str">
        <f t="shared" si="54"/>
        <v/>
      </c>
      <c r="AA504" s="4">
        <f t="shared" si="55"/>
        <v>0</v>
      </c>
      <c r="AC504" s="2"/>
    </row>
    <row r="505" spans="1:29" ht="15.5">
      <c r="A505" s="13" t="str">
        <f>IF(OR(ISBLANK(C505),ISBLANK(D505),ISBLANK(F505),ISBLANK(G505)),"",COUNTIF($B$5:B505,"JAMBUTU"))</f>
        <v/>
      </c>
      <c r="B505" s="8" t="str">
        <f t="shared" si="56"/>
        <v/>
      </c>
      <c r="C505" s="8"/>
      <c r="D505" s="8"/>
      <c r="E505" s="13"/>
      <c r="F505" s="12"/>
      <c r="G505" s="11"/>
      <c r="H505" s="12"/>
      <c r="I505" s="11"/>
      <c r="J505" s="10">
        <f t="shared" si="50"/>
        <v>0</v>
      </c>
      <c r="K505" s="10">
        <f t="shared" si="51"/>
        <v>0</v>
      </c>
      <c r="L505" s="9" t="str">
        <f t="shared" si="52"/>
        <v/>
      </c>
      <c r="M505" s="8"/>
      <c r="N505" s="8"/>
      <c r="O505" s="8"/>
      <c r="P505" s="8"/>
      <c r="Q505" s="8"/>
      <c r="R505" s="8"/>
      <c r="S505" s="8"/>
      <c r="T505" s="8"/>
      <c r="U505" s="8"/>
      <c r="V505" s="7"/>
      <c r="W505" s="6" t="str">
        <f t="array" ref="W505">IF(NOT(ISBLANK(D505)),_xludf.XLOOKUP(D505,[2]CODE!$A$4:$A$100,[2]CODE!$D$4:$D$100),"")</f>
        <v/>
      </c>
      <c r="X505" s="5" t="str">
        <f t="array" ref="X505">IF(NOT(AND(ISBLANK(D505),ISBLANK(C505))),_xludf.XLOOKUP(D505,[2]CODE!$A$4:$A$100,[2]CODE!$E$4:$E$100),"")</f>
        <v/>
      </c>
      <c r="Y505" s="5" t="str">
        <f t="shared" si="53"/>
        <v/>
      </c>
      <c r="Z505" s="5" t="str">
        <f t="shared" si="54"/>
        <v/>
      </c>
      <c r="AA505" s="4">
        <f t="shared" si="55"/>
        <v>0</v>
      </c>
      <c r="AC505" s="2"/>
    </row>
    <row r="506" spans="1:29" ht="15.5">
      <c r="A506" s="13" t="str">
        <f>IF(OR(ISBLANK(C506),ISBLANK(D506),ISBLANK(F506),ISBLANK(G506)),"",COUNTIF($B$5:B506,"JAMBUTU"))</f>
        <v/>
      </c>
      <c r="B506" s="8" t="str">
        <f t="shared" si="56"/>
        <v/>
      </c>
      <c r="C506" s="8"/>
      <c r="D506" s="8"/>
      <c r="E506" s="13"/>
      <c r="F506" s="12"/>
      <c r="G506" s="11"/>
      <c r="H506" s="12"/>
      <c r="I506" s="11"/>
      <c r="J506" s="10">
        <f t="shared" si="50"/>
        <v>0</v>
      </c>
      <c r="K506" s="10">
        <f t="shared" si="51"/>
        <v>0</v>
      </c>
      <c r="L506" s="9" t="str">
        <f t="shared" si="52"/>
        <v/>
      </c>
      <c r="M506" s="8"/>
      <c r="N506" s="8"/>
      <c r="O506" s="8"/>
      <c r="P506" s="8"/>
      <c r="Q506" s="8"/>
      <c r="R506" s="8"/>
      <c r="S506" s="8"/>
      <c r="T506" s="8"/>
      <c r="U506" s="8"/>
      <c r="V506" s="7"/>
      <c r="W506" s="6" t="str">
        <f t="array" ref="W506">IF(NOT(ISBLANK(D506)),_xludf.XLOOKUP(D506,[2]CODE!$A$4:$A$100,[2]CODE!$D$4:$D$100),"")</f>
        <v/>
      </c>
      <c r="X506" s="5" t="str">
        <f t="array" ref="X506">IF(NOT(AND(ISBLANK(D506),ISBLANK(C506))),_xludf.XLOOKUP(D506,[2]CODE!$A$4:$A$100,[2]CODE!$E$4:$E$100),"")</f>
        <v/>
      </c>
      <c r="Y506" s="5" t="str">
        <f t="shared" si="53"/>
        <v/>
      </c>
      <c r="Z506" s="5" t="str">
        <f t="shared" si="54"/>
        <v/>
      </c>
      <c r="AA506" s="4">
        <f t="shared" si="55"/>
        <v>0</v>
      </c>
      <c r="AC506" s="2"/>
    </row>
    <row r="507" spans="1:29" ht="15.5">
      <c r="A507" s="13" t="str">
        <f>IF(OR(ISBLANK(C507),ISBLANK(D507),ISBLANK(F507),ISBLANK(G507)),"",COUNTIF($B$5:B507,"JAMBUTU"))</f>
        <v/>
      </c>
      <c r="B507" s="8" t="str">
        <f t="shared" si="56"/>
        <v/>
      </c>
      <c r="C507" s="8"/>
      <c r="D507" s="8"/>
      <c r="E507" s="13"/>
      <c r="F507" s="12"/>
      <c r="G507" s="11"/>
      <c r="H507" s="12"/>
      <c r="I507" s="11"/>
      <c r="J507" s="10">
        <f t="shared" si="50"/>
        <v>0</v>
      </c>
      <c r="K507" s="10">
        <f t="shared" si="51"/>
        <v>0</v>
      </c>
      <c r="L507" s="9" t="str">
        <f t="shared" si="52"/>
        <v/>
      </c>
      <c r="M507" s="8"/>
      <c r="N507" s="8"/>
      <c r="O507" s="8"/>
      <c r="P507" s="8"/>
      <c r="Q507" s="8"/>
      <c r="R507" s="8"/>
      <c r="S507" s="8"/>
      <c r="T507" s="8"/>
      <c r="U507" s="8"/>
      <c r="V507" s="7"/>
      <c r="W507" s="6" t="str">
        <f t="array" ref="W507">IF(NOT(ISBLANK(D507)),_xludf.XLOOKUP(D507,[2]CODE!$A$4:$A$100,[2]CODE!$D$4:$D$100),"")</f>
        <v/>
      </c>
      <c r="X507" s="5" t="str">
        <f t="array" ref="X507">IF(NOT(AND(ISBLANK(D507),ISBLANK(C507))),_xludf.XLOOKUP(D507,[2]CODE!$A$4:$A$100,[2]CODE!$E$4:$E$100),"")</f>
        <v/>
      </c>
      <c r="Y507" s="5" t="str">
        <f t="shared" si="53"/>
        <v/>
      </c>
      <c r="Z507" s="5" t="str">
        <f t="shared" si="54"/>
        <v/>
      </c>
      <c r="AA507" s="4">
        <f t="shared" si="55"/>
        <v>0</v>
      </c>
      <c r="AC507" s="2"/>
    </row>
    <row r="508" spans="1:29" ht="15.5">
      <c r="A508" s="13" t="str">
        <f>IF(OR(ISBLANK(C508),ISBLANK(D508),ISBLANK(F508),ISBLANK(G508)),"",COUNTIF($B$5:B508,"JAMBUTU"))</f>
        <v/>
      </c>
      <c r="B508" s="8" t="str">
        <f t="shared" si="56"/>
        <v/>
      </c>
      <c r="C508" s="8"/>
      <c r="D508" s="8"/>
      <c r="E508" s="13"/>
      <c r="F508" s="12"/>
      <c r="G508" s="11"/>
      <c r="H508" s="12"/>
      <c r="I508" s="11"/>
      <c r="J508" s="10">
        <f t="shared" si="50"/>
        <v>0</v>
      </c>
      <c r="K508" s="10">
        <f t="shared" si="51"/>
        <v>0</v>
      </c>
      <c r="L508" s="9" t="str">
        <f t="shared" si="52"/>
        <v/>
      </c>
      <c r="M508" s="8"/>
      <c r="N508" s="8"/>
      <c r="O508" s="8"/>
      <c r="P508" s="8"/>
      <c r="Q508" s="8"/>
      <c r="R508" s="8"/>
      <c r="S508" s="8"/>
      <c r="T508" s="8"/>
      <c r="U508" s="8"/>
      <c r="V508" s="7"/>
      <c r="W508" s="6" t="str">
        <f t="array" ref="W508">IF(NOT(ISBLANK(D508)),_xludf.XLOOKUP(D508,[2]CODE!$A$4:$A$100,[2]CODE!$D$4:$D$100),"")</f>
        <v/>
      </c>
      <c r="X508" s="5" t="str">
        <f t="array" ref="X508">IF(NOT(AND(ISBLANK(D508),ISBLANK(C508))),_xludf.XLOOKUP(D508,[2]CODE!$A$4:$A$100,[2]CODE!$E$4:$E$100),"")</f>
        <v/>
      </c>
      <c r="Y508" s="5" t="str">
        <f t="shared" si="53"/>
        <v/>
      </c>
      <c r="Z508" s="5" t="str">
        <f t="shared" si="54"/>
        <v/>
      </c>
      <c r="AA508" s="4">
        <f t="shared" si="55"/>
        <v>0</v>
      </c>
      <c r="AC508" s="2"/>
    </row>
    <row r="509" spans="1:29" ht="15.5">
      <c r="A509" s="13" t="str">
        <f>IF(OR(ISBLANK(C509),ISBLANK(D509),ISBLANK(F509),ISBLANK(G509)),"",COUNTIF($B$5:B509,"JAMBUTU"))</f>
        <v/>
      </c>
      <c r="B509" s="8" t="str">
        <f t="shared" si="56"/>
        <v/>
      </c>
      <c r="C509" s="8"/>
      <c r="D509" s="8"/>
      <c r="E509" s="13"/>
      <c r="F509" s="12"/>
      <c r="G509" s="11"/>
      <c r="H509" s="12"/>
      <c r="I509" s="11"/>
      <c r="J509" s="10">
        <f t="shared" si="50"/>
        <v>0</v>
      </c>
      <c r="K509" s="10">
        <f t="shared" si="51"/>
        <v>0</v>
      </c>
      <c r="L509" s="9" t="str">
        <f t="shared" si="52"/>
        <v/>
      </c>
      <c r="M509" s="8"/>
      <c r="N509" s="8"/>
      <c r="O509" s="8"/>
      <c r="P509" s="8"/>
      <c r="Q509" s="8"/>
      <c r="R509" s="8"/>
      <c r="S509" s="8"/>
      <c r="T509" s="8"/>
      <c r="U509" s="8"/>
      <c r="V509" s="7"/>
      <c r="W509" s="6" t="str">
        <f t="array" ref="W509">IF(NOT(ISBLANK(D509)),_xludf.XLOOKUP(D509,[2]CODE!$A$4:$A$100,[2]CODE!$D$4:$D$100),"")</f>
        <v/>
      </c>
      <c r="X509" s="5" t="str">
        <f t="array" ref="X509">IF(NOT(AND(ISBLANK(D509),ISBLANK(C509))),_xludf.XLOOKUP(D509,[2]CODE!$A$4:$A$100,[2]CODE!$E$4:$E$100),"")</f>
        <v/>
      </c>
      <c r="Y509" s="5" t="str">
        <f t="shared" si="53"/>
        <v/>
      </c>
      <c r="Z509" s="5" t="str">
        <f t="shared" si="54"/>
        <v/>
      </c>
      <c r="AA509" s="4">
        <f t="shared" si="55"/>
        <v>0</v>
      </c>
      <c r="AC509" s="2"/>
    </row>
    <row r="510" spans="1:29" ht="15.5">
      <c r="A510" s="13" t="str">
        <f>IF(OR(ISBLANK(C510),ISBLANK(D510),ISBLANK(F510),ISBLANK(G510)),"",COUNTIF($B$5:B510,"JAMBUTU"))</f>
        <v/>
      </c>
      <c r="B510" s="8" t="str">
        <f t="shared" si="56"/>
        <v/>
      </c>
      <c r="C510" s="8"/>
      <c r="D510" s="8"/>
      <c r="E510" s="13"/>
      <c r="F510" s="12"/>
      <c r="G510" s="11"/>
      <c r="H510" s="12"/>
      <c r="I510" s="11"/>
      <c r="J510" s="10">
        <f t="shared" si="50"/>
        <v>0</v>
      </c>
      <c r="K510" s="10">
        <f t="shared" si="51"/>
        <v>0</v>
      </c>
      <c r="L510" s="9" t="str">
        <f t="shared" si="52"/>
        <v/>
      </c>
      <c r="M510" s="8"/>
      <c r="N510" s="8"/>
      <c r="O510" s="8"/>
      <c r="P510" s="8"/>
      <c r="Q510" s="8"/>
      <c r="R510" s="8"/>
      <c r="S510" s="8"/>
      <c r="T510" s="8"/>
      <c r="U510" s="8"/>
      <c r="V510" s="7"/>
      <c r="W510" s="6" t="str">
        <f t="array" ref="W510">IF(NOT(ISBLANK(D510)),_xludf.XLOOKUP(D510,[2]CODE!$A$4:$A$100,[2]CODE!$D$4:$D$100),"")</f>
        <v/>
      </c>
      <c r="X510" s="5" t="str">
        <f t="array" ref="X510">IF(NOT(AND(ISBLANK(D510),ISBLANK(C510))),_xludf.XLOOKUP(D510,[2]CODE!$A$4:$A$100,[2]CODE!$E$4:$E$100),"")</f>
        <v/>
      </c>
      <c r="Y510" s="5" t="str">
        <f t="shared" si="53"/>
        <v/>
      </c>
      <c r="Z510" s="5" t="str">
        <f t="shared" si="54"/>
        <v/>
      </c>
      <c r="AA510" s="4">
        <f t="shared" si="55"/>
        <v>0</v>
      </c>
      <c r="AC510" s="2"/>
    </row>
    <row r="511" spans="1:29" ht="15.5">
      <c r="A511" s="13" t="str">
        <f>IF(OR(ISBLANK(C511),ISBLANK(D511),ISBLANK(F511),ISBLANK(G511)),"",COUNTIF($B$5:B511,"JAMBUTU"))</f>
        <v/>
      </c>
      <c r="B511" s="8" t="str">
        <f t="shared" si="56"/>
        <v/>
      </c>
      <c r="C511" s="8"/>
      <c r="D511" s="8"/>
      <c r="E511" s="13"/>
      <c r="F511" s="12"/>
      <c r="G511" s="11"/>
      <c r="H511" s="12"/>
      <c r="I511" s="11"/>
      <c r="J511" s="10">
        <f t="shared" si="50"/>
        <v>0</v>
      </c>
      <c r="K511" s="10">
        <f t="shared" si="51"/>
        <v>0</v>
      </c>
      <c r="L511" s="9" t="str">
        <f t="shared" si="52"/>
        <v/>
      </c>
      <c r="M511" s="8"/>
      <c r="N511" s="8"/>
      <c r="O511" s="8"/>
      <c r="P511" s="8"/>
      <c r="Q511" s="8"/>
      <c r="R511" s="8"/>
      <c r="S511" s="8"/>
      <c r="T511" s="8"/>
      <c r="U511" s="8"/>
      <c r="V511" s="7"/>
      <c r="W511" s="6" t="str">
        <f t="array" ref="W511">IF(NOT(ISBLANK(D511)),_xludf.XLOOKUP(D511,[2]CODE!$A$4:$A$100,[2]CODE!$D$4:$D$100),"")</f>
        <v/>
      </c>
      <c r="X511" s="5" t="str">
        <f t="array" ref="X511">IF(NOT(AND(ISBLANK(D511),ISBLANK(C511))),_xludf.XLOOKUP(D511,[2]CODE!$A$4:$A$100,[2]CODE!$E$4:$E$100),"")</f>
        <v/>
      </c>
      <c r="Y511" s="5" t="str">
        <f t="shared" si="53"/>
        <v/>
      </c>
      <c r="Z511" s="5" t="str">
        <f t="shared" si="54"/>
        <v/>
      </c>
      <c r="AA511" s="4">
        <f t="shared" si="55"/>
        <v>0</v>
      </c>
      <c r="AC511" s="2"/>
    </row>
    <row r="512" spans="1:29" ht="15.5">
      <c r="A512" s="13" t="str">
        <f>IF(OR(ISBLANK(C512),ISBLANK(D512),ISBLANK(F512),ISBLANK(G512)),"",COUNTIF($B$5:B512,"JAMBUTU"))</f>
        <v/>
      </c>
      <c r="B512" s="8" t="str">
        <f t="shared" si="56"/>
        <v/>
      </c>
      <c r="C512" s="8"/>
      <c r="D512" s="8"/>
      <c r="E512" s="13"/>
      <c r="F512" s="12"/>
      <c r="G512" s="11"/>
      <c r="H512" s="12"/>
      <c r="I512" s="11"/>
      <c r="J512" s="10">
        <f t="shared" si="50"/>
        <v>0</v>
      </c>
      <c r="K512" s="10">
        <f t="shared" si="51"/>
        <v>0</v>
      </c>
      <c r="L512" s="9" t="str">
        <f t="shared" si="52"/>
        <v/>
      </c>
      <c r="M512" s="8"/>
      <c r="N512" s="8"/>
      <c r="O512" s="8"/>
      <c r="P512" s="8"/>
      <c r="Q512" s="8"/>
      <c r="R512" s="8"/>
      <c r="S512" s="8"/>
      <c r="T512" s="8"/>
      <c r="U512" s="8"/>
      <c r="V512" s="7"/>
      <c r="W512" s="6" t="str">
        <f t="array" ref="W512">IF(NOT(ISBLANK(D512)),_xludf.XLOOKUP(D512,[2]CODE!$A$4:$A$100,[2]CODE!$D$4:$D$100),"")</f>
        <v/>
      </c>
      <c r="X512" s="5" t="str">
        <f t="array" ref="X512">IF(NOT(AND(ISBLANK(D512),ISBLANK(C512))),_xludf.XLOOKUP(D512,[2]CODE!$A$4:$A$100,[2]CODE!$E$4:$E$100),"")</f>
        <v/>
      </c>
      <c r="Y512" s="5" t="str">
        <f t="shared" si="53"/>
        <v/>
      </c>
      <c r="Z512" s="5" t="str">
        <f t="shared" si="54"/>
        <v/>
      </c>
      <c r="AA512" s="4">
        <f t="shared" si="55"/>
        <v>0</v>
      </c>
      <c r="AC512" s="2"/>
    </row>
    <row r="513" spans="1:29" ht="15.5">
      <c r="A513" s="13" t="str">
        <f>IF(OR(ISBLANK(C513),ISBLANK(D513),ISBLANK(F513),ISBLANK(G513)),"",COUNTIF($B$5:B513,"JAMBUTU"))</f>
        <v/>
      </c>
      <c r="B513" s="8" t="str">
        <f t="shared" si="56"/>
        <v/>
      </c>
      <c r="C513" s="8"/>
      <c r="D513" s="8"/>
      <c r="E513" s="13"/>
      <c r="F513" s="12"/>
      <c r="G513" s="11"/>
      <c r="H513" s="12"/>
      <c r="I513" s="11"/>
      <c r="J513" s="10">
        <f t="shared" si="50"/>
        <v>0</v>
      </c>
      <c r="K513" s="10">
        <f t="shared" si="51"/>
        <v>0</v>
      </c>
      <c r="L513" s="9" t="str">
        <f t="shared" si="52"/>
        <v/>
      </c>
      <c r="M513" s="8"/>
      <c r="N513" s="8"/>
      <c r="O513" s="8"/>
      <c r="P513" s="8"/>
      <c r="Q513" s="8"/>
      <c r="R513" s="8"/>
      <c r="S513" s="8"/>
      <c r="T513" s="8"/>
      <c r="U513" s="8"/>
      <c r="V513" s="7"/>
      <c r="W513" s="6" t="str">
        <f t="array" ref="W513">IF(NOT(ISBLANK(D513)),_xludf.XLOOKUP(D513,[2]CODE!$A$4:$A$100,[2]CODE!$D$4:$D$100),"")</f>
        <v/>
      </c>
      <c r="X513" s="5" t="str">
        <f t="array" ref="X513">IF(NOT(AND(ISBLANK(D513),ISBLANK(C513))),_xludf.XLOOKUP(D513,[2]CODE!$A$4:$A$100,[2]CODE!$E$4:$E$100),"")</f>
        <v/>
      </c>
      <c r="Y513" s="5" t="str">
        <f t="shared" si="53"/>
        <v/>
      </c>
      <c r="Z513" s="5" t="str">
        <f t="shared" si="54"/>
        <v/>
      </c>
      <c r="AA513" s="4">
        <f t="shared" si="55"/>
        <v>0</v>
      </c>
      <c r="AC513" s="2"/>
    </row>
    <row r="514" spans="1:29" ht="15.5">
      <c r="A514" s="13" t="str">
        <f>IF(OR(ISBLANK(C514),ISBLANK(D514),ISBLANK(F514),ISBLANK(G514)),"",COUNTIF($B$5:B514,"JAMBUTU"))</f>
        <v/>
      </c>
      <c r="B514" s="8" t="str">
        <f t="shared" si="56"/>
        <v/>
      </c>
      <c r="C514" s="8"/>
      <c r="D514" s="8"/>
      <c r="E514" s="13"/>
      <c r="F514" s="12"/>
      <c r="G514" s="11"/>
      <c r="H514" s="12"/>
      <c r="I514" s="11"/>
      <c r="J514" s="10">
        <f t="shared" si="50"/>
        <v>0</v>
      </c>
      <c r="K514" s="10">
        <f t="shared" si="51"/>
        <v>0</v>
      </c>
      <c r="L514" s="9" t="str">
        <f t="shared" si="52"/>
        <v/>
      </c>
      <c r="M514" s="8"/>
      <c r="N514" s="8"/>
      <c r="O514" s="8"/>
      <c r="P514" s="8"/>
      <c r="Q514" s="8"/>
      <c r="R514" s="8"/>
      <c r="S514" s="8"/>
      <c r="T514" s="8"/>
      <c r="U514" s="8"/>
      <c r="V514" s="7"/>
      <c r="W514" s="6" t="str">
        <f t="array" ref="W514">IF(NOT(ISBLANK(D514)),_xludf.XLOOKUP(D514,[2]CODE!$A$4:$A$100,[2]CODE!$D$4:$D$100),"")</f>
        <v/>
      </c>
      <c r="X514" s="5" t="str">
        <f t="array" ref="X514">IF(NOT(AND(ISBLANK(D514),ISBLANK(C514))),_xludf.XLOOKUP(D514,[2]CODE!$A$4:$A$100,[2]CODE!$E$4:$E$100),"")</f>
        <v/>
      </c>
      <c r="Y514" s="5" t="str">
        <f t="shared" si="53"/>
        <v/>
      </c>
      <c r="Z514" s="5" t="str">
        <f t="shared" si="54"/>
        <v/>
      </c>
      <c r="AA514" s="4">
        <f t="shared" si="55"/>
        <v>0</v>
      </c>
      <c r="AC514" s="2"/>
    </row>
    <row r="515" spans="1:29" ht="15.5">
      <c r="A515" s="13" t="str">
        <f>IF(OR(ISBLANK(C515),ISBLANK(D515),ISBLANK(F515),ISBLANK(G515)),"",COUNTIF($B$5:B515,"JAMBUTU"))</f>
        <v/>
      </c>
      <c r="B515" s="8" t="str">
        <f t="shared" si="56"/>
        <v/>
      </c>
      <c r="C515" s="8"/>
      <c r="D515" s="8"/>
      <c r="E515" s="13"/>
      <c r="F515" s="12"/>
      <c r="G515" s="11"/>
      <c r="H515" s="12"/>
      <c r="I515" s="11"/>
      <c r="J515" s="10">
        <f t="shared" si="50"/>
        <v>0</v>
      </c>
      <c r="K515" s="10">
        <f t="shared" si="51"/>
        <v>0</v>
      </c>
      <c r="L515" s="9" t="str">
        <f t="shared" si="52"/>
        <v/>
      </c>
      <c r="M515" s="8"/>
      <c r="N515" s="8"/>
      <c r="O515" s="8"/>
      <c r="P515" s="8"/>
      <c r="Q515" s="8"/>
      <c r="R515" s="8"/>
      <c r="S515" s="8"/>
      <c r="T515" s="8"/>
      <c r="U515" s="8"/>
      <c r="V515" s="7"/>
      <c r="W515" s="6" t="str">
        <f t="array" ref="W515">IF(NOT(ISBLANK(D515)),_xludf.XLOOKUP(D515,[2]CODE!$A$4:$A$100,[2]CODE!$D$4:$D$100),"")</f>
        <v/>
      </c>
      <c r="X515" s="5" t="str">
        <f t="array" ref="X515">IF(NOT(AND(ISBLANK(D515),ISBLANK(C515))),_xludf.XLOOKUP(D515,[2]CODE!$A$4:$A$100,[2]CODE!$E$4:$E$100),"")</f>
        <v/>
      </c>
      <c r="Y515" s="5" t="str">
        <f t="shared" si="53"/>
        <v/>
      </c>
      <c r="Z515" s="5" t="str">
        <f t="shared" si="54"/>
        <v/>
      </c>
      <c r="AA515" s="4">
        <f t="shared" si="55"/>
        <v>0</v>
      </c>
      <c r="AC515" s="2"/>
    </row>
    <row r="516" spans="1:29" ht="15.5">
      <c r="A516" s="13" t="str">
        <f>IF(OR(ISBLANK(C516),ISBLANK(D516),ISBLANK(F516),ISBLANK(G516)),"",COUNTIF($B$5:B516,"JAMBUTU"))</f>
        <v/>
      </c>
      <c r="B516" s="8" t="str">
        <f t="shared" si="56"/>
        <v/>
      </c>
      <c r="C516" s="8"/>
      <c r="D516" s="8"/>
      <c r="E516" s="13"/>
      <c r="F516" s="12"/>
      <c r="G516" s="11"/>
      <c r="H516" s="12"/>
      <c r="I516" s="11"/>
      <c r="J516" s="10">
        <f t="shared" si="50"/>
        <v>0</v>
      </c>
      <c r="K516" s="10">
        <f t="shared" si="51"/>
        <v>0</v>
      </c>
      <c r="L516" s="9" t="str">
        <f t="shared" si="52"/>
        <v/>
      </c>
      <c r="M516" s="8"/>
      <c r="N516" s="8"/>
      <c r="O516" s="8"/>
      <c r="P516" s="8"/>
      <c r="Q516" s="8"/>
      <c r="R516" s="8"/>
      <c r="S516" s="8"/>
      <c r="T516" s="8"/>
      <c r="U516" s="8"/>
      <c r="V516" s="7"/>
      <c r="W516" s="6" t="str">
        <f t="array" ref="W516">IF(NOT(ISBLANK(D516)),_xludf.XLOOKUP(D516,[2]CODE!$A$4:$A$100,[2]CODE!$D$4:$D$100),"")</f>
        <v/>
      </c>
      <c r="X516" s="5" t="str">
        <f t="array" ref="X516">IF(NOT(AND(ISBLANK(D516),ISBLANK(C516))),_xludf.XLOOKUP(D516,[2]CODE!$A$4:$A$100,[2]CODE!$E$4:$E$100),"")</f>
        <v/>
      </c>
      <c r="Y516" s="5" t="str">
        <f t="shared" si="53"/>
        <v/>
      </c>
      <c r="Z516" s="5" t="str">
        <f t="shared" si="54"/>
        <v/>
      </c>
      <c r="AA516" s="4">
        <f t="shared" si="55"/>
        <v>0</v>
      </c>
      <c r="AC516" s="2"/>
    </row>
    <row r="517" spans="1:29" ht="15.5">
      <c r="A517" s="13" t="str">
        <f>IF(OR(ISBLANK(C517),ISBLANK(D517),ISBLANK(F517),ISBLANK(G517)),"",COUNTIF($B$5:B517,"JAMBUTU"))</f>
        <v/>
      </c>
      <c r="B517" s="8" t="str">
        <f t="shared" si="56"/>
        <v/>
      </c>
      <c r="C517" s="8"/>
      <c r="D517" s="8"/>
      <c r="E517" s="13"/>
      <c r="F517" s="12"/>
      <c r="G517" s="11"/>
      <c r="H517" s="12"/>
      <c r="I517" s="11"/>
      <c r="J517" s="10">
        <f t="shared" ref="J517:J580" si="57">DATE(YEAR(F517),MONTH(F517),DAY(F517))+TIME(HOUR(G517),MINUTE(G517), SECOND(G517))</f>
        <v>0</v>
      </c>
      <c r="K517" s="10">
        <f t="shared" ref="K517:K580" si="58">DATE(YEAR(H517),MONTH(H517),DAY(H517))+TIME(HOUR(I517),MINUTE(I517), SECOND(I517))</f>
        <v>0</v>
      </c>
      <c r="L517" s="9" t="str">
        <f t="shared" ref="L517:L580" si="59">IF(ISBLANK(I517),"",IF(J517&gt;K517,(K517+1)-J517,K517-J517))</f>
        <v/>
      </c>
      <c r="M517" s="8"/>
      <c r="N517" s="8"/>
      <c r="O517" s="8"/>
      <c r="P517" s="8"/>
      <c r="Q517" s="8"/>
      <c r="R517" s="8"/>
      <c r="S517" s="8"/>
      <c r="T517" s="8"/>
      <c r="U517" s="8"/>
      <c r="V517" s="7"/>
      <c r="W517" s="6" t="str">
        <f t="array" ref="W517">IF(NOT(ISBLANK(D517)),_xludf.XLOOKUP(D517,[2]CODE!$A$4:$A$100,[2]CODE!$D$4:$D$100),"")</f>
        <v/>
      </c>
      <c r="X517" s="5" t="str">
        <f t="array" ref="X517">IF(NOT(AND(ISBLANK(D517),ISBLANK(C517))),_xludf.XLOOKUP(D517,[2]CODE!$A$4:$A$100,[2]CODE!$E$4:$E$100),"")</f>
        <v/>
      </c>
      <c r="Y517" s="5" t="str">
        <f t="shared" ref="Y517:Y580" si="60">LEFT(C517,4)</f>
        <v/>
      </c>
      <c r="Z517" s="5" t="str">
        <f t="shared" ref="Z517:Z580" si="61">IF(NOT(ISBLANK(C517)), IF(K517&gt;J517,"YES","NO"),"")</f>
        <v/>
      </c>
      <c r="AA517" s="4">
        <f t="shared" ref="AA517:AA580" si="62">IF(AND(F517=H517,Z517="NO"),1+H517,H517)</f>
        <v>0</v>
      </c>
      <c r="AC517" s="2"/>
    </row>
    <row r="518" spans="1:29" ht="15.5">
      <c r="A518" s="13" t="str">
        <f>IF(OR(ISBLANK(C518),ISBLANK(D518),ISBLANK(F518),ISBLANK(G518)),"",COUNTIF($B$5:B518,"JAMBUTU"))</f>
        <v/>
      </c>
      <c r="B518" s="8" t="str">
        <f t="shared" si="56"/>
        <v/>
      </c>
      <c r="C518" s="8"/>
      <c r="D518" s="8"/>
      <c r="E518" s="13"/>
      <c r="F518" s="12"/>
      <c r="G518" s="11"/>
      <c r="H518" s="12"/>
      <c r="I518" s="11"/>
      <c r="J518" s="10">
        <f t="shared" si="57"/>
        <v>0</v>
      </c>
      <c r="K518" s="10">
        <f t="shared" si="58"/>
        <v>0</v>
      </c>
      <c r="L518" s="9" t="str">
        <f t="shared" si="59"/>
        <v/>
      </c>
      <c r="M518" s="8"/>
      <c r="N518" s="8"/>
      <c r="O518" s="8"/>
      <c r="P518" s="8"/>
      <c r="Q518" s="8"/>
      <c r="R518" s="8"/>
      <c r="S518" s="8"/>
      <c r="T518" s="8"/>
      <c r="U518" s="8"/>
      <c r="V518" s="7"/>
      <c r="W518" s="6" t="str">
        <f t="array" ref="W518">IF(NOT(ISBLANK(D518)),_xludf.XLOOKUP(D518,[2]CODE!$A$4:$A$100,[2]CODE!$D$4:$D$100),"")</f>
        <v/>
      </c>
      <c r="X518" s="5" t="str">
        <f t="array" ref="X518">IF(NOT(AND(ISBLANK(D518),ISBLANK(C518))),_xludf.XLOOKUP(D518,[2]CODE!$A$4:$A$100,[2]CODE!$E$4:$E$100),"")</f>
        <v/>
      </c>
      <c r="Y518" s="5" t="str">
        <f t="shared" si="60"/>
        <v/>
      </c>
      <c r="Z518" s="5" t="str">
        <f t="shared" si="61"/>
        <v/>
      </c>
      <c r="AA518" s="4">
        <f t="shared" si="62"/>
        <v>0</v>
      </c>
      <c r="AC518" s="2"/>
    </row>
    <row r="519" spans="1:29" ht="15.5">
      <c r="A519" s="13" t="str">
        <f>IF(OR(ISBLANK(C519),ISBLANK(D519),ISBLANK(F519),ISBLANK(G519)),"",COUNTIF($B$5:B519,"JAMBUTU"))</f>
        <v/>
      </c>
      <c r="B519" s="8" t="str">
        <f t="shared" si="56"/>
        <v/>
      </c>
      <c r="C519" s="8"/>
      <c r="D519" s="8"/>
      <c r="E519" s="13"/>
      <c r="F519" s="12"/>
      <c r="G519" s="11"/>
      <c r="H519" s="12"/>
      <c r="I519" s="11"/>
      <c r="J519" s="10">
        <f t="shared" si="57"/>
        <v>0</v>
      </c>
      <c r="K519" s="10">
        <f t="shared" si="58"/>
        <v>0</v>
      </c>
      <c r="L519" s="9" t="str">
        <f t="shared" si="59"/>
        <v/>
      </c>
      <c r="M519" s="8"/>
      <c r="N519" s="8"/>
      <c r="O519" s="8"/>
      <c r="P519" s="8"/>
      <c r="Q519" s="8"/>
      <c r="R519" s="8"/>
      <c r="S519" s="8"/>
      <c r="T519" s="8"/>
      <c r="U519" s="8"/>
      <c r="V519" s="7"/>
      <c r="W519" s="6" t="str">
        <f t="array" ref="W519">IF(NOT(ISBLANK(D519)),_xludf.XLOOKUP(D519,[2]CODE!$A$4:$A$100,[2]CODE!$D$4:$D$100),"")</f>
        <v/>
      </c>
      <c r="X519" s="5" t="str">
        <f t="array" ref="X519">IF(NOT(AND(ISBLANK(D519),ISBLANK(C519))),_xludf.XLOOKUP(D519,[2]CODE!$A$4:$A$100,[2]CODE!$E$4:$E$100),"")</f>
        <v/>
      </c>
      <c r="Y519" s="5" t="str">
        <f t="shared" si="60"/>
        <v/>
      </c>
      <c r="Z519" s="5" t="str">
        <f t="shared" si="61"/>
        <v/>
      </c>
      <c r="AA519" s="4">
        <f t="shared" si="62"/>
        <v>0</v>
      </c>
      <c r="AC519" s="2"/>
    </row>
    <row r="520" spans="1:29" ht="15.5">
      <c r="A520" s="13" t="str">
        <f>IF(OR(ISBLANK(C520),ISBLANK(D520),ISBLANK(F520),ISBLANK(G520)),"",COUNTIF($B$5:B520,"JAMBUTU"))</f>
        <v/>
      </c>
      <c r="B520" s="8" t="str">
        <f t="shared" si="56"/>
        <v/>
      </c>
      <c r="C520" s="8"/>
      <c r="D520" s="8"/>
      <c r="E520" s="13"/>
      <c r="F520" s="12"/>
      <c r="G520" s="11"/>
      <c r="H520" s="12"/>
      <c r="I520" s="11"/>
      <c r="J520" s="10">
        <f t="shared" si="57"/>
        <v>0</v>
      </c>
      <c r="K520" s="10">
        <f t="shared" si="58"/>
        <v>0</v>
      </c>
      <c r="L520" s="9" t="str">
        <f t="shared" si="59"/>
        <v/>
      </c>
      <c r="M520" s="8"/>
      <c r="N520" s="8"/>
      <c r="O520" s="8"/>
      <c r="P520" s="8"/>
      <c r="Q520" s="8"/>
      <c r="R520" s="8"/>
      <c r="S520" s="8"/>
      <c r="T520" s="8"/>
      <c r="U520" s="8"/>
      <c r="V520" s="7"/>
      <c r="W520" s="6" t="str">
        <f t="array" ref="W520">IF(NOT(ISBLANK(D520)),_xludf.XLOOKUP(D520,[2]CODE!$A$4:$A$100,[2]CODE!$D$4:$D$100),"")</f>
        <v/>
      </c>
      <c r="X520" s="5" t="str">
        <f t="array" ref="X520">IF(NOT(AND(ISBLANK(D520),ISBLANK(C520))),_xludf.XLOOKUP(D520,[2]CODE!$A$4:$A$100,[2]CODE!$E$4:$E$100),"")</f>
        <v/>
      </c>
      <c r="Y520" s="5" t="str">
        <f t="shared" si="60"/>
        <v/>
      </c>
      <c r="Z520" s="5" t="str">
        <f t="shared" si="61"/>
        <v/>
      </c>
      <c r="AA520" s="4">
        <f t="shared" si="62"/>
        <v>0</v>
      </c>
      <c r="AC520" s="2"/>
    </row>
    <row r="521" spans="1:29" ht="15.5">
      <c r="A521" s="13" t="str">
        <f>IF(OR(ISBLANK(C521),ISBLANK(D521),ISBLANK(F521),ISBLANK(G521)),"",COUNTIF($B$5:B521,"JAMBUTU"))</f>
        <v/>
      </c>
      <c r="B521" s="8" t="str">
        <f t="shared" si="56"/>
        <v/>
      </c>
      <c r="C521" s="8"/>
      <c r="D521" s="8"/>
      <c r="E521" s="13"/>
      <c r="F521" s="12"/>
      <c r="G521" s="11"/>
      <c r="H521" s="12"/>
      <c r="I521" s="11"/>
      <c r="J521" s="10">
        <f t="shared" si="57"/>
        <v>0</v>
      </c>
      <c r="K521" s="10">
        <f t="shared" si="58"/>
        <v>0</v>
      </c>
      <c r="L521" s="9" t="str">
        <f t="shared" si="59"/>
        <v/>
      </c>
      <c r="M521" s="8"/>
      <c r="N521" s="8"/>
      <c r="O521" s="8"/>
      <c r="P521" s="8"/>
      <c r="Q521" s="8"/>
      <c r="R521" s="8"/>
      <c r="S521" s="8"/>
      <c r="T521" s="8"/>
      <c r="U521" s="8"/>
      <c r="V521" s="7"/>
      <c r="W521" s="6" t="str">
        <f t="array" ref="W521">IF(NOT(ISBLANK(D521)),_xludf.XLOOKUP(D521,[2]CODE!$A$4:$A$100,[2]CODE!$D$4:$D$100),"")</f>
        <v/>
      </c>
      <c r="X521" s="5" t="str">
        <f t="array" ref="X521">IF(NOT(AND(ISBLANK(D521),ISBLANK(C521))),_xludf.XLOOKUP(D521,[2]CODE!$A$4:$A$100,[2]CODE!$E$4:$E$100),"")</f>
        <v/>
      </c>
      <c r="Y521" s="5" t="str">
        <f t="shared" si="60"/>
        <v/>
      </c>
      <c r="Z521" s="5" t="str">
        <f t="shared" si="61"/>
        <v/>
      </c>
      <c r="AA521" s="4">
        <f t="shared" si="62"/>
        <v>0</v>
      </c>
      <c r="AC521" s="2"/>
    </row>
    <row r="522" spans="1:29" ht="15.5">
      <c r="A522" s="13" t="str">
        <f>IF(OR(ISBLANK(C522),ISBLANK(D522),ISBLANK(F522),ISBLANK(G522)),"",COUNTIF($B$5:B522,"JAMBUTU"))</f>
        <v/>
      </c>
      <c r="B522" s="8" t="str">
        <f t="shared" si="56"/>
        <v/>
      </c>
      <c r="C522" s="8"/>
      <c r="D522" s="8"/>
      <c r="E522" s="13"/>
      <c r="F522" s="12"/>
      <c r="G522" s="11"/>
      <c r="H522" s="12"/>
      <c r="I522" s="11"/>
      <c r="J522" s="10">
        <f t="shared" si="57"/>
        <v>0</v>
      </c>
      <c r="K522" s="10">
        <f t="shared" si="58"/>
        <v>0</v>
      </c>
      <c r="L522" s="9" t="str">
        <f t="shared" si="59"/>
        <v/>
      </c>
      <c r="M522" s="8"/>
      <c r="N522" s="8"/>
      <c r="O522" s="8"/>
      <c r="P522" s="8"/>
      <c r="Q522" s="8"/>
      <c r="R522" s="8"/>
      <c r="S522" s="8"/>
      <c r="T522" s="8"/>
      <c r="U522" s="8"/>
      <c r="V522" s="7"/>
      <c r="W522" s="6" t="str">
        <f t="array" ref="W522">IF(NOT(ISBLANK(D522)),_xludf.XLOOKUP(D522,[2]CODE!$A$4:$A$100,[2]CODE!$D$4:$D$100),"")</f>
        <v/>
      </c>
      <c r="X522" s="5" t="str">
        <f t="array" ref="X522">IF(NOT(AND(ISBLANK(D522),ISBLANK(C522))),_xludf.XLOOKUP(D522,[2]CODE!$A$4:$A$100,[2]CODE!$E$4:$E$100),"")</f>
        <v/>
      </c>
      <c r="Y522" s="5" t="str">
        <f t="shared" si="60"/>
        <v/>
      </c>
      <c r="Z522" s="5" t="str">
        <f t="shared" si="61"/>
        <v/>
      </c>
      <c r="AA522" s="4">
        <f t="shared" si="62"/>
        <v>0</v>
      </c>
      <c r="AC522" s="2"/>
    </row>
    <row r="523" spans="1:29" ht="15.5">
      <c r="A523" s="13" t="str">
        <f>IF(OR(ISBLANK(C523),ISBLANK(D523),ISBLANK(F523),ISBLANK(G523)),"",COUNTIF($B$5:B523,"JAMBUTU"))</f>
        <v/>
      </c>
      <c r="B523" s="8" t="str">
        <f t="shared" si="56"/>
        <v/>
      </c>
      <c r="C523" s="8"/>
      <c r="D523" s="8"/>
      <c r="E523" s="13"/>
      <c r="F523" s="12"/>
      <c r="G523" s="11"/>
      <c r="H523" s="12"/>
      <c r="I523" s="11"/>
      <c r="J523" s="10">
        <f t="shared" si="57"/>
        <v>0</v>
      </c>
      <c r="K523" s="10">
        <f t="shared" si="58"/>
        <v>0</v>
      </c>
      <c r="L523" s="9" t="str">
        <f t="shared" si="59"/>
        <v/>
      </c>
      <c r="M523" s="8"/>
      <c r="N523" s="8"/>
      <c r="O523" s="8"/>
      <c r="P523" s="8"/>
      <c r="Q523" s="8"/>
      <c r="R523" s="8"/>
      <c r="S523" s="8"/>
      <c r="T523" s="8"/>
      <c r="U523" s="8"/>
      <c r="V523" s="7"/>
      <c r="W523" s="6" t="str">
        <f t="array" ref="W523">IF(NOT(ISBLANK(D523)),_xludf.XLOOKUP(D523,[2]CODE!$A$4:$A$100,[2]CODE!$D$4:$D$100),"")</f>
        <v/>
      </c>
      <c r="X523" s="5" t="str">
        <f t="array" ref="X523">IF(NOT(AND(ISBLANK(D523),ISBLANK(C523))),_xludf.XLOOKUP(D523,[2]CODE!$A$4:$A$100,[2]CODE!$E$4:$E$100),"")</f>
        <v/>
      </c>
      <c r="Y523" s="5" t="str">
        <f t="shared" si="60"/>
        <v/>
      </c>
      <c r="Z523" s="5" t="str">
        <f t="shared" si="61"/>
        <v/>
      </c>
      <c r="AA523" s="4">
        <f t="shared" si="62"/>
        <v>0</v>
      </c>
      <c r="AC523" s="2"/>
    </row>
    <row r="524" spans="1:29" ht="15.5">
      <c r="A524" s="13" t="str">
        <f>IF(OR(ISBLANK(C524),ISBLANK(D524),ISBLANK(F524),ISBLANK(G524)),"",COUNTIF($B$5:B524,"JAMBUTU"))</f>
        <v/>
      </c>
      <c r="B524" s="8" t="str">
        <f t="shared" si="56"/>
        <v/>
      </c>
      <c r="C524" s="8"/>
      <c r="D524" s="8"/>
      <c r="E524" s="13"/>
      <c r="F524" s="12"/>
      <c r="G524" s="11"/>
      <c r="H524" s="12"/>
      <c r="I524" s="11"/>
      <c r="J524" s="10">
        <f t="shared" si="57"/>
        <v>0</v>
      </c>
      <c r="K524" s="10">
        <f t="shared" si="58"/>
        <v>0</v>
      </c>
      <c r="L524" s="9" t="str">
        <f t="shared" si="59"/>
        <v/>
      </c>
      <c r="M524" s="8"/>
      <c r="N524" s="8"/>
      <c r="O524" s="8"/>
      <c r="P524" s="8"/>
      <c r="Q524" s="8"/>
      <c r="R524" s="8"/>
      <c r="S524" s="8"/>
      <c r="T524" s="8"/>
      <c r="U524" s="8"/>
      <c r="V524" s="7"/>
      <c r="W524" s="6" t="str">
        <f t="array" ref="W524">IF(NOT(ISBLANK(D524)),_xludf.XLOOKUP(D524,[2]CODE!$A$4:$A$100,[2]CODE!$D$4:$D$100),"")</f>
        <v/>
      </c>
      <c r="X524" s="5" t="str">
        <f t="array" ref="X524">IF(NOT(AND(ISBLANK(D524),ISBLANK(C524))),_xludf.XLOOKUP(D524,[2]CODE!$A$4:$A$100,[2]CODE!$E$4:$E$100),"")</f>
        <v/>
      </c>
      <c r="Y524" s="5" t="str">
        <f t="shared" si="60"/>
        <v/>
      </c>
      <c r="Z524" s="5" t="str">
        <f t="shared" si="61"/>
        <v/>
      </c>
      <c r="AA524" s="4">
        <f t="shared" si="62"/>
        <v>0</v>
      </c>
      <c r="AC524" s="2"/>
    </row>
    <row r="525" spans="1:29" ht="15.5">
      <c r="A525" s="13" t="str">
        <f>IF(OR(ISBLANK(C525),ISBLANK(D525),ISBLANK(F525),ISBLANK(G525)),"",COUNTIF($B$5:B525,"JAMBUTU"))</f>
        <v/>
      </c>
      <c r="B525" s="8" t="str">
        <f t="shared" si="56"/>
        <v/>
      </c>
      <c r="C525" s="8"/>
      <c r="D525" s="8"/>
      <c r="E525" s="13"/>
      <c r="F525" s="12"/>
      <c r="G525" s="11"/>
      <c r="H525" s="12"/>
      <c r="I525" s="11"/>
      <c r="J525" s="10">
        <f t="shared" si="57"/>
        <v>0</v>
      </c>
      <c r="K525" s="10">
        <f t="shared" si="58"/>
        <v>0</v>
      </c>
      <c r="L525" s="9" t="str">
        <f t="shared" si="59"/>
        <v/>
      </c>
      <c r="M525" s="8"/>
      <c r="N525" s="8"/>
      <c r="O525" s="8"/>
      <c r="P525" s="8"/>
      <c r="Q525" s="8"/>
      <c r="R525" s="8"/>
      <c r="S525" s="8"/>
      <c r="T525" s="8"/>
      <c r="U525" s="8"/>
      <c r="V525" s="7"/>
      <c r="W525" s="6" t="str">
        <f t="array" ref="W525">IF(NOT(ISBLANK(D525)),_xludf.XLOOKUP(D525,[2]CODE!$A$4:$A$100,[2]CODE!$D$4:$D$100),"")</f>
        <v/>
      </c>
      <c r="X525" s="5" t="str">
        <f t="array" ref="X525">IF(NOT(AND(ISBLANK(D525),ISBLANK(C525))),_xludf.XLOOKUP(D525,[2]CODE!$A$4:$A$100,[2]CODE!$E$4:$E$100),"")</f>
        <v/>
      </c>
      <c r="Y525" s="5" t="str">
        <f t="shared" si="60"/>
        <v/>
      </c>
      <c r="Z525" s="5" t="str">
        <f t="shared" si="61"/>
        <v/>
      </c>
      <c r="AA525" s="4">
        <f t="shared" si="62"/>
        <v>0</v>
      </c>
      <c r="AC525" s="2"/>
    </row>
    <row r="526" spans="1:29" ht="15.5">
      <c r="A526" s="13" t="str">
        <f>IF(OR(ISBLANK(C526),ISBLANK(D526),ISBLANK(F526),ISBLANK(G526)),"",COUNTIF($B$5:B526,"JAMBUTU"))</f>
        <v/>
      </c>
      <c r="B526" s="8" t="str">
        <f t="shared" si="56"/>
        <v/>
      </c>
      <c r="C526" s="8"/>
      <c r="D526" s="8"/>
      <c r="E526" s="13"/>
      <c r="F526" s="12"/>
      <c r="G526" s="11"/>
      <c r="H526" s="12"/>
      <c r="I526" s="15"/>
      <c r="J526" s="10">
        <f t="shared" si="57"/>
        <v>0</v>
      </c>
      <c r="K526" s="10">
        <f t="shared" si="58"/>
        <v>0</v>
      </c>
      <c r="L526" s="9" t="str">
        <f t="shared" si="59"/>
        <v/>
      </c>
      <c r="M526" s="8"/>
      <c r="N526" s="8"/>
      <c r="O526" s="8"/>
      <c r="P526" s="8"/>
      <c r="Q526" s="8"/>
      <c r="R526" s="8"/>
      <c r="S526" s="8"/>
      <c r="T526" s="8"/>
      <c r="U526" s="8"/>
      <c r="V526" s="7"/>
      <c r="W526" s="6" t="str">
        <f t="array" ref="W526">IF(NOT(ISBLANK(D526)),_xludf.XLOOKUP(D526,[2]CODE!$A$4:$A$100,[2]CODE!$D$4:$D$100),"")</f>
        <v/>
      </c>
      <c r="X526" s="5" t="str">
        <f t="array" ref="X526">IF(NOT(AND(ISBLANK(D526),ISBLANK(C526))),_xludf.XLOOKUP(D526,[2]CODE!$A$4:$A$100,[2]CODE!$E$4:$E$100),"")</f>
        <v/>
      </c>
      <c r="Y526" s="5" t="str">
        <f t="shared" si="60"/>
        <v/>
      </c>
      <c r="Z526" s="5" t="str">
        <f t="shared" si="61"/>
        <v/>
      </c>
      <c r="AA526" s="4">
        <f t="shared" si="62"/>
        <v>0</v>
      </c>
      <c r="AC526" s="2"/>
    </row>
    <row r="527" spans="1:29" ht="15.5">
      <c r="A527" s="13" t="str">
        <f>IF(OR(ISBLANK(C527),ISBLANK(D527),ISBLANK(F527),ISBLANK(G527)),"",COUNTIF($B$5:B527,"JAMBUTU"))</f>
        <v/>
      </c>
      <c r="B527" s="8" t="str">
        <f t="shared" si="56"/>
        <v/>
      </c>
      <c r="C527" s="8"/>
      <c r="D527" s="8"/>
      <c r="E527" s="13"/>
      <c r="F527" s="12"/>
      <c r="G527" s="11"/>
      <c r="H527" s="12"/>
      <c r="I527" s="15"/>
      <c r="J527" s="10">
        <f t="shared" si="57"/>
        <v>0</v>
      </c>
      <c r="K527" s="10">
        <f t="shared" si="58"/>
        <v>0</v>
      </c>
      <c r="L527" s="9" t="str">
        <f t="shared" si="59"/>
        <v/>
      </c>
      <c r="M527" s="8"/>
      <c r="N527" s="8"/>
      <c r="O527" s="8"/>
      <c r="P527" s="8"/>
      <c r="Q527" s="8"/>
      <c r="R527" s="8"/>
      <c r="S527" s="8"/>
      <c r="T527" s="8"/>
      <c r="U527" s="8"/>
      <c r="V527" s="7"/>
      <c r="W527" s="6" t="str">
        <f t="array" ref="W527">IF(NOT(ISBLANK(D527)),_xludf.XLOOKUP(D527,[2]CODE!$A$4:$A$100,[2]CODE!$D$4:$D$100),"")</f>
        <v/>
      </c>
      <c r="X527" s="5" t="str">
        <f t="array" ref="X527">IF(NOT(AND(ISBLANK(D527),ISBLANK(C527))),_xludf.XLOOKUP(D527,[2]CODE!$A$4:$A$100,[2]CODE!$E$4:$E$100),"")</f>
        <v/>
      </c>
      <c r="Y527" s="5" t="str">
        <f t="shared" si="60"/>
        <v/>
      </c>
      <c r="Z527" s="5" t="str">
        <f t="shared" si="61"/>
        <v/>
      </c>
      <c r="AA527" s="4">
        <f t="shared" si="62"/>
        <v>0</v>
      </c>
      <c r="AC527" s="2"/>
    </row>
    <row r="528" spans="1:29" ht="15.5">
      <c r="A528" s="13" t="str">
        <f>IF(OR(ISBLANK(C528),ISBLANK(D528),ISBLANK(F528),ISBLANK(G528)),"",COUNTIF($B$5:B528,"JAMBUTU"))</f>
        <v/>
      </c>
      <c r="B528" s="8" t="str">
        <f t="shared" si="56"/>
        <v/>
      </c>
      <c r="C528" s="8"/>
      <c r="D528" s="8"/>
      <c r="E528" s="13"/>
      <c r="F528" s="12"/>
      <c r="G528" s="11"/>
      <c r="H528" s="12"/>
      <c r="I528" s="15"/>
      <c r="J528" s="10">
        <f t="shared" si="57"/>
        <v>0</v>
      </c>
      <c r="K528" s="10">
        <f t="shared" si="58"/>
        <v>0</v>
      </c>
      <c r="L528" s="9" t="str">
        <f t="shared" si="59"/>
        <v/>
      </c>
      <c r="M528" s="8"/>
      <c r="N528" s="8"/>
      <c r="O528" s="8"/>
      <c r="P528" s="8"/>
      <c r="Q528" s="8"/>
      <c r="R528" s="8"/>
      <c r="S528" s="8"/>
      <c r="T528" s="8"/>
      <c r="U528" s="8"/>
      <c r="V528" s="7"/>
      <c r="W528" s="6" t="str">
        <f t="array" ref="W528">IF(NOT(ISBLANK(D528)),_xludf.XLOOKUP(D528,[2]CODE!$A$4:$A$100,[2]CODE!$D$4:$D$100),"")</f>
        <v/>
      </c>
      <c r="X528" s="5" t="str">
        <f t="array" ref="X528">IF(NOT(AND(ISBLANK(D528),ISBLANK(C528))),_xludf.XLOOKUP(D528,[2]CODE!$A$4:$A$100,[2]CODE!$E$4:$E$100),"")</f>
        <v/>
      </c>
      <c r="Y528" s="5" t="str">
        <f t="shared" si="60"/>
        <v/>
      </c>
      <c r="Z528" s="5" t="str">
        <f t="shared" si="61"/>
        <v/>
      </c>
      <c r="AA528" s="4">
        <f t="shared" si="62"/>
        <v>0</v>
      </c>
      <c r="AC528" s="2"/>
    </row>
    <row r="529" spans="1:29" ht="15.5">
      <c r="A529" s="13" t="str">
        <f>IF(OR(ISBLANK(C529),ISBLANK(D529),ISBLANK(F529),ISBLANK(G529)),"",COUNTIF($B$5:B529,"JAMBUTU"))</f>
        <v/>
      </c>
      <c r="B529" s="8" t="str">
        <f t="shared" si="56"/>
        <v/>
      </c>
      <c r="C529" s="8"/>
      <c r="D529" s="8"/>
      <c r="E529" s="13"/>
      <c r="F529" s="12"/>
      <c r="G529" s="11"/>
      <c r="H529" s="12"/>
      <c r="I529" s="15"/>
      <c r="J529" s="10">
        <f t="shared" si="57"/>
        <v>0</v>
      </c>
      <c r="K529" s="10">
        <f t="shared" si="58"/>
        <v>0</v>
      </c>
      <c r="L529" s="9" t="str">
        <f t="shared" si="59"/>
        <v/>
      </c>
      <c r="M529" s="8"/>
      <c r="N529" s="8"/>
      <c r="O529" s="8"/>
      <c r="P529" s="8"/>
      <c r="Q529" s="8"/>
      <c r="R529" s="8"/>
      <c r="S529" s="8"/>
      <c r="T529" s="8"/>
      <c r="U529" s="8"/>
      <c r="V529" s="7"/>
      <c r="W529" s="6" t="str">
        <f t="array" ref="W529">IF(NOT(ISBLANK(D529)),_xludf.XLOOKUP(D529,[2]CODE!$A$4:$A$100,[2]CODE!$D$4:$D$100),"")</f>
        <v/>
      </c>
      <c r="X529" s="5" t="str">
        <f t="array" ref="X529">IF(NOT(AND(ISBLANK(D529),ISBLANK(C529))),_xludf.XLOOKUP(D529,[2]CODE!$A$4:$A$100,[2]CODE!$E$4:$E$100),"")</f>
        <v/>
      </c>
      <c r="Y529" s="5" t="str">
        <f t="shared" si="60"/>
        <v/>
      </c>
      <c r="Z529" s="5" t="str">
        <f t="shared" si="61"/>
        <v/>
      </c>
      <c r="AA529" s="4">
        <f t="shared" si="62"/>
        <v>0</v>
      </c>
      <c r="AC529" s="2"/>
    </row>
    <row r="530" spans="1:29" ht="15.5">
      <c r="A530" s="13" t="str">
        <f>IF(OR(ISBLANK(C530),ISBLANK(D530),ISBLANK(F530),ISBLANK(G530)),"",COUNTIF($B$5:B530,"JAMBUTU"))</f>
        <v/>
      </c>
      <c r="B530" s="8" t="str">
        <f t="shared" si="56"/>
        <v/>
      </c>
      <c r="C530" s="8"/>
      <c r="D530" s="8"/>
      <c r="E530" s="13"/>
      <c r="F530" s="12"/>
      <c r="G530" s="15"/>
      <c r="H530" s="12"/>
      <c r="I530" s="11"/>
      <c r="J530" s="10">
        <f t="shared" si="57"/>
        <v>0</v>
      </c>
      <c r="K530" s="10">
        <f t="shared" si="58"/>
        <v>0</v>
      </c>
      <c r="L530" s="9" t="str">
        <f t="shared" si="59"/>
        <v/>
      </c>
      <c r="M530" s="8"/>
      <c r="N530" s="8"/>
      <c r="O530" s="8"/>
      <c r="P530" s="8"/>
      <c r="Q530" s="8"/>
      <c r="R530" s="8"/>
      <c r="S530" s="8"/>
      <c r="T530" s="8"/>
      <c r="U530" s="8"/>
      <c r="V530" s="7"/>
      <c r="W530" s="6" t="str">
        <f t="array" ref="W530">IF(NOT(ISBLANK(D530)),_xludf.XLOOKUP(D530,[2]CODE!$A$4:$A$100,[2]CODE!$D$4:$D$100),"")</f>
        <v/>
      </c>
      <c r="X530" s="5" t="str">
        <f t="array" ref="X530">IF(NOT(AND(ISBLANK(D530),ISBLANK(C530))),_xludf.XLOOKUP(D530,[2]CODE!$A$4:$A$100,[2]CODE!$E$4:$E$100),"")</f>
        <v/>
      </c>
      <c r="Y530" s="5" t="str">
        <f t="shared" si="60"/>
        <v/>
      </c>
      <c r="Z530" s="5" t="str">
        <f t="shared" si="61"/>
        <v/>
      </c>
      <c r="AA530" s="4">
        <f t="shared" si="62"/>
        <v>0</v>
      </c>
      <c r="AC530" s="2"/>
    </row>
    <row r="531" spans="1:29" ht="15.5">
      <c r="A531" s="13" t="str">
        <f>IF(OR(ISBLANK(C531),ISBLANK(D531),ISBLANK(F531),ISBLANK(G531)),"",COUNTIF($B$5:B531,"JAMBUTU"))</f>
        <v/>
      </c>
      <c r="B531" s="8" t="str">
        <f t="shared" ref="B531:B594" si="63">IF(C531&lt;&gt;"","Jambutu","")</f>
        <v/>
      </c>
      <c r="C531" s="8"/>
      <c r="D531" s="8"/>
      <c r="E531" s="13"/>
      <c r="F531" s="12"/>
      <c r="G531" s="15"/>
      <c r="H531" s="12"/>
      <c r="I531" s="11"/>
      <c r="J531" s="10">
        <f t="shared" si="57"/>
        <v>0</v>
      </c>
      <c r="K531" s="10">
        <f t="shared" si="58"/>
        <v>0</v>
      </c>
      <c r="L531" s="9" t="str">
        <f t="shared" si="59"/>
        <v/>
      </c>
      <c r="M531" s="8"/>
      <c r="N531" s="8"/>
      <c r="O531" s="8"/>
      <c r="P531" s="8"/>
      <c r="Q531" s="8"/>
      <c r="R531" s="8"/>
      <c r="S531" s="8"/>
      <c r="T531" s="8"/>
      <c r="U531" s="8"/>
      <c r="V531" s="7"/>
      <c r="W531" s="6" t="str">
        <f t="array" ref="W531">IF(NOT(ISBLANK(D531)),_xludf.XLOOKUP(D531,[2]CODE!$A$4:$A$100,[2]CODE!$D$4:$D$100),"")</f>
        <v/>
      </c>
      <c r="X531" s="5" t="str">
        <f t="array" ref="X531">IF(NOT(AND(ISBLANK(D531),ISBLANK(C531))),_xludf.XLOOKUP(D531,[2]CODE!$A$4:$A$100,[2]CODE!$E$4:$E$100),"")</f>
        <v/>
      </c>
      <c r="Y531" s="5" t="str">
        <f t="shared" si="60"/>
        <v/>
      </c>
      <c r="Z531" s="5" t="str">
        <f t="shared" si="61"/>
        <v/>
      </c>
      <c r="AA531" s="4">
        <f t="shared" si="62"/>
        <v>0</v>
      </c>
      <c r="AC531" s="2"/>
    </row>
    <row r="532" spans="1:29" ht="15.5">
      <c r="A532" s="13" t="str">
        <f>IF(OR(ISBLANK(C532),ISBLANK(D532),ISBLANK(F532),ISBLANK(G532)),"",COUNTIF($B$5:B532,"JAMBUTU"))</f>
        <v/>
      </c>
      <c r="B532" s="8" t="str">
        <f t="shared" si="63"/>
        <v/>
      </c>
      <c r="C532" s="8"/>
      <c r="D532" s="8"/>
      <c r="E532" s="13"/>
      <c r="F532" s="12"/>
      <c r="G532" s="15"/>
      <c r="H532" s="12"/>
      <c r="I532" s="15"/>
      <c r="J532" s="10">
        <f t="shared" si="57"/>
        <v>0</v>
      </c>
      <c r="K532" s="10">
        <f t="shared" si="58"/>
        <v>0</v>
      </c>
      <c r="L532" s="9" t="str">
        <f t="shared" si="59"/>
        <v/>
      </c>
      <c r="M532" s="8"/>
      <c r="N532" s="8"/>
      <c r="O532" s="8"/>
      <c r="P532" s="8"/>
      <c r="Q532" s="8"/>
      <c r="R532" s="8"/>
      <c r="S532" s="8"/>
      <c r="T532" s="8"/>
      <c r="U532" s="8"/>
      <c r="V532" s="7"/>
      <c r="W532" s="6" t="str">
        <f t="array" ref="W532">IF(NOT(ISBLANK(D532)),_xludf.XLOOKUP(D532,[2]CODE!$A$4:$A$100,[2]CODE!$D$4:$D$100),"")</f>
        <v/>
      </c>
      <c r="X532" s="5" t="str">
        <f t="array" ref="X532">IF(NOT(AND(ISBLANK(D532),ISBLANK(C532))),_xludf.XLOOKUP(D532,[2]CODE!$A$4:$A$100,[2]CODE!$E$4:$E$100),"")</f>
        <v/>
      </c>
      <c r="Y532" s="5" t="str">
        <f t="shared" si="60"/>
        <v/>
      </c>
      <c r="Z532" s="5" t="str">
        <f t="shared" si="61"/>
        <v/>
      </c>
      <c r="AA532" s="4">
        <f t="shared" si="62"/>
        <v>0</v>
      </c>
      <c r="AC532" s="2"/>
    </row>
    <row r="533" spans="1:29" ht="15.5">
      <c r="A533" s="13" t="str">
        <f>IF(OR(ISBLANK(C533),ISBLANK(D533),ISBLANK(F533),ISBLANK(G533)),"",COUNTIF($B$5:B533,"JAMBUTU"))</f>
        <v/>
      </c>
      <c r="B533" s="8" t="str">
        <f t="shared" si="63"/>
        <v/>
      </c>
      <c r="C533" s="8"/>
      <c r="D533" s="8"/>
      <c r="E533" s="13"/>
      <c r="F533" s="12"/>
      <c r="G533" s="11"/>
      <c r="H533" s="12"/>
      <c r="I533" s="15"/>
      <c r="J533" s="10">
        <f t="shared" si="57"/>
        <v>0</v>
      </c>
      <c r="K533" s="10">
        <f t="shared" si="58"/>
        <v>0</v>
      </c>
      <c r="L533" s="9" t="str">
        <f t="shared" si="59"/>
        <v/>
      </c>
      <c r="M533" s="8"/>
      <c r="N533" s="8"/>
      <c r="O533" s="8"/>
      <c r="P533" s="8"/>
      <c r="Q533" s="8"/>
      <c r="R533" s="8"/>
      <c r="S533" s="8"/>
      <c r="T533" s="8"/>
      <c r="U533" s="8"/>
      <c r="V533" s="7"/>
      <c r="W533" s="6" t="str">
        <f t="array" ref="W533">IF(NOT(ISBLANK(D533)),_xludf.XLOOKUP(D533,[2]CODE!$A$4:$A$100,[2]CODE!$D$4:$D$100),"")</f>
        <v/>
      </c>
      <c r="X533" s="5" t="str">
        <f t="array" ref="X533">IF(NOT(AND(ISBLANK(D533),ISBLANK(C533))),_xludf.XLOOKUP(D533,[2]CODE!$A$4:$A$100,[2]CODE!$E$4:$E$100),"")</f>
        <v/>
      </c>
      <c r="Y533" s="5" t="str">
        <f t="shared" si="60"/>
        <v/>
      </c>
      <c r="Z533" s="5" t="str">
        <f t="shared" si="61"/>
        <v/>
      </c>
      <c r="AA533" s="4">
        <f t="shared" si="62"/>
        <v>0</v>
      </c>
      <c r="AC533" s="2"/>
    </row>
    <row r="534" spans="1:29" ht="15.5">
      <c r="A534" s="13" t="str">
        <f>IF(OR(ISBLANK(C534),ISBLANK(D534),ISBLANK(F534),ISBLANK(G534)),"",COUNTIF($B$5:B534,"JAMBUTU"))</f>
        <v/>
      </c>
      <c r="B534" s="8" t="str">
        <f t="shared" si="63"/>
        <v/>
      </c>
      <c r="C534" s="8"/>
      <c r="D534" s="8"/>
      <c r="E534" s="13"/>
      <c r="F534" s="12"/>
      <c r="G534" s="11"/>
      <c r="H534" s="12"/>
      <c r="I534" s="15"/>
      <c r="J534" s="10">
        <f t="shared" si="57"/>
        <v>0</v>
      </c>
      <c r="K534" s="10">
        <f t="shared" si="58"/>
        <v>0</v>
      </c>
      <c r="L534" s="9" t="str">
        <f t="shared" si="59"/>
        <v/>
      </c>
      <c r="M534" s="8"/>
      <c r="N534" s="8"/>
      <c r="O534" s="8"/>
      <c r="P534" s="8"/>
      <c r="Q534" s="8"/>
      <c r="R534" s="8"/>
      <c r="S534" s="8"/>
      <c r="T534" s="8"/>
      <c r="U534" s="8"/>
      <c r="V534" s="7"/>
      <c r="W534" s="6" t="str">
        <f t="array" ref="W534">IF(NOT(ISBLANK(D534)),_xludf.XLOOKUP(D534,[2]CODE!$A$4:$A$100,[2]CODE!$D$4:$D$100),"")</f>
        <v/>
      </c>
      <c r="X534" s="5" t="str">
        <f t="array" ref="X534">IF(NOT(AND(ISBLANK(D534),ISBLANK(C534))),_xludf.XLOOKUP(D534,[2]CODE!$A$4:$A$100,[2]CODE!$E$4:$E$100),"")</f>
        <v/>
      </c>
      <c r="Y534" s="5" t="str">
        <f t="shared" si="60"/>
        <v/>
      </c>
      <c r="Z534" s="5" t="str">
        <f t="shared" si="61"/>
        <v/>
      </c>
      <c r="AA534" s="4">
        <f t="shared" si="62"/>
        <v>0</v>
      </c>
      <c r="AC534" s="2"/>
    </row>
    <row r="535" spans="1:29" ht="15.5">
      <c r="A535" s="13" t="str">
        <f>IF(OR(ISBLANK(C535),ISBLANK(D535),ISBLANK(F535),ISBLANK(G535)),"",COUNTIF($B$5:B535,"JAMBUTU"))</f>
        <v/>
      </c>
      <c r="B535" s="8" t="str">
        <f t="shared" si="63"/>
        <v/>
      </c>
      <c r="C535" s="8"/>
      <c r="D535" s="8"/>
      <c r="E535" s="13"/>
      <c r="F535" s="12"/>
      <c r="G535" s="11"/>
      <c r="H535" s="12"/>
      <c r="I535" s="11"/>
      <c r="J535" s="10">
        <f t="shared" si="57"/>
        <v>0</v>
      </c>
      <c r="K535" s="10">
        <f t="shared" si="58"/>
        <v>0</v>
      </c>
      <c r="L535" s="9" t="str">
        <f t="shared" si="59"/>
        <v/>
      </c>
      <c r="M535" s="8"/>
      <c r="N535" s="8"/>
      <c r="O535" s="8"/>
      <c r="P535" s="8"/>
      <c r="Q535" s="8"/>
      <c r="R535" s="8"/>
      <c r="S535" s="8"/>
      <c r="T535" s="8"/>
      <c r="U535" s="8"/>
      <c r="V535" s="7"/>
      <c r="W535" s="6" t="str">
        <f t="array" ref="W535">IF(NOT(ISBLANK(D535)),_xludf.XLOOKUP(D535,[2]CODE!$A$4:$A$100,[2]CODE!$D$4:$D$100),"")</f>
        <v/>
      </c>
      <c r="X535" s="5" t="str">
        <f t="array" ref="X535">IF(NOT(AND(ISBLANK(D535),ISBLANK(C535))),_xludf.XLOOKUP(D535,[2]CODE!$A$4:$A$100,[2]CODE!$E$4:$E$100),"")</f>
        <v/>
      </c>
      <c r="Y535" s="5" t="str">
        <f t="shared" si="60"/>
        <v/>
      </c>
      <c r="Z535" s="5" t="str">
        <f t="shared" si="61"/>
        <v/>
      </c>
      <c r="AA535" s="4">
        <f t="shared" si="62"/>
        <v>0</v>
      </c>
      <c r="AC535" s="2"/>
    </row>
    <row r="536" spans="1:29" ht="15.5">
      <c r="A536" s="13" t="str">
        <f>IF(OR(ISBLANK(C536),ISBLANK(D536),ISBLANK(F536),ISBLANK(G536)),"",COUNTIF($B$5:B536,"JAMBUTU"))</f>
        <v/>
      </c>
      <c r="B536" s="8" t="str">
        <f t="shared" si="63"/>
        <v/>
      </c>
      <c r="C536" s="8"/>
      <c r="D536" s="8"/>
      <c r="E536" s="13"/>
      <c r="F536" s="12"/>
      <c r="G536" s="11"/>
      <c r="H536" s="12"/>
      <c r="I536" s="15"/>
      <c r="J536" s="10">
        <f t="shared" si="57"/>
        <v>0</v>
      </c>
      <c r="K536" s="10">
        <f t="shared" si="58"/>
        <v>0</v>
      </c>
      <c r="L536" s="9" t="str">
        <f t="shared" si="59"/>
        <v/>
      </c>
      <c r="M536" s="8"/>
      <c r="N536" s="8"/>
      <c r="O536" s="8"/>
      <c r="P536" s="8"/>
      <c r="Q536" s="8"/>
      <c r="R536" s="8"/>
      <c r="S536" s="8"/>
      <c r="T536" s="8"/>
      <c r="U536" s="8"/>
      <c r="V536" s="7"/>
      <c r="W536" s="6" t="str">
        <f t="array" ref="W536">IF(NOT(ISBLANK(D536)),_xludf.XLOOKUP(D536,[2]CODE!$A$4:$A$100,[2]CODE!$D$4:$D$100),"")</f>
        <v/>
      </c>
      <c r="X536" s="5" t="str">
        <f t="array" ref="X536">IF(NOT(AND(ISBLANK(D536),ISBLANK(C536))),_xludf.XLOOKUP(D536,[2]CODE!$A$4:$A$100,[2]CODE!$E$4:$E$100),"")</f>
        <v/>
      </c>
      <c r="Y536" s="5" t="str">
        <f t="shared" si="60"/>
        <v/>
      </c>
      <c r="Z536" s="5" t="str">
        <f t="shared" si="61"/>
        <v/>
      </c>
      <c r="AA536" s="4">
        <f t="shared" si="62"/>
        <v>0</v>
      </c>
      <c r="AC536" s="2"/>
    </row>
    <row r="537" spans="1:29" ht="15.5">
      <c r="A537" s="13" t="str">
        <f>IF(OR(ISBLANK(C537),ISBLANK(D537),ISBLANK(F537),ISBLANK(G537)),"",COUNTIF($B$5:B537,"JAMBUTU"))</f>
        <v/>
      </c>
      <c r="B537" s="8" t="str">
        <f t="shared" si="63"/>
        <v/>
      </c>
      <c r="C537" s="8"/>
      <c r="D537" s="8"/>
      <c r="E537" s="13"/>
      <c r="F537" s="12"/>
      <c r="G537" s="11"/>
      <c r="H537" s="12"/>
      <c r="I537" s="15"/>
      <c r="J537" s="10">
        <f t="shared" si="57"/>
        <v>0</v>
      </c>
      <c r="K537" s="10">
        <f t="shared" si="58"/>
        <v>0</v>
      </c>
      <c r="L537" s="9" t="str">
        <f t="shared" si="59"/>
        <v/>
      </c>
      <c r="M537" s="8"/>
      <c r="N537" s="8"/>
      <c r="O537" s="8"/>
      <c r="P537" s="8"/>
      <c r="Q537" s="8"/>
      <c r="R537" s="8"/>
      <c r="S537" s="8"/>
      <c r="T537" s="8"/>
      <c r="U537" s="8"/>
      <c r="V537" s="7"/>
      <c r="W537" s="6" t="str">
        <f t="array" ref="W537">IF(NOT(ISBLANK(D537)),_xludf.XLOOKUP(D537,[2]CODE!$A$4:$A$100,[2]CODE!$D$4:$D$100),"")</f>
        <v/>
      </c>
      <c r="X537" s="5" t="str">
        <f t="array" ref="X537">IF(NOT(AND(ISBLANK(D537),ISBLANK(C537))),_xludf.XLOOKUP(D537,[2]CODE!$A$4:$A$100,[2]CODE!$E$4:$E$100),"")</f>
        <v/>
      </c>
      <c r="Y537" s="5" t="str">
        <f t="shared" si="60"/>
        <v/>
      </c>
      <c r="Z537" s="5" t="str">
        <f t="shared" si="61"/>
        <v/>
      </c>
      <c r="AA537" s="4">
        <f t="shared" si="62"/>
        <v>0</v>
      </c>
      <c r="AC537" s="2"/>
    </row>
    <row r="538" spans="1:29" ht="15.5">
      <c r="A538" s="13" t="str">
        <f>IF(OR(ISBLANK(C538),ISBLANK(D538),ISBLANK(F538),ISBLANK(G538)),"",COUNTIF($B$5:B538,"JAMBUTU"))</f>
        <v/>
      </c>
      <c r="B538" s="8" t="str">
        <f t="shared" si="63"/>
        <v/>
      </c>
      <c r="C538" s="8"/>
      <c r="D538" s="8"/>
      <c r="E538" s="13"/>
      <c r="F538" s="12"/>
      <c r="G538" s="11"/>
      <c r="H538" s="12"/>
      <c r="I538" s="11"/>
      <c r="J538" s="10">
        <f t="shared" si="57"/>
        <v>0</v>
      </c>
      <c r="K538" s="10">
        <f t="shared" si="58"/>
        <v>0</v>
      </c>
      <c r="L538" s="9" t="str">
        <f t="shared" si="59"/>
        <v/>
      </c>
      <c r="M538" s="8"/>
      <c r="N538" s="8"/>
      <c r="O538" s="8"/>
      <c r="P538" s="8"/>
      <c r="Q538" s="8"/>
      <c r="R538" s="8"/>
      <c r="S538" s="8"/>
      <c r="T538" s="8"/>
      <c r="U538" s="8"/>
      <c r="V538" s="7"/>
      <c r="W538" s="6" t="str">
        <f t="array" ref="W538">IF(NOT(ISBLANK(D538)),_xludf.XLOOKUP(D538,[2]CODE!$A$4:$A$100,[2]CODE!$D$4:$D$100),"")</f>
        <v/>
      </c>
      <c r="X538" s="5" t="str">
        <f t="array" ref="X538">IF(NOT(AND(ISBLANK(D538),ISBLANK(C538))),_xludf.XLOOKUP(D538,[2]CODE!$A$4:$A$100,[2]CODE!$E$4:$E$100),"")</f>
        <v/>
      </c>
      <c r="Y538" s="5" t="str">
        <f t="shared" si="60"/>
        <v/>
      </c>
      <c r="Z538" s="5" t="str">
        <f t="shared" si="61"/>
        <v/>
      </c>
      <c r="AA538" s="4">
        <f t="shared" si="62"/>
        <v>0</v>
      </c>
      <c r="AC538" s="2"/>
    </row>
    <row r="539" spans="1:29" ht="15.5">
      <c r="A539" s="13" t="str">
        <f>IF(OR(ISBLANK(C539),ISBLANK(D539),ISBLANK(F539),ISBLANK(G539)),"",COUNTIF($B$5:B539,"JAMBUTU"))</f>
        <v/>
      </c>
      <c r="B539" s="8" t="str">
        <f t="shared" si="63"/>
        <v/>
      </c>
      <c r="C539" s="8"/>
      <c r="D539" s="8"/>
      <c r="E539" s="13"/>
      <c r="F539" s="12"/>
      <c r="G539" s="11"/>
      <c r="H539" s="12"/>
      <c r="I539" s="11"/>
      <c r="J539" s="10">
        <f t="shared" si="57"/>
        <v>0</v>
      </c>
      <c r="K539" s="10">
        <f t="shared" si="58"/>
        <v>0</v>
      </c>
      <c r="L539" s="9" t="str">
        <f t="shared" si="59"/>
        <v/>
      </c>
      <c r="M539" s="8"/>
      <c r="N539" s="8"/>
      <c r="O539" s="8"/>
      <c r="P539" s="8"/>
      <c r="Q539" s="8"/>
      <c r="R539" s="8"/>
      <c r="S539" s="8"/>
      <c r="T539" s="8"/>
      <c r="U539" s="8"/>
      <c r="V539" s="7"/>
      <c r="W539" s="6" t="str">
        <f t="array" ref="W539">IF(NOT(ISBLANK(D539)),_xludf.XLOOKUP(D539,[2]CODE!$A$4:$A$100,[2]CODE!$D$4:$D$100),"")</f>
        <v/>
      </c>
      <c r="X539" s="5" t="str">
        <f t="array" ref="X539">IF(NOT(AND(ISBLANK(D539),ISBLANK(C539))),_xludf.XLOOKUP(D539,[2]CODE!$A$4:$A$100,[2]CODE!$E$4:$E$100),"")</f>
        <v/>
      </c>
      <c r="Y539" s="5" t="str">
        <f t="shared" si="60"/>
        <v/>
      </c>
      <c r="Z539" s="5" t="str">
        <f t="shared" si="61"/>
        <v/>
      </c>
      <c r="AA539" s="4">
        <f t="shared" si="62"/>
        <v>0</v>
      </c>
      <c r="AC539" s="2"/>
    </row>
    <row r="540" spans="1:29" ht="15.5">
      <c r="A540" s="13" t="str">
        <f>IF(OR(ISBLANK(C540),ISBLANK(D540),ISBLANK(F540),ISBLANK(G540)),"",COUNTIF($B$5:B540,"JAMBUTU"))</f>
        <v/>
      </c>
      <c r="B540" s="8" t="str">
        <f t="shared" si="63"/>
        <v/>
      </c>
      <c r="C540" s="8"/>
      <c r="D540" s="8"/>
      <c r="E540" s="13"/>
      <c r="F540" s="12"/>
      <c r="G540" s="11"/>
      <c r="H540" s="12"/>
      <c r="I540" s="11"/>
      <c r="J540" s="10">
        <f t="shared" si="57"/>
        <v>0</v>
      </c>
      <c r="K540" s="10">
        <f t="shared" si="58"/>
        <v>0</v>
      </c>
      <c r="L540" s="9" t="str">
        <f t="shared" si="59"/>
        <v/>
      </c>
      <c r="M540" s="8"/>
      <c r="N540" s="8"/>
      <c r="O540" s="8"/>
      <c r="P540" s="8"/>
      <c r="Q540" s="8"/>
      <c r="R540" s="8"/>
      <c r="S540" s="8"/>
      <c r="T540" s="8"/>
      <c r="U540" s="8"/>
      <c r="V540" s="7"/>
      <c r="W540" s="6" t="str">
        <f t="array" ref="W540">IF(NOT(ISBLANK(D540)),_xludf.XLOOKUP(D540,[2]CODE!$A$4:$A$100,[2]CODE!$D$4:$D$100),"")</f>
        <v/>
      </c>
      <c r="X540" s="5" t="str">
        <f t="array" ref="X540">IF(NOT(AND(ISBLANK(D540),ISBLANK(C540))),_xludf.XLOOKUP(D540,[2]CODE!$A$4:$A$100,[2]CODE!$E$4:$E$100),"")</f>
        <v/>
      </c>
      <c r="Y540" s="5" t="str">
        <f t="shared" si="60"/>
        <v/>
      </c>
      <c r="Z540" s="5" t="str">
        <f t="shared" si="61"/>
        <v/>
      </c>
      <c r="AA540" s="4">
        <f t="shared" si="62"/>
        <v>0</v>
      </c>
      <c r="AC540" s="2"/>
    </row>
    <row r="541" spans="1:29" ht="15.5">
      <c r="A541" s="13" t="str">
        <f>IF(OR(ISBLANK(C541),ISBLANK(D541),ISBLANK(F541),ISBLANK(G541)),"",COUNTIF($B$5:B541,"JAMBUTU"))</f>
        <v/>
      </c>
      <c r="B541" s="8" t="str">
        <f t="shared" si="63"/>
        <v/>
      </c>
      <c r="C541" s="8"/>
      <c r="D541" s="8"/>
      <c r="E541" s="13"/>
      <c r="F541" s="12"/>
      <c r="G541" s="11"/>
      <c r="H541" s="12"/>
      <c r="I541" s="11"/>
      <c r="J541" s="10">
        <f t="shared" si="57"/>
        <v>0</v>
      </c>
      <c r="K541" s="10">
        <f t="shared" si="58"/>
        <v>0</v>
      </c>
      <c r="L541" s="9" t="str">
        <f t="shared" si="59"/>
        <v/>
      </c>
      <c r="M541" s="8"/>
      <c r="N541" s="8"/>
      <c r="O541" s="8"/>
      <c r="P541" s="8"/>
      <c r="Q541" s="8"/>
      <c r="R541" s="8"/>
      <c r="S541" s="8"/>
      <c r="T541" s="8"/>
      <c r="U541" s="8"/>
      <c r="V541" s="7"/>
      <c r="W541" s="6" t="str">
        <f t="array" ref="W541">IF(NOT(ISBLANK(D541)),_xludf.XLOOKUP(D541,[2]CODE!$A$4:$A$100,[2]CODE!$D$4:$D$100),"")</f>
        <v/>
      </c>
      <c r="X541" s="5" t="str">
        <f t="array" ref="X541">IF(NOT(AND(ISBLANK(D541),ISBLANK(C541))),_xludf.XLOOKUP(D541,[2]CODE!$A$4:$A$100,[2]CODE!$E$4:$E$100),"")</f>
        <v/>
      </c>
      <c r="Y541" s="5" t="str">
        <f t="shared" si="60"/>
        <v/>
      </c>
      <c r="Z541" s="5" t="str">
        <f t="shared" si="61"/>
        <v/>
      </c>
      <c r="AA541" s="4">
        <f t="shared" si="62"/>
        <v>0</v>
      </c>
      <c r="AC541" s="2"/>
    </row>
    <row r="542" spans="1:29" ht="15.5">
      <c r="A542" s="13" t="str">
        <f>IF(OR(ISBLANK(C542),ISBLANK(D542),ISBLANK(F542),ISBLANK(G542)),"",COUNTIF($B$5:B542,"JAMBUTU"))</f>
        <v/>
      </c>
      <c r="B542" s="8" t="str">
        <f t="shared" si="63"/>
        <v/>
      </c>
      <c r="C542" s="8"/>
      <c r="D542" s="8"/>
      <c r="E542" s="13"/>
      <c r="F542" s="12"/>
      <c r="G542" s="11"/>
      <c r="H542" s="12"/>
      <c r="I542" s="11"/>
      <c r="J542" s="10">
        <f t="shared" si="57"/>
        <v>0</v>
      </c>
      <c r="K542" s="10">
        <f t="shared" si="58"/>
        <v>0</v>
      </c>
      <c r="L542" s="9" t="str">
        <f t="shared" si="59"/>
        <v/>
      </c>
      <c r="M542" s="8"/>
      <c r="N542" s="8"/>
      <c r="O542" s="8"/>
      <c r="P542" s="8"/>
      <c r="Q542" s="8"/>
      <c r="R542" s="8"/>
      <c r="S542" s="8"/>
      <c r="T542" s="8"/>
      <c r="U542" s="8"/>
      <c r="V542" s="7"/>
      <c r="W542" s="6" t="str">
        <f t="array" ref="W542">IF(NOT(ISBLANK(D542)),_xludf.XLOOKUP(D542,[2]CODE!$A$4:$A$100,[2]CODE!$D$4:$D$100),"")</f>
        <v/>
      </c>
      <c r="X542" s="5" t="str">
        <f t="array" ref="X542">IF(NOT(AND(ISBLANK(D542),ISBLANK(C542))),_xludf.XLOOKUP(D542,[2]CODE!$A$4:$A$100,[2]CODE!$E$4:$E$100),"")</f>
        <v/>
      </c>
      <c r="Y542" s="5" t="str">
        <f t="shared" si="60"/>
        <v/>
      </c>
      <c r="Z542" s="5" t="str">
        <f t="shared" si="61"/>
        <v/>
      </c>
      <c r="AA542" s="4">
        <f t="shared" si="62"/>
        <v>0</v>
      </c>
      <c r="AC542" s="2"/>
    </row>
    <row r="543" spans="1:29" ht="15.5">
      <c r="A543" s="13" t="str">
        <f>IF(OR(ISBLANK(C543),ISBLANK(D543),ISBLANK(F543),ISBLANK(G543)),"",COUNTIF($B$5:B543,"JAMBUTU"))</f>
        <v/>
      </c>
      <c r="B543" s="8" t="str">
        <f t="shared" si="63"/>
        <v/>
      </c>
      <c r="C543" s="8"/>
      <c r="D543" s="8"/>
      <c r="E543" s="13"/>
      <c r="F543" s="12"/>
      <c r="G543" s="11"/>
      <c r="H543" s="12"/>
      <c r="I543" s="15"/>
      <c r="J543" s="10">
        <f t="shared" si="57"/>
        <v>0</v>
      </c>
      <c r="K543" s="10">
        <f t="shared" si="58"/>
        <v>0</v>
      </c>
      <c r="L543" s="9" t="str">
        <f t="shared" si="59"/>
        <v/>
      </c>
      <c r="M543" s="8"/>
      <c r="N543" s="8"/>
      <c r="O543" s="8"/>
      <c r="P543" s="8"/>
      <c r="Q543" s="8"/>
      <c r="R543" s="8"/>
      <c r="S543" s="8"/>
      <c r="T543" s="8"/>
      <c r="U543" s="8"/>
      <c r="V543" s="7"/>
      <c r="W543" s="6" t="str">
        <f t="array" ref="W543">IF(NOT(ISBLANK(D543)),_xludf.XLOOKUP(D543,[2]CODE!$A$4:$A$100,[2]CODE!$D$4:$D$100),"")</f>
        <v/>
      </c>
      <c r="X543" s="5" t="str">
        <f t="array" ref="X543">IF(NOT(AND(ISBLANK(D543),ISBLANK(C543))),_xludf.XLOOKUP(D543,[2]CODE!$A$4:$A$100,[2]CODE!$E$4:$E$100),"")</f>
        <v/>
      </c>
      <c r="Y543" s="5" t="str">
        <f t="shared" si="60"/>
        <v/>
      </c>
      <c r="Z543" s="5" t="str">
        <f t="shared" si="61"/>
        <v/>
      </c>
      <c r="AA543" s="4">
        <f t="shared" si="62"/>
        <v>0</v>
      </c>
      <c r="AC543" s="2"/>
    </row>
    <row r="544" spans="1:29" ht="15.5">
      <c r="A544" s="13" t="str">
        <f>IF(OR(ISBLANK(C544),ISBLANK(D544),ISBLANK(F544),ISBLANK(G544)),"",COUNTIF($B$5:B544,"JAMBUTU"))</f>
        <v/>
      </c>
      <c r="B544" s="8" t="str">
        <f t="shared" si="63"/>
        <v/>
      </c>
      <c r="C544" s="8"/>
      <c r="D544" s="8"/>
      <c r="E544" s="13"/>
      <c r="F544" s="12"/>
      <c r="G544" s="11"/>
      <c r="H544" s="12"/>
      <c r="I544" s="15"/>
      <c r="J544" s="10">
        <f t="shared" si="57"/>
        <v>0</v>
      </c>
      <c r="K544" s="10">
        <f t="shared" si="58"/>
        <v>0</v>
      </c>
      <c r="L544" s="9" t="str">
        <f t="shared" si="59"/>
        <v/>
      </c>
      <c r="M544" s="8"/>
      <c r="N544" s="8"/>
      <c r="O544" s="8"/>
      <c r="P544" s="8"/>
      <c r="Q544" s="8"/>
      <c r="R544" s="8"/>
      <c r="S544" s="8"/>
      <c r="T544" s="8"/>
      <c r="U544" s="8"/>
      <c r="V544" s="7"/>
      <c r="W544" s="6" t="str">
        <f t="array" ref="W544">IF(NOT(ISBLANK(D544)),_xludf.XLOOKUP(D544,[2]CODE!$A$4:$A$100,[2]CODE!$D$4:$D$100),"")</f>
        <v/>
      </c>
      <c r="X544" s="5" t="str">
        <f t="array" ref="X544">IF(NOT(AND(ISBLANK(D544),ISBLANK(C544))),_xludf.XLOOKUP(D544,[2]CODE!$A$4:$A$100,[2]CODE!$E$4:$E$100),"")</f>
        <v/>
      </c>
      <c r="Y544" s="5" t="str">
        <f t="shared" si="60"/>
        <v/>
      </c>
      <c r="Z544" s="5" t="str">
        <f t="shared" si="61"/>
        <v/>
      </c>
      <c r="AA544" s="4">
        <f t="shared" si="62"/>
        <v>0</v>
      </c>
      <c r="AC544" s="2"/>
    </row>
    <row r="545" spans="1:29" ht="15.5">
      <c r="A545" s="13" t="str">
        <f>IF(OR(ISBLANK(C545),ISBLANK(D545),ISBLANK(F545),ISBLANK(G545)),"",COUNTIF($B$5:B545,"JAMBUTU"))</f>
        <v/>
      </c>
      <c r="B545" s="8" t="str">
        <f t="shared" si="63"/>
        <v/>
      </c>
      <c r="C545" s="8"/>
      <c r="D545" s="8"/>
      <c r="E545" s="13"/>
      <c r="F545" s="12"/>
      <c r="G545" s="11"/>
      <c r="H545" s="12"/>
      <c r="I545" s="11"/>
      <c r="J545" s="10">
        <f t="shared" si="57"/>
        <v>0</v>
      </c>
      <c r="K545" s="10">
        <f t="shared" si="58"/>
        <v>0</v>
      </c>
      <c r="L545" s="9" t="str">
        <f t="shared" si="59"/>
        <v/>
      </c>
      <c r="M545" s="8"/>
      <c r="N545" s="8"/>
      <c r="O545" s="8"/>
      <c r="P545" s="8"/>
      <c r="Q545" s="8"/>
      <c r="R545" s="8"/>
      <c r="S545" s="8"/>
      <c r="T545" s="8"/>
      <c r="U545" s="8"/>
      <c r="V545" s="7"/>
      <c r="W545" s="6" t="str">
        <f t="array" ref="W545">IF(NOT(ISBLANK(D545)),_xludf.XLOOKUP(D545,[2]CODE!$A$4:$A$100,[2]CODE!$D$4:$D$100),"")</f>
        <v/>
      </c>
      <c r="X545" s="5" t="str">
        <f t="array" ref="X545">IF(NOT(AND(ISBLANK(D545),ISBLANK(C545))),_xludf.XLOOKUP(D545,[2]CODE!$A$4:$A$100,[2]CODE!$E$4:$E$100),"")</f>
        <v/>
      </c>
      <c r="Y545" s="5" t="str">
        <f t="shared" si="60"/>
        <v/>
      </c>
      <c r="Z545" s="5" t="str">
        <f t="shared" si="61"/>
        <v/>
      </c>
      <c r="AA545" s="4">
        <f t="shared" si="62"/>
        <v>0</v>
      </c>
      <c r="AC545" s="2"/>
    </row>
    <row r="546" spans="1:29" ht="15.5">
      <c r="A546" s="13" t="str">
        <f>IF(OR(ISBLANK(C546),ISBLANK(D546),ISBLANK(F546),ISBLANK(G546)),"",COUNTIF($B$5:B546,"JAMBUTU"))</f>
        <v/>
      </c>
      <c r="B546" s="8" t="str">
        <f t="shared" si="63"/>
        <v/>
      </c>
      <c r="C546" s="8"/>
      <c r="D546" s="8"/>
      <c r="E546" s="13"/>
      <c r="F546" s="12"/>
      <c r="G546" s="11"/>
      <c r="H546" s="12"/>
      <c r="I546" s="15"/>
      <c r="J546" s="10">
        <f t="shared" si="57"/>
        <v>0</v>
      </c>
      <c r="K546" s="10">
        <f t="shared" si="58"/>
        <v>0</v>
      </c>
      <c r="L546" s="9" t="str">
        <f t="shared" si="59"/>
        <v/>
      </c>
      <c r="M546" s="8"/>
      <c r="N546" s="8"/>
      <c r="O546" s="8"/>
      <c r="P546" s="8"/>
      <c r="Q546" s="8"/>
      <c r="R546" s="8"/>
      <c r="S546" s="8"/>
      <c r="T546" s="8"/>
      <c r="U546" s="8"/>
      <c r="V546" s="7"/>
      <c r="W546" s="6" t="str">
        <f t="array" ref="W546">IF(NOT(ISBLANK(D546)),_xludf.XLOOKUP(D546,[2]CODE!$A$4:$A$100,[2]CODE!$D$4:$D$100),"")</f>
        <v/>
      </c>
      <c r="X546" s="5" t="str">
        <f t="array" ref="X546">IF(NOT(AND(ISBLANK(D546),ISBLANK(C546))),_xludf.XLOOKUP(D546,[2]CODE!$A$4:$A$100,[2]CODE!$E$4:$E$100),"")</f>
        <v/>
      </c>
      <c r="Y546" s="5" t="str">
        <f t="shared" si="60"/>
        <v/>
      </c>
      <c r="Z546" s="5" t="str">
        <f t="shared" si="61"/>
        <v/>
      </c>
      <c r="AA546" s="4">
        <f t="shared" si="62"/>
        <v>0</v>
      </c>
      <c r="AC546" s="2"/>
    </row>
    <row r="547" spans="1:29" ht="15.5">
      <c r="A547" s="13" t="str">
        <f>IF(OR(ISBLANK(C547),ISBLANK(D547),ISBLANK(F547),ISBLANK(G547)),"",COUNTIF($B$5:B547,"JAMBUTU"))</f>
        <v/>
      </c>
      <c r="B547" s="8" t="str">
        <f t="shared" si="63"/>
        <v/>
      </c>
      <c r="C547" s="8"/>
      <c r="D547" s="8"/>
      <c r="E547" s="13"/>
      <c r="F547" s="12"/>
      <c r="G547" s="11"/>
      <c r="H547" s="12"/>
      <c r="I547" s="11"/>
      <c r="J547" s="10">
        <f t="shared" si="57"/>
        <v>0</v>
      </c>
      <c r="K547" s="10">
        <f t="shared" si="58"/>
        <v>0</v>
      </c>
      <c r="L547" s="9" t="str">
        <f t="shared" si="59"/>
        <v/>
      </c>
      <c r="M547" s="8"/>
      <c r="N547" s="8"/>
      <c r="O547" s="8"/>
      <c r="P547" s="8"/>
      <c r="Q547" s="8"/>
      <c r="R547" s="8"/>
      <c r="S547" s="8"/>
      <c r="T547" s="8"/>
      <c r="U547" s="8"/>
      <c r="V547" s="7"/>
      <c r="W547" s="6" t="str">
        <f t="array" ref="W547">IF(NOT(ISBLANK(D547)),_xludf.XLOOKUP(D547,[2]CODE!$A$4:$A$100,[2]CODE!$D$4:$D$100),"")</f>
        <v/>
      </c>
      <c r="X547" s="5" t="str">
        <f t="array" ref="X547">IF(NOT(AND(ISBLANK(D547),ISBLANK(C547))),_xludf.XLOOKUP(D547,[2]CODE!$A$4:$A$100,[2]CODE!$E$4:$E$100),"")</f>
        <v/>
      </c>
      <c r="Y547" s="5" t="str">
        <f t="shared" si="60"/>
        <v/>
      </c>
      <c r="Z547" s="5" t="str">
        <f t="shared" si="61"/>
        <v/>
      </c>
      <c r="AA547" s="4">
        <f t="shared" si="62"/>
        <v>0</v>
      </c>
      <c r="AC547" s="2"/>
    </row>
    <row r="548" spans="1:29" ht="15.5">
      <c r="A548" s="13" t="str">
        <f>IF(OR(ISBLANK(C548),ISBLANK(D548),ISBLANK(F548),ISBLANK(G548)),"",COUNTIF($B$5:B548,"JAMBUTU"))</f>
        <v/>
      </c>
      <c r="B548" s="8" t="str">
        <f t="shared" si="63"/>
        <v/>
      </c>
      <c r="C548" s="8"/>
      <c r="D548" s="8"/>
      <c r="E548" s="13"/>
      <c r="F548" s="12"/>
      <c r="G548" s="11"/>
      <c r="H548" s="12"/>
      <c r="I548" s="11"/>
      <c r="J548" s="10">
        <f t="shared" si="57"/>
        <v>0</v>
      </c>
      <c r="K548" s="10">
        <f t="shared" si="58"/>
        <v>0</v>
      </c>
      <c r="L548" s="9" t="str">
        <f t="shared" si="59"/>
        <v/>
      </c>
      <c r="M548" s="8"/>
      <c r="N548" s="8"/>
      <c r="O548" s="8"/>
      <c r="P548" s="8"/>
      <c r="Q548" s="8"/>
      <c r="R548" s="8"/>
      <c r="S548" s="8"/>
      <c r="T548" s="8"/>
      <c r="U548" s="8"/>
      <c r="V548" s="7"/>
      <c r="W548" s="6" t="str">
        <f t="array" ref="W548">IF(NOT(ISBLANK(D548)),_xludf.XLOOKUP(D548,[2]CODE!$A$4:$A$100,[2]CODE!$D$4:$D$100),"")</f>
        <v/>
      </c>
      <c r="X548" s="5" t="str">
        <f t="array" ref="X548">IF(NOT(AND(ISBLANK(D548),ISBLANK(C548))),_xludf.XLOOKUP(D548,[2]CODE!$A$4:$A$100,[2]CODE!$E$4:$E$100),"")</f>
        <v/>
      </c>
      <c r="Y548" s="5" t="str">
        <f t="shared" si="60"/>
        <v/>
      </c>
      <c r="Z548" s="5" t="str">
        <f t="shared" si="61"/>
        <v/>
      </c>
      <c r="AA548" s="4">
        <f t="shared" si="62"/>
        <v>0</v>
      </c>
      <c r="AC548" s="2"/>
    </row>
    <row r="549" spans="1:29" ht="15.5">
      <c r="A549" s="13" t="str">
        <f>IF(OR(ISBLANK(C549),ISBLANK(D549),ISBLANK(F549),ISBLANK(G549)),"",COUNTIF($B$5:B549,"JAMBUTU"))</f>
        <v/>
      </c>
      <c r="B549" s="8" t="str">
        <f t="shared" si="63"/>
        <v/>
      </c>
      <c r="C549" s="8"/>
      <c r="D549" s="8"/>
      <c r="E549" s="13"/>
      <c r="F549" s="12"/>
      <c r="G549" s="11"/>
      <c r="H549" s="12"/>
      <c r="I549" s="11"/>
      <c r="J549" s="10">
        <f t="shared" si="57"/>
        <v>0</v>
      </c>
      <c r="K549" s="10">
        <f t="shared" si="58"/>
        <v>0</v>
      </c>
      <c r="L549" s="9" t="str">
        <f t="shared" si="59"/>
        <v/>
      </c>
      <c r="M549" s="8"/>
      <c r="N549" s="8"/>
      <c r="O549" s="8"/>
      <c r="P549" s="8"/>
      <c r="Q549" s="8"/>
      <c r="R549" s="8"/>
      <c r="S549" s="8"/>
      <c r="T549" s="8"/>
      <c r="U549" s="8"/>
      <c r="V549" s="7"/>
      <c r="W549" s="6" t="str">
        <f t="array" ref="W549">IF(NOT(ISBLANK(D549)),_xludf.XLOOKUP(D549,[2]CODE!$A$4:$A$100,[2]CODE!$D$4:$D$100),"")</f>
        <v/>
      </c>
      <c r="X549" s="5" t="str">
        <f t="array" ref="X549">IF(NOT(AND(ISBLANK(D549),ISBLANK(C549))),_xludf.XLOOKUP(D549,[2]CODE!$A$4:$A$100,[2]CODE!$E$4:$E$100),"")</f>
        <v/>
      </c>
      <c r="Y549" s="5" t="str">
        <f t="shared" si="60"/>
        <v/>
      </c>
      <c r="Z549" s="5" t="str">
        <f t="shared" si="61"/>
        <v/>
      </c>
      <c r="AA549" s="4">
        <f t="shared" si="62"/>
        <v>0</v>
      </c>
      <c r="AC549" s="2"/>
    </row>
    <row r="550" spans="1:29" ht="15.5">
      <c r="A550" s="13" t="str">
        <f>IF(OR(ISBLANK(C550),ISBLANK(D550),ISBLANK(F550),ISBLANK(G550)),"",COUNTIF($B$5:B550,"JAMBUTU"))</f>
        <v/>
      </c>
      <c r="B550" s="8" t="str">
        <f t="shared" si="63"/>
        <v/>
      </c>
      <c r="C550" s="8"/>
      <c r="D550" s="8"/>
      <c r="E550" s="13"/>
      <c r="F550" s="12"/>
      <c r="G550" s="11"/>
      <c r="H550" s="12"/>
      <c r="I550" s="11"/>
      <c r="J550" s="10">
        <f t="shared" si="57"/>
        <v>0</v>
      </c>
      <c r="K550" s="10">
        <f t="shared" si="58"/>
        <v>0</v>
      </c>
      <c r="L550" s="9" t="str">
        <f t="shared" si="59"/>
        <v/>
      </c>
      <c r="M550" s="8"/>
      <c r="N550" s="8"/>
      <c r="O550" s="8"/>
      <c r="P550" s="8"/>
      <c r="Q550" s="8"/>
      <c r="R550" s="8"/>
      <c r="S550" s="8"/>
      <c r="T550" s="8"/>
      <c r="U550" s="8"/>
      <c r="V550" s="7"/>
      <c r="W550" s="6" t="str">
        <f t="array" ref="W550">IF(NOT(ISBLANK(D550)),_xludf.XLOOKUP(D550,[2]CODE!$A$4:$A$100,[2]CODE!$D$4:$D$100),"")</f>
        <v/>
      </c>
      <c r="X550" s="5" t="str">
        <f t="array" ref="X550">IF(NOT(AND(ISBLANK(D550),ISBLANK(C550))),_xludf.XLOOKUP(D550,[2]CODE!$A$4:$A$100,[2]CODE!$E$4:$E$100),"")</f>
        <v/>
      </c>
      <c r="Y550" s="5" t="str">
        <f t="shared" si="60"/>
        <v/>
      </c>
      <c r="Z550" s="5" t="str">
        <f t="shared" si="61"/>
        <v/>
      </c>
      <c r="AA550" s="4">
        <f t="shared" si="62"/>
        <v>0</v>
      </c>
      <c r="AC550" s="2"/>
    </row>
    <row r="551" spans="1:29" ht="15.5">
      <c r="A551" s="13" t="str">
        <f>IF(OR(ISBLANK(C551),ISBLANK(D551),ISBLANK(F551),ISBLANK(G551)),"",COUNTIF($B$5:B551,"JAMBUTU"))</f>
        <v/>
      </c>
      <c r="B551" s="8" t="str">
        <f t="shared" si="63"/>
        <v/>
      </c>
      <c r="C551" s="8"/>
      <c r="D551" s="8"/>
      <c r="E551" s="13"/>
      <c r="F551" s="12"/>
      <c r="G551" s="11"/>
      <c r="H551" s="12"/>
      <c r="I551" s="11"/>
      <c r="J551" s="10">
        <f t="shared" si="57"/>
        <v>0</v>
      </c>
      <c r="K551" s="10">
        <f t="shared" si="58"/>
        <v>0</v>
      </c>
      <c r="L551" s="9" t="str">
        <f t="shared" si="59"/>
        <v/>
      </c>
      <c r="M551" s="8"/>
      <c r="N551" s="8"/>
      <c r="O551" s="8"/>
      <c r="P551" s="8"/>
      <c r="Q551" s="8"/>
      <c r="R551" s="8"/>
      <c r="S551" s="8"/>
      <c r="T551" s="8"/>
      <c r="U551" s="8"/>
      <c r="V551" s="7"/>
      <c r="W551" s="6" t="str">
        <f t="array" ref="W551">IF(NOT(ISBLANK(D551)),_xludf.XLOOKUP(D551,[2]CODE!$A$4:$A$100,[2]CODE!$D$4:$D$100),"")</f>
        <v/>
      </c>
      <c r="X551" s="5" t="str">
        <f t="array" ref="X551">IF(NOT(AND(ISBLANK(D551),ISBLANK(C551))),_xludf.XLOOKUP(D551,[2]CODE!$A$4:$A$100,[2]CODE!$E$4:$E$100),"")</f>
        <v/>
      </c>
      <c r="Y551" s="5" t="str">
        <f t="shared" si="60"/>
        <v/>
      </c>
      <c r="Z551" s="5" t="str">
        <f t="shared" si="61"/>
        <v/>
      </c>
      <c r="AA551" s="4">
        <f t="shared" si="62"/>
        <v>0</v>
      </c>
      <c r="AC551" s="2"/>
    </row>
    <row r="552" spans="1:29" ht="15.5">
      <c r="A552" s="13" t="str">
        <f>IF(OR(ISBLANK(C552),ISBLANK(D552),ISBLANK(F552),ISBLANK(G552)),"",COUNTIF($B$5:B552,"JAMBUTU"))</f>
        <v/>
      </c>
      <c r="B552" s="8" t="str">
        <f t="shared" si="63"/>
        <v/>
      </c>
      <c r="C552" s="8"/>
      <c r="D552" s="8"/>
      <c r="E552" s="13"/>
      <c r="F552" s="12"/>
      <c r="G552" s="11"/>
      <c r="H552" s="12"/>
      <c r="I552" s="11"/>
      <c r="J552" s="10">
        <f t="shared" si="57"/>
        <v>0</v>
      </c>
      <c r="K552" s="10">
        <f t="shared" si="58"/>
        <v>0</v>
      </c>
      <c r="L552" s="9" t="str">
        <f t="shared" si="59"/>
        <v/>
      </c>
      <c r="M552" s="8"/>
      <c r="N552" s="8"/>
      <c r="O552" s="8"/>
      <c r="P552" s="8"/>
      <c r="Q552" s="8"/>
      <c r="R552" s="8"/>
      <c r="S552" s="8"/>
      <c r="T552" s="8"/>
      <c r="U552" s="8"/>
      <c r="V552" s="7"/>
      <c r="W552" s="6" t="str">
        <f t="array" ref="W552">IF(NOT(ISBLANK(D552)),_xludf.XLOOKUP(D552,[2]CODE!$A$4:$A$100,[2]CODE!$D$4:$D$100),"")</f>
        <v/>
      </c>
      <c r="X552" s="5" t="str">
        <f t="array" ref="X552">IF(NOT(AND(ISBLANK(D552),ISBLANK(C552))),_xludf.XLOOKUP(D552,[2]CODE!$A$4:$A$100,[2]CODE!$E$4:$E$100),"")</f>
        <v/>
      </c>
      <c r="Y552" s="5" t="str">
        <f t="shared" si="60"/>
        <v/>
      </c>
      <c r="Z552" s="5" t="str">
        <f t="shared" si="61"/>
        <v/>
      </c>
      <c r="AA552" s="4">
        <f t="shared" si="62"/>
        <v>0</v>
      </c>
      <c r="AC552" s="2"/>
    </row>
    <row r="553" spans="1:29" ht="15.5">
      <c r="A553" s="13" t="str">
        <f>IF(OR(ISBLANK(C553),ISBLANK(D553),ISBLANK(F553),ISBLANK(G553)),"",COUNTIF($B$5:B553,"JAMBUTU"))</f>
        <v/>
      </c>
      <c r="B553" s="8" t="str">
        <f t="shared" si="63"/>
        <v/>
      </c>
      <c r="C553" s="8"/>
      <c r="D553" s="8"/>
      <c r="E553" s="13"/>
      <c r="F553" s="12"/>
      <c r="G553" s="11"/>
      <c r="H553" s="12"/>
      <c r="I553" s="11"/>
      <c r="J553" s="10">
        <f t="shared" si="57"/>
        <v>0</v>
      </c>
      <c r="K553" s="10">
        <f t="shared" si="58"/>
        <v>0</v>
      </c>
      <c r="L553" s="9" t="str">
        <f t="shared" si="59"/>
        <v/>
      </c>
      <c r="M553" s="8"/>
      <c r="N553" s="8"/>
      <c r="O553" s="8"/>
      <c r="P553" s="8"/>
      <c r="Q553" s="8"/>
      <c r="R553" s="8"/>
      <c r="S553" s="8"/>
      <c r="T553" s="8"/>
      <c r="U553" s="8"/>
      <c r="V553" s="7"/>
      <c r="W553" s="6" t="str">
        <f t="array" ref="W553">IF(NOT(ISBLANK(D553)),_xludf.XLOOKUP(D553,[2]CODE!$A$4:$A$100,[2]CODE!$D$4:$D$100),"")</f>
        <v/>
      </c>
      <c r="X553" s="5" t="str">
        <f t="array" ref="X553">IF(NOT(AND(ISBLANK(D553),ISBLANK(C553))),_xludf.XLOOKUP(D553,[2]CODE!$A$4:$A$100,[2]CODE!$E$4:$E$100),"")</f>
        <v/>
      </c>
      <c r="Y553" s="5" t="str">
        <f t="shared" si="60"/>
        <v/>
      </c>
      <c r="Z553" s="5" t="str">
        <f t="shared" si="61"/>
        <v/>
      </c>
      <c r="AA553" s="4">
        <f t="shared" si="62"/>
        <v>0</v>
      </c>
      <c r="AC553" s="2"/>
    </row>
    <row r="554" spans="1:29" ht="15.5">
      <c r="A554" s="13" t="str">
        <f>IF(OR(ISBLANK(C554),ISBLANK(D554),ISBLANK(F554),ISBLANK(G554)),"",COUNTIF($B$5:B554,"JAMBUTU"))</f>
        <v/>
      </c>
      <c r="B554" s="8" t="str">
        <f t="shared" si="63"/>
        <v/>
      </c>
      <c r="C554" s="8"/>
      <c r="D554" s="8"/>
      <c r="E554" s="13"/>
      <c r="F554" s="12"/>
      <c r="G554" s="11"/>
      <c r="H554" s="12"/>
      <c r="I554" s="11"/>
      <c r="J554" s="10">
        <f t="shared" si="57"/>
        <v>0</v>
      </c>
      <c r="K554" s="10">
        <f t="shared" si="58"/>
        <v>0</v>
      </c>
      <c r="L554" s="9" t="str">
        <f t="shared" si="59"/>
        <v/>
      </c>
      <c r="M554" s="8"/>
      <c r="N554" s="8"/>
      <c r="O554" s="8"/>
      <c r="P554" s="8"/>
      <c r="Q554" s="8"/>
      <c r="R554" s="8"/>
      <c r="S554" s="8"/>
      <c r="T554" s="8"/>
      <c r="U554" s="8"/>
      <c r="V554" s="7"/>
      <c r="W554" s="6" t="str">
        <f t="array" ref="W554">IF(NOT(ISBLANK(D554)),_xludf.XLOOKUP(D554,[2]CODE!$A$4:$A$100,[2]CODE!$D$4:$D$100),"")</f>
        <v/>
      </c>
      <c r="X554" s="5" t="str">
        <f t="array" ref="X554">IF(NOT(AND(ISBLANK(D554),ISBLANK(C554))),_xludf.XLOOKUP(D554,[2]CODE!$A$4:$A$100,[2]CODE!$E$4:$E$100),"")</f>
        <v/>
      </c>
      <c r="Y554" s="5" t="str">
        <f t="shared" si="60"/>
        <v/>
      </c>
      <c r="Z554" s="5" t="str">
        <f t="shared" si="61"/>
        <v/>
      </c>
      <c r="AA554" s="4">
        <f t="shared" si="62"/>
        <v>0</v>
      </c>
      <c r="AC554" s="2"/>
    </row>
    <row r="555" spans="1:29" ht="15.5">
      <c r="A555" s="13" t="str">
        <f>IF(OR(ISBLANK(C555),ISBLANK(D555),ISBLANK(F555),ISBLANK(G555)),"",COUNTIF($B$5:B555,"JAMBUTU"))</f>
        <v/>
      </c>
      <c r="B555" s="8" t="str">
        <f t="shared" si="63"/>
        <v/>
      </c>
      <c r="C555" s="8"/>
      <c r="D555" s="8"/>
      <c r="E555" s="13"/>
      <c r="F555" s="12"/>
      <c r="G555" s="11"/>
      <c r="H555" s="12"/>
      <c r="I555" s="11"/>
      <c r="J555" s="10">
        <f t="shared" si="57"/>
        <v>0</v>
      </c>
      <c r="K555" s="10">
        <f t="shared" si="58"/>
        <v>0</v>
      </c>
      <c r="L555" s="9" t="str">
        <f t="shared" si="59"/>
        <v/>
      </c>
      <c r="M555" s="8"/>
      <c r="N555" s="8"/>
      <c r="O555" s="8"/>
      <c r="P555" s="8"/>
      <c r="Q555" s="8"/>
      <c r="R555" s="8"/>
      <c r="S555" s="8"/>
      <c r="T555" s="8"/>
      <c r="U555" s="8"/>
      <c r="V555" s="7"/>
      <c r="W555" s="6" t="str">
        <f t="array" ref="W555">IF(NOT(ISBLANK(D555)),_xludf.XLOOKUP(D555,[2]CODE!$A$4:$A$100,[2]CODE!$D$4:$D$100),"")</f>
        <v/>
      </c>
      <c r="X555" s="5" t="str">
        <f t="array" ref="X555">IF(NOT(AND(ISBLANK(D555),ISBLANK(C555))),_xludf.XLOOKUP(D555,[2]CODE!$A$4:$A$100,[2]CODE!$E$4:$E$100),"")</f>
        <v/>
      </c>
      <c r="Y555" s="5" t="str">
        <f t="shared" si="60"/>
        <v/>
      </c>
      <c r="Z555" s="5" t="str">
        <f t="shared" si="61"/>
        <v/>
      </c>
      <c r="AA555" s="4">
        <f t="shared" si="62"/>
        <v>0</v>
      </c>
      <c r="AC555" s="2"/>
    </row>
    <row r="556" spans="1:29" ht="15.5">
      <c r="A556" s="13" t="str">
        <f>IF(OR(ISBLANK(C556),ISBLANK(D556),ISBLANK(F556),ISBLANK(G556)),"",COUNTIF($B$5:B556,"JAMBUTU"))</f>
        <v/>
      </c>
      <c r="B556" s="8" t="str">
        <f t="shared" si="63"/>
        <v/>
      </c>
      <c r="C556" s="8"/>
      <c r="D556" s="8"/>
      <c r="E556" s="13"/>
      <c r="F556" s="12"/>
      <c r="G556" s="11"/>
      <c r="H556" s="12"/>
      <c r="I556" s="11"/>
      <c r="J556" s="10">
        <f t="shared" si="57"/>
        <v>0</v>
      </c>
      <c r="K556" s="10">
        <f t="shared" si="58"/>
        <v>0</v>
      </c>
      <c r="L556" s="9" t="str">
        <f t="shared" si="59"/>
        <v/>
      </c>
      <c r="M556" s="8"/>
      <c r="N556" s="8"/>
      <c r="O556" s="8"/>
      <c r="P556" s="8"/>
      <c r="Q556" s="8"/>
      <c r="R556" s="8"/>
      <c r="S556" s="8"/>
      <c r="T556" s="8"/>
      <c r="U556" s="8"/>
      <c r="V556" s="7"/>
      <c r="W556" s="6" t="str">
        <f t="array" ref="W556">IF(NOT(ISBLANK(D556)),_xludf.XLOOKUP(D556,[2]CODE!$A$4:$A$100,[2]CODE!$D$4:$D$100),"")</f>
        <v/>
      </c>
      <c r="X556" s="5" t="str">
        <f t="array" ref="X556">IF(NOT(AND(ISBLANK(D556),ISBLANK(C556))),_xludf.XLOOKUP(D556,[2]CODE!$A$4:$A$100,[2]CODE!$E$4:$E$100),"")</f>
        <v/>
      </c>
      <c r="Y556" s="5" t="str">
        <f t="shared" si="60"/>
        <v/>
      </c>
      <c r="Z556" s="5" t="str">
        <f t="shared" si="61"/>
        <v/>
      </c>
      <c r="AA556" s="4">
        <f t="shared" si="62"/>
        <v>0</v>
      </c>
      <c r="AC556" s="2"/>
    </row>
    <row r="557" spans="1:29" ht="15.5">
      <c r="A557" s="13" t="str">
        <f>IF(OR(ISBLANK(C557),ISBLANK(D557),ISBLANK(F557),ISBLANK(G557)),"",COUNTIF($B$5:B557,"JAMBUTU"))</f>
        <v/>
      </c>
      <c r="B557" s="8" t="str">
        <f t="shared" si="63"/>
        <v/>
      </c>
      <c r="C557" s="8"/>
      <c r="D557" s="8"/>
      <c r="E557" s="13"/>
      <c r="F557" s="12"/>
      <c r="G557" s="11"/>
      <c r="H557" s="12"/>
      <c r="I557" s="11"/>
      <c r="J557" s="10">
        <f t="shared" si="57"/>
        <v>0</v>
      </c>
      <c r="K557" s="10">
        <f t="shared" si="58"/>
        <v>0</v>
      </c>
      <c r="L557" s="9" t="str">
        <f t="shared" si="59"/>
        <v/>
      </c>
      <c r="M557" s="8"/>
      <c r="N557" s="8"/>
      <c r="O557" s="8"/>
      <c r="P557" s="8"/>
      <c r="Q557" s="8"/>
      <c r="R557" s="8"/>
      <c r="S557" s="8"/>
      <c r="T557" s="8"/>
      <c r="U557" s="8"/>
      <c r="V557" s="7"/>
      <c r="W557" s="6" t="str">
        <f t="array" ref="W557">IF(NOT(ISBLANK(D557)),_xludf.XLOOKUP(D557,[2]CODE!$A$4:$A$100,[2]CODE!$D$4:$D$100),"")</f>
        <v/>
      </c>
      <c r="X557" s="5" t="str">
        <f t="array" ref="X557">IF(NOT(AND(ISBLANK(D557),ISBLANK(C557))),_xludf.XLOOKUP(D557,[2]CODE!$A$4:$A$100,[2]CODE!$E$4:$E$100),"")</f>
        <v/>
      </c>
      <c r="Y557" s="5" t="str">
        <f t="shared" si="60"/>
        <v/>
      </c>
      <c r="Z557" s="5" t="str">
        <f t="shared" si="61"/>
        <v/>
      </c>
      <c r="AA557" s="4">
        <f t="shared" si="62"/>
        <v>0</v>
      </c>
      <c r="AC557" s="2"/>
    </row>
    <row r="558" spans="1:29" ht="15.5">
      <c r="A558" s="13" t="str">
        <f>IF(OR(ISBLANK(C558),ISBLANK(D558),ISBLANK(F558),ISBLANK(G558)),"",COUNTIF($B$5:B558,"JAMBUTU"))</f>
        <v/>
      </c>
      <c r="B558" s="8" t="str">
        <f t="shared" si="63"/>
        <v/>
      </c>
      <c r="C558" s="8"/>
      <c r="D558" s="8"/>
      <c r="E558" s="13"/>
      <c r="F558" s="12"/>
      <c r="G558" s="11"/>
      <c r="H558" s="12"/>
      <c r="I558" s="11"/>
      <c r="J558" s="10">
        <f t="shared" si="57"/>
        <v>0</v>
      </c>
      <c r="K558" s="10">
        <f t="shared" si="58"/>
        <v>0</v>
      </c>
      <c r="L558" s="9" t="str">
        <f t="shared" si="59"/>
        <v/>
      </c>
      <c r="M558" s="8"/>
      <c r="N558" s="8"/>
      <c r="O558" s="8"/>
      <c r="P558" s="8"/>
      <c r="Q558" s="8"/>
      <c r="R558" s="8"/>
      <c r="S558" s="8"/>
      <c r="T558" s="8"/>
      <c r="U558" s="8"/>
      <c r="V558" s="7"/>
      <c r="W558" s="6" t="str">
        <f t="array" ref="W558">IF(NOT(ISBLANK(D558)),_xludf.XLOOKUP(D558,[2]CODE!$A$4:$A$100,[2]CODE!$D$4:$D$100),"")</f>
        <v/>
      </c>
      <c r="X558" s="5" t="str">
        <f t="array" ref="X558">IF(NOT(AND(ISBLANK(D558),ISBLANK(C558))),_xludf.XLOOKUP(D558,[2]CODE!$A$4:$A$100,[2]CODE!$E$4:$E$100),"")</f>
        <v/>
      </c>
      <c r="Y558" s="5" t="str">
        <f t="shared" si="60"/>
        <v/>
      </c>
      <c r="Z558" s="5" t="str">
        <f t="shared" si="61"/>
        <v/>
      </c>
      <c r="AA558" s="4">
        <f t="shared" si="62"/>
        <v>0</v>
      </c>
      <c r="AC558" s="2"/>
    </row>
    <row r="559" spans="1:29" ht="15.5">
      <c r="A559" s="13" t="str">
        <f>IF(OR(ISBLANK(C559),ISBLANK(D559),ISBLANK(F559),ISBLANK(G559)),"",COUNTIF($B$5:B559,"JAMBUTU"))</f>
        <v/>
      </c>
      <c r="B559" s="8" t="str">
        <f t="shared" si="63"/>
        <v/>
      </c>
      <c r="C559" s="8"/>
      <c r="D559" s="8"/>
      <c r="E559" s="13"/>
      <c r="F559" s="12"/>
      <c r="G559" s="11"/>
      <c r="H559" s="12"/>
      <c r="I559" s="11"/>
      <c r="J559" s="10">
        <f t="shared" si="57"/>
        <v>0</v>
      </c>
      <c r="K559" s="10">
        <f t="shared" si="58"/>
        <v>0</v>
      </c>
      <c r="L559" s="9" t="str">
        <f t="shared" si="59"/>
        <v/>
      </c>
      <c r="M559" s="8"/>
      <c r="N559" s="8"/>
      <c r="O559" s="8"/>
      <c r="P559" s="8"/>
      <c r="Q559" s="8"/>
      <c r="R559" s="8"/>
      <c r="S559" s="8"/>
      <c r="T559" s="8"/>
      <c r="U559" s="8"/>
      <c r="V559" s="7"/>
      <c r="W559" s="6" t="str">
        <f t="array" ref="W559">IF(NOT(ISBLANK(D559)),_xludf.XLOOKUP(D559,[2]CODE!$A$4:$A$100,[2]CODE!$D$4:$D$100),"")</f>
        <v/>
      </c>
      <c r="X559" s="5" t="str">
        <f t="array" ref="X559">IF(NOT(AND(ISBLANK(D559),ISBLANK(C559))),_xludf.XLOOKUP(D559,[2]CODE!$A$4:$A$100,[2]CODE!$E$4:$E$100),"")</f>
        <v/>
      </c>
      <c r="Y559" s="5" t="str">
        <f t="shared" si="60"/>
        <v/>
      </c>
      <c r="Z559" s="5" t="str">
        <f t="shared" si="61"/>
        <v/>
      </c>
      <c r="AA559" s="4">
        <f t="shared" si="62"/>
        <v>0</v>
      </c>
      <c r="AC559" s="2"/>
    </row>
    <row r="560" spans="1:29" ht="15.5">
      <c r="A560" s="13" t="str">
        <f>IF(OR(ISBLANK(C560),ISBLANK(D560),ISBLANK(F560),ISBLANK(G560)),"",COUNTIF($B$5:B560,"JAMBUTU"))</f>
        <v/>
      </c>
      <c r="B560" s="8" t="str">
        <f t="shared" si="63"/>
        <v/>
      </c>
      <c r="C560" s="8"/>
      <c r="D560" s="8"/>
      <c r="E560" s="13"/>
      <c r="F560" s="12"/>
      <c r="G560" s="11"/>
      <c r="H560" s="12"/>
      <c r="I560" s="11"/>
      <c r="J560" s="10">
        <f t="shared" si="57"/>
        <v>0</v>
      </c>
      <c r="K560" s="10">
        <f t="shared" si="58"/>
        <v>0</v>
      </c>
      <c r="L560" s="9" t="str">
        <f t="shared" si="59"/>
        <v/>
      </c>
      <c r="M560" s="8"/>
      <c r="N560" s="8"/>
      <c r="O560" s="8"/>
      <c r="P560" s="8"/>
      <c r="Q560" s="8"/>
      <c r="R560" s="8"/>
      <c r="S560" s="8"/>
      <c r="T560" s="8"/>
      <c r="U560" s="8"/>
      <c r="V560" s="7"/>
      <c r="W560" s="6" t="str">
        <f t="array" ref="W560">IF(NOT(ISBLANK(D560)),_xludf.XLOOKUP(D560,[2]CODE!$A$4:$A$100,[2]CODE!$D$4:$D$100),"")</f>
        <v/>
      </c>
      <c r="X560" s="5" t="str">
        <f t="array" ref="X560">IF(NOT(AND(ISBLANK(D560),ISBLANK(C560))),_xludf.XLOOKUP(D560,[2]CODE!$A$4:$A$100,[2]CODE!$E$4:$E$100),"")</f>
        <v/>
      </c>
      <c r="Y560" s="5" t="str">
        <f t="shared" si="60"/>
        <v/>
      </c>
      <c r="Z560" s="5" t="str">
        <f t="shared" si="61"/>
        <v/>
      </c>
      <c r="AA560" s="4">
        <f t="shared" si="62"/>
        <v>0</v>
      </c>
      <c r="AC560" s="2"/>
    </row>
    <row r="561" spans="1:29" ht="15.5">
      <c r="A561" s="13" t="str">
        <f>IF(OR(ISBLANK(C561),ISBLANK(D561),ISBLANK(F561),ISBLANK(G561)),"",COUNTIF($B$5:B561,"JAMBUTU"))</f>
        <v/>
      </c>
      <c r="B561" s="8" t="str">
        <f t="shared" si="63"/>
        <v/>
      </c>
      <c r="C561" s="8"/>
      <c r="D561" s="8"/>
      <c r="E561" s="13"/>
      <c r="F561" s="12"/>
      <c r="G561" s="11"/>
      <c r="H561" s="12"/>
      <c r="I561" s="11"/>
      <c r="J561" s="10">
        <f t="shared" si="57"/>
        <v>0</v>
      </c>
      <c r="K561" s="10">
        <f t="shared" si="58"/>
        <v>0</v>
      </c>
      <c r="L561" s="9" t="str">
        <f t="shared" si="59"/>
        <v/>
      </c>
      <c r="M561" s="8"/>
      <c r="N561" s="8"/>
      <c r="O561" s="8"/>
      <c r="P561" s="8"/>
      <c r="Q561" s="8"/>
      <c r="R561" s="8"/>
      <c r="S561" s="8"/>
      <c r="T561" s="8"/>
      <c r="U561" s="8"/>
      <c r="V561" s="7"/>
      <c r="W561" s="6" t="str">
        <f t="array" ref="W561">IF(NOT(ISBLANK(D561)),_xludf.XLOOKUP(D561,[2]CODE!$A$4:$A$100,[2]CODE!$D$4:$D$100),"")</f>
        <v/>
      </c>
      <c r="X561" s="5" t="str">
        <f t="array" ref="X561">IF(NOT(AND(ISBLANK(D561),ISBLANK(C561))),_xludf.XLOOKUP(D561,[2]CODE!$A$4:$A$100,[2]CODE!$E$4:$E$100),"")</f>
        <v/>
      </c>
      <c r="Y561" s="5" t="str">
        <f t="shared" si="60"/>
        <v/>
      </c>
      <c r="Z561" s="5" t="str">
        <f t="shared" si="61"/>
        <v/>
      </c>
      <c r="AA561" s="4">
        <f t="shared" si="62"/>
        <v>0</v>
      </c>
      <c r="AC561" s="2"/>
    </row>
    <row r="562" spans="1:29" ht="15.5">
      <c r="A562" s="13" t="str">
        <f>IF(OR(ISBLANK(C562),ISBLANK(D562),ISBLANK(F562),ISBLANK(G562)),"",COUNTIF($B$5:B562,"JAMBUTU"))</f>
        <v/>
      </c>
      <c r="B562" s="8" t="str">
        <f t="shared" si="63"/>
        <v/>
      </c>
      <c r="C562" s="8"/>
      <c r="D562" s="8"/>
      <c r="E562" s="13"/>
      <c r="F562" s="12"/>
      <c r="G562" s="11"/>
      <c r="H562" s="12"/>
      <c r="I562" s="11"/>
      <c r="J562" s="10">
        <f t="shared" si="57"/>
        <v>0</v>
      </c>
      <c r="K562" s="10">
        <f t="shared" si="58"/>
        <v>0</v>
      </c>
      <c r="L562" s="9" t="str">
        <f t="shared" si="59"/>
        <v/>
      </c>
      <c r="M562" s="8"/>
      <c r="N562" s="8"/>
      <c r="O562" s="8"/>
      <c r="P562" s="8"/>
      <c r="Q562" s="8"/>
      <c r="R562" s="8"/>
      <c r="S562" s="8"/>
      <c r="T562" s="8"/>
      <c r="U562" s="8"/>
      <c r="V562" s="7"/>
      <c r="W562" s="6" t="str">
        <f t="array" ref="W562">IF(NOT(ISBLANK(D562)),_xludf.XLOOKUP(D562,[2]CODE!$A$4:$A$100,[2]CODE!$D$4:$D$100),"")</f>
        <v/>
      </c>
      <c r="X562" s="5" t="str">
        <f t="array" ref="X562">IF(NOT(AND(ISBLANK(D562),ISBLANK(C562))),_xludf.XLOOKUP(D562,[2]CODE!$A$4:$A$100,[2]CODE!$E$4:$E$100),"")</f>
        <v/>
      </c>
      <c r="Y562" s="5" t="str">
        <f t="shared" si="60"/>
        <v/>
      </c>
      <c r="Z562" s="5" t="str">
        <f t="shared" si="61"/>
        <v/>
      </c>
      <c r="AA562" s="4">
        <f t="shared" si="62"/>
        <v>0</v>
      </c>
      <c r="AC562" s="2"/>
    </row>
    <row r="563" spans="1:29" ht="15.5">
      <c r="A563" s="13" t="str">
        <f>IF(OR(ISBLANK(C563),ISBLANK(D563),ISBLANK(F563),ISBLANK(G563)),"",COUNTIF($B$5:B563,"JAMBUTU"))</f>
        <v/>
      </c>
      <c r="B563" s="8" t="str">
        <f t="shared" si="63"/>
        <v/>
      </c>
      <c r="C563" s="8"/>
      <c r="D563" s="8"/>
      <c r="E563" s="13"/>
      <c r="F563" s="12"/>
      <c r="G563" s="11"/>
      <c r="H563" s="12"/>
      <c r="I563" s="11"/>
      <c r="J563" s="10">
        <f t="shared" si="57"/>
        <v>0</v>
      </c>
      <c r="K563" s="10">
        <f t="shared" si="58"/>
        <v>0</v>
      </c>
      <c r="L563" s="9" t="str">
        <f t="shared" si="59"/>
        <v/>
      </c>
      <c r="M563" s="8"/>
      <c r="N563" s="8"/>
      <c r="O563" s="8"/>
      <c r="P563" s="8"/>
      <c r="Q563" s="8"/>
      <c r="R563" s="8"/>
      <c r="S563" s="8"/>
      <c r="T563" s="8"/>
      <c r="U563" s="8"/>
      <c r="V563" s="7"/>
      <c r="W563" s="6" t="str">
        <f t="array" ref="W563">IF(NOT(ISBLANK(D563)),_xludf.XLOOKUP(D563,[2]CODE!$A$4:$A$100,[2]CODE!$D$4:$D$100),"")</f>
        <v/>
      </c>
      <c r="X563" s="5" t="str">
        <f t="array" ref="X563">IF(NOT(AND(ISBLANK(D563),ISBLANK(C563))),_xludf.XLOOKUP(D563,[2]CODE!$A$4:$A$100,[2]CODE!$E$4:$E$100),"")</f>
        <v/>
      </c>
      <c r="Y563" s="5" t="str">
        <f t="shared" si="60"/>
        <v/>
      </c>
      <c r="Z563" s="5" t="str">
        <f t="shared" si="61"/>
        <v/>
      </c>
      <c r="AA563" s="4">
        <f t="shared" si="62"/>
        <v>0</v>
      </c>
      <c r="AC563" s="2"/>
    </row>
    <row r="564" spans="1:29" ht="15.5">
      <c r="A564" s="13" t="str">
        <f>IF(OR(ISBLANK(C564),ISBLANK(D564),ISBLANK(F564),ISBLANK(G564)),"",COUNTIF($B$5:B564,"JAMBUTU"))</f>
        <v/>
      </c>
      <c r="B564" s="8" t="str">
        <f t="shared" si="63"/>
        <v/>
      </c>
      <c r="C564" s="8"/>
      <c r="D564" s="8"/>
      <c r="E564" s="13"/>
      <c r="F564" s="12"/>
      <c r="G564" s="11"/>
      <c r="H564" s="12"/>
      <c r="I564" s="11"/>
      <c r="J564" s="10">
        <f t="shared" si="57"/>
        <v>0</v>
      </c>
      <c r="K564" s="10">
        <f t="shared" si="58"/>
        <v>0</v>
      </c>
      <c r="L564" s="9" t="str">
        <f t="shared" si="59"/>
        <v/>
      </c>
      <c r="M564" s="8"/>
      <c r="N564" s="8"/>
      <c r="O564" s="8"/>
      <c r="P564" s="8"/>
      <c r="Q564" s="8"/>
      <c r="R564" s="8"/>
      <c r="S564" s="8"/>
      <c r="T564" s="8"/>
      <c r="U564" s="8"/>
      <c r="V564" s="7"/>
      <c r="W564" s="6" t="str">
        <f t="array" ref="W564">IF(NOT(ISBLANK(D564)),_xludf.XLOOKUP(D564,[2]CODE!$A$4:$A$100,[2]CODE!$D$4:$D$100),"")</f>
        <v/>
      </c>
      <c r="X564" s="5" t="str">
        <f t="array" ref="X564">IF(NOT(AND(ISBLANK(D564),ISBLANK(C564))),_xludf.XLOOKUP(D564,[2]CODE!$A$4:$A$100,[2]CODE!$E$4:$E$100),"")</f>
        <v/>
      </c>
      <c r="Y564" s="5" t="str">
        <f t="shared" si="60"/>
        <v/>
      </c>
      <c r="Z564" s="5" t="str">
        <f t="shared" si="61"/>
        <v/>
      </c>
      <c r="AA564" s="4">
        <f t="shared" si="62"/>
        <v>0</v>
      </c>
      <c r="AC564" s="2"/>
    </row>
    <row r="565" spans="1:29" ht="15.5">
      <c r="A565" s="13" t="str">
        <f>IF(OR(ISBLANK(C565),ISBLANK(D565),ISBLANK(F565),ISBLANK(G565)),"",COUNTIF($B$5:B565,"JAMBUTU"))</f>
        <v/>
      </c>
      <c r="B565" s="8" t="str">
        <f t="shared" si="63"/>
        <v/>
      </c>
      <c r="C565" s="8"/>
      <c r="D565" s="8"/>
      <c r="E565" s="13"/>
      <c r="F565" s="12"/>
      <c r="G565" s="11"/>
      <c r="H565" s="12"/>
      <c r="I565" s="11"/>
      <c r="J565" s="10">
        <f t="shared" si="57"/>
        <v>0</v>
      </c>
      <c r="K565" s="10">
        <f t="shared" si="58"/>
        <v>0</v>
      </c>
      <c r="L565" s="9" t="str">
        <f t="shared" si="59"/>
        <v/>
      </c>
      <c r="M565" s="8"/>
      <c r="N565" s="8"/>
      <c r="O565" s="8"/>
      <c r="P565" s="8"/>
      <c r="Q565" s="8"/>
      <c r="R565" s="8"/>
      <c r="S565" s="8"/>
      <c r="T565" s="8"/>
      <c r="U565" s="8"/>
      <c r="V565" s="7"/>
      <c r="W565" s="6" t="str">
        <f t="array" ref="W565">IF(NOT(ISBLANK(D565)),_xludf.XLOOKUP(D565,[2]CODE!$A$4:$A$100,[2]CODE!$D$4:$D$100),"")</f>
        <v/>
      </c>
      <c r="X565" s="5" t="str">
        <f t="array" ref="X565">IF(NOT(AND(ISBLANK(D565),ISBLANK(C565))),_xludf.XLOOKUP(D565,[2]CODE!$A$4:$A$100,[2]CODE!$E$4:$E$100),"")</f>
        <v/>
      </c>
      <c r="Y565" s="5" t="str">
        <f t="shared" si="60"/>
        <v/>
      </c>
      <c r="Z565" s="5" t="str">
        <f t="shared" si="61"/>
        <v/>
      </c>
      <c r="AA565" s="4">
        <f t="shared" si="62"/>
        <v>0</v>
      </c>
      <c r="AC565" s="2"/>
    </row>
    <row r="566" spans="1:29" ht="15.5">
      <c r="A566" s="13" t="str">
        <f>IF(OR(ISBLANK(C566),ISBLANK(D566),ISBLANK(F566),ISBLANK(G566)),"",COUNTIF($B$5:B566,"JAMBUTU"))</f>
        <v/>
      </c>
      <c r="B566" s="8" t="str">
        <f t="shared" si="63"/>
        <v/>
      </c>
      <c r="C566" s="8"/>
      <c r="D566" s="8"/>
      <c r="E566" s="13"/>
      <c r="F566" s="12"/>
      <c r="G566" s="11"/>
      <c r="H566" s="12"/>
      <c r="I566" s="11"/>
      <c r="J566" s="10">
        <f t="shared" si="57"/>
        <v>0</v>
      </c>
      <c r="K566" s="10">
        <f t="shared" si="58"/>
        <v>0</v>
      </c>
      <c r="L566" s="9" t="str">
        <f t="shared" si="59"/>
        <v/>
      </c>
      <c r="M566" s="8"/>
      <c r="N566" s="8"/>
      <c r="O566" s="8"/>
      <c r="P566" s="8"/>
      <c r="Q566" s="8"/>
      <c r="R566" s="8"/>
      <c r="S566" s="8"/>
      <c r="T566" s="8"/>
      <c r="U566" s="8"/>
      <c r="V566" s="7"/>
      <c r="W566" s="6" t="str">
        <f t="array" ref="W566">IF(NOT(ISBLANK(D566)),_xludf.XLOOKUP(D566,[2]CODE!$A$4:$A$100,[2]CODE!$D$4:$D$100),"")</f>
        <v/>
      </c>
      <c r="X566" s="5" t="str">
        <f t="array" ref="X566">IF(NOT(AND(ISBLANK(D566),ISBLANK(C566))),_xludf.XLOOKUP(D566,[2]CODE!$A$4:$A$100,[2]CODE!$E$4:$E$100),"")</f>
        <v/>
      </c>
      <c r="Y566" s="5" t="str">
        <f t="shared" si="60"/>
        <v/>
      </c>
      <c r="Z566" s="5" t="str">
        <f t="shared" si="61"/>
        <v/>
      </c>
      <c r="AA566" s="4">
        <f t="shared" si="62"/>
        <v>0</v>
      </c>
      <c r="AC566" s="2"/>
    </row>
    <row r="567" spans="1:29" ht="15.5">
      <c r="A567" s="13" t="str">
        <f>IF(OR(ISBLANK(C567),ISBLANK(D567),ISBLANK(F567),ISBLANK(G567)),"",COUNTIF($B$5:B567,"JAMBUTU"))</f>
        <v/>
      </c>
      <c r="B567" s="8" t="str">
        <f t="shared" si="63"/>
        <v/>
      </c>
      <c r="C567" s="8"/>
      <c r="D567" s="8"/>
      <c r="E567" s="13"/>
      <c r="F567" s="12"/>
      <c r="G567" s="11"/>
      <c r="H567" s="12"/>
      <c r="I567" s="11"/>
      <c r="J567" s="10">
        <f t="shared" si="57"/>
        <v>0</v>
      </c>
      <c r="K567" s="10">
        <f t="shared" si="58"/>
        <v>0</v>
      </c>
      <c r="L567" s="9" t="str">
        <f t="shared" si="59"/>
        <v/>
      </c>
      <c r="M567" s="8"/>
      <c r="N567" s="8"/>
      <c r="O567" s="8"/>
      <c r="P567" s="8"/>
      <c r="Q567" s="8"/>
      <c r="R567" s="8"/>
      <c r="S567" s="8"/>
      <c r="T567" s="8"/>
      <c r="U567" s="8"/>
      <c r="V567" s="7"/>
      <c r="W567" s="6" t="str">
        <f t="array" ref="W567">IF(NOT(ISBLANK(D567)),_xludf.XLOOKUP(D567,[2]CODE!$A$4:$A$100,[2]CODE!$D$4:$D$100),"")</f>
        <v/>
      </c>
      <c r="X567" s="5" t="str">
        <f t="array" ref="X567">IF(NOT(AND(ISBLANK(D567),ISBLANK(C567))),_xludf.XLOOKUP(D567,[2]CODE!$A$4:$A$100,[2]CODE!$E$4:$E$100),"")</f>
        <v/>
      </c>
      <c r="Y567" s="5" t="str">
        <f t="shared" si="60"/>
        <v/>
      </c>
      <c r="Z567" s="5" t="str">
        <f t="shared" si="61"/>
        <v/>
      </c>
      <c r="AA567" s="4">
        <f t="shared" si="62"/>
        <v>0</v>
      </c>
      <c r="AC567" s="2"/>
    </row>
    <row r="568" spans="1:29" ht="15.5">
      <c r="A568" s="13" t="str">
        <f>IF(OR(ISBLANK(C568),ISBLANK(D568),ISBLANK(F568),ISBLANK(G568)),"",COUNTIF($B$5:B568,"JAMBUTU"))</f>
        <v/>
      </c>
      <c r="B568" s="8" t="str">
        <f t="shared" si="63"/>
        <v/>
      </c>
      <c r="C568" s="8"/>
      <c r="D568" s="8"/>
      <c r="E568" s="13"/>
      <c r="F568" s="12"/>
      <c r="G568" s="11"/>
      <c r="H568" s="12"/>
      <c r="I568" s="11"/>
      <c r="J568" s="10">
        <f t="shared" si="57"/>
        <v>0</v>
      </c>
      <c r="K568" s="10">
        <f t="shared" si="58"/>
        <v>0</v>
      </c>
      <c r="L568" s="9" t="str">
        <f t="shared" si="59"/>
        <v/>
      </c>
      <c r="M568" s="8"/>
      <c r="N568" s="8"/>
      <c r="O568" s="8"/>
      <c r="P568" s="8"/>
      <c r="Q568" s="8"/>
      <c r="R568" s="8"/>
      <c r="S568" s="8"/>
      <c r="T568" s="8"/>
      <c r="U568" s="8"/>
      <c r="V568" s="7"/>
      <c r="W568" s="6" t="str">
        <f t="array" ref="W568">IF(NOT(ISBLANK(D568)),_xludf.XLOOKUP(D568,[2]CODE!$A$4:$A$100,[2]CODE!$D$4:$D$100),"")</f>
        <v/>
      </c>
      <c r="X568" s="5" t="str">
        <f t="array" ref="X568">IF(NOT(AND(ISBLANK(D568),ISBLANK(C568))),_xludf.XLOOKUP(D568,[2]CODE!$A$4:$A$100,[2]CODE!$E$4:$E$100),"")</f>
        <v/>
      </c>
      <c r="Y568" s="5" t="str">
        <f t="shared" si="60"/>
        <v/>
      </c>
      <c r="Z568" s="5" t="str">
        <f t="shared" si="61"/>
        <v/>
      </c>
      <c r="AA568" s="4">
        <f t="shared" si="62"/>
        <v>0</v>
      </c>
      <c r="AC568" s="2"/>
    </row>
    <row r="569" spans="1:29" ht="15.5">
      <c r="A569" s="13" t="str">
        <f>IF(OR(ISBLANK(C569),ISBLANK(D569),ISBLANK(F569),ISBLANK(G569)),"",COUNTIF($B$5:B569,"JAMBUTU"))</f>
        <v/>
      </c>
      <c r="B569" s="8" t="str">
        <f t="shared" si="63"/>
        <v/>
      </c>
      <c r="C569" s="8"/>
      <c r="D569" s="8"/>
      <c r="E569" s="13"/>
      <c r="F569" s="12"/>
      <c r="G569" s="11"/>
      <c r="H569" s="12"/>
      <c r="I569" s="11"/>
      <c r="J569" s="10">
        <f t="shared" si="57"/>
        <v>0</v>
      </c>
      <c r="K569" s="10">
        <f t="shared" si="58"/>
        <v>0</v>
      </c>
      <c r="L569" s="9" t="str">
        <f t="shared" si="59"/>
        <v/>
      </c>
      <c r="M569" s="8"/>
      <c r="N569" s="8"/>
      <c r="O569" s="8"/>
      <c r="P569" s="8"/>
      <c r="Q569" s="8"/>
      <c r="R569" s="8"/>
      <c r="S569" s="8"/>
      <c r="T569" s="8"/>
      <c r="U569" s="8"/>
      <c r="V569" s="7"/>
      <c r="W569" s="6" t="str">
        <f t="array" ref="W569">IF(NOT(ISBLANK(D569)),_xludf.XLOOKUP(D569,[2]CODE!$A$4:$A$100,[2]CODE!$D$4:$D$100),"")</f>
        <v/>
      </c>
      <c r="X569" s="5" t="str">
        <f t="array" ref="X569">IF(NOT(AND(ISBLANK(D569),ISBLANK(C569))),_xludf.XLOOKUP(D569,[2]CODE!$A$4:$A$100,[2]CODE!$E$4:$E$100),"")</f>
        <v/>
      </c>
      <c r="Y569" s="5" t="str">
        <f t="shared" si="60"/>
        <v/>
      </c>
      <c r="Z569" s="5" t="str">
        <f t="shared" si="61"/>
        <v/>
      </c>
      <c r="AA569" s="4">
        <f t="shared" si="62"/>
        <v>0</v>
      </c>
      <c r="AC569" s="2"/>
    </row>
    <row r="570" spans="1:29" ht="15.5">
      <c r="A570" s="13" t="str">
        <f>IF(OR(ISBLANK(C570),ISBLANK(D570),ISBLANK(F570),ISBLANK(G570)),"",COUNTIF($B$5:B570,"JAMBUTU"))</f>
        <v/>
      </c>
      <c r="B570" s="8" t="str">
        <f t="shared" si="63"/>
        <v/>
      </c>
      <c r="C570" s="8"/>
      <c r="D570" s="8"/>
      <c r="E570" s="13"/>
      <c r="F570" s="12"/>
      <c r="G570" s="11"/>
      <c r="H570" s="12"/>
      <c r="I570" s="11"/>
      <c r="J570" s="10">
        <f t="shared" si="57"/>
        <v>0</v>
      </c>
      <c r="K570" s="10">
        <f t="shared" si="58"/>
        <v>0</v>
      </c>
      <c r="L570" s="9" t="str">
        <f t="shared" si="59"/>
        <v/>
      </c>
      <c r="M570" s="8"/>
      <c r="N570" s="8"/>
      <c r="O570" s="8"/>
      <c r="P570" s="8"/>
      <c r="Q570" s="8"/>
      <c r="R570" s="8"/>
      <c r="S570" s="8"/>
      <c r="T570" s="8"/>
      <c r="U570" s="8"/>
      <c r="V570" s="7"/>
      <c r="W570" s="6" t="str">
        <f t="array" ref="W570">IF(NOT(ISBLANK(D570)),_xludf.XLOOKUP(D570,[2]CODE!$A$4:$A$100,[2]CODE!$D$4:$D$100),"")</f>
        <v/>
      </c>
      <c r="X570" s="5" t="str">
        <f t="array" ref="X570">IF(NOT(AND(ISBLANK(D570),ISBLANK(C570))),_xludf.XLOOKUP(D570,[2]CODE!$A$4:$A$100,[2]CODE!$E$4:$E$100),"")</f>
        <v/>
      </c>
      <c r="Y570" s="5" t="str">
        <f t="shared" si="60"/>
        <v/>
      </c>
      <c r="Z570" s="5" t="str">
        <f t="shared" si="61"/>
        <v/>
      </c>
      <c r="AA570" s="4">
        <f t="shared" si="62"/>
        <v>0</v>
      </c>
      <c r="AC570" s="2"/>
    </row>
    <row r="571" spans="1:29" ht="15.5">
      <c r="A571" s="13" t="str">
        <f>IF(OR(ISBLANK(C571),ISBLANK(D571),ISBLANK(F571),ISBLANK(G571)),"",COUNTIF($B$5:B571,"JAMBUTU"))</f>
        <v/>
      </c>
      <c r="B571" s="8" t="str">
        <f t="shared" si="63"/>
        <v/>
      </c>
      <c r="C571" s="8"/>
      <c r="D571" s="8"/>
      <c r="E571" s="13"/>
      <c r="F571" s="12"/>
      <c r="G571" s="11"/>
      <c r="H571" s="12"/>
      <c r="I571" s="11"/>
      <c r="J571" s="10">
        <f t="shared" si="57"/>
        <v>0</v>
      </c>
      <c r="K571" s="10">
        <f t="shared" si="58"/>
        <v>0</v>
      </c>
      <c r="L571" s="9" t="str">
        <f t="shared" si="59"/>
        <v/>
      </c>
      <c r="M571" s="8"/>
      <c r="N571" s="8"/>
      <c r="O571" s="8"/>
      <c r="P571" s="8"/>
      <c r="Q571" s="8"/>
      <c r="R571" s="8"/>
      <c r="S571" s="8"/>
      <c r="T571" s="8"/>
      <c r="U571" s="8"/>
      <c r="V571" s="7"/>
      <c r="W571" s="6" t="str">
        <f t="array" ref="W571">IF(NOT(ISBLANK(D571)),_xludf.XLOOKUP(D571,[2]CODE!$A$4:$A$100,[2]CODE!$D$4:$D$100),"")</f>
        <v/>
      </c>
      <c r="X571" s="5" t="str">
        <f t="array" ref="X571">IF(NOT(AND(ISBLANK(D571),ISBLANK(C571))),_xludf.XLOOKUP(D571,[2]CODE!$A$4:$A$100,[2]CODE!$E$4:$E$100),"")</f>
        <v/>
      </c>
      <c r="Y571" s="5" t="str">
        <f t="shared" si="60"/>
        <v/>
      </c>
      <c r="Z571" s="5" t="str">
        <f t="shared" si="61"/>
        <v/>
      </c>
      <c r="AA571" s="4">
        <f t="shared" si="62"/>
        <v>0</v>
      </c>
      <c r="AC571" s="2"/>
    </row>
    <row r="572" spans="1:29" ht="15.5">
      <c r="A572" s="13" t="str">
        <f>IF(OR(ISBLANK(C572),ISBLANK(D572),ISBLANK(F572),ISBLANK(G572)),"",COUNTIF($B$5:B572,"JAMBUTU"))</f>
        <v/>
      </c>
      <c r="B572" s="8" t="str">
        <f t="shared" si="63"/>
        <v/>
      </c>
      <c r="C572" s="8"/>
      <c r="D572" s="8"/>
      <c r="E572" s="13"/>
      <c r="F572" s="12"/>
      <c r="G572" s="11"/>
      <c r="H572" s="12"/>
      <c r="I572" s="11"/>
      <c r="J572" s="10">
        <f t="shared" si="57"/>
        <v>0</v>
      </c>
      <c r="K572" s="10">
        <f t="shared" si="58"/>
        <v>0</v>
      </c>
      <c r="L572" s="9" t="str">
        <f t="shared" si="59"/>
        <v/>
      </c>
      <c r="M572" s="8"/>
      <c r="N572" s="8"/>
      <c r="O572" s="8"/>
      <c r="P572" s="8"/>
      <c r="Q572" s="8"/>
      <c r="R572" s="8"/>
      <c r="S572" s="8"/>
      <c r="T572" s="8"/>
      <c r="U572" s="8"/>
      <c r="V572" s="7"/>
      <c r="W572" s="6" t="str">
        <f t="array" ref="W572">IF(NOT(ISBLANK(D572)),_xludf.XLOOKUP(D572,[2]CODE!$A$4:$A$100,[2]CODE!$D$4:$D$100),"")</f>
        <v/>
      </c>
      <c r="X572" s="5" t="str">
        <f t="array" ref="X572">IF(NOT(AND(ISBLANK(D572),ISBLANK(C572))),_xludf.XLOOKUP(D572,[2]CODE!$A$4:$A$100,[2]CODE!$E$4:$E$100),"")</f>
        <v/>
      </c>
      <c r="Y572" s="5" t="str">
        <f t="shared" si="60"/>
        <v/>
      </c>
      <c r="Z572" s="5" t="str">
        <f t="shared" si="61"/>
        <v/>
      </c>
      <c r="AA572" s="4">
        <f t="shared" si="62"/>
        <v>0</v>
      </c>
      <c r="AC572" s="2"/>
    </row>
    <row r="573" spans="1:29" ht="15.5">
      <c r="A573" s="13" t="str">
        <f>IF(OR(ISBLANK(C573),ISBLANK(D573),ISBLANK(F573),ISBLANK(G573)),"",COUNTIF($B$5:B573,"JAMBUTU"))</f>
        <v/>
      </c>
      <c r="B573" s="8" t="str">
        <f t="shared" si="63"/>
        <v/>
      </c>
      <c r="C573" s="8"/>
      <c r="D573" s="8"/>
      <c r="E573" s="13"/>
      <c r="F573" s="12"/>
      <c r="G573" s="11"/>
      <c r="H573" s="12"/>
      <c r="I573" s="11"/>
      <c r="J573" s="10">
        <f t="shared" si="57"/>
        <v>0</v>
      </c>
      <c r="K573" s="10">
        <f t="shared" si="58"/>
        <v>0</v>
      </c>
      <c r="L573" s="9" t="str">
        <f t="shared" si="59"/>
        <v/>
      </c>
      <c r="M573" s="8"/>
      <c r="N573" s="8"/>
      <c r="O573" s="8"/>
      <c r="P573" s="8"/>
      <c r="Q573" s="8"/>
      <c r="R573" s="8"/>
      <c r="S573" s="8"/>
      <c r="T573" s="8"/>
      <c r="U573" s="8"/>
      <c r="V573" s="7"/>
      <c r="W573" s="6" t="str">
        <f t="array" ref="W573">IF(NOT(ISBLANK(D573)),_xludf.XLOOKUP(D573,[2]CODE!$A$4:$A$100,[2]CODE!$D$4:$D$100),"")</f>
        <v/>
      </c>
      <c r="X573" s="5" t="str">
        <f t="array" ref="X573">IF(NOT(AND(ISBLANK(D573),ISBLANK(C573))),_xludf.XLOOKUP(D573,[2]CODE!$A$4:$A$100,[2]CODE!$E$4:$E$100),"")</f>
        <v/>
      </c>
      <c r="Y573" s="5" t="str">
        <f t="shared" si="60"/>
        <v/>
      </c>
      <c r="Z573" s="5" t="str">
        <f t="shared" si="61"/>
        <v/>
      </c>
      <c r="AA573" s="4">
        <f t="shared" si="62"/>
        <v>0</v>
      </c>
      <c r="AC573" s="2"/>
    </row>
    <row r="574" spans="1:29" ht="15.5">
      <c r="A574" s="13" t="str">
        <f>IF(OR(ISBLANK(C574),ISBLANK(D574),ISBLANK(F574),ISBLANK(G574)),"",COUNTIF($B$5:B574,"JAMBUTU"))</f>
        <v/>
      </c>
      <c r="B574" s="8" t="str">
        <f t="shared" si="63"/>
        <v/>
      </c>
      <c r="C574" s="8"/>
      <c r="D574" s="8"/>
      <c r="E574" s="13"/>
      <c r="F574" s="12"/>
      <c r="G574" s="11"/>
      <c r="H574" s="12"/>
      <c r="I574" s="11"/>
      <c r="J574" s="10">
        <f t="shared" si="57"/>
        <v>0</v>
      </c>
      <c r="K574" s="10">
        <f t="shared" si="58"/>
        <v>0</v>
      </c>
      <c r="L574" s="9" t="str">
        <f t="shared" si="59"/>
        <v/>
      </c>
      <c r="M574" s="8"/>
      <c r="N574" s="8"/>
      <c r="O574" s="8"/>
      <c r="P574" s="8"/>
      <c r="Q574" s="8"/>
      <c r="R574" s="8"/>
      <c r="S574" s="8"/>
      <c r="T574" s="8"/>
      <c r="U574" s="8"/>
      <c r="V574" s="7"/>
      <c r="W574" s="6" t="str">
        <f t="array" ref="W574">IF(NOT(ISBLANK(D574)),_xludf.XLOOKUP(D574,[2]CODE!$A$4:$A$100,[2]CODE!$D$4:$D$100),"")</f>
        <v/>
      </c>
      <c r="X574" s="5" t="str">
        <f t="array" ref="X574">IF(NOT(AND(ISBLANK(D574),ISBLANK(C574))),_xludf.XLOOKUP(D574,[2]CODE!$A$4:$A$100,[2]CODE!$E$4:$E$100),"")</f>
        <v/>
      </c>
      <c r="Y574" s="5" t="str">
        <f t="shared" si="60"/>
        <v/>
      </c>
      <c r="Z574" s="5" t="str">
        <f t="shared" si="61"/>
        <v/>
      </c>
      <c r="AA574" s="4">
        <f t="shared" si="62"/>
        <v>0</v>
      </c>
      <c r="AC574" s="2"/>
    </row>
    <row r="575" spans="1:29" ht="15.5">
      <c r="A575" s="13" t="str">
        <f>IF(OR(ISBLANK(C575),ISBLANK(D575),ISBLANK(F575),ISBLANK(G575)),"",COUNTIF($B$5:B575,"JAMBUTU"))</f>
        <v/>
      </c>
      <c r="B575" s="8" t="str">
        <f t="shared" si="63"/>
        <v/>
      </c>
      <c r="C575" s="8"/>
      <c r="D575" s="8"/>
      <c r="E575" s="13"/>
      <c r="F575" s="12"/>
      <c r="G575" s="11"/>
      <c r="H575" s="12"/>
      <c r="I575" s="11"/>
      <c r="J575" s="10">
        <f t="shared" si="57"/>
        <v>0</v>
      </c>
      <c r="K575" s="10">
        <f t="shared" si="58"/>
        <v>0</v>
      </c>
      <c r="L575" s="9" t="str">
        <f t="shared" si="59"/>
        <v/>
      </c>
      <c r="M575" s="8"/>
      <c r="N575" s="8"/>
      <c r="O575" s="8"/>
      <c r="P575" s="8"/>
      <c r="Q575" s="8"/>
      <c r="R575" s="8"/>
      <c r="S575" s="8"/>
      <c r="T575" s="8"/>
      <c r="U575" s="8"/>
      <c r="V575" s="7"/>
      <c r="W575" s="6" t="str">
        <f t="array" ref="W575">IF(NOT(ISBLANK(D575)),_xludf.XLOOKUP(D575,[2]CODE!$A$4:$A$100,[2]CODE!$D$4:$D$100),"")</f>
        <v/>
      </c>
      <c r="X575" s="5" t="str">
        <f t="array" ref="X575">IF(NOT(AND(ISBLANK(D575),ISBLANK(C575))),_xludf.XLOOKUP(D575,[2]CODE!$A$4:$A$100,[2]CODE!$E$4:$E$100),"")</f>
        <v/>
      </c>
      <c r="Y575" s="5" t="str">
        <f t="shared" si="60"/>
        <v/>
      </c>
      <c r="Z575" s="5" t="str">
        <f t="shared" si="61"/>
        <v/>
      </c>
      <c r="AA575" s="4">
        <f t="shared" si="62"/>
        <v>0</v>
      </c>
      <c r="AC575" s="2"/>
    </row>
    <row r="576" spans="1:29" ht="15.5">
      <c r="A576" s="13" t="str">
        <f>IF(OR(ISBLANK(C576),ISBLANK(D576),ISBLANK(F576),ISBLANK(G576)),"",COUNTIF($B$5:B576,"JAMBUTU"))</f>
        <v/>
      </c>
      <c r="B576" s="8" t="str">
        <f t="shared" si="63"/>
        <v/>
      </c>
      <c r="C576" s="8"/>
      <c r="D576" s="8"/>
      <c r="E576" s="13"/>
      <c r="F576" s="12"/>
      <c r="G576" s="11"/>
      <c r="H576" s="12"/>
      <c r="I576" s="11"/>
      <c r="J576" s="10">
        <f t="shared" si="57"/>
        <v>0</v>
      </c>
      <c r="K576" s="10">
        <f t="shared" si="58"/>
        <v>0</v>
      </c>
      <c r="L576" s="9" t="str">
        <f t="shared" si="59"/>
        <v/>
      </c>
      <c r="M576" s="8"/>
      <c r="N576" s="8"/>
      <c r="O576" s="8"/>
      <c r="P576" s="8"/>
      <c r="Q576" s="8"/>
      <c r="R576" s="8"/>
      <c r="S576" s="8"/>
      <c r="T576" s="8"/>
      <c r="U576" s="8"/>
      <c r="V576" s="7"/>
      <c r="W576" s="6" t="str">
        <f t="array" ref="W576">IF(NOT(ISBLANK(D576)),_xludf.XLOOKUP(D576,[2]CODE!$A$4:$A$100,[2]CODE!$D$4:$D$100),"")</f>
        <v/>
      </c>
      <c r="X576" s="5" t="str">
        <f t="array" ref="X576">IF(NOT(AND(ISBLANK(D576),ISBLANK(C576))),_xludf.XLOOKUP(D576,[2]CODE!$A$4:$A$100,[2]CODE!$E$4:$E$100),"")</f>
        <v/>
      </c>
      <c r="Y576" s="5" t="str">
        <f t="shared" si="60"/>
        <v/>
      </c>
      <c r="Z576" s="5" t="str">
        <f t="shared" si="61"/>
        <v/>
      </c>
      <c r="AA576" s="4">
        <f t="shared" si="62"/>
        <v>0</v>
      </c>
      <c r="AC576" s="2"/>
    </row>
    <row r="577" spans="1:29" ht="15.5">
      <c r="A577" s="13" t="str">
        <f>IF(OR(ISBLANK(C577),ISBLANK(D577),ISBLANK(F577),ISBLANK(G577)),"",COUNTIF($B$5:B577,"JAMBUTU"))</f>
        <v/>
      </c>
      <c r="B577" s="8" t="str">
        <f t="shared" si="63"/>
        <v/>
      </c>
      <c r="C577" s="8"/>
      <c r="D577" s="8"/>
      <c r="E577" s="13"/>
      <c r="F577" s="12"/>
      <c r="G577" s="11"/>
      <c r="H577" s="12"/>
      <c r="I577" s="11"/>
      <c r="J577" s="10">
        <f t="shared" si="57"/>
        <v>0</v>
      </c>
      <c r="K577" s="10">
        <f t="shared" si="58"/>
        <v>0</v>
      </c>
      <c r="L577" s="9" t="str">
        <f t="shared" si="59"/>
        <v/>
      </c>
      <c r="M577" s="8"/>
      <c r="N577" s="8"/>
      <c r="O577" s="8"/>
      <c r="P577" s="8"/>
      <c r="Q577" s="8"/>
      <c r="R577" s="8"/>
      <c r="S577" s="8"/>
      <c r="T577" s="8"/>
      <c r="U577" s="8"/>
      <c r="V577" s="7"/>
      <c r="W577" s="6" t="str">
        <f t="array" ref="W577">IF(NOT(ISBLANK(D577)),_xludf.XLOOKUP(D577,[2]CODE!$A$4:$A$100,[2]CODE!$D$4:$D$100),"")</f>
        <v/>
      </c>
      <c r="X577" s="5" t="str">
        <f t="array" ref="X577">IF(NOT(AND(ISBLANK(D577),ISBLANK(C577))),_xludf.XLOOKUP(D577,[2]CODE!$A$4:$A$100,[2]CODE!$E$4:$E$100),"")</f>
        <v/>
      </c>
      <c r="Y577" s="5" t="str">
        <f t="shared" si="60"/>
        <v/>
      </c>
      <c r="Z577" s="5" t="str">
        <f t="shared" si="61"/>
        <v/>
      </c>
      <c r="AA577" s="4">
        <f t="shared" si="62"/>
        <v>0</v>
      </c>
      <c r="AC577" s="2"/>
    </row>
    <row r="578" spans="1:29" ht="15.5">
      <c r="A578" s="13" t="str">
        <f>IF(OR(ISBLANK(C578),ISBLANK(D578),ISBLANK(F578),ISBLANK(G578)),"",COUNTIF($B$5:B578,"JAMBUTU"))</f>
        <v/>
      </c>
      <c r="B578" s="8" t="str">
        <f t="shared" si="63"/>
        <v/>
      </c>
      <c r="C578" s="8"/>
      <c r="D578" s="8"/>
      <c r="E578" s="13"/>
      <c r="F578" s="12"/>
      <c r="G578" s="11"/>
      <c r="H578" s="12"/>
      <c r="I578" s="11"/>
      <c r="J578" s="10">
        <f t="shared" si="57"/>
        <v>0</v>
      </c>
      <c r="K578" s="10">
        <f t="shared" si="58"/>
        <v>0</v>
      </c>
      <c r="L578" s="9" t="str">
        <f t="shared" si="59"/>
        <v/>
      </c>
      <c r="M578" s="8"/>
      <c r="N578" s="8"/>
      <c r="O578" s="8"/>
      <c r="P578" s="8"/>
      <c r="Q578" s="8"/>
      <c r="R578" s="8"/>
      <c r="S578" s="8"/>
      <c r="T578" s="8"/>
      <c r="U578" s="8"/>
      <c r="V578" s="7"/>
      <c r="W578" s="6" t="str">
        <f t="array" ref="W578">IF(NOT(ISBLANK(D578)),_xludf.XLOOKUP(D578,[2]CODE!$A$4:$A$100,[2]CODE!$D$4:$D$100),"")</f>
        <v/>
      </c>
      <c r="X578" s="5" t="str">
        <f t="array" ref="X578">IF(NOT(AND(ISBLANK(D578),ISBLANK(C578))),_xludf.XLOOKUP(D578,[2]CODE!$A$4:$A$100,[2]CODE!$E$4:$E$100),"")</f>
        <v/>
      </c>
      <c r="Y578" s="5" t="str">
        <f t="shared" si="60"/>
        <v/>
      </c>
      <c r="Z578" s="5" t="str">
        <f t="shared" si="61"/>
        <v/>
      </c>
      <c r="AA578" s="4">
        <f t="shared" si="62"/>
        <v>0</v>
      </c>
      <c r="AC578" s="2"/>
    </row>
    <row r="579" spans="1:29" ht="15.5">
      <c r="A579" s="13" t="str">
        <f>IF(OR(ISBLANK(C579),ISBLANK(D579),ISBLANK(F579),ISBLANK(G579)),"",COUNTIF($B$5:B579,"JAMBUTU"))</f>
        <v/>
      </c>
      <c r="B579" s="8" t="str">
        <f t="shared" si="63"/>
        <v/>
      </c>
      <c r="C579" s="8"/>
      <c r="D579" s="8"/>
      <c r="E579" s="13"/>
      <c r="F579" s="12"/>
      <c r="G579" s="11"/>
      <c r="H579" s="12"/>
      <c r="I579" s="11"/>
      <c r="J579" s="10">
        <f t="shared" si="57"/>
        <v>0</v>
      </c>
      <c r="K579" s="10">
        <f t="shared" si="58"/>
        <v>0</v>
      </c>
      <c r="L579" s="9" t="str">
        <f t="shared" si="59"/>
        <v/>
      </c>
      <c r="M579" s="8"/>
      <c r="N579" s="8"/>
      <c r="O579" s="8"/>
      <c r="P579" s="8"/>
      <c r="Q579" s="8"/>
      <c r="R579" s="8"/>
      <c r="S579" s="8"/>
      <c r="T579" s="8"/>
      <c r="U579" s="8"/>
      <c r="V579" s="7"/>
      <c r="W579" s="6" t="str">
        <f t="array" ref="W579">IF(NOT(ISBLANK(D579)),_xludf.XLOOKUP(D579,[2]CODE!$A$4:$A$100,[2]CODE!$D$4:$D$100),"")</f>
        <v/>
      </c>
      <c r="X579" s="5" t="str">
        <f t="array" ref="X579">IF(NOT(AND(ISBLANK(D579),ISBLANK(C579))),_xludf.XLOOKUP(D579,[2]CODE!$A$4:$A$100,[2]CODE!$E$4:$E$100),"")</f>
        <v/>
      </c>
      <c r="Y579" s="5" t="str">
        <f t="shared" si="60"/>
        <v/>
      </c>
      <c r="Z579" s="5" t="str">
        <f t="shared" si="61"/>
        <v/>
      </c>
      <c r="AA579" s="4">
        <f t="shared" si="62"/>
        <v>0</v>
      </c>
      <c r="AC579" s="2"/>
    </row>
    <row r="580" spans="1:29" ht="15.5">
      <c r="A580" s="13" t="str">
        <f>IF(OR(ISBLANK(C580),ISBLANK(D580),ISBLANK(F580),ISBLANK(G580)),"",COUNTIF($B$5:B580,"JAMBUTU"))</f>
        <v/>
      </c>
      <c r="B580" s="8" t="str">
        <f t="shared" si="63"/>
        <v/>
      </c>
      <c r="C580" s="8"/>
      <c r="D580" s="8"/>
      <c r="E580" s="13"/>
      <c r="F580" s="12"/>
      <c r="G580" s="11"/>
      <c r="H580" s="12"/>
      <c r="I580" s="11"/>
      <c r="J580" s="10">
        <f t="shared" si="57"/>
        <v>0</v>
      </c>
      <c r="K580" s="10">
        <f t="shared" si="58"/>
        <v>0</v>
      </c>
      <c r="L580" s="9" t="str">
        <f t="shared" si="59"/>
        <v/>
      </c>
      <c r="M580" s="8"/>
      <c r="N580" s="8"/>
      <c r="O580" s="8"/>
      <c r="P580" s="8"/>
      <c r="Q580" s="8"/>
      <c r="R580" s="8"/>
      <c r="S580" s="8"/>
      <c r="T580" s="8"/>
      <c r="U580" s="8"/>
      <c r="V580" s="7"/>
      <c r="W580" s="6" t="str">
        <f t="array" ref="W580">IF(NOT(ISBLANK(D580)),_xludf.XLOOKUP(D580,[2]CODE!$A$4:$A$100,[2]CODE!$D$4:$D$100),"")</f>
        <v/>
      </c>
      <c r="X580" s="5" t="str">
        <f t="array" ref="X580">IF(NOT(AND(ISBLANK(D580),ISBLANK(C580))),_xludf.XLOOKUP(D580,[2]CODE!$A$4:$A$100,[2]CODE!$E$4:$E$100),"")</f>
        <v/>
      </c>
      <c r="Y580" s="5" t="str">
        <f t="shared" si="60"/>
        <v/>
      </c>
      <c r="Z580" s="5" t="str">
        <f t="shared" si="61"/>
        <v/>
      </c>
      <c r="AA580" s="4">
        <f t="shared" si="62"/>
        <v>0</v>
      </c>
      <c r="AC580" s="2"/>
    </row>
    <row r="581" spans="1:29" ht="15.5">
      <c r="A581" s="13" t="str">
        <f>IF(OR(ISBLANK(C581),ISBLANK(D581),ISBLANK(F581),ISBLANK(G581)),"",COUNTIF($B$5:B581,"JAMBUTU"))</f>
        <v/>
      </c>
      <c r="B581" s="8" t="str">
        <f t="shared" si="63"/>
        <v/>
      </c>
      <c r="C581" s="8"/>
      <c r="D581" s="8"/>
      <c r="E581" s="13"/>
      <c r="F581" s="12"/>
      <c r="G581" s="11"/>
      <c r="H581" s="12"/>
      <c r="I581" s="11"/>
      <c r="J581" s="10">
        <f t="shared" ref="J581:J598" si="64">DATE(YEAR(F581),MONTH(F581),DAY(F581))+TIME(HOUR(G581),MINUTE(G581), SECOND(G581))</f>
        <v>0</v>
      </c>
      <c r="K581" s="10">
        <f t="shared" ref="K581:K598" si="65">DATE(YEAR(H581),MONTH(H581),DAY(H581))+TIME(HOUR(I581),MINUTE(I581), SECOND(I581))</f>
        <v>0</v>
      </c>
      <c r="L581" s="9" t="str">
        <f t="shared" ref="L581:L644" si="66">IF(ISBLANK(I581),"",IF(J581&gt;K581,(K581+1)-J581,K581-J581))</f>
        <v/>
      </c>
      <c r="M581" s="8"/>
      <c r="N581" s="8"/>
      <c r="O581" s="8"/>
      <c r="P581" s="8"/>
      <c r="Q581" s="8"/>
      <c r="R581" s="8"/>
      <c r="S581" s="8"/>
      <c r="T581" s="8"/>
      <c r="U581" s="8"/>
      <c r="V581" s="7"/>
      <c r="W581" s="6" t="str">
        <f t="array" ref="W581">IF(NOT(ISBLANK(D581)),_xludf.XLOOKUP(D581,[2]CODE!$A$4:$A$100,[2]CODE!$D$4:$D$100),"")</f>
        <v/>
      </c>
      <c r="X581" s="5" t="str">
        <f t="array" ref="X581">IF(NOT(AND(ISBLANK(D581),ISBLANK(C581))),_xludf.XLOOKUP(D581,[2]CODE!$A$4:$A$100,[2]CODE!$E$4:$E$100),"")</f>
        <v/>
      </c>
      <c r="Y581" s="5" t="str">
        <f t="shared" ref="Y581:Y598" si="67">LEFT(C581,4)</f>
        <v/>
      </c>
      <c r="Z581" s="5" t="str">
        <f t="shared" ref="Z581:Z598" si="68">IF(NOT(ISBLANK(C581)), IF(K581&gt;J581,"YES","NO"),"")</f>
        <v/>
      </c>
      <c r="AA581" s="4">
        <f t="shared" ref="AA581:AA644" si="69">IF(AND(F581=H581,Z581="NO"),1+H581,H581)</f>
        <v>0</v>
      </c>
      <c r="AC581" s="2"/>
    </row>
    <row r="582" spans="1:29" ht="15.5">
      <c r="A582" s="13" t="str">
        <f>IF(OR(ISBLANK(C582),ISBLANK(D582),ISBLANK(F582),ISBLANK(G582)),"",COUNTIF($B$5:B582,"JAMBUTU"))</f>
        <v/>
      </c>
      <c r="B582" s="8" t="str">
        <f t="shared" si="63"/>
        <v/>
      </c>
      <c r="C582" s="8"/>
      <c r="D582" s="8"/>
      <c r="E582" s="13"/>
      <c r="F582" s="12"/>
      <c r="G582" s="11"/>
      <c r="H582" s="12"/>
      <c r="I582" s="11"/>
      <c r="J582" s="10">
        <f t="shared" si="64"/>
        <v>0</v>
      </c>
      <c r="K582" s="10">
        <f t="shared" si="65"/>
        <v>0</v>
      </c>
      <c r="L582" s="9" t="str">
        <f t="shared" si="66"/>
        <v/>
      </c>
      <c r="M582" s="8"/>
      <c r="N582" s="8"/>
      <c r="O582" s="8"/>
      <c r="P582" s="8"/>
      <c r="Q582" s="8"/>
      <c r="R582" s="8"/>
      <c r="S582" s="8"/>
      <c r="T582" s="8"/>
      <c r="U582" s="8"/>
      <c r="V582" s="7"/>
      <c r="W582" s="6" t="str">
        <f t="array" ref="W582">IF(NOT(ISBLANK(D582)),_xludf.XLOOKUP(D582,[2]CODE!$A$4:$A$100,[2]CODE!$D$4:$D$100),"")</f>
        <v/>
      </c>
      <c r="X582" s="5" t="str">
        <f t="array" ref="X582">IF(NOT(AND(ISBLANK(D582),ISBLANK(C582))),_xludf.XLOOKUP(D582,[2]CODE!$A$4:$A$100,[2]CODE!$E$4:$E$100),"")</f>
        <v/>
      </c>
      <c r="Y582" s="5" t="str">
        <f t="shared" si="67"/>
        <v/>
      </c>
      <c r="Z582" s="5" t="str">
        <f t="shared" si="68"/>
        <v/>
      </c>
      <c r="AA582" s="4">
        <f t="shared" si="69"/>
        <v>0</v>
      </c>
      <c r="AC582" s="2"/>
    </row>
    <row r="583" spans="1:29" ht="15.5">
      <c r="A583" s="13" t="str">
        <f>IF(OR(ISBLANK(C583),ISBLANK(D583),ISBLANK(F583),ISBLANK(G583)),"",COUNTIF($B$5:B583,"JAMBUTU"))</f>
        <v/>
      </c>
      <c r="B583" s="8" t="str">
        <f t="shared" si="63"/>
        <v/>
      </c>
      <c r="C583" s="8"/>
      <c r="D583" s="8"/>
      <c r="E583" s="13"/>
      <c r="F583" s="12"/>
      <c r="G583" s="11"/>
      <c r="H583" s="12"/>
      <c r="I583" s="11"/>
      <c r="J583" s="10">
        <f t="shared" si="64"/>
        <v>0</v>
      </c>
      <c r="K583" s="10">
        <f t="shared" si="65"/>
        <v>0</v>
      </c>
      <c r="L583" s="9" t="str">
        <f t="shared" si="66"/>
        <v/>
      </c>
      <c r="M583" s="8"/>
      <c r="N583" s="8"/>
      <c r="O583" s="8"/>
      <c r="P583" s="8"/>
      <c r="Q583" s="8"/>
      <c r="R583" s="8"/>
      <c r="S583" s="8"/>
      <c r="T583" s="8"/>
      <c r="U583" s="8"/>
      <c r="V583" s="7"/>
      <c r="W583" s="6" t="str">
        <f t="array" ref="W583">IF(NOT(ISBLANK(D583)),_xludf.XLOOKUP(D583,[2]CODE!$A$4:$A$100,[2]CODE!$D$4:$D$100),"")</f>
        <v/>
      </c>
      <c r="X583" s="5" t="str">
        <f t="array" ref="X583">IF(NOT(AND(ISBLANK(D583),ISBLANK(C583))),_xludf.XLOOKUP(D583,[2]CODE!$A$4:$A$100,[2]CODE!$E$4:$E$100),"")</f>
        <v/>
      </c>
      <c r="Y583" s="5" t="str">
        <f t="shared" si="67"/>
        <v/>
      </c>
      <c r="Z583" s="5" t="str">
        <f t="shared" si="68"/>
        <v/>
      </c>
      <c r="AA583" s="4">
        <f t="shared" si="69"/>
        <v>0</v>
      </c>
      <c r="AC583" s="2"/>
    </row>
    <row r="584" spans="1:29" ht="15.5">
      <c r="A584" s="13" t="str">
        <f>IF(OR(ISBLANK(C584),ISBLANK(D584),ISBLANK(F584),ISBLANK(G584)),"",COUNTIF($B$5:B584,"JAMBUTU"))</f>
        <v/>
      </c>
      <c r="B584" s="8" t="str">
        <f t="shared" si="63"/>
        <v/>
      </c>
      <c r="C584" s="8"/>
      <c r="D584" s="8"/>
      <c r="E584" s="13"/>
      <c r="F584" s="12"/>
      <c r="G584" s="11"/>
      <c r="H584" s="12"/>
      <c r="I584" s="11"/>
      <c r="J584" s="10">
        <f t="shared" si="64"/>
        <v>0</v>
      </c>
      <c r="K584" s="10">
        <f t="shared" si="65"/>
        <v>0</v>
      </c>
      <c r="L584" s="9" t="str">
        <f t="shared" si="66"/>
        <v/>
      </c>
      <c r="M584" s="8"/>
      <c r="N584" s="8"/>
      <c r="O584" s="8"/>
      <c r="P584" s="8"/>
      <c r="Q584" s="8"/>
      <c r="R584" s="8"/>
      <c r="S584" s="8"/>
      <c r="T584" s="8"/>
      <c r="U584" s="8"/>
      <c r="V584" s="7"/>
      <c r="W584" s="6" t="str">
        <f t="array" ref="W584">IF(NOT(ISBLANK(D584)),_xludf.XLOOKUP(D584,[2]CODE!$A$4:$A$100,[2]CODE!$D$4:$D$100),"")</f>
        <v/>
      </c>
      <c r="X584" s="5" t="str">
        <f t="array" ref="X584">IF(NOT(AND(ISBLANK(D584),ISBLANK(C584))),_xludf.XLOOKUP(D584,[2]CODE!$A$4:$A$100,[2]CODE!$E$4:$E$100),"")</f>
        <v/>
      </c>
      <c r="Y584" s="5" t="str">
        <f t="shared" si="67"/>
        <v/>
      </c>
      <c r="Z584" s="5" t="str">
        <f t="shared" si="68"/>
        <v/>
      </c>
      <c r="AA584" s="4">
        <f t="shared" si="69"/>
        <v>0</v>
      </c>
      <c r="AC584" s="2"/>
    </row>
    <row r="585" spans="1:29" ht="15.5">
      <c r="A585" s="13" t="str">
        <f>IF(OR(ISBLANK(C585),ISBLANK(D585),ISBLANK(F585),ISBLANK(G585)),"",COUNTIF($B$5:B585,"JAMBUTU"))</f>
        <v/>
      </c>
      <c r="B585" s="8" t="str">
        <f t="shared" si="63"/>
        <v/>
      </c>
      <c r="C585" s="8"/>
      <c r="D585" s="8"/>
      <c r="E585" s="13"/>
      <c r="F585" s="12"/>
      <c r="G585" s="11"/>
      <c r="H585" s="12"/>
      <c r="I585" s="11"/>
      <c r="J585" s="10">
        <f t="shared" si="64"/>
        <v>0</v>
      </c>
      <c r="K585" s="10">
        <f t="shared" si="65"/>
        <v>0</v>
      </c>
      <c r="L585" s="9" t="str">
        <f t="shared" si="66"/>
        <v/>
      </c>
      <c r="M585" s="8"/>
      <c r="N585" s="8"/>
      <c r="O585" s="8"/>
      <c r="P585" s="8"/>
      <c r="Q585" s="8"/>
      <c r="R585" s="8"/>
      <c r="S585" s="8"/>
      <c r="T585" s="8"/>
      <c r="U585" s="8"/>
      <c r="V585" s="7"/>
      <c r="W585" s="6" t="str">
        <f t="array" ref="W585">IF(NOT(ISBLANK(D585)),_xludf.XLOOKUP(D585,[2]CODE!$A$4:$A$100,[2]CODE!$D$4:$D$100),"")</f>
        <v/>
      </c>
      <c r="X585" s="5" t="str">
        <f t="array" ref="X585">IF(NOT(AND(ISBLANK(D585),ISBLANK(C585))),_xludf.XLOOKUP(D585,[2]CODE!$A$4:$A$100,[2]CODE!$E$4:$E$100),"")</f>
        <v/>
      </c>
      <c r="Y585" s="5" t="str">
        <f t="shared" si="67"/>
        <v/>
      </c>
      <c r="Z585" s="5" t="str">
        <f t="shared" si="68"/>
        <v/>
      </c>
      <c r="AA585" s="4">
        <f t="shared" si="69"/>
        <v>0</v>
      </c>
      <c r="AC585" s="2"/>
    </row>
    <row r="586" spans="1:29" ht="15.5">
      <c r="A586" s="13" t="str">
        <f>IF(OR(ISBLANK(C586),ISBLANK(D586),ISBLANK(F586),ISBLANK(G586)),"",COUNTIF($B$5:B586,"JAMBUTU"))</f>
        <v/>
      </c>
      <c r="B586" s="8" t="str">
        <f t="shared" si="63"/>
        <v/>
      </c>
      <c r="C586" s="8"/>
      <c r="D586" s="8"/>
      <c r="E586" s="13"/>
      <c r="F586" s="12"/>
      <c r="G586" s="11"/>
      <c r="H586" s="12"/>
      <c r="I586" s="11"/>
      <c r="J586" s="10">
        <f t="shared" si="64"/>
        <v>0</v>
      </c>
      <c r="K586" s="10">
        <f t="shared" si="65"/>
        <v>0</v>
      </c>
      <c r="L586" s="9" t="str">
        <f t="shared" si="66"/>
        <v/>
      </c>
      <c r="M586" s="8"/>
      <c r="N586" s="8"/>
      <c r="O586" s="8"/>
      <c r="P586" s="8"/>
      <c r="Q586" s="8"/>
      <c r="R586" s="8"/>
      <c r="S586" s="8"/>
      <c r="T586" s="8"/>
      <c r="U586" s="8"/>
      <c r="V586" s="7"/>
      <c r="W586" s="6" t="str">
        <f t="array" ref="W586">IF(NOT(ISBLANK(D586)),_xludf.XLOOKUP(D586,[2]CODE!$A$4:$A$100,[2]CODE!$D$4:$D$100),"")</f>
        <v/>
      </c>
      <c r="X586" s="5" t="str">
        <f t="array" ref="X586">IF(NOT(AND(ISBLANK(D586),ISBLANK(C586))),_xludf.XLOOKUP(D586,[2]CODE!$A$4:$A$100,[2]CODE!$E$4:$E$100),"")</f>
        <v/>
      </c>
      <c r="Y586" s="5" t="str">
        <f t="shared" si="67"/>
        <v/>
      </c>
      <c r="Z586" s="5" t="str">
        <f t="shared" si="68"/>
        <v/>
      </c>
      <c r="AA586" s="4">
        <f t="shared" si="69"/>
        <v>0</v>
      </c>
      <c r="AC586" s="2"/>
    </row>
    <row r="587" spans="1:29" ht="15.5">
      <c r="A587" s="13" t="str">
        <f>IF(OR(ISBLANK(C587),ISBLANK(D587),ISBLANK(F587),ISBLANK(G587)),"",COUNTIF($B$5:B587,"JAMBUTU"))</f>
        <v/>
      </c>
      <c r="B587" s="8" t="str">
        <f t="shared" si="63"/>
        <v/>
      </c>
      <c r="C587" s="8"/>
      <c r="D587" s="8"/>
      <c r="E587" s="13"/>
      <c r="F587" s="12"/>
      <c r="G587" s="11"/>
      <c r="H587" s="12"/>
      <c r="I587" s="11"/>
      <c r="J587" s="10">
        <f t="shared" si="64"/>
        <v>0</v>
      </c>
      <c r="K587" s="10">
        <f t="shared" si="65"/>
        <v>0</v>
      </c>
      <c r="L587" s="9" t="str">
        <f t="shared" si="66"/>
        <v/>
      </c>
      <c r="M587" s="8"/>
      <c r="N587" s="8"/>
      <c r="O587" s="8"/>
      <c r="P587" s="8"/>
      <c r="Q587" s="8"/>
      <c r="R587" s="8"/>
      <c r="S587" s="8"/>
      <c r="T587" s="8"/>
      <c r="U587" s="8"/>
      <c r="V587" s="7"/>
      <c r="W587" s="6" t="str">
        <f t="array" ref="W587">IF(NOT(ISBLANK(D587)),_xludf.XLOOKUP(D587,[2]CODE!$A$4:$A$100,[2]CODE!$D$4:$D$100),"")</f>
        <v/>
      </c>
      <c r="X587" s="5" t="str">
        <f t="array" ref="X587">IF(NOT(AND(ISBLANK(D587),ISBLANK(C587))),_xludf.XLOOKUP(D587,[2]CODE!$A$4:$A$100,[2]CODE!$E$4:$E$100),"")</f>
        <v/>
      </c>
      <c r="Y587" s="5" t="str">
        <f t="shared" si="67"/>
        <v/>
      </c>
      <c r="Z587" s="5" t="str">
        <f t="shared" si="68"/>
        <v/>
      </c>
      <c r="AA587" s="4">
        <f t="shared" si="69"/>
        <v>0</v>
      </c>
      <c r="AC587" s="2"/>
    </row>
    <row r="588" spans="1:29" ht="15.5">
      <c r="A588" s="13" t="str">
        <f>IF(OR(ISBLANK(C588),ISBLANK(D588),ISBLANK(F588),ISBLANK(G588)),"",COUNTIF($B$5:B588,"JAMBUTU"))</f>
        <v/>
      </c>
      <c r="B588" s="8" t="str">
        <f t="shared" si="63"/>
        <v/>
      </c>
      <c r="C588" s="8"/>
      <c r="D588" s="8"/>
      <c r="E588" s="13"/>
      <c r="F588" s="12"/>
      <c r="G588" s="14"/>
      <c r="H588" s="12"/>
      <c r="I588" s="11"/>
      <c r="J588" s="10">
        <f t="shared" si="64"/>
        <v>0</v>
      </c>
      <c r="K588" s="10">
        <f t="shared" si="65"/>
        <v>0</v>
      </c>
      <c r="L588" s="9" t="str">
        <f t="shared" si="66"/>
        <v/>
      </c>
      <c r="M588" s="8"/>
      <c r="N588" s="8"/>
      <c r="O588" s="8"/>
      <c r="P588" s="8"/>
      <c r="Q588" s="8"/>
      <c r="R588" s="8"/>
      <c r="S588" s="8"/>
      <c r="T588" s="8"/>
      <c r="U588" s="8"/>
      <c r="V588" s="7"/>
      <c r="W588" s="6" t="str">
        <f t="array" ref="W588">IF(NOT(ISBLANK(D588)),_xludf.XLOOKUP(D588,[2]CODE!$A$4:$A$100,[2]CODE!$D$4:$D$100),"")</f>
        <v/>
      </c>
      <c r="X588" s="5" t="str">
        <f t="array" ref="X588">IF(NOT(AND(ISBLANK(D588),ISBLANK(C588))),_xludf.XLOOKUP(D588,[2]CODE!$A$4:$A$100,[2]CODE!$E$4:$E$100),"")</f>
        <v/>
      </c>
      <c r="Y588" s="5" t="str">
        <f t="shared" si="67"/>
        <v/>
      </c>
      <c r="Z588" s="5" t="str">
        <f t="shared" si="68"/>
        <v/>
      </c>
      <c r="AA588" s="4">
        <f t="shared" si="69"/>
        <v>0</v>
      </c>
      <c r="AC588" s="2"/>
    </row>
    <row r="589" spans="1:29" ht="15.5">
      <c r="A589" s="13" t="str">
        <f>IF(OR(ISBLANK(C589),ISBLANK(D589),ISBLANK(F589),ISBLANK(G589)),"",COUNTIF($B$5:B589,"JAMBUTU"))</f>
        <v/>
      </c>
      <c r="B589" s="8" t="str">
        <f t="shared" si="63"/>
        <v/>
      </c>
      <c r="C589" s="8"/>
      <c r="D589" s="8"/>
      <c r="E589" s="13"/>
      <c r="F589" s="12"/>
      <c r="G589" s="11"/>
      <c r="H589" s="12"/>
      <c r="I589" s="11"/>
      <c r="J589" s="10">
        <f t="shared" si="64"/>
        <v>0</v>
      </c>
      <c r="K589" s="10">
        <f t="shared" si="65"/>
        <v>0</v>
      </c>
      <c r="L589" s="9" t="str">
        <f t="shared" si="66"/>
        <v/>
      </c>
      <c r="M589" s="8"/>
      <c r="N589" s="8"/>
      <c r="O589" s="8"/>
      <c r="P589" s="8"/>
      <c r="Q589" s="8"/>
      <c r="R589" s="8"/>
      <c r="S589" s="8"/>
      <c r="T589" s="8"/>
      <c r="U589" s="8"/>
      <c r="V589" s="7"/>
      <c r="W589" s="6" t="str">
        <f t="array" ref="W589">IF(NOT(ISBLANK(D589)),_xludf.XLOOKUP(D589,[2]CODE!$A$4:$A$100,[2]CODE!$D$4:$D$100),"")</f>
        <v/>
      </c>
      <c r="X589" s="5" t="str">
        <f t="array" ref="X589">IF(NOT(AND(ISBLANK(D589),ISBLANK(C589))),_xludf.XLOOKUP(D589,[2]CODE!$A$4:$A$100,[2]CODE!$E$4:$E$100),"")</f>
        <v/>
      </c>
      <c r="Y589" s="5" t="str">
        <f t="shared" si="67"/>
        <v/>
      </c>
      <c r="Z589" s="5" t="str">
        <f t="shared" si="68"/>
        <v/>
      </c>
      <c r="AA589" s="4">
        <f t="shared" si="69"/>
        <v>0</v>
      </c>
      <c r="AC589" s="2"/>
    </row>
    <row r="590" spans="1:29" ht="15.5">
      <c r="A590" s="13" t="str">
        <f>IF(OR(ISBLANK(C590),ISBLANK(D590),ISBLANK(F590),ISBLANK(G590)),"",COUNTIF($B$5:B590,"JAMBUTU"))</f>
        <v/>
      </c>
      <c r="B590" s="8" t="str">
        <f t="shared" si="63"/>
        <v/>
      </c>
      <c r="C590" s="8"/>
      <c r="D590" s="8"/>
      <c r="E590" s="13"/>
      <c r="F590" s="12"/>
      <c r="G590" s="11"/>
      <c r="H590" s="12"/>
      <c r="I590" s="11"/>
      <c r="J590" s="10">
        <f t="shared" si="64"/>
        <v>0</v>
      </c>
      <c r="K590" s="10">
        <f t="shared" si="65"/>
        <v>0</v>
      </c>
      <c r="L590" s="9" t="str">
        <f t="shared" si="66"/>
        <v/>
      </c>
      <c r="M590" s="8"/>
      <c r="N590" s="8"/>
      <c r="O590" s="8"/>
      <c r="P590" s="8"/>
      <c r="Q590" s="8"/>
      <c r="R590" s="8"/>
      <c r="S590" s="8"/>
      <c r="T590" s="8"/>
      <c r="U590" s="8"/>
      <c r="V590" s="7"/>
      <c r="W590" s="6" t="str">
        <f t="array" ref="W590">IF(NOT(ISBLANK(D590)),_xludf.XLOOKUP(D590,[2]CODE!$A$4:$A$100,[2]CODE!$D$4:$D$100),"")</f>
        <v/>
      </c>
      <c r="X590" s="5" t="str">
        <f t="array" ref="X590">IF(NOT(AND(ISBLANK(D590),ISBLANK(C590))),_xludf.XLOOKUP(D590,[2]CODE!$A$4:$A$100,[2]CODE!$E$4:$E$100),"")</f>
        <v/>
      </c>
      <c r="Y590" s="5" t="str">
        <f t="shared" si="67"/>
        <v/>
      </c>
      <c r="Z590" s="5" t="str">
        <f t="shared" si="68"/>
        <v/>
      </c>
      <c r="AA590" s="4">
        <f t="shared" si="69"/>
        <v>0</v>
      </c>
      <c r="AC590" s="2"/>
    </row>
    <row r="591" spans="1:29" ht="15.5">
      <c r="A591" s="13" t="str">
        <f>IF(OR(ISBLANK(C591),ISBLANK(D591),ISBLANK(F591),ISBLANK(G591)),"",COUNTIF($B$5:B591,"JAMBUTU"))</f>
        <v/>
      </c>
      <c r="B591" s="8" t="str">
        <f t="shared" si="63"/>
        <v/>
      </c>
      <c r="C591" s="8"/>
      <c r="D591" s="8"/>
      <c r="E591" s="13"/>
      <c r="F591" s="12"/>
      <c r="G591" s="11"/>
      <c r="H591" s="12"/>
      <c r="I591" s="11"/>
      <c r="J591" s="10">
        <f t="shared" si="64"/>
        <v>0</v>
      </c>
      <c r="K591" s="10">
        <f t="shared" si="65"/>
        <v>0</v>
      </c>
      <c r="L591" s="9" t="str">
        <f t="shared" si="66"/>
        <v/>
      </c>
      <c r="M591" s="8"/>
      <c r="N591" s="8"/>
      <c r="O591" s="8"/>
      <c r="P591" s="8"/>
      <c r="Q591" s="8"/>
      <c r="R591" s="8"/>
      <c r="S591" s="8"/>
      <c r="T591" s="8"/>
      <c r="U591" s="8"/>
      <c r="V591" s="7"/>
      <c r="W591" s="6" t="str">
        <f t="array" ref="W591">IF(NOT(ISBLANK(D591)),_xludf.XLOOKUP(D591,[2]CODE!$A$4:$A$100,[2]CODE!$D$4:$D$100),"")</f>
        <v/>
      </c>
      <c r="X591" s="5" t="str">
        <f t="array" ref="X591">IF(NOT(AND(ISBLANK(D591),ISBLANK(C591))),_xludf.XLOOKUP(D591,[2]CODE!$A$4:$A$100,[2]CODE!$E$4:$E$100),"")</f>
        <v/>
      </c>
      <c r="Y591" s="5" t="str">
        <f t="shared" si="67"/>
        <v/>
      </c>
      <c r="Z591" s="5" t="str">
        <f t="shared" si="68"/>
        <v/>
      </c>
      <c r="AA591" s="4">
        <f t="shared" si="69"/>
        <v>0</v>
      </c>
      <c r="AC591" s="2"/>
    </row>
    <row r="592" spans="1:29" ht="15.5">
      <c r="A592" s="13" t="str">
        <f>IF(OR(ISBLANK(C592),ISBLANK(D592),ISBLANK(F592),ISBLANK(G592)),"",COUNTIF($B$5:B592,"JAMBUTU"))</f>
        <v/>
      </c>
      <c r="B592" s="8" t="str">
        <f t="shared" si="63"/>
        <v/>
      </c>
      <c r="C592" s="8"/>
      <c r="D592" s="8"/>
      <c r="E592" s="13"/>
      <c r="F592" s="12"/>
      <c r="G592" s="11"/>
      <c r="H592" s="12"/>
      <c r="I592" s="11"/>
      <c r="J592" s="10">
        <f t="shared" si="64"/>
        <v>0</v>
      </c>
      <c r="K592" s="10">
        <f t="shared" si="65"/>
        <v>0</v>
      </c>
      <c r="L592" s="9" t="str">
        <f t="shared" si="66"/>
        <v/>
      </c>
      <c r="M592" s="8"/>
      <c r="N592" s="8"/>
      <c r="O592" s="8"/>
      <c r="P592" s="8"/>
      <c r="Q592" s="8"/>
      <c r="R592" s="8"/>
      <c r="S592" s="8"/>
      <c r="T592" s="8"/>
      <c r="U592" s="8"/>
      <c r="V592" s="7"/>
      <c r="W592" s="6" t="str">
        <f t="array" ref="W592">IF(NOT(ISBLANK(D592)),_xludf.XLOOKUP(D592,[2]CODE!$A$4:$A$100,[2]CODE!$D$4:$D$100),"")</f>
        <v/>
      </c>
      <c r="X592" s="5" t="str">
        <f t="array" ref="X592">IF(NOT(AND(ISBLANK(D592),ISBLANK(C592))),_xludf.XLOOKUP(D592,[2]CODE!$A$4:$A$100,[2]CODE!$E$4:$E$100),"")</f>
        <v/>
      </c>
      <c r="Y592" s="5" t="str">
        <f t="shared" si="67"/>
        <v/>
      </c>
      <c r="Z592" s="5" t="str">
        <f t="shared" si="68"/>
        <v/>
      </c>
      <c r="AA592" s="4">
        <f t="shared" si="69"/>
        <v>0</v>
      </c>
      <c r="AC592" s="2"/>
    </row>
    <row r="593" spans="1:29" ht="15.5">
      <c r="A593" s="13" t="str">
        <f>IF(OR(ISBLANK(C593),ISBLANK(D593),ISBLANK(F593),ISBLANK(G593)),"",COUNTIF($B$5:B593,"JAMBUTU"))</f>
        <v/>
      </c>
      <c r="B593" s="8" t="str">
        <f t="shared" si="63"/>
        <v/>
      </c>
      <c r="C593" s="8"/>
      <c r="D593" s="8"/>
      <c r="E593" s="13"/>
      <c r="F593" s="12"/>
      <c r="G593" s="11"/>
      <c r="H593" s="12"/>
      <c r="I593" s="11"/>
      <c r="J593" s="10">
        <f t="shared" si="64"/>
        <v>0</v>
      </c>
      <c r="K593" s="10">
        <f t="shared" si="65"/>
        <v>0</v>
      </c>
      <c r="L593" s="9" t="str">
        <f t="shared" si="66"/>
        <v/>
      </c>
      <c r="M593" s="8"/>
      <c r="N593" s="8"/>
      <c r="O593" s="8"/>
      <c r="P593" s="8"/>
      <c r="Q593" s="8"/>
      <c r="R593" s="8"/>
      <c r="S593" s="8"/>
      <c r="T593" s="8"/>
      <c r="U593" s="8"/>
      <c r="V593" s="7"/>
      <c r="W593" s="6" t="str">
        <f t="array" ref="W593">IF(NOT(ISBLANK(D593)),_xludf.XLOOKUP(D593,[2]CODE!$A$4:$A$100,[2]CODE!$D$4:$D$100),"")</f>
        <v/>
      </c>
      <c r="X593" s="5" t="str">
        <f t="array" ref="X593">IF(NOT(AND(ISBLANK(D593),ISBLANK(C593))),_xludf.XLOOKUP(D593,[2]CODE!$A$4:$A$100,[2]CODE!$E$4:$E$100),"")</f>
        <v/>
      </c>
      <c r="Y593" s="5" t="str">
        <f t="shared" si="67"/>
        <v/>
      </c>
      <c r="Z593" s="5" t="str">
        <f t="shared" si="68"/>
        <v/>
      </c>
      <c r="AA593" s="4">
        <f t="shared" si="69"/>
        <v>0</v>
      </c>
      <c r="AC593" s="2"/>
    </row>
    <row r="594" spans="1:29" ht="15.5">
      <c r="A594" s="13" t="str">
        <f>IF(OR(ISBLANK(C594),ISBLANK(D594),ISBLANK(F594),ISBLANK(G594)),"",COUNTIF($B$5:B594,"JAMBUTU"))</f>
        <v/>
      </c>
      <c r="B594" s="8" t="str">
        <f t="shared" si="63"/>
        <v/>
      </c>
      <c r="C594" s="8"/>
      <c r="D594" s="8"/>
      <c r="E594" s="13"/>
      <c r="F594" s="12"/>
      <c r="G594" s="11"/>
      <c r="H594" s="12"/>
      <c r="I594" s="11"/>
      <c r="J594" s="10">
        <f t="shared" si="64"/>
        <v>0</v>
      </c>
      <c r="K594" s="10">
        <f t="shared" si="65"/>
        <v>0</v>
      </c>
      <c r="L594" s="9" t="str">
        <f t="shared" si="66"/>
        <v/>
      </c>
      <c r="M594" s="8"/>
      <c r="N594" s="8"/>
      <c r="O594" s="8"/>
      <c r="P594" s="8"/>
      <c r="Q594" s="8"/>
      <c r="R594" s="8"/>
      <c r="S594" s="8"/>
      <c r="T594" s="8"/>
      <c r="U594" s="8"/>
      <c r="V594" s="7"/>
      <c r="W594" s="6" t="str">
        <f t="array" ref="W594">IF(NOT(ISBLANK(D594)),_xludf.XLOOKUP(D594,[2]CODE!$A$4:$A$100,[2]CODE!$D$4:$D$100),"")</f>
        <v/>
      </c>
      <c r="X594" s="5" t="str">
        <f t="array" ref="X594">IF(NOT(AND(ISBLANK(D594),ISBLANK(C594))),_xludf.XLOOKUP(D594,[2]CODE!$A$4:$A$100,[2]CODE!$E$4:$E$100),"")</f>
        <v/>
      </c>
      <c r="Y594" s="5" t="str">
        <f t="shared" si="67"/>
        <v/>
      </c>
      <c r="Z594" s="5" t="str">
        <f t="shared" si="68"/>
        <v/>
      </c>
      <c r="AA594" s="4">
        <f t="shared" si="69"/>
        <v>0</v>
      </c>
      <c r="AC594" s="2"/>
    </row>
    <row r="595" spans="1:29" ht="15.5">
      <c r="A595" s="13" t="str">
        <f>IF(OR(ISBLANK(C595),ISBLANK(D595),ISBLANK(F595),ISBLANK(G595)),"",COUNTIF($B$5:B595,"JAMBUTU"))</f>
        <v/>
      </c>
      <c r="B595" s="8" t="str">
        <f t="shared" ref="B595:B658" si="70">IF(C595&lt;&gt;"","Jambutu","")</f>
        <v/>
      </c>
      <c r="C595" s="8"/>
      <c r="D595" s="8"/>
      <c r="E595" s="13"/>
      <c r="F595" s="12"/>
      <c r="G595" s="11"/>
      <c r="H595" s="12"/>
      <c r="I595" s="11"/>
      <c r="J595" s="10">
        <f t="shared" si="64"/>
        <v>0</v>
      </c>
      <c r="K595" s="10">
        <f t="shared" si="65"/>
        <v>0</v>
      </c>
      <c r="L595" s="9" t="str">
        <f t="shared" si="66"/>
        <v/>
      </c>
      <c r="M595" s="8"/>
      <c r="N595" s="8"/>
      <c r="O595" s="8"/>
      <c r="P595" s="8"/>
      <c r="Q595" s="8"/>
      <c r="R595" s="8"/>
      <c r="S595" s="8"/>
      <c r="T595" s="8"/>
      <c r="U595" s="8"/>
      <c r="V595" s="7"/>
      <c r="W595" s="6" t="str">
        <f t="array" ref="W595">IF(NOT(ISBLANK(D595)),_xludf.XLOOKUP(D595,[2]CODE!$A$4:$A$100,[2]CODE!$D$4:$D$100),"")</f>
        <v/>
      </c>
      <c r="X595" s="5" t="str">
        <f t="array" ref="X595">IF(NOT(AND(ISBLANK(D595),ISBLANK(C595))),_xludf.XLOOKUP(D595,[2]CODE!$A$4:$A$100,[2]CODE!$E$4:$E$100),"")</f>
        <v/>
      </c>
      <c r="Y595" s="5" t="str">
        <f t="shared" si="67"/>
        <v/>
      </c>
      <c r="Z595" s="5" t="str">
        <f t="shared" si="68"/>
        <v/>
      </c>
      <c r="AA595" s="4">
        <f t="shared" si="69"/>
        <v>0</v>
      </c>
      <c r="AC595" s="2"/>
    </row>
    <row r="596" spans="1:29" ht="15.5">
      <c r="A596" s="13" t="str">
        <f>IF(OR(ISBLANK(C596),ISBLANK(D596),ISBLANK(F596),ISBLANK(G596)),"",COUNTIF($B$5:B596,"JAMBUTU"))</f>
        <v/>
      </c>
      <c r="B596" s="8" t="str">
        <f t="shared" si="70"/>
        <v/>
      </c>
      <c r="C596" s="8"/>
      <c r="D596" s="8"/>
      <c r="E596" s="13"/>
      <c r="F596" s="12"/>
      <c r="G596" s="11"/>
      <c r="H596" s="12"/>
      <c r="I596" s="11"/>
      <c r="J596" s="10">
        <f t="shared" si="64"/>
        <v>0</v>
      </c>
      <c r="K596" s="10">
        <f t="shared" si="65"/>
        <v>0</v>
      </c>
      <c r="L596" s="9" t="str">
        <f t="shared" si="66"/>
        <v/>
      </c>
      <c r="M596" s="8"/>
      <c r="N596" s="8"/>
      <c r="O596" s="8"/>
      <c r="P596" s="8"/>
      <c r="Q596" s="8"/>
      <c r="R596" s="8"/>
      <c r="S596" s="8"/>
      <c r="T596" s="8"/>
      <c r="U596" s="8"/>
      <c r="V596" s="7"/>
      <c r="W596" s="6" t="str">
        <f t="array" ref="W596">IF(NOT(ISBLANK(D596)),_xludf.XLOOKUP(D596,[2]CODE!$A$4:$A$100,[2]CODE!$D$4:$D$100),"")</f>
        <v/>
      </c>
      <c r="X596" s="5" t="str">
        <f t="array" ref="X596">IF(NOT(AND(ISBLANK(D596),ISBLANK(C596))),_xludf.XLOOKUP(D596,[2]CODE!$A$4:$A$100,[2]CODE!$E$4:$E$100),"")</f>
        <v/>
      </c>
      <c r="Y596" s="5" t="str">
        <f t="shared" si="67"/>
        <v/>
      </c>
      <c r="Z596" s="5" t="str">
        <f t="shared" si="68"/>
        <v/>
      </c>
      <c r="AA596" s="4">
        <f t="shared" si="69"/>
        <v>0</v>
      </c>
      <c r="AC596" s="2"/>
    </row>
    <row r="597" spans="1:29" ht="15.5">
      <c r="A597" s="13" t="str">
        <f>IF(OR(ISBLANK(C597),ISBLANK(D597),ISBLANK(F597),ISBLANK(G597)),"",COUNTIF($B$5:B597,"JAMBUTU"))</f>
        <v/>
      </c>
      <c r="B597" s="8" t="str">
        <f t="shared" si="70"/>
        <v/>
      </c>
      <c r="C597" s="8"/>
      <c r="D597" s="8"/>
      <c r="E597" s="13"/>
      <c r="F597" s="12"/>
      <c r="G597" s="11"/>
      <c r="H597" s="12"/>
      <c r="I597" s="11"/>
      <c r="J597" s="10">
        <f t="shared" si="64"/>
        <v>0</v>
      </c>
      <c r="K597" s="10">
        <f t="shared" si="65"/>
        <v>0</v>
      </c>
      <c r="L597" s="9" t="str">
        <f t="shared" si="66"/>
        <v/>
      </c>
      <c r="M597" s="8"/>
      <c r="N597" s="8"/>
      <c r="O597" s="8"/>
      <c r="P597" s="8"/>
      <c r="Q597" s="8"/>
      <c r="R597" s="8"/>
      <c r="S597" s="8"/>
      <c r="T597" s="8"/>
      <c r="U597" s="8"/>
      <c r="V597" s="7"/>
      <c r="W597" s="6" t="str">
        <f t="array" ref="W597">IF(NOT(ISBLANK(D597)),_xludf.XLOOKUP(D597,[2]CODE!$A$4:$A$100,[2]CODE!$D$4:$D$100),"")</f>
        <v/>
      </c>
      <c r="X597" s="5" t="str">
        <f t="array" ref="X597">IF(NOT(AND(ISBLANK(D597),ISBLANK(C597))),_xludf.XLOOKUP(D597,[2]CODE!$A$4:$A$100,[2]CODE!$E$4:$E$100),"")</f>
        <v/>
      </c>
      <c r="Y597" s="5" t="str">
        <f t="shared" si="67"/>
        <v/>
      </c>
      <c r="Z597" s="5" t="str">
        <f t="shared" si="68"/>
        <v/>
      </c>
      <c r="AA597" s="4">
        <f t="shared" si="69"/>
        <v>0</v>
      </c>
      <c r="AC597" s="2"/>
    </row>
    <row r="598" spans="1:29" ht="15.5">
      <c r="A598" s="13" t="str">
        <f>IF(OR(ISBLANK(C598),ISBLANK(D598),ISBLANK(F598),ISBLANK(G598)),"",COUNTIF($B$5:B598,"JAMBUTU"))</f>
        <v/>
      </c>
      <c r="B598" s="8" t="str">
        <f t="shared" si="70"/>
        <v/>
      </c>
      <c r="C598" s="8"/>
      <c r="D598" s="8"/>
      <c r="E598" s="13"/>
      <c r="F598" s="12"/>
      <c r="G598" s="11"/>
      <c r="H598" s="12"/>
      <c r="I598" s="11"/>
      <c r="J598" s="10">
        <f t="shared" si="64"/>
        <v>0</v>
      </c>
      <c r="K598" s="10">
        <f t="shared" si="65"/>
        <v>0</v>
      </c>
      <c r="L598" s="9" t="str">
        <f t="shared" si="66"/>
        <v/>
      </c>
      <c r="M598" s="8"/>
      <c r="N598" s="8"/>
      <c r="O598" s="8"/>
      <c r="P598" s="8"/>
      <c r="Q598" s="8"/>
      <c r="R598" s="8"/>
      <c r="S598" s="8"/>
      <c r="T598" s="8"/>
      <c r="U598" s="8"/>
      <c r="V598" s="7"/>
      <c r="W598" s="6" t="str">
        <f t="array" ref="W598">IF(NOT(ISBLANK(D598)),_xludf.XLOOKUP(D598,[2]CODE!$A$4:$A$100,[2]CODE!$D$4:$D$100),"")</f>
        <v/>
      </c>
      <c r="X598" s="5" t="str">
        <f t="array" ref="X598">IF(NOT(AND(ISBLANK(D598),ISBLANK(C598))),_xludf.XLOOKUP(D598,[2]CODE!$A$4:$A$100,[2]CODE!$E$4:$E$100),"")</f>
        <v/>
      </c>
      <c r="Y598" s="5" t="str">
        <f t="shared" si="67"/>
        <v/>
      </c>
      <c r="Z598" s="5" t="str">
        <f t="shared" si="68"/>
        <v/>
      </c>
      <c r="AA598" s="4">
        <f t="shared" si="69"/>
        <v>0</v>
      </c>
      <c r="AC598" s="2"/>
    </row>
    <row r="599" spans="1:29" ht="13">
      <c r="E599" s="2"/>
      <c r="F599" s="2"/>
      <c r="G599" s="2"/>
      <c r="H599" s="2"/>
      <c r="I599" s="2"/>
    </row>
    <row r="600" spans="1:29" ht="13">
      <c r="E600" s="2"/>
      <c r="F600" s="2"/>
      <c r="G600" s="2"/>
      <c r="H600" s="2"/>
      <c r="I600" s="2"/>
      <c r="L600" s="3">
        <f>SUBTOTAL(9,L5:L598)*24</f>
        <v>189.14999999996508</v>
      </c>
    </row>
    <row r="601" spans="1:29" ht="13">
      <c r="E601" s="2"/>
      <c r="F601" s="2"/>
      <c r="G601" s="2"/>
      <c r="H601" s="2"/>
      <c r="I601" s="2"/>
    </row>
    <row r="602" spans="1:29" ht="13">
      <c r="E602" s="2"/>
      <c r="F602" s="2"/>
      <c r="G602" s="2"/>
      <c r="H602" s="2"/>
      <c r="I602" s="2"/>
    </row>
    <row r="603" spans="1:29" ht="13">
      <c r="E603" s="2"/>
      <c r="F603" s="2"/>
      <c r="G603" s="2"/>
      <c r="H603" s="2"/>
      <c r="I603" s="2"/>
    </row>
    <row r="604" spans="1:29" ht="13">
      <c r="E604" s="2"/>
      <c r="F604" s="2"/>
      <c r="G604" s="2"/>
      <c r="H604" s="2"/>
      <c r="I604" s="2"/>
    </row>
    <row r="605" spans="1:29" ht="13">
      <c r="E605" s="2"/>
      <c r="F605" s="2"/>
      <c r="G605" s="2"/>
      <c r="H605" s="2"/>
      <c r="I605" s="2"/>
    </row>
    <row r="606" spans="1:29" ht="13">
      <c r="E606" s="2"/>
      <c r="F606" s="2"/>
      <c r="G606" s="2"/>
      <c r="H606" s="2"/>
      <c r="I606" s="2"/>
    </row>
    <row r="607" spans="1:29" ht="13">
      <c r="E607" s="2"/>
      <c r="F607" s="2"/>
      <c r="G607" s="2"/>
      <c r="H607" s="2"/>
      <c r="I607" s="2"/>
    </row>
    <row r="608" spans="1:29" ht="13">
      <c r="E608" s="2"/>
      <c r="F608" s="2"/>
      <c r="G608" s="2"/>
      <c r="H608" s="2"/>
      <c r="I608" s="2"/>
    </row>
    <row r="609" spans="5:9" ht="13">
      <c r="E609" s="2"/>
      <c r="F609" s="2"/>
      <c r="G609" s="2"/>
      <c r="H609" s="2"/>
      <c r="I609" s="2"/>
    </row>
    <row r="610" spans="5:9" ht="13">
      <c r="E610" s="2"/>
      <c r="F610" s="2"/>
      <c r="G610" s="2"/>
      <c r="H610" s="2"/>
      <c r="I610" s="2"/>
    </row>
    <row r="611" spans="5:9" ht="13">
      <c r="E611" s="2"/>
      <c r="F611" s="2"/>
      <c r="G611" s="2"/>
      <c r="H611" s="2"/>
      <c r="I611" s="2"/>
    </row>
    <row r="612" spans="5:9" ht="13">
      <c r="E612" s="2"/>
      <c r="F612" s="2"/>
      <c r="G612" s="2"/>
      <c r="H612" s="2"/>
      <c r="I612" s="2"/>
    </row>
    <row r="613" spans="5:9" ht="13">
      <c r="E613" s="2"/>
      <c r="F613" s="2"/>
      <c r="G613" s="2"/>
      <c r="H613" s="2"/>
      <c r="I613" s="2"/>
    </row>
    <row r="614" spans="5:9" ht="13">
      <c r="E614" s="2"/>
      <c r="F614" s="2"/>
      <c r="G614" s="2"/>
      <c r="H614" s="2"/>
      <c r="I614" s="2"/>
    </row>
    <row r="615" spans="5:9" ht="13">
      <c r="E615" s="2"/>
      <c r="F615" s="2"/>
      <c r="G615" s="2"/>
      <c r="H615" s="2"/>
      <c r="I615" s="2"/>
    </row>
    <row r="616" spans="5:9" ht="13">
      <c r="E616" s="2"/>
      <c r="F616" s="2"/>
      <c r="G616" s="2"/>
      <c r="H616" s="2"/>
      <c r="I616" s="2"/>
    </row>
    <row r="617" spans="5:9" ht="13">
      <c r="E617" s="2"/>
      <c r="F617" s="2"/>
      <c r="G617" s="2"/>
      <c r="H617" s="2"/>
      <c r="I617" s="2"/>
    </row>
    <row r="618" spans="5:9" ht="13">
      <c r="E618" s="2"/>
      <c r="F618" s="2"/>
      <c r="G618" s="2"/>
      <c r="H618" s="2"/>
      <c r="I618" s="2"/>
    </row>
    <row r="619" spans="5:9" ht="13">
      <c r="E619" s="2"/>
      <c r="F619" s="2"/>
      <c r="G619" s="2"/>
      <c r="H619" s="2"/>
      <c r="I619" s="2"/>
    </row>
    <row r="620" spans="5:9" ht="13">
      <c r="E620" s="2"/>
      <c r="F620" s="2"/>
      <c r="G620" s="2"/>
      <c r="H620" s="2"/>
      <c r="I620" s="2"/>
    </row>
    <row r="621" spans="5:9" ht="13">
      <c r="E621" s="2"/>
      <c r="F621" s="2"/>
      <c r="G621" s="2"/>
      <c r="H621" s="2"/>
      <c r="I621" s="2"/>
    </row>
    <row r="622" spans="5:9" ht="13">
      <c r="E622" s="2"/>
      <c r="F622" s="2"/>
      <c r="G622" s="2"/>
      <c r="H622" s="2"/>
      <c r="I622" s="2"/>
    </row>
    <row r="623" spans="5:9" ht="13">
      <c r="E623" s="2"/>
      <c r="F623" s="2"/>
      <c r="G623" s="2"/>
      <c r="H623" s="2"/>
      <c r="I623" s="2"/>
    </row>
    <row r="624" spans="5:9" ht="13">
      <c r="E624" s="2"/>
      <c r="F624" s="2"/>
      <c r="G624" s="2"/>
      <c r="H624" s="2"/>
      <c r="I624" s="2"/>
    </row>
    <row r="625" spans="5:9" ht="13">
      <c r="E625" s="2"/>
      <c r="F625" s="2"/>
      <c r="G625" s="2"/>
      <c r="H625" s="2"/>
      <c r="I625" s="2"/>
    </row>
    <row r="626" spans="5:9" ht="13">
      <c r="E626" s="2"/>
      <c r="F626" s="2"/>
      <c r="G626" s="2"/>
      <c r="H626" s="2"/>
      <c r="I626" s="2"/>
    </row>
    <row r="627" spans="5:9" ht="13">
      <c r="E627" s="2"/>
      <c r="F627" s="2"/>
      <c r="G627" s="2"/>
      <c r="H627" s="2"/>
      <c r="I627" s="2"/>
    </row>
    <row r="628" spans="5:9" ht="13">
      <c r="E628" s="2"/>
      <c r="F628" s="2"/>
      <c r="G628" s="2"/>
      <c r="H628" s="2"/>
      <c r="I628" s="2"/>
    </row>
    <row r="629" spans="5:9" ht="13">
      <c r="E629" s="2"/>
      <c r="F629" s="2"/>
      <c r="G629" s="2"/>
      <c r="H629" s="2"/>
      <c r="I629" s="2"/>
    </row>
    <row r="630" spans="5:9" ht="13">
      <c r="E630" s="2"/>
      <c r="F630" s="2"/>
      <c r="G630" s="2"/>
      <c r="H630" s="2"/>
      <c r="I630" s="2"/>
    </row>
    <row r="631" spans="5:9" ht="13">
      <c r="E631" s="2"/>
      <c r="F631" s="2"/>
      <c r="G631" s="2"/>
      <c r="H631" s="2"/>
      <c r="I631" s="2"/>
    </row>
    <row r="632" spans="5:9" ht="13">
      <c r="E632" s="2"/>
      <c r="F632" s="2"/>
      <c r="G632" s="2"/>
      <c r="H632" s="2"/>
      <c r="I632" s="2"/>
    </row>
    <row r="633" spans="5:9" ht="13">
      <c r="E633" s="2"/>
      <c r="F633" s="2"/>
      <c r="G633" s="2"/>
      <c r="H633" s="2"/>
      <c r="I633" s="2"/>
    </row>
    <row r="634" spans="5:9" ht="13">
      <c r="E634" s="2"/>
      <c r="F634" s="2"/>
      <c r="G634" s="2"/>
      <c r="H634" s="2"/>
      <c r="I634" s="2"/>
    </row>
    <row r="635" spans="5:9" ht="13">
      <c r="E635" s="2"/>
      <c r="F635" s="2"/>
      <c r="G635" s="2"/>
      <c r="H635" s="2"/>
      <c r="I635" s="2"/>
    </row>
    <row r="636" spans="5:9" ht="13">
      <c r="E636" s="2"/>
      <c r="F636" s="2"/>
      <c r="G636" s="2"/>
      <c r="H636" s="2"/>
      <c r="I636" s="2"/>
    </row>
    <row r="637" spans="5:9" ht="13">
      <c r="E637" s="2"/>
      <c r="F637" s="2"/>
      <c r="G637" s="2"/>
      <c r="H637" s="2"/>
      <c r="I637" s="2"/>
    </row>
    <row r="638" spans="5:9" ht="13">
      <c r="E638" s="2"/>
      <c r="F638" s="2"/>
      <c r="G638" s="2"/>
      <c r="H638" s="2"/>
      <c r="I638" s="2"/>
    </row>
    <row r="639" spans="5:9" ht="13">
      <c r="E639" s="2"/>
      <c r="F639" s="2"/>
      <c r="G639" s="2"/>
      <c r="H639" s="2"/>
      <c r="I639" s="2"/>
    </row>
    <row r="640" spans="5:9" ht="13">
      <c r="E640" s="2"/>
      <c r="F640" s="2"/>
      <c r="G640" s="2"/>
      <c r="H640" s="2"/>
      <c r="I640" s="2"/>
    </row>
    <row r="641" spans="5:9" ht="13">
      <c r="E641" s="2"/>
      <c r="F641" s="2"/>
      <c r="G641" s="2"/>
      <c r="H641" s="2"/>
      <c r="I641" s="2"/>
    </row>
    <row r="642" spans="5:9" ht="13">
      <c r="E642" s="2"/>
      <c r="F642" s="2"/>
      <c r="G642" s="2"/>
      <c r="H642" s="2"/>
      <c r="I642" s="2"/>
    </row>
    <row r="643" spans="5:9" ht="13">
      <c r="E643" s="2"/>
      <c r="F643" s="2"/>
      <c r="G643" s="2"/>
      <c r="H643" s="2"/>
      <c r="I643" s="2"/>
    </row>
    <row r="644" spans="5:9" ht="13">
      <c r="E644" s="2"/>
      <c r="F644" s="2"/>
      <c r="G644" s="2"/>
      <c r="H644" s="2"/>
      <c r="I644" s="2"/>
    </row>
    <row r="645" spans="5:9" ht="13">
      <c r="E645" s="2"/>
      <c r="F645" s="2"/>
      <c r="G645" s="2"/>
      <c r="H645" s="2"/>
      <c r="I645" s="2"/>
    </row>
    <row r="646" spans="5:9" ht="13">
      <c r="E646" s="2"/>
      <c r="F646" s="2"/>
      <c r="G646" s="2"/>
      <c r="H646" s="2"/>
      <c r="I646" s="2"/>
    </row>
    <row r="647" spans="5:9" ht="13">
      <c r="E647" s="2"/>
      <c r="F647" s="2"/>
      <c r="G647" s="2"/>
      <c r="H647" s="2"/>
      <c r="I647" s="2"/>
    </row>
    <row r="648" spans="5:9" ht="13">
      <c r="E648" s="2"/>
      <c r="F648" s="2"/>
      <c r="G648" s="2"/>
      <c r="H648" s="2"/>
      <c r="I648" s="2"/>
    </row>
    <row r="649" spans="5:9" ht="13">
      <c r="E649" s="2"/>
      <c r="F649" s="2"/>
      <c r="G649" s="2"/>
      <c r="H649" s="2"/>
      <c r="I649" s="2"/>
    </row>
    <row r="650" spans="5:9" ht="13">
      <c r="E650" s="2"/>
      <c r="F650" s="2"/>
      <c r="G650" s="2"/>
      <c r="H650" s="2"/>
      <c r="I650" s="2"/>
    </row>
    <row r="651" spans="5:9" ht="13">
      <c r="E651" s="2"/>
      <c r="F651" s="2"/>
      <c r="G651" s="2"/>
      <c r="H651" s="2"/>
      <c r="I651" s="2"/>
    </row>
    <row r="652" spans="5:9" ht="13">
      <c r="E652" s="2"/>
      <c r="F652" s="2"/>
      <c r="G652" s="2"/>
      <c r="H652" s="2"/>
      <c r="I652" s="2"/>
    </row>
    <row r="653" spans="5:9" ht="13">
      <c r="E653" s="2"/>
      <c r="F653" s="2"/>
      <c r="G653" s="2"/>
      <c r="H653" s="2"/>
      <c r="I653" s="2"/>
    </row>
    <row r="654" spans="5:9" ht="13">
      <c r="E654" s="2"/>
      <c r="F654" s="2"/>
      <c r="G654" s="2"/>
      <c r="H654" s="2"/>
      <c r="I654" s="2"/>
    </row>
    <row r="655" spans="5:9" ht="13">
      <c r="E655" s="2"/>
      <c r="F655" s="2"/>
      <c r="G655" s="2"/>
      <c r="H655" s="2"/>
      <c r="I655" s="2"/>
    </row>
    <row r="656" spans="5:9" ht="13">
      <c r="E656" s="2"/>
      <c r="F656" s="2"/>
      <c r="G656" s="2"/>
      <c r="H656" s="2"/>
      <c r="I656" s="2"/>
    </row>
    <row r="657" spans="5:9" ht="13">
      <c r="E657" s="2"/>
      <c r="F657" s="2"/>
      <c r="G657" s="2"/>
      <c r="H657" s="2"/>
      <c r="I657" s="2"/>
    </row>
    <row r="658" spans="5:9" ht="13">
      <c r="E658" s="2"/>
      <c r="F658" s="2"/>
      <c r="G658" s="2"/>
      <c r="H658" s="2"/>
      <c r="I658" s="2"/>
    </row>
    <row r="659" spans="5:9" ht="13">
      <c r="E659" s="2"/>
      <c r="F659" s="2"/>
      <c r="G659" s="2"/>
      <c r="H659" s="2"/>
      <c r="I659" s="2"/>
    </row>
    <row r="660" spans="5:9" ht="13">
      <c r="E660" s="2"/>
      <c r="F660" s="2"/>
      <c r="G660" s="2"/>
      <c r="H660" s="2"/>
      <c r="I660" s="2"/>
    </row>
    <row r="661" spans="5:9" ht="13">
      <c r="E661" s="2"/>
      <c r="F661" s="2"/>
      <c r="G661" s="2"/>
      <c r="H661" s="2"/>
      <c r="I661" s="2"/>
    </row>
    <row r="662" spans="5:9" ht="13">
      <c r="E662" s="2"/>
      <c r="F662" s="2"/>
      <c r="G662" s="2"/>
      <c r="H662" s="2"/>
      <c r="I662" s="2"/>
    </row>
    <row r="663" spans="5:9" ht="13">
      <c r="E663" s="2"/>
      <c r="F663" s="2"/>
      <c r="G663" s="2"/>
      <c r="H663" s="2"/>
      <c r="I663" s="2"/>
    </row>
    <row r="664" spans="5:9" ht="13">
      <c r="E664" s="2"/>
      <c r="F664" s="2"/>
      <c r="G664" s="2"/>
      <c r="H664" s="2"/>
      <c r="I664" s="2"/>
    </row>
    <row r="665" spans="5:9" ht="13">
      <c r="E665" s="2"/>
      <c r="F665" s="2"/>
      <c r="G665" s="2"/>
      <c r="H665" s="2"/>
      <c r="I665" s="2"/>
    </row>
    <row r="666" spans="5:9" ht="13">
      <c r="E666" s="2"/>
      <c r="F666" s="2"/>
      <c r="G666" s="2"/>
      <c r="H666" s="2"/>
      <c r="I666" s="2"/>
    </row>
    <row r="667" spans="5:9" ht="13">
      <c r="E667" s="2"/>
      <c r="F667" s="2"/>
      <c r="G667" s="2"/>
      <c r="H667" s="2"/>
      <c r="I667" s="2"/>
    </row>
    <row r="668" spans="5:9" ht="13">
      <c r="E668" s="2"/>
      <c r="F668" s="2"/>
      <c r="G668" s="2"/>
      <c r="H668" s="2"/>
      <c r="I668" s="2"/>
    </row>
    <row r="669" spans="5:9" ht="13">
      <c r="E669" s="2"/>
      <c r="F669" s="2"/>
      <c r="G669" s="2"/>
      <c r="H669" s="2"/>
      <c r="I669" s="2"/>
    </row>
    <row r="670" spans="5:9" ht="13">
      <c r="E670" s="2"/>
      <c r="F670" s="2"/>
      <c r="G670" s="2"/>
      <c r="H670" s="2"/>
      <c r="I670" s="2"/>
    </row>
    <row r="671" spans="5:9" ht="13">
      <c r="E671" s="2"/>
      <c r="F671" s="2"/>
      <c r="G671" s="2"/>
      <c r="H671" s="2"/>
      <c r="I671" s="2"/>
    </row>
    <row r="672" spans="5:9" ht="13">
      <c r="E672" s="2"/>
      <c r="F672" s="2"/>
      <c r="G672" s="2"/>
      <c r="H672" s="2"/>
      <c r="I672" s="2"/>
    </row>
    <row r="673" spans="5:9" ht="13">
      <c r="E673" s="2"/>
      <c r="F673" s="2"/>
      <c r="G673" s="2"/>
      <c r="H673" s="2"/>
      <c r="I673" s="2"/>
    </row>
    <row r="674" spans="5:9" ht="13">
      <c r="E674" s="2"/>
      <c r="F674" s="2"/>
      <c r="G674" s="2"/>
      <c r="H674" s="2"/>
      <c r="I674" s="2"/>
    </row>
    <row r="675" spans="5:9" ht="13">
      <c r="E675" s="2"/>
      <c r="F675" s="2"/>
      <c r="G675" s="2"/>
      <c r="H675" s="2"/>
      <c r="I675" s="2"/>
    </row>
    <row r="676" spans="5:9" ht="13">
      <c r="E676" s="2"/>
      <c r="F676" s="2"/>
      <c r="G676" s="2"/>
      <c r="H676" s="2"/>
      <c r="I676" s="2"/>
    </row>
    <row r="677" spans="5:9" ht="13">
      <c r="E677" s="2"/>
      <c r="F677" s="2"/>
      <c r="G677" s="2"/>
      <c r="H677" s="2"/>
      <c r="I677" s="2"/>
    </row>
    <row r="678" spans="5:9" ht="13">
      <c r="E678" s="2"/>
      <c r="F678" s="2"/>
      <c r="G678" s="2"/>
      <c r="H678" s="2"/>
      <c r="I678" s="2"/>
    </row>
    <row r="679" spans="5:9" ht="13">
      <c r="E679" s="2"/>
      <c r="F679" s="2"/>
      <c r="G679" s="2"/>
      <c r="H679" s="2"/>
      <c r="I679" s="2"/>
    </row>
    <row r="680" spans="5:9" ht="13">
      <c r="E680" s="2"/>
      <c r="F680" s="2"/>
      <c r="G680" s="2"/>
      <c r="H680" s="2"/>
      <c r="I680" s="2"/>
    </row>
    <row r="681" spans="5:9" ht="13">
      <c r="E681" s="2"/>
      <c r="F681" s="2"/>
      <c r="G681" s="2"/>
      <c r="H681" s="2"/>
      <c r="I681" s="2"/>
    </row>
    <row r="682" spans="5:9" ht="13">
      <c r="E682" s="2"/>
      <c r="F682" s="2"/>
      <c r="G682" s="2"/>
      <c r="H682" s="2"/>
      <c r="I682" s="2"/>
    </row>
    <row r="683" spans="5:9" ht="13">
      <c r="E683" s="2"/>
      <c r="F683" s="2"/>
      <c r="G683" s="2"/>
      <c r="H683" s="2"/>
      <c r="I683" s="2"/>
    </row>
    <row r="684" spans="5:9" ht="13">
      <c r="E684" s="2"/>
      <c r="F684" s="2"/>
      <c r="G684" s="2"/>
      <c r="H684" s="2"/>
      <c r="I684" s="2"/>
    </row>
    <row r="685" spans="5:9" ht="13">
      <c r="E685" s="2"/>
      <c r="F685" s="2"/>
      <c r="G685" s="2"/>
      <c r="H685" s="2"/>
      <c r="I685" s="2"/>
    </row>
    <row r="686" spans="5:9" ht="13">
      <c r="E686" s="2"/>
      <c r="F686" s="2"/>
      <c r="G686" s="2"/>
      <c r="H686" s="2"/>
      <c r="I686" s="2"/>
    </row>
    <row r="687" spans="5:9" ht="13">
      <c r="E687" s="2"/>
      <c r="F687" s="2"/>
      <c r="G687" s="2"/>
      <c r="H687" s="2"/>
      <c r="I687" s="2"/>
    </row>
    <row r="688" spans="5:9" ht="13">
      <c r="E688" s="2"/>
      <c r="F688" s="2"/>
      <c r="G688" s="2"/>
      <c r="H688" s="2"/>
      <c r="I688" s="2"/>
    </row>
    <row r="689" spans="5:9" ht="13">
      <c r="E689" s="2"/>
      <c r="F689" s="2"/>
      <c r="G689" s="2"/>
      <c r="H689" s="2"/>
      <c r="I689" s="2"/>
    </row>
    <row r="690" spans="5:9" ht="13">
      <c r="E690" s="2"/>
      <c r="F690" s="2"/>
      <c r="G690" s="2"/>
      <c r="H690" s="2"/>
      <c r="I690" s="2"/>
    </row>
    <row r="691" spans="5:9" ht="13">
      <c r="E691" s="2"/>
      <c r="F691" s="2"/>
      <c r="G691" s="2"/>
      <c r="H691" s="2"/>
      <c r="I691" s="2"/>
    </row>
    <row r="692" spans="5:9" ht="13">
      <c r="E692" s="2"/>
      <c r="F692" s="2"/>
      <c r="G692" s="2"/>
      <c r="H692" s="2"/>
      <c r="I692" s="2"/>
    </row>
    <row r="693" spans="5:9" ht="13">
      <c r="E693" s="2"/>
      <c r="F693" s="2"/>
      <c r="G693" s="2"/>
      <c r="H693" s="2"/>
      <c r="I693" s="2"/>
    </row>
    <row r="694" spans="5:9" ht="13">
      <c r="E694" s="2"/>
      <c r="F694" s="2"/>
      <c r="G694" s="2"/>
      <c r="H694" s="2"/>
      <c r="I694" s="2"/>
    </row>
    <row r="695" spans="5:9" ht="13">
      <c r="E695" s="2"/>
      <c r="F695" s="2"/>
      <c r="G695" s="2"/>
      <c r="H695" s="2"/>
      <c r="I695" s="2"/>
    </row>
    <row r="696" spans="5:9" ht="13">
      <c r="E696" s="2"/>
      <c r="F696" s="2"/>
      <c r="G696" s="2"/>
      <c r="H696" s="2"/>
      <c r="I696" s="2"/>
    </row>
    <row r="697" spans="5:9" ht="13">
      <c r="E697" s="2"/>
      <c r="F697" s="2"/>
      <c r="G697" s="2"/>
      <c r="H697" s="2"/>
      <c r="I697" s="2"/>
    </row>
    <row r="698" spans="5:9" ht="13">
      <c r="E698" s="2"/>
      <c r="F698" s="2"/>
      <c r="G698" s="2"/>
      <c r="H698" s="2"/>
      <c r="I698" s="2"/>
    </row>
    <row r="699" spans="5:9" ht="13">
      <c r="E699" s="2"/>
      <c r="F699" s="2"/>
      <c r="G699" s="2"/>
      <c r="H699" s="2"/>
      <c r="I699" s="2"/>
    </row>
    <row r="700" spans="5:9" ht="13">
      <c r="E700" s="2"/>
      <c r="F700" s="2"/>
      <c r="G700" s="2"/>
      <c r="H700" s="2"/>
      <c r="I700" s="2"/>
    </row>
    <row r="701" spans="5:9" ht="13">
      <c r="E701" s="2"/>
      <c r="F701" s="2"/>
      <c r="G701" s="2"/>
      <c r="H701" s="2"/>
      <c r="I701" s="2"/>
    </row>
    <row r="702" spans="5:9" ht="13">
      <c r="E702" s="2"/>
      <c r="F702" s="2"/>
      <c r="G702" s="2"/>
      <c r="H702" s="2"/>
      <c r="I702" s="2"/>
    </row>
    <row r="703" spans="5:9" ht="13">
      <c r="E703" s="2"/>
      <c r="F703" s="2"/>
      <c r="G703" s="2"/>
      <c r="H703" s="2"/>
      <c r="I703" s="2"/>
    </row>
    <row r="704" spans="5:9" ht="13">
      <c r="E704" s="2"/>
      <c r="F704" s="2"/>
      <c r="G704" s="2"/>
      <c r="H704" s="2"/>
      <c r="I704" s="2"/>
    </row>
    <row r="705" spans="5:9" ht="13">
      <c r="E705" s="2"/>
      <c r="F705" s="2"/>
      <c r="G705" s="2"/>
      <c r="H705" s="2"/>
      <c r="I705" s="2"/>
    </row>
    <row r="706" spans="5:9" ht="13">
      <c r="E706" s="2"/>
      <c r="F706" s="2"/>
      <c r="G706" s="2"/>
      <c r="H706" s="2"/>
      <c r="I706" s="2"/>
    </row>
    <row r="707" spans="5:9" ht="13">
      <c r="E707" s="2"/>
      <c r="F707" s="2"/>
      <c r="G707" s="2"/>
      <c r="H707" s="2"/>
      <c r="I707" s="2"/>
    </row>
    <row r="708" spans="5:9" ht="13">
      <c r="E708" s="2"/>
      <c r="F708" s="2"/>
      <c r="G708" s="2"/>
      <c r="H708" s="2"/>
      <c r="I708" s="2"/>
    </row>
    <row r="709" spans="5:9" ht="13">
      <c r="E709" s="2"/>
      <c r="F709" s="2"/>
      <c r="G709" s="2"/>
      <c r="H709" s="2"/>
      <c r="I709" s="2"/>
    </row>
    <row r="710" spans="5:9" ht="13">
      <c r="E710" s="2"/>
      <c r="F710" s="2"/>
      <c r="G710" s="2"/>
      <c r="H710" s="2"/>
      <c r="I710" s="2"/>
    </row>
    <row r="711" spans="5:9" ht="13">
      <c r="E711" s="2"/>
      <c r="F711" s="2"/>
      <c r="G711" s="2"/>
      <c r="H711" s="2"/>
      <c r="I711" s="2"/>
    </row>
    <row r="712" spans="5:9" ht="13">
      <c r="E712" s="2"/>
      <c r="F712" s="2"/>
      <c r="G712" s="2"/>
      <c r="H712" s="2"/>
      <c r="I712" s="2"/>
    </row>
    <row r="713" spans="5:9" ht="13">
      <c r="E713" s="2"/>
      <c r="F713" s="2"/>
      <c r="G713" s="2"/>
      <c r="H713" s="2"/>
      <c r="I713" s="2"/>
    </row>
    <row r="714" spans="5:9" ht="13">
      <c r="E714" s="2"/>
      <c r="F714" s="2"/>
      <c r="G714" s="2"/>
      <c r="H714" s="2"/>
      <c r="I714" s="2"/>
    </row>
    <row r="715" spans="5:9" ht="13">
      <c r="E715" s="2"/>
      <c r="F715" s="2"/>
      <c r="G715" s="2"/>
      <c r="H715" s="2"/>
      <c r="I715" s="2"/>
    </row>
    <row r="716" spans="5:9" ht="13">
      <c r="E716" s="2"/>
      <c r="F716" s="2"/>
      <c r="G716" s="2"/>
      <c r="H716" s="2"/>
      <c r="I716" s="2"/>
    </row>
    <row r="717" spans="5:9" ht="13">
      <c r="E717" s="2"/>
      <c r="F717" s="2"/>
      <c r="G717" s="2"/>
      <c r="H717" s="2"/>
      <c r="I717" s="2"/>
    </row>
    <row r="718" spans="5:9" ht="13">
      <c r="E718" s="2"/>
      <c r="F718" s="2"/>
      <c r="G718" s="2"/>
      <c r="H718" s="2"/>
      <c r="I718" s="2"/>
    </row>
    <row r="719" spans="5:9" ht="13">
      <c r="E719" s="2"/>
      <c r="F719" s="2"/>
      <c r="G719" s="2"/>
      <c r="H719" s="2"/>
      <c r="I719" s="2"/>
    </row>
    <row r="720" spans="5:9" ht="13">
      <c r="E720" s="2"/>
      <c r="F720" s="2"/>
      <c r="G720" s="2"/>
      <c r="H720" s="2"/>
      <c r="I720" s="2"/>
    </row>
    <row r="721" spans="5:9" ht="13">
      <c r="E721" s="2"/>
      <c r="F721" s="2"/>
      <c r="G721" s="2"/>
      <c r="H721" s="2"/>
      <c r="I721" s="2"/>
    </row>
    <row r="722" spans="5:9" ht="13">
      <c r="E722" s="2"/>
      <c r="F722" s="2"/>
      <c r="G722" s="2"/>
      <c r="H722" s="2"/>
      <c r="I722" s="2"/>
    </row>
    <row r="723" spans="5:9" ht="13">
      <c r="E723" s="2"/>
      <c r="F723" s="2"/>
      <c r="G723" s="2"/>
      <c r="H723" s="2"/>
      <c r="I723" s="2"/>
    </row>
    <row r="724" spans="5:9" ht="13">
      <c r="E724" s="2"/>
      <c r="F724" s="2"/>
      <c r="G724" s="2"/>
      <c r="H724" s="2"/>
      <c r="I724" s="2"/>
    </row>
    <row r="725" spans="5:9" ht="13">
      <c r="E725" s="2"/>
      <c r="F725" s="2"/>
      <c r="G725" s="2"/>
      <c r="H725" s="2"/>
      <c r="I725" s="2"/>
    </row>
    <row r="726" spans="5:9" ht="13">
      <c r="E726" s="2"/>
      <c r="F726" s="2"/>
      <c r="G726" s="2"/>
      <c r="H726" s="2"/>
      <c r="I726" s="2"/>
    </row>
    <row r="727" spans="5:9" ht="13">
      <c r="E727" s="2"/>
      <c r="F727" s="2"/>
      <c r="G727" s="2"/>
      <c r="H727" s="2"/>
      <c r="I727" s="2"/>
    </row>
    <row r="728" spans="5:9" ht="13">
      <c r="E728" s="2"/>
      <c r="F728" s="2"/>
      <c r="G728" s="2"/>
      <c r="H728" s="2"/>
      <c r="I728" s="2"/>
    </row>
    <row r="729" spans="5:9" ht="13">
      <c r="E729" s="2"/>
      <c r="F729" s="2"/>
      <c r="G729" s="2"/>
      <c r="H729" s="2"/>
      <c r="I729" s="2"/>
    </row>
    <row r="730" spans="5:9" ht="13">
      <c r="E730" s="2"/>
      <c r="F730" s="2"/>
      <c r="G730" s="2"/>
      <c r="H730" s="2"/>
      <c r="I730" s="2"/>
    </row>
    <row r="731" spans="5:9" ht="13">
      <c r="E731" s="2"/>
      <c r="F731" s="2"/>
      <c r="G731" s="2"/>
      <c r="H731" s="2"/>
      <c r="I731" s="2"/>
    </row>
    <row r="732" spans="5:9" ht="13">
      <c r="E732" s="2"/>
      <c r="F732" s="2"/>
      <c r="G732" s="2"/>
      <c r="H732" s="2"/>
      <c r="I732" s="2"/>
    </row>
    <row r="733" spans="5:9" ht="13">
      <c r="E733" s="2"/>
      <c r="F733" s="2"/>
      <c r="G733" s="2"/>
      <c r="H733" s="2"/>
      <c r="I733" s="2"/>
    </row>
    <row r="734" spans="5:9" ht="13">
      <c r="E734" s="2"/>
      <c r="F734" s="2"/>
      <c r="G734" s="2"/>
      <c r="H734" s="2"/>
      <c r="I734" s="2"/>
    </row>
    <row r="735" spans="5:9" ht="13">
      <c r="E735" s="2"/>
      <c r="F735" s="2"/>
      <c r="G735" s="2"/>
      <c r="H735" s="2"/>
      <c r="I735" s="2"/>
    </row>
    <row r="736" spans="5:9" ht="13">
      <c r="E736" s="2"/>
      <c r="F736" s="2"/>
      <c r="G736" s="2"/>
      <c r="H736" s="2"/>
      <c r="I736" s="2"/>
    </row>
    <row r="737" spans="5:9" ht="13">
      <c r="E737" s="2"/>
      <c r="F737" s="2"/>
      <c r="G737" s="2"/>
      <c r="H737" s="2"/>
      <c r="I737" s="2"/>
    </row>
    <row r="738" spans="5:9" ht="13">
      <c r="E738" s="2"/>
      <c r="F738" s="2"/>
      <c r="G738" s="2"/>
      <c r="H738" s="2"/>
      <c r="I738" s="2"/>
    </row>
    <row r="739" spans="5:9" ht="13">
      <c r="E739" s="2"/>
      <c r="F739" s="2"/>
      <c r="G739" s="2"/>
      <c r="H739" s="2"/>
      <c r="I739" s="2"/>
    </row>
    <row r="740" spans="5:9" ht="13">
      <c r="E740" s="2"/>
      <c r="F740" s="2"/>
      <c r="G740" s="2"/>
      <c r="H740" s="2"/>
      <c r="I740" s="2"/>
    </row>
    <row r="741" spans="5:9" ht="13">
      <c r="E741" s="2"/>
      <c r="F741" s="2"/>
      <c r="G741" s="2"/>
      <c r="H741" s="2"/>
      <c r="I741" s="2"/>
    </row>
    <row r="742" spans="5:9" ht="13">
      <c r="E742" s="2"/>
      <c r="F742" s="2"/>
      <c r="G742" s="2"/>
      <c r="H742" s="2"/>
      <c r="I742" s="2"/>
    </row>
    <row r="743" spans="5:9" ht="13">
      <c r="E743" s="2"/>
      <c r="F743" s="2"/>
      <c r="G743" s="2"/>
      <c r="H743" s="2"/>
      <c r="I743" s="2"/>
    </row>
    <row r="744" spans="5:9" ht="13">
      <c r="E744" s="2"/>
      <c r="F744" s="2"/>
      <c r="G744" s="2"/>
      <c r="H744" s="2"/>
      <c r="I744" s="2"/>
    </row>
    <row r="745" spans="5:9" ht="13">
      <c r="E745" s="2"/>
      <c r="F745" s="2"/>
      <c r="G745" s="2"/>
      <c r="H745" s="2"/>
      <c r="I745" s="2"/>
    </row>
    <row r="746" spans="5:9" ht="13">
      <c r="E746" s="2"/>
      <c r="F746" s="2"/>
      <c r="G746" s="2"/>
      <c r="H746" s="2"/>
      <c r="I746" s="2"/>
    </row>
    <row r="747" spans="5:9" ht="13">
      <c r="E747" s="2"/>
      <c r="F747" s="2"/>
      <c r="G747" s="2"/>
      <c r="H747" s="2"/>
      <c r="I747" s="2"/>
    </row>
    <row r="748" spans="5:9" ht="13">
      <c r="E748" s="2"/>
      <c r="F748" s="2"/>
      <c r="G748" s="2"/>
      <c r="H748" s="2"/>
      <c r="I748" s="2"/>
    </row>
    <row r="749" spans="5:9" ht="13">
      <c r="E749" s="2"/>
      <c r="F749" s="2"/>
      <c r="G749" s="2"/>
      <c r="H749" s="2"/>
      <c r="I749" s="2"/>
    </row>
    <row r="750" spans="5:9" ht="13">
      <c r="E750" s="2"/>
      <c r="F750" s="2"/>
      <c r="G750" s="2"/>
      <c r="H750" s="2"/>
      <c r="I750" s="2"/>
    </row>
    <row r="751" spans="5:9" ht="13">
      <c r="E751" s="2"/>
      <c r="F751" s="2"/>
      <c r="G751" s="2"/>
      <c r="H751" s="2"/>
      <c r="I751" s="2"/>
    </row>
    <row r="752" spans="5:9" ht="13">
      <c r="E752" s="2"/>
      <c r="F752" s="2"/>
      <c r="G752" s="2"/>
      <c r="H752" s="2"/>
      <c r="I752" s="2"/>
    </row>
    <row r="753" spans="5:9" ht="13">
      <c r="E753" s="2"/>
      <c r="F753" s="2"/>
      <c r="G753" s="2"/>
      <c r="H753" s="2"/>
      <c r="I753" s="2"/>
    </row>
    <row r="754" spans="5:9" ht="13">
      <c r="E754" s="2"/>
      <c r="F754" s="2"/>
      <c r="G754" s="2"/>
      <c r="H754" s="2"/>
      <c r="I754" s="2"/>
    </row>
    <row r="755" spans="5:9" ht="13">
      <c r="E755" s="2"/>
      <c r="F755" s="2"/>
      <c r="G755" s="2"/>
      <c r="H755" s="2"/>
      <c r="I755" s="2"/>
    </row>
    <row r="756" spans="5:9" ht="13">
      <c r="E756" s="2"/>
      <c r="F756" s="2"/>
      <c r="G756" s="2"/>
      <c r="H756" s="2"/>
      <c r="I756" s="2"/>
    </row>
    <row r="757" spans="5:9" ht="13">
      <c r="E757" s="2"/>
      <c r="F757" s="2"/>
      <c r="G757" s="2"/>
      <c r="H757" s="2"/>
      <c r="I757" s="2"/>
    </row>
    <row r="758" spans="5:9" ht="13">
      <c r="E758" s="2"/>
      <c r="F758" s="2"/>
      <c r="G758" s="2"/>
      <c r="H758" s="2"/>
      <c r="I758" s="2"/>
    </row>
    <row r="759" spans="5:9" ht="13">
      <c r="E759" s="2"/>
      <c r="F759" s="2"/>
      <c r="G759" s="2"/>
      <c r="H759" s="2"/>
      <c r="I759" s="2"/>
    </row>
    <row r="760" spans="5:9" ht="13">
      <c r="E760" s="2"/>
      <c r="F760" s="2"/>
      <c r="G760" s="2"/>
      <c r="H760" s="2"/>
      <c r="I760" s="2"/>
    </row>
    <row r="761" spans="5:9" ht="13">
      <c r="E761" s="2"/>
      <c r="F761" s="2"/>
      <c r="G761" s="2"/>
      <c r="H761" s="2"/>
      <c r="I761" s="2"/>
    </row>
    <row r="762" spans="5:9" ht="13">
      <c r="E762" s="2"/>
      <c r="F762" s="2"/>
      <c r="G762" s="2"/>
      <c r="H762" s="2"/>
      <c r="I762" s="2"/>
    </row>
    <row r="763" spans="5:9" ht="13">
      <c r="E763" s="2"/>
      <c r="F763" s="2"/>
      <c r="G763" s="2"/>
      <c r="H763" s="2"/>
      <c r="I763" s="2"/>
    </row>
    <row r="764" spans="5:9" ht="13">
      <c r="E764" s="2"/>
      <c r="F764" s="2"/>
      <c r="G764" s="2"/>
      <c r="H764" s="2"/>
      <c r="I764" s="2"/>
    </row>
    <row r="765" spans="5:9" ht="13">
      <c r="E765" s="2"/>
      <c r="F765" s="2"/>
      <c r="G765" s="2"/>
      <c r="H765" s="2"/>
      <c r="I765" s="2"/>
    </row>
    <row r="766" spans="5:9" ht="13">
      <c r="E766" s="2"/>
      <c r="F766" s="2"/>
      <c r="G766" s="2"/>
      <c r="H766" s="2"/>
      <c r="I766" s="2"/>
    </row>
    <row r="767" spans="5:9" ht="13">
      <c r="E767" s="2"/>
      <c r="F767" s="2"/>
      <c r="G767" s="2"/>
      <c r="H767" s="2"/>
      <c r="I767" s="2"/>
    </row>
    <row r="768" spans="5:9" ht="13">
      <c r="E768" s="2"/>
      <c r="F768" s="2"/>
      <c r="G768" s="2"/>
      <c r="H768" s="2"/>
      <c r="I768" s="2"/>
    </row>
    <row r="769" spans="5:9" ht="13">
      <c r="E769" s="2"/>
      <c r="F769" s="2"/>
      <c r="G769" s="2"/>
      <c r="H769" s="2"/>
      <c r="I769" s="2"/>
    </row>
    <row r="770" spans="5:9" ht="13">
      <c r="E770" s="2"/>
      <c r="F770" s="2"/>
      <c r="G770" s="2"/>
      <c r="H770" s="2"/>
      <c r="I770" s="2"/>
    </row>
    <row r="771" spans="5:9" ht="13">
      <c r="E771" s="2"/>
      <c r="F771" s="2"/>
      <c r="G771" s="2"/>
      <c r="H771" s="2"/>
      <c r="I771" s="2"/>
    </row>
    <row r="772" spans="5:9" ht="13">
      <c r="E772" s="2"/>
      <c r="F772" s="2"/>
      <c r="G772" s="2"/>
      <c r="H772" s="2"/>
      <c r="I772" s="2"/>
    </row>
    <row r="773" spans="5:9" ht="13">
      <c r="E773" s="2"/>
      <c r="F773" s="2"/>
      <c r="G773" s="2"/>
      <c r="H773" s="2"/>
      <c r="I773" s="2"/>
    </row>
    <row r="774" spans="5:9" ht="13">
      <c r="E774" s="2"/>
      <c r="F774" s="2"/>
      <c r="G774" s="2"/>
      <c r="H774" s="2"/>
      <c r="I774" s="2"/>
    </row>
    <row r="775" spans="5:9" ht="13">
      <c r="E775" s="2"/>
      <c r="F775" s="2"/>
      <c r="G775" s="2"/>
      <c r="H775" s="2"/>
      <c r="I775" s="2"/>
    </row>
    <row r="776" spans="5:9" ht="13">
      <c r="E776" s="2"/>
      <c r="F776" s="2"/>
      <c r="G776" s="2"/>
      <c r="H776" s="2"/>
      <c r="I776" s="2"/>
    </row>
    <row r="777" spans="5:9" ht="13">
      <c r="E777" s="2"/>
      <c r="F777" s="2"/>
      <c r="G777" s="2"/>
      <c r="H777" s="2"/>
      <c r="I777" s="2"/>
    </row>
    <row r="778" spans="5:9" ht="13">
      <c r="E778" s="2"/>
      <c r="F778" s="2"/>
      <c r="G778" s="2"/>
      <c r="H778" s="2"/>
      <c r="I778" s="2"/>
    </row>
    <row r="779" spans="5:9" ht="13">
      <c r="E779" s="2"/>
      <c r="F779" s="2"/>
      <c r="G779" s="2"/>
      <c r="H779" s="2"/>
      <c r="I779" s="2"/>
    </row>
    <row r="780" spans="5:9" ht="13">
      <c r="E780" s="2"/>
      <c r="F780" s="2"/>
      <c r="G780" s="2"/>
      <c r="H780" s="2"/>
      <c r="I780" s="2"/>
    </row>
    <row r="781" spans="5:9" ht="13">
      <c r="E781" s="2"/>
      <c r="F781" s="2"/>
      <c r="G781" s="2"/>
      <c r="H781" s="2"/>
      <c r="I781" s="2"/>
    </row>
    <row r="782" spans="5:9" ht="13">
      <c r="E782" s="2"/>
      <c r="F782" s="2"/>
      <c r="G782" s="2"/>
      <c r="H782" s="2"/>
      <c r="I782" s="2"/>
    </row>
    <row r="783" spans="5:9" ht="13">
      <c r="E783" s="2"/>
      <c r="F783" s="2"/>
      <c r="G783" s="2"/>
      <c r="H783" s="2"/>
      <c r="I783" s="2"/>
    </row>
    <row r="784" spans="5:9" ht="13">
      <c r="E784" s="2"/>
      <c r="F784" s="2"/>
      <c r="G784" s="2"/>
      <c r="H784" s="2"/>
      <c r="I784" s="2"/>
    </row>
    <row r="785" spans="5:9" ht="13">
      <c r="E785" s="2"/>
      <c r="F785" s="2"/>
      <c r="G785" s="2"/>
      <c r="H785" s="2"/>
      <c r="I785" s="2"/>
    </row>
    <row r="786" spans="5:9" ht="13">
      <c r="E786" s="2"/>
      <c r="F786" s="2"/>
      <c r="G786" s="2"/>
      <c r="H786" s="2"/>
      <c r="I786" s="2"/>
    </row>
    <row r="787" spans="5:9" ht="13">
      <c r="E787" s="2"/>
      <c r="F787" s="2"/>
      <c r="G787" s="2"/>
      <c r="H787" s="2"/>
      <c r="I787" s="2"/>
    </row>
    <row r="788" spans="5:9" ht="13">
      <c r="E788" s="2"/>
      <c r="F788" s="2"/>
      <c r="G788" s="2"/>
      <c r="H788" s="2"/>
      <c r="I788" s="2"/>
    </row>
    <row r="789" spans="5:9" ht="13">
      <c r="E789" s="2"/>
      <c r="F789" s="2"/>
      <c r="G789" s="2"/>
      <c r="H789" s="2"/>
      <c r="I789" s="2"/>
    </row>
    <row r="790" spans="5:9" ht="13">
      <c r="E790" s="2"/>
      <c r="F790" s="2"/>
      <c r="G790" s="2"/>
      <c r="H790" s="2"/>
      <c r="I790" s="2"/>
    </row>
    <row r="791" spans="5:9" ht="13">
      <c r="E791" s="2"/>
      <c r="F791" s="2"/>
      <c r="G791" s="2"/>
      <c r="H791" s="2"/>
      <c r="I791" s="2"/>
    </row>
    <row r="792" spans="5:9" ht="13">
      <c r="E792" s="2"/>
      <c r="F792" s="2"/>
      <c r="G792" s="2"/>
      <c r="H792" s="2"/>
      <c r="I792" s="2"/>
    </row>
    <row r="793" spans="5:9" ht="13">
      <c r="E793" s="2"/>
      <c r="F793" s="2"/>
      <c r="G793" s="2"/>
      <c r="H793" s="2"/>
      <c r="I793" s="2"/>
    </row>
    <row r="794" spans="5:9" ht="13">
      <c r="E794" s="2"/>
      <c r="F794" s="2"/>
      <c r="G794" s="2"/>
      <c r="H794" s="2"/>
      <c r="I794" s="2"/>
    </row>
    <row r="795" spans="5:9" ht="13">
      <c r="E795" s="2"/>
      <c r="F795" s="2"/>
      <c r="G795" s="2"/>
      <c r="H795" s="2"/>
      <c r="I795" s="2"/>
    </row>
    <row r="796" spans="5:9" ht="13">
      <c r="E796" s="2"/>
      <c r="F796" s="2"/>
      <c r="G796" s="2"/>
      <c r="H796" s="2"/>
      <c r="I796" s="2"/>
    </row>
    <row r="797" spans="5:9" ht="13">
      <c r="E797" s="2"/>
      <c r="F797" s="2"/>
      <c r="G797" s="2"/>
      <c r="H797" s="2"/>
      <c r="I797" s="2"/>
    </row>
    <row r="798" spans="5:9" ht="13">
      <c r="E798" s="2"/>
      <c r="F798" s="2"/>
      <c r="G798" s="2"/>
      <c r="H798" s="2"/>
      <c r="I798" s="2"/>
    </row>
    <row r="799" spans="5:9" ht="13">
      <c r="E799" s="2"/>
      <c r="F799" s="2"/>
      <c r="G799" s="2"/>
      <c r="H799" s="2"/>
      <c r="I799" s="2"/>
    </row>
    <row r="800" spans="5:9" ht="13">
      <c r="E800" s="2"/>
      <c r="F800" s="2"/>
      <c r="G800" s="2"/>
      <c r="H800" s="2"/>
      <c r="I800" s="2"/>
    </row>
    <row r="801" spans="5:9" ht="13">
      <c r="E801" s="2"/>
      <c r="F801" s="2"/>
      <c r="G801" s="2"/>
      <c r="H801" s="2"/>
      <c r="I801" s="2"/>
    </row>
    <row r="802" spans="5:9" ht="13">
      <c r="E802" s="2"/>
      <c r="F802" s="2"/>
      <c r="G802" s="2"/>
      <c r="H802" s="2"/>
      <c r="I802" s="2"/>
    </row>
    <row r="803" spans="5:9" ht="13">
      <c r="E803" s="2"/>
      <c r="F803" s="2"/>
      <c r="G803" s="2"/>
      <c r="H803" s="2"/>
      <c r="I803" s="2"/>
    </row>
    <row r="804" spans="5:9" ht="13">
      <c r="E804" s="2"/>
      <c r="F804" s="2"/>
      <c r="G804" s="2"/>
      <c r="H804" s="2"/>
      <c r="I804" s="2"/>
    </row>
    <row r="805" spans="5:9" ht="13">
      <c r="E805" s="2"/>
      <c r="F805" s="2"/>
      <c r="G805" s="2"/>
      <c r="H805" s="2"/>
      <c r="I805" s="2"/>
    </row>
    <row r="806" spans="5:9" ht="13">
      <c r="E806" s="2"/>
      <c r="F806" s="2"/>
      <c r="G806" s="2"/>
      <c r="H806" s="2"/>
      <c r="I806" s="2"/>
    </row>
    <row r="807" spans="5:9" ht="13">
      <c r="E807" s="2"/>
      <c r="F807" s="2"/>
      <c r="G807" s="2"/>
      <c r="H807" s="2"/>
      <c r="I807" s="2"/>
    </row>
    <row r="808" spans="5:9" ht="13">
      <c r="E808" s="2"/>
      <c r="F808" s="2"/>
      <c r="G808" s="2"/>
      <c r="H808" s="2"/>
      <c r="I808" s="2"/>
    </row>
    <row r="809" spans="5:9" ht="13">
      <c r="E809" s="2"/>
      <c r="F809" s="2"/>
      <c r="G809" s="2"/>
      <c r="H809" s="2"/>
      <c r="I809" s="2"/>
    </row>
    <row r="810" spans="5:9" ht="13">
      <c r="E810" s="2"/>
      <c r="F810" s="2"/>
      <c r="G810" s="2"/>
      <c r="H810" s="2"/>
      <c r="I810" s="2"/>
    </row>
    <row r="811" spans="5:9" ht="13">
      <c r="E811" s="2"/>
      <c r="F811" s="2"/>
      <c r="G811" s="2"/>
      <c r="H811" s="2"/>
      <c r="I811" s="2"/>
    </row>
    <row r="812" spans="5:9" ht="13">
      <c r="E812" s="2"/>
      <c r="F812" s="2"/>
      <c r="G812" s="2"/>
      <c r="H812" s="2"/>
      <c r="I812" s="2"/>
    </row>
    <row r="813" spans="5:9" ht="13">
      <c r="E813" s="2"/>
      <c r="F813" s="2"/>
      <c r="G813" s="2"/>
      <c r="H813" s="2"/>
      <c r="I813" s="2"/>
    </row>
    <row r="814" spans="5:9" ht="13">
      <c r="E814" s="2"/>
      <c r="F814" s="2"/>
      <c r="G814" s="2"/>
      <c r="H814" s="2"/>
      <c r="I814" s="2"/>
    </row>
    <row r="815" spans="5:9" ht="13">
      <c r="E815" s="2"/>
      <c r="F815" s="2"/>
      <c r="G815" s="2"/>
      <c r="H815" s="2"/>
      <c r="I815" s="2"/>
    </row>
    <row r="816" spans="5:9" ht="13">
      <c r="E816" s="2"/>
      <c r="F816" s="2"/>
      <c r="G816" s="2"/>
      <c r="H816" s="2"/>
      <c r="I816" s="2"/>
    </row>
    <row r="817" spans="5:9" ht="13">
      <c r="E817" s="2"/>
      <c r="F817" s="2"/>
      <c r="G817" s="2"/>
      <c r="H817" s="2"/>
      <c r="I817" s="2"/>
    </row>
    <row r="818" spans="5:9" ht="13">
      <c r="E818" s="2"/>
      <c r="F818" s="2"/>
      <c r="G818" s="2"/>
      <c r="H818" s="2"/>
      <c r="I818" s="2"/>
    </row>
    <row r="819" spans="5:9" ht="13">
      <c r="E819" s="2"/>
      <c r="F819" s="2"/>
      <c r="G819" s="2"/>
      <c r="H819" s="2"/>
      <c r="I819" s="2"/>
    </row>
    <row r="820" spans="5:9" ht="13">
      <c r="E820" s="2"/>
      <c r="F820" s="2"/>
      <c r="G820" s="2"/>
      <c r="H820" s="2"/>
      <c r="I820" s="2"/>
    </row>
    <row r="821" spans="5:9" ht="13">
      <c r="E821" s="2"/>
      <c r="F821" s="2"/>
      <c r="G821" s="2"/>
      <c r="H821" s="2"/>
      <c r="I821" s="2"/>
    </row>
    <row r="822" spans="5:9" ht="13">
      <c r="E822" s="2"/>
      <c r="F822" s="2"/>
      <c r="G822" s="2"/>
      <c r="H822" s="2"/>
      <c r="I822" s="2"/>
    </row>
    <row r="823" spans="5:9" ht="13">
      <c r="E823" s="2"/>
      <c r="F823" s="2"/>
      <c r="G823" s="2"/>
      <c r="H823" s="2"/>
      <c r="I823" s="2"/>
    </row>
    <row r="824" spans="5:9" ht="13">
      <c r="E824" s="2"/>
      <c r="F824" s="2"/>
      <c r="G824" s="2"/>
      <c r="H824" s="2"/>
      <c r="I824" s="2"/>
    </row>
    <row r="825" spans="5:9" ht="13">
      <c r="E825" s="2"/>
      <c r="F825" s="2"/>
      <c r="G825" s="2"/>
      <c r="H825" s="2"/>
      <c r="I825" s="2"/>
    </row>
    <row r="826" spans="5:9" ht="13">
      <c r="E826" s="2"/>
      <c r="F826" s="2"/>
      <c r="G826" s="2"/>
      <c r="H826" s="2"/>
      <c r="I826" s="2"/>
    </row>
    <row r="827" spans="5:9" ht="13">
      <c r="E827" s="2"/>
      <c r="F827" s="2"/>
      <c r="G827" s="2"/>
      <c r="H827" s="2"/>
      <c r="I827" s="2"/>
    </row>
    <row r="828" spans="5:9" ht="13">
      <c r="E828" s="2"/>
      <c r="F828" s="2"/>
      <c r="G828" s="2"/>
      <c r="H828" s="2"/>
      <c r="I828" s="2"/>
    </row>
    <row r="829" spans="5:9" ht="13">
      <c r="E829" s="2"/>
      <c r="F829" s="2"/>
      <c r="G829" s="2"/>
      <c r="H829" s="2"/>
      <c r="I829" s="2"/>
    </row>
    <row r="830" spans="5:9" ht="13">
      <c r="E830" s="2"/>
      <c r="F830" s="2"/>
      <c r="G830" s="2"/>
      <c r="H830" s="2"/>
      <c r="I830" s="2"/>
    </row>
    <row r="831" spans="5:9" ht="13">
      <c r="E831" s="2"/>
      <c r="F831" s="2"/>
      <c r="G831" s="2"/>
      <c r="H831" s="2"/>
      <c r="I831" s="2"/>
    </row>
    <row r="832" spans="5:9" ht="13">
      <c r="E832" s="2"/>
      <c r="F832" s="2"/>
      <c r="G832" s="2"/>
      <c r="H832" s="2"/>
      <c r="I832" s="2"/>
    </row>
    <row r="833" spans="5:9" ht="13">
      <c r="E833" s="2"/>
      <c r="F833" s="2"/>
      <c r="G833" s="2"/>
      <c r="H833" s="2"/>
      <c r="I833" s="2"/>
    </row>
    <row r="834" spans="5:9" ht="13">
      <c r="E834" s="2"/>
      <c r="F834" s="2"/>
      <c r="G834" s="2"/>
      <c r="H834" s="2"/>
      <c r="I834" s="2"/>
    </row>
    <row r="835" spans="5:9" ht="13">
      <c r="E835" s="2"/>
      <c r="F835" s="2"/>
      <c r="G835" s="2"/>
      <c r="H835" s="2"/>
      <c r="I835" s="2"/>
    </row>
    <row r="836" spans="5:9" ht="13">
      <c r="E836" s="2"/>
      <c r="F836" s="2"/>
      <c r="G836" s="2"/>
      <c r="H836" s="2"/>
      <c r="I836" s="2"/>
    </row>
    <row r="837" spans="5:9" ht="13">
      <c r="E837" s="2"/>
      <c r="F837" s="2"/>
      <c r="G837" s="2"/>
      <c r="H837" s="2"/>
      <c r="I837" s="2"/>
    </row>
    <row r="838" spans="5:9" ht="13">
      <c r="E838" s="2"/>
      <c r="F838" s="2"/>
      <c r="G838" s="2"/>
      <c r="H838" s="2"/>
      <c r="I838" s="2"/>
    </row>
    <row r="839" spans="5:9" ht="13">
      <c r="E839" s="2"/>
      <c r="F839" s="2"/>
      <c r="G839" s="2"/>
      <c r="H839" s="2"/>
      <c r="I839" s="2"/>
    </row>
    <row r="840" spans="5:9" ht="13">
      <c r="E840" s="2"/>
      <c r="F840" s="2"/>
      <c r="G840" s="2"/>
      <c r="H840" s="2"/>
      <c r="I840" s="2"/>
    </row>
    <row r="841" spans="5:9" ht="13">
      <c r="E841" s="2"/>
      <c r="F841" s="2"/>
      <c r="G841" s="2"/>
      <c r="H841" s="2"/>
      <c r="I841" s="2"/>
    </row>
    <row r="842" spans="5:9" ht="13">
      <c r="E842" s="2"/>
      <c r="F842" s="2"/>
      <c r="G842" s="2"/>
      <c r="H842" s="2"/>
      <c r="I842" s="2"/>
    </row>
    <row r="843" spans="5:9" ht="13">
      <c r="E843" s="2"/>
      <c r="F843" s="2"/>
      <c r="G843" s="2"/>
      <c r="H843" s="2"/>
      <c r="I843" s="2"/>
    </row>
    <row r="844" spans="5:9" ht="13">
      <c r="E844" s="2"/>
      <c r="F844" s="2"/>
      <c r="G844" s="2"/>
      <c r="H844" s="2"/>
      <c r="I844" s="2"/>
    </row>
    <row r="845" spans="5:9" ht="13">
      <c r="E845" s="2"/>
      <c r="F845" s="2"/>
      <c r="G845" s="2"/>
      <c r="H845" s="2"/>
      <c r="I845" s="2"/>
    </row>
    <row r="846" spans="5:9" ht="13">
      <c r="E846" s="2"/>
      <c r="F846" s="2"/>
      <c r="G846" s="2"/>
      <c r="H846" s="2"/>
      <c r="I846" s="2"/>
    </row>
    <row r="847" spans="5:9" ht="13">
      <c r="E847" s="2"/>
      <c r="F847" s="2"/>
      <c r="G847" s="2"/>
      <c r="H847" s="2"/>
      <c r="I847" s="2"/>
    </row>
    <row r="848" spans="5:9" ht="13">
      <c r="E848" s="2"/>
      <c r="F848" s="2"/>
      <c r="G848" s="2"/>
      <c r="H848" s="2"/>
      <c r="I848" s="2"/>
    </row>
    <row r="849" spans="5:9" ht="13">
      <c r="E849" s="2"/>
      <c r="F849" s="2"/>
      <c r="G849" s="2"/>
      <c r="H849" s="2"/>
      <c r="I849" s="2"/>
    </row>
    <row r="850" spans="5:9" ht="13">
      <c r="E850" s="2"/>
      <c r="F850" s="2"/>
      <c r="G850" s="2"/>
      <c r="H850" s="2"/>
      <c r="I850" s="2"/>
    </row>
    <row r="851" spans="5:9" ht="13">
      <c r="E851" s="2"/>
      <c r="F851" s="2"/>
      <c r="G851" s="2"/>
      <c r="H851" s="2"/>
      <c r="I851" s="2"/>
    </row>
    <row r="852" spans="5:9" ht="13">
      <c r="E852" s="2"/>
      <c r="F852" s="2"/>
      <c r="G852" s="2"/>
      <c r="H852" s="2"/>
      <c r="I852" s="2"/>
    </row>
    <row r="853" spans="5:9" ht="13">
      <c r="E853" s="2"/>
      <c r="F853" s="2"/>
      <c r="G853" s="2"/>
      <c r="H853" s="2"/>
      <c r="I853" s="2"/>
    </row>
    <row r="854" spans="5:9" ht="13">
      <c r="E854" s="2"/>
      <c r="F854" s="2"/>
      <c r="G854" s="2"/>
      <c r="H854" s="2"/>
      <c r="I854" s="2"/>
    </row>
    <row r="855" spans="5:9" ht="13">
      <c r="E855" s="2"/>
      <c r="F855" s="2"/>
      <c r="G855" s="2"/>
      <c r="H855" s="2"/>
      <c r="I855" s="2"/>
    </row>
    <row r="856" spans="5:9" ht="13">
      <c r="E856" s="2"/>
      <c r="F856" s="2"/>
      <c r="G856" s="2"/>
      <c r="H856" s="2"/>
      <c r="I856" s="2"/>
    </row>
    <row r="857" spans="5:9" ht="13">
      <c r="E857" s="2"/>
      <c r="F857" s="2"/>
      <c r="G857" s="2"/>
      <c r="H857" s="2"/>
      <c r="I857" s="2"/>
    </row>
    <row r="858" spans="5:9" ht="13">
      <c r="E858" s="2"/>
      <c r="F858" s="2"/>
      <c r="G858" s="2"/>
      <c r="H858" s="2"/>
      <c r="I858" s="2"/>
    </row>
    <row r="859" spans="5:9" ht="13">
      <c r="E859" s="2"/>
      <c r="F859" s="2"/>
      <c r="G859" s="2"/>
      <c r="H859" s="2"/>
      <c r="I859" s="2"/>
    </row>
    <row r="860" spans="5:9" ht="13">
      <c r="E860" s="2"/>
      <c r="F860" s="2"/>
      <c r="G860" s="2"/>
      <c r="H860" s="2"/>
      <c r="I860" s="2"/>
    </row>
    <row r="861" spans="5:9" ht="13">
      <c r="E861" s="2"/>
      <c r="F861" s="2"/>
      <c r="G861" s="2"/>
      <c r="H861" s="2"/>
      <c r="I861" s="2"/>
    </row>
    <row r="862" spans="5:9" ht="13">
      <c r="E862" s="2"/>
      <c r="F862" s="2"/>
      <c r="G862" s="2"/>
      <c r="H862" s="2"/>
      <c r="I862" s="2"/>
    </row>
    <row r="863" spans="5:9" ht="13">
      <c r="E863" s="2"/>
      <c r="F863" s="2"/>
      <c r="G863" s="2"/>
      <c r="H863" s="2"/>
      <c r="I863" s="2"/>
    </row>
    <row r="864" spans="5:9" ht="13">
      <c r="E864" s="2"/>
      <c r="F864" s="2"/>
      <c r="G864" s="2"/>
      <c r="H864" s="2"/>
      <c r="I864" s="2"/>
    </row>
    <row r="865" spans="5:9" ht="13">
      <c r="E865" s="2"/>
      <c r="F865" s="2"/>
      <c r="G865" s="2"/>
      <c r="H865" s="2"/>
      <c r="I865" s="2"/>
    </row>
    <row r="866" spans="5:9" ht="13">
      <c r="E866" s="2"/>
      <c r="F866" s="2"/>
      <c r="G866" s="2"/>
      <c r="H866" s="2"/>
      <c r="I866" s="2"/>
    </row>
    <row r="867" spans="5:9" ht="13">
      <c r="E867" s="2"/>
      <c r="F867" s="2"/>
      <c r="G867" s="2"/>
      <c r="H867" s="2"/>
      <c r="I867" s="2"/>
    </row>
    <row r="868" spans="5:9" ht="13">
      <c r="E868" s="2"/>
      <c r="F868" s="2"/>
      <c r="G868" s="2"/>
      <c r="H868" s="2"/>
      <c r="I868" s="2"/>
    </row>
    <row r="869" spans="5:9" ht="13">
      <c r="E869" s="2"/>
      <c r="F869" s="2"/>
      <c r="G869" s="2"/>
      <c r="H869" s="2"/>
      <c r="I869" s="2"/>
    </row>
    <row r="870" spans="5:9" ht="13">
      <c r="E870" s="2"/>
      <c r="F870" s="2"/>
      <c r="G870" s="2"/>
      <c r="H870" s="2"/>
      <c r="I870" s="2"/>
    </row>
    <row r="871" spans="5:9" ht="13">
      <c r="E871" s="2"/>
      <c r="F871" s="2"/>
      <c r="G871" s="2"/>
      <c r="H871" s="2"/>
      <c r="I871" s="2"/>
    </row>
    <row r="872" spans="5:9" ht="13">
      <c r="E872" s="2"/>
      <c r="F872" s="2"/>
      <c r="G872" s="2"/>
      <c r="H872" s="2"/>
      <c r="I872" s="2"/>
    </row>
    <row r="873" spans="5:9" ht="13">
      <c r="E873" s="2"/>
      <c r="F873" s="2"/>
      <c r="G873" s="2"/>
      <c r="H873" s="2"/>
      <c r="I873" s="2"/>
    </row>
    <row r="874" spans="5:9" ht="13">
      <c r="E874" s="2"/>
      <c r="F874" s="2"/>
      <c r="G874" s="2"/>
      <c r="H874" s="2"/>
      <c r="I874" s="2"/>
    </row>
    <row r="875" spans="5:9" ht="13">
      <c r="E875" s="2"/>
      <c r="F875" s="2"/>
      <c r="G875" s="2"/>
      <c r="H875" s="2"/>
      <c r="I875" s="2"/>
    </row>
    <row r="876" spans="5:9" ht="13">
      <c r="E876" s="2"/>
      <c r="F876" s="2"/>
      <c r="G876" s="2"/>
      <c r="H876" s="2"/>
      <c r="I876" s="2"/>
    </row>
    <row r="877" spans="5:9" ht="13">
      <c r="E877" s="2"/>
      <c r="F877" s="2"/>
      <c r="G877" s="2"/>
      <c r="H877" s="2"/>
      <c r="I877" s="2"/>
    </row>
    <row r="878" spans="5:9" ht="13">
      <c r="E878" s="2"/>
      <c r="F878" s="2"/>
      <c r="G878" s="2"/>
      <c r="H878" s="2"/>
      <c r="I878" s="2"/>
    </row>
    <row r="879" spans="5:9" ht="13">
      <c r="E879" s="2"/>
      <c r="F879" s="2"/>
      <c r="G879" s="2"/>
      <c r="H879" s="2"/>
      <c r="I879" s="2"/>
    </row>
    <row r="880" spans="5:9" ht="13">
      <c r="E880" s="2"/>
      <c r="F880" s="2"/>
      <c r="G880" s="2"/>
      <c r="H880" s="2"/>
      <c r="I880" s="2"/>
    </row>
    <row r="881" spans="5:9" ht="13">
      <c r="E881" s="2"/>
      <c r="F881" s="2"/>
      <c r="G881" s="2"/>
      <c r="H881" s="2"/>
      <c r="I881" s="2"/>
    </row>
    <row r="882" spans="5:9" ht="13">
      <c r="E882" s="2"/>
      <c r="F882" s="2"/>
      <c r="G882" s="2"/>
      <c r="H882" s="2"/>
      <c r="I882" s="2"/>
    </row>
    <row r="883" spans="5:9" ht="13">
      <c r="E883" s="2"/>
      <c r="F883" s="2"/>
      <c r="G883" s="2"/>
      <c r="H883" s="2"/>
      <c r="I883" s="2"/>
    </row>
    <row r="884" spans="5:9" ht="13">
      <c r="E884" s="2"/>
      <c r="F884" s="2"/>
      <c r="G884" s="2"/>
      <c r="H884" s="2"/>
      <c r="I884" s="2"/>
    </row>
    <row r="885" spans="5:9" ht="13">
      <c r="E885" s="2"/>
      <c r="F885" s="2"/>
      <c r="G885" s="2"/>
      <c r="H885" s="2"/>
      <c r="I885" s="2"/>
    </row>
    <row r="886" spans="5:9" ht="13">
      <c r="E886" s="2"/>
      <c r="F886" s="2"/>
      <c r="G886" s="2"/>
      <c r="H886" s="2"/>
      <c r="I886" s="2"/>
    </row>
    <row r="887" spans="5:9" ht="13">
      <c r="E887" s="2"/>
      <c r="F887" s="2"/>
      <c r="G887" s="2"/>
      <c r="H887" s="2"/>
      <c r="I887" s="2"/>
    </row>
    <row r="888" spans="5:9" ht="13">
      <c r="E888" s="2"/>
      <c r="F888" s="2"/>
      <c r="G888" s="2"/>
      <c r="H888" s="2"/>
      <c r="I888" s="2"/>
    </row>
    <row r="889" spans="5:9" ht="13">
      <c r="E889" s="2"/>
      <c r="F889" s="2"/>
      <c r="G889" s="2"/>
      <c r="H889" s="2"/>
      <c r="I889" s="2"/>
    </row>
    <row r="890" spans="5:9" ht="13">
      <c r="E890" s="2"/>
      <c r="F890" s="2"/>
      <c r="G890" s="2"/>
      <c r="H890" s="2"/>
      <c r="I890" s="2"/>
    </row>
    <row r="891" spans="5:9" ht="13">
      <c r="E891" s="2"/>
      <c r="F891" s="2"/>
      <c r="G891" s="2"/>
      <c r="H891" s="2"/>
      <c r="I891" s="2"/>
    </row>
    <row r="892" spans="5:9" ht="13">
      <c r="E892" s="2"/>
      <c r="F892" s="2"/>
      <c r="G892" s="2"/>
      <c r="H892" s="2"/>
      <c r="I892" s="2"/>
    </row>
    <row r="893" spans="5:9" ht="13">
      <c r="E893" s="2"/>
      <c r="F893" s="2"/>
      <c r="G893" s="2"/>
      <c r="H893" s="2"/>
      <c r="I893" s="2"/>
    </row>
    <row r="894" spans="5:9" ht="13">
      <c r="E894" s="2"/>
      <c r="F894" s="2"/>
      <c r="G894" s="2"/>
      <c r="H894" s="2"/>
      <c r="I894" s="2"/>
    </row>
    <row r="895" spans="5:9" ht="13">
      <c r="E895" s="2"/>
      <c r="F895" s="2"/>
      <c r="G895" s="2"/>
      <c r="H895" s="2"/>
      <c r="I895" s="2"/>
    </row>
    <row r="896" spans="5:9" ht="13">
      <c r="E896" s="2"/>
      <c r="F896" s="2"/>
      <c r="G896" s="2"/>
      <c r="H896" s="2"/>
      <c r="I896" s="2"/>
    </row>
    <row r="897" spans="5:9" ht="13">
      <c r="E897" s="2"/>
      <c r="F897" s="2"/>
      <c r="G897" s="2"/>
      <c r="H897" s="2"/>
      <c r="I897" s="2"/>
    </row>
    <row r="898" spans="5:9" ht="13">
      <c r="E898" s="2"/>
      <c r="F898" s="2"/>
      <c r="G898" s="2"/>
      <c r="H898" s="2"/>
      <c r="I898" s="2"/>
    </row>
    <row r="899" spans="5:9" ht="13">
      <c r="E899" s="2"/>
      <c r="F899" s="2"/>
      <c r="G899" s="2"/>
      <c r="H899" s="2"/>
      <c r="I899" s="2"/>
    </row>
    <row r="900" spans="5:9" ht="13">
      <c r="E900" s="2"/>
      <c r="F900" s="2"/>
      <c r="G900" s="2"/>
      <c r="H900" s="2"/>
      <c r="I900" s="2"/>
    </row>
    <row r="901" spans="5:9" ht="13">
      <c r="E901" s="2"/>
      <c r="F901" s="2"/>
      <c r="G901" s="2"/>
      <c r="H901" s="2"/>
      <c r="I901" s="2"/>
    </row>
    <row r="902" spans="5:9" ht="13">
      <c r="E902" s="2"/>
      <c r="F902" s="2"/>
      <c r="G902" s="2"/>
      <c r="H902" s="2"/>
      <c r="I902" s="2"/>
    </row>
    <row r="903" spans="5:9" ht="13">
      <c r="E903" s="2"/>
      <c r="F903" s="2"/>
      <c r="G903" s="2"/>
      <c r="H903" s="2"/>
      <c r="I903" s="2"/>
    </row>
    <row r="904" spans="5:9" ht="13">
      <c r="E904" s="2"/>
      <c r="F904" s="2"/>
      <c r="G904" s="2"/>
      <c r="H904" s="2"/>
      <c r="I904" s="2"/>
    </row>
    <row r="905" spans="5:9" ht="13">
      <c r="E905" s="2"/>
      <c r="F905" s="2"/>
      <c r="G905" s="2"/>
      <c r="H905" s="2"/>
      <c r="I905" s="2"/>
    </row>
    <row r="906" spans="5:9" ht="13">
      <c r="E906" s="2"/>
      <c r="F906" s="2"/>
      <c r="G906" s="2"/>
      <c r="H906" s="2"/>
      <c r="I906" s="2"/>
    </row>
    <row r="907" spans="5:9" ht="13">
      <c r="E907" s="2"/>
      <c r="F907" s="2"/>
      <c r="G907" s="2"/>
      <c r="H907" s="2"/>
      <c r="I907" s="2"/>
    </row>
    <row r="908" spans="5:9" ht="13">
      <c r="E908" s="2"/>
      <c r="F908" s="2"/>
      <c r="G908" s="2"/>
      <c r="H908" s="2"/>
      <c r="I908" s="2"/>
    </row>
    <row r="909" spans="5:9" ht="13">
      <c r="E909" s="2"/>
      <c r="F909" s="2"/>
      <c r="G909" s="2"/>
      <c r="H909" s="2"/>
      <c r="I909" s="2"/>
    </row>
    <row r="910" spans="5:9" ht="13">
      <c r="E910" s="2"/>
      <c r="F910" s="2"/>
      <c r="G910" s="2"/>
      <c r="H910" s="2"/>
      <c r="I910" s="2"/>
    </row>
    <row r="911" spans="5:9" ht="13">
      <c r="E911" s="2"/>
      <c r="F911" s="2"/>
      <c r="G911" s="2"/>
      <c r="H911" s="2"/>
      <c r="I911" s="2"/>
    </row>
    <row r="912" spans="5:9" ht="13">
      <c r="E912" s="2"/>
      <c r="F912" s="2"/>
      <c r="G912" s="2"/>
      <c r="H912" s="2"/>
      <c r="I912" s="2"/>
    </row>
    <row r="913" spans="5:9" ht="13">
      <c r="E913" s="2"/>
      <c r="F913" s="2"/>
      <c r="G913" s="2"/>
      <c r="H913" s="2"/>
      <c r="I913" s="2"/>
    </row>
    <row r="914" spans="5:9" ht="13">
      <c r="E914" s="2"/>
      <c r="F914" s="2"/>
      <c r="G914" s="2"/>
      <c r="H914" s="2"/>
      <c r="I914" s="2"/>
    </row>
    <row r="915" spans="5:9" ht="13">
      <c r="E915" s="2"/>
      <c r="F915" s="2"/>
      <c r="G915" s="2"/>
      <c r="H915" s="2"/>
      <c r="I915" s="2"/>
    </row>
    <row r="916" spans="5:9" ht="13">
      <c r="E916" s="2"/>
      <c r="F916" s="2"/>
      <c r="G916" s="2"/>
      <c r="H916" s="2"/>
      <c r="I916" s="2"/>
    </row>
    <row r="917" spans="5:9" ht="13">
      <c r="E917" s="2"/>
      <c r="F917" s="2"/>
      <c r="G917" s="2"/>
      <c r="H917" s="2"/>
      <c r="I917" s="2"/>
    </row>
    <row r="918" spans="5:9" ht="13">
      <c r="E918" s="2"/>
      <c r="F918" s="2"/>
      <c r="G918" s="2"/>
      <c r="H918" s="2"/>
      <c r="I918" s="2"/>
    </row>
    <row r="919" spans="5:9" ht="13">
      <c r="E919" s="2"/>
      <c r="F919" s="2"/>
      <c r="G919" s="2"/>
      <c r="H919" s="2"/>
      <c r="I919" s="2"/>
    </row>
    <row r="920" spans="5:9" ht="13">
      <c r="E920" s="2"/>
      <c r="F920" s="2"/>
      <c r="G920" s="2"/>
      <c r="H920" s="2"/>
      <c r="I920" s="2"/>
    </row>
    <row r="921" spans="5:9" ht="13">
      <c r="E921" s="2"/>
      <c r="F921" s="2"/>
      <c r="G921" s="2"/>
      <c r="H921" s="2"/>
      <c r="I921" s="2"/>
    </row>
    <row r="922" spans="5:9" ht="13">
      <c r="E922" s="2"/>
      <c r="F922" s="2"/>
      <c r="G922" s="2"/>
      <c r="H922" s="2"/>
      <c r="I922" s="2"/>
    </row>
    <row r="923" spans="5:9" ht="13">
      <c r="E923" s="2"/>
      <c r="F923" s="2"/>
      <c r="G923" s="2"/>
      <c r="H923" s="2"/>
      <c r="I923" s="2"/>
    </row>
    <row r="924" spans="5:9" ht="13">
      <c r="E924" s="2"/>
      <c r="F924" s="2"/>
      <c r="G924" s="2"/>
      <c r="H924" s="2"/>
      <c r="I924" s="2"/>
    </row>
    <row r="925" spans="5:9" ht="13">
      <c r="E925" s="2"/>
      <c r="F925" s="2"/>
      <c r="G925" s="2"/>
      <c r="H925" s="2"/>
      <c r="I925" s="2"/>
    </row>
    <row r="926" spans="5:9" ht="13">
      <c r="E926" s="2"/>
      <c r="F926" s="2"/>
      <c r="G926" s="2"/>
      <c r="H926" s="2"/>
      <c r="I926" s="2"/>
    </row>
    <row r="927" spans="5:9" ht="13">
      <c r="E927" s="2"/>
      <c r="F927" s="2"/>
      <c r="G927" s="2"/>
      <c r="H927" s="2"/>
      <c r="I927" s="2"/>
    </row>
    <row r="928" spans="5:9" ht="13">
      <c r="E928" s="2"/>
      <c r="F928" s="2"/>
      <c r="G928" s="2"/>
      <c r="H928" s="2"/>
      <c r="I928" s="2"/>
    </row>
    <row r="929" spans="5:9" ht="13">
      <c r="E929" s="2"/>
      <c r="F929" s="2"/>
      <c r="G929" s="2"/>
      <c r="H929" s="2"/>
      <c r="I929" s="2"/>
    </row>
    <row r="930" spans="5:9" ht="13">
      <c r="E930" s="2"/>
      <c r="F930" s="2"/>
      <c r="G930" s="2"/>
      <c r="H930" s="2"/>
      <c r="I930" s="2"/>
    </row>
    <row r="931" spans="5:9" ht="13">
      <c r="E931" s="2"/>
      <c r="F931" s="2"/>
      <c r="G931" s="2"/>
      <c r="H931" s="2"/>
      <c r="I931" s="2"/>
    </row>
    <row r="932" spans="5:9" ht="13">
      <c r="E932" s="2"/>
      <c r="F932" s="2"/>
      <c r="G932" s="2"/>
      <c r="H932" s="2"/>
      <c r="I932" s="2"/>
    </row>
    <row r="933" spans="5:9" ht="13">
      <c r="E933" s="2"/>
      <c r="F933" s="2"/>
      <c r="G933" s="2"/>
      <c r="H933" s="2"/>
      <c r="I933" s="2"/>
    </row>
    <row r="934" spans="5:9" ht="13">
      <c r="E934" s="2"/>
      <c r="F934" s="2"/>
      <c r="G934" s="2"/>
      <c r="H934" s="2"/>
      <c r="I934" s="2"/>
    </row>
    <row r="935" spans="5:9" ht="13">
      <c r="E935" s="2"/>
      <c r="F935" s="2"/>
      <c r="G935" s="2"/>
      <c r="H935" s="2"/>
      <c r="I935" s="2"/>
    </row>
    <row r="936" spans="5:9" ht="13">
      <c r="E936" s="2"/>
      <c r="F936" s="2"/>
      <c r="G936" s="2"/>
      <c r="H936" s="2"/>
      <c r="I936" s="2"/>
    </row>
    <row r="937" spans="5:9" ht="13">
      <c r="E937" s="2"/>
      <c r="F937" s="2"/>
      <c r="G937" s="2"/>
      <c r="H937" s="2"/>
      <c r="I937" s="2"/>
    </row>
    <row r="938" spans="5:9" ht="13">
      <c r="E938" s="2"/>
      <c r="F938" s="2"/>
      <c r="G938" s="2"/>
      <c r="H938" s="2"/>
      <c r="I938" s="2"/>
    </row>
    <row r="939" spans="5:9" ht="13">
      <c r="E939" s="2"/>
      <c r="F939" s="2"/>
      <c r="G939" s="2"/>
      <c r="H939" s="2"/>
      <c r="I939" s="2"/>
    </row>
    <row r="940" spans="5:9" ht="13">
      <c r="E940" s="2"/>
      <c r="F940" s="2"/>
      <c r="G940" s="2"/>
      <c r="H940" s="2"/>
      <c r="I940" s="2"/>
    </row>
    <row r="941" spans="5:9" ht="13">
      <c r="E941" s="2"/>
      <c r="F941" s="2"/>
      <c r="G941" s="2"/>
      <c r="H941" s="2"/>
      <c r="I941" s="2"/>
    </row>
    <row r="942" spans="5:9" ht="13">
      <c r="E942" s="2"/>
      <c r="F942" s="2"/>
      <c r="G942" s="2"/>
      <c r="H942" s="2"/>
      <c r="I942" s="2"/>
    </row>
    <row r="943" spans="5:9" ht="13">
      <c r="E943" s="2"/>
      <c r="F943" s="2"/>
      <c r="G943" s="2"/>
      <c r="H943" s="2"/>
      <c r="I943" s="2"/>
    </row>
    <row r="944" spans="5:9" ht="13">
      <c r="E944" s="2"/>
      <c r="F944" s="2"/>
      <c r="G944" s="2"/>
      <c r="H944" s="2"/>
      <c r="I944" s="2"/>
    </row>
    <row r="945" spans="5:9" ht="13">
      <c r="E945" s="2"/>
      <c r="F945" s="2"/>
      <c r="G945" s="2"/>
      <c r="H945" s="2"/>
      <c r="I945" s="2"/>
    </row>
    <row r="946" spans="5:9" ht="13">
      <c r="E946" s="2"/>
      <c r="F946" s="2"/>
      <c r="G946" s="2"/>
      <c r="H946" s="2"/>
      <c r="I946" s="2"/>
    </row>
    <row r="947" spans="5:9" ht="13">
      <c r="E947" s="2"/>
      <c r="F947" s="2"/>
      <c r="G947" s="2"/>
      <c r="H947" s="2"/>
      <c r="I947" s="2"/>
    </row>
    <row r="948" spans="5:9" ht="13">
      <c r="E948" s="2"/>
      <c r="F948" s="2"/>
      <c r="G948" s="2"/>
      <c r="H948" s="2"/>
      <c r="I948" s="2"/>
    </row>
    <row r="949" spans="5:9" ht="13">
      <c r="E949" s="2"/>
      <c r="F949" s="2"/>
      <c r="G949" s="2"/>
      <c r="H949" s="2"/>
      <c r="I949" s="2"/>
    </row>
    <row r="950" spans="5:9" ht="13">
      <c r="E950" s="2"/>
      <c r="F950" s="2"/>
      <c r="G950" s="2"/>
      <c r="H950" s="2"/>
      <c r="I950" s="2"/>
    </row>
    <row r="951" spans="5:9" ht="13">
      <c r="E951" s="2"/>
      <c r="F951" s="2"/>
      <c r="G951" s="2"/>
      <c r="H951" s="2"/>
      <c r="I951" s="2"/>
    </row>
    <row r="952" spans="5:9" ht="13">
      <c r="E952" s="2"/>
      <c r="F952" s="2"/>
      <c r="G952" s="2"/>
      <c r="H952" s="2"/>
      <c r="I952" s="2"/>
    </row>
    <row r="953" spans="5:9" ht="13">
      <c r="E953" s="2"/>
      <c r="F953" s="2"/>
      <c r="G953" s="2"/>
      <c r="H953" s="2"/>
      <c r="I953" s="2"/>
    </row>
    <row r="954" spans="5:9" ht="13">
      <c r="E954" s="2"/>
      <c r="F954" s="2"/>
      <c r="G954" s="2"/>
      <c r="H954" s="2"/>
      <c r="I954" s="2"/>
    </row>
    <row r="955" spans="5:9" ht="13">
      <c r="E955" s="2"/>
      <c r="F955" s="2"/>
      <c r="G955" s="2"/>
      <c r="H955" s="2"/>
      <c r="I955" s="2"/>
    </row>
    <row r="956" spans="5:9" ht="13">
      <c r="E956" s="2"/>
      <c r="F956" s="2"/>
      <c r="G956" s="2"/>
      <c r="H956" s="2"/>
      <c r="I956" s="2"/>
    </row>
    <row r="957" spans="5:9" ht="13">
      <c r="E957" s="2"/>
      <c r="F957" s="2"/>
      <c r="G957" s="2"/>
      <c r="H957" s="2"/>
      <c r="I957" s="2"/>
    </row>
    <row r="958" spans="5:9" ht="13">
      <c r="E958" s="2"/>
      <c r="F958" s="2"/>
      <c r="G958" s="2"/>
      <c r="H958" s="2"/>
      <c r="I958" s="2"/>
    </row>
    <row r="959" spans="5:9" ht="13">
      <c r="E959" s="2"/>
      <c r="F959" s="2"/>
      <c r="G959" s="2"/>
      <c r="H959" s="2"/>
      <c r="I959" s="2"/>
    </row>
    <row r="960" spans="5:9" ht="13">
      <c r="E960" s="2"/>
      <c r="F960" s="2"/>
      <c r="G960" s="2"/>
      <c r="H960" s="2"/>
      <c r="I960" s="2"/>
    </row>
    <row r="961" spans="5:9" ht="13">
      <c r="E961" s="2"/>
      <c r="F961" s="2"/>
      <c r="G961" s="2"/>
      <c r="H961" s="2"/>
      <c r="I961" s="2"/>
    </row>
    <row r="962" spans="5:9" ht="13">
      <c r="E962" s="2"/>
      <c r="F962" s="2"/>
      <c r="G962" s="2"/>
      <c r="H962" s="2"/>
      <c r="I962" s="2"/>
    </row>
    <row r="963" spans="5:9" ht="13">
      <c r="E963" s="2"/>
      <c r="F963" s="2"/>
      <c r="G963" s="2"/>
      <c r="H963" s="2"/>
      <c r="I963" s="2"/>
    </row>
    <row r="964" spans="5:9" ht="13">
      <c r="E964" s="2"/>
      <c r="F964" s="2"/>
      <c r="G964" s="2"/>
      <c r="H964" s="2"/>
      <c r="I964" s="2"/>
    </row>
    <row r="965" spans="5:9" ht="13">
      <c r="E965" s="2"/>
      <c r="F965" s="2"/>
      <c r="G965" s="2"/>
      <c r="H965" s="2"/>
      <c r="I965" s="2"/>
    </row>
    <row r="966" spans="5:9" ht="13">
      <c r="E966" s="2"/>
      <c r="F966" s="2"/>
      <c r="G966" s="2"/>
      <c r="H966" s="2"/>
      <c r="I966" s="2"/>
    </row>
    <row r="967" spans="5:9" ht="13">
      <c r="E967" s="2"/>
      <c r="F967" s="2"/>
      <c r="G967" s="2"/>
      <c r="H967" s="2"/>
      <c r="I967" s="2"/>
    </row>
    <row r="968" spans="5:9" ht="13">
      <c r="E968" s="2"/>
      <c r="F968" s="2"/>
      <c r="G968" s="2"/>
      <c r="H968" s="2"/>
      <c r="I968" s="2"/>
    </row>
    <row r="969" spans="5:9" ht="13">
      <c r="E969" s="2"/>
      <c r="F969" s="2"/>
      <c r="G969" s="2"/>
      <c r="H969" s="2"/>
      <c r="I969" s="2"/>
    </row>
    <row r="970" spans="5:9" ht="13">
      <c r="E970" s="2"/>
      <c r="F970" s="2"/>
      <c r="G970" s="2"/>
      <c r="H970" s="2"/>
      <c r="I970" s="2"/>
    </row>
    <row r="971" spans="5:9" ht="13">
      <c r="E971" s="2"/>
      <c r="F971" s="2"/>
      <c r="G971" s="2"/>
      <c r="H971" s="2"/>
      <c r="I971" s="2"/>
    </row>
    <row r="972" spans="5:9" ht="13">
      <c r="E972" s="2"/>
      <c r="F972" s="2"/>
      <c r="G972" s="2"/>
      <c r="H972" s="2"/>
      <c r="I972" s="2"/>
    </row>
    <row r="973" spans="5:9" ht="13">
      <c r="E973" s="2"/>
      <c r="F973" s="2"/>
      <c r="G973" s="2"/>
      <c r="H973" s="2"/>
      <c r="I973" s="2"/>
    </row>
    <row r="974" spans="5:9" ht="13">
      <c r="E974" s="2"/>
      <c r="F974" s="2"/>
      <c r="G974" s="2"/>
      <c r="H974" s="2"/>
      <c r="I974" s="2"/>
    </row>
    <row r="975" spans="5:9" ht="13">
      <c r="E975" s="2"/>
      <c r="F975" s="2"/>
      <c r="G975" s="2"/>
      <c r="H975" s="2"/>
      <c r="I975" s="2"/>
    </row>
    <row r="976" spans="5:9" ht="13">
      <c r="E976" s="2"/>
      <c r="F976" s="2"/>
      <c r="G976" s="2"/>
      <c r="H976" s="2"/>
      <c r="I976" s="2"/>
    </row>
    <row r="977" spans="5:9" ht="13">
      <c r="E977" s="2"/>
      <c r="F977" s="2"/>
      <c r="G977" s="2"/>
      <c r="H977" s="2"/>
      <c r="I977" s="2"/>
    </row>
    <row r="978" spans="5:9" ht="13">
      <c r="E978" s="2"/>
      <c r="F978" s="2"/>
      <c r="G978" s="2"/>
      <c r="H978" s="2"/>
      <c r="I978" s="2"/>
    </row>
    <row r="979" spans="5:9" ht="13">
      <c r="E979" s="2"/>
      <c r="F979" s="2"/>
      <c r="G979" s="2"/>
      <c r="H979" s="2"/>
      <c r="I979" s="2"/>
    </row>
    <row r="980" spans="5:9" ht="13">
      <c r="E980" s="2"/>
      <c r="F980" s="2"/>
      <c r="G980" s="2"/>
      <c r="H980" s="2"/>
      <c r="I980" s="2"/>
    </row>
    <row r="981" spans="5:9" ht="13">
      <c r="E981" s="2"/>
      <c r="F981" s="2"/>
      <c r="G981" s="2"/>
      <c r="H981" s="2"/>
      <c r="I981" s="2"/>
    </row>
    <row r="982" spans="5:9" ht="13">
      <c r="E982" s="2"/>
      <c r="F982" s="2"/>
      <c r="G982" s="2"/>
      <c r="H982" s="2"/>
      <c r="I982" s="2"/>
    </row>
    <row r="983" spans="5:9" ht="13">
      <c r="E983" s="2"/>
      <c r="F983" s="2"/>
      <c r="G983" s="2"/>
      <c r="H983" s="2"/>
      <c r="I983" s="2"/>
    </row>
    <row r="984" spans="5:9" ht="13">
      <c r="E984" s="2"/>
      <c r="F984" s="2"/>
      <c r="G984" s="2"/>
      <c r="H984" s="2"/>
      <c r="I984" s="2"/>
    </row>
    <row r="985" spans="5:9" ht="13">
      <c r="E985" s="2"/>
      <c r="F985" s="2"/>
      <c r="G985" s="2"/>
      <c r="H985" s="2"/>
      <c r="I985" s="2"/>
    </row>
    <row r="986" spans="5:9" ht="13">
      <c r="E986" s="2"/>
      <c r="F986" s="2"/>
      <c r="G986" s="2"/>
      <c r="H986" s="2"/>
      <c r="I986" s="2"/>
    </row>
    <row r="987" spans="5:9" ht="13">
      <c r="E987" s="2"/>
      <c r="F987" s="2"/>
      <c r="G987" s="2"/>
      <c r="H987" s="2"/>
      <c r="I987" s="2"/>
    </row>
    <row r="988" spans="5:9" ht="13">
      <c r="E988" s="2"/>
      <c r="F988" s="2"/>
      <c r="G988" s="2"/>
      <c r="H988" s="2"/>
      <c r="I988" s="2"/>
    </row>
    <row r="989" spans="5:9" ht="13">
      <c r="E989" s="2"/>
      <c r="F989" s="2"/>
      <c r="G989" s="2"/>
      <c r="H989" s="2"/>
      <c r="I989" s="2"/>
    </row>
    <row r="990" spans="5:9" ht="13">
      <c r="E990" s="2"/>
      <c r="F990" s="2"/>
      <c r="G990" s="2"/>
      <c r="H990" s="2"/>
      <c r="I990" s="2"/>
    </row>
    <row r="991" spans="5:9" ht="13">
      <c r="E991" s="2"/>
      <c r="F991" s="2"/>
      <c r="G991" s="2"/>
      <c r="H991" s="2"/>
      <c r="I991" s="2"/>
    </row>
    <row r="992" spans="5:9" ht="13">
      <c r="E992" s="2"/>
      <c r="F992" s="2"/>
      <c r="G992" s="2"/>
      <c r="H992" s="2"/>
      <c r="I992" s="2"/>
    </row>
    <row r="993" spans="5:9" ht="13">
      <c r="E993" s="2"/>
      <c r="F993" s="2"/>
      <c r="G993" s="2"/>
      <c r="H993" s="2"/>
      <c r="I993" s="2"/>
    </row>
    <row r="994" spans="5:9" ht="13">
      <c r="E994" s="2"/>
      <c r="F994" s="2"/>
      <c r="G994" s="2"/>
      <c r="H994" s="2"/>
      <c r="I994" s="2"/>
    </row>
    <row r="995" spans="5:9" ht="13">
      <c r="E995" s="2"/>
      <c r="F995" s="2"/>
      <c r="G995" s="2"/>
      <c r="H995" s="2"/>
      <c r="I995" s="2"/>
    </row>
    <row r="996" spans="5:9" ht="13">
      <c r="E996" s="2"/>
      <c r="F996" s="2"/>
      <c r="G996" s="2"/>
      <c r="H996" s="2"/>
      <c r="I996" s="2"/>
    </row>
    <row r="997" spans="5:9" ht="13">
      <c r="E997" s="2"/>
      <c r="F997" s="2"/>
      <c r="G997" s="2"/>
      <c r="H997" s="2"/>
      <c r="I997" s="2"/>
    </row>
    <row r="998" spans="5:9" ht="13">
      <c r="E998" s="2"/>
      <c r="F998" s="2"/>
      <c r="G998" s="2"/>
      <c r="H998" s="2"/>
      <c r="I998" s="2"/>
    </row>
    <row r="999" spans="5:9" ht="13">
      <c r="E999" s="2"/>
      <c r="F999" s="2"/>
      <c r="G999" s="2"/>
      <c r="H999" s="2"/>
      <c r="I999" s="2"/>
    </row>
    <row r="1000" spans="5:9" ht="13">
      <c r="E1000" s="2"/>
      <c r="F1000" s="2"/>
      <c r="G1000" s="2"/>
      <c r="H1000" s="2"/>
      <c r="I1000" s="2"/>
    </row>
  </sheetData>
  <autoFilter ref="A4:AA598" xr:uid="{00000000-0009-0000-0000-000003000000}"/>
  <mergeCells count="6">
    <mergeCell ref="AJ5:AL6"/>
    <mergeCell ref="A1:A3"/>
    <mergeCell ref="B1:AA3"/>
    <mergeCell ref="AC5:AC6"/>
    <mergeCell ref="AD5:AF6"/>
    <mergeCell ref="AG5:AI6"/>
  </mergeCells>
  <conditionalFormatting sqref="AF7:AF37 AI7:AI37 AL7:AL37">
    <cfRule type="cellIs" dxfId="26" priority="1" operator="equal">
      <formula>"✅✅✅✅✅"</formula>
    </cfRule>
  </conditionalFormatting>
  <conditionalFormatting sqref="AF7:AF37 AI7:AI37 AL7:AL37">
    <cfRule type="cellIs" dxfId="25" priority="2" operator="equal">
      <formula>"❌❌❌❌❌"</formula>
    </cfRule>
  </conditionalFormatting>
  <conditionalFormatting sqref="AF7:AF37 AI7:AI37 AL7:AL37">
    <cfRule type="cellIs" dxfId="24" priority="3" operator="between">
      <formula>23.995</formula>
      <formula>24.01</formula>
    </cfRule>
  </conditionalFormatting>
  <conditionalFormatting sqref="AF7:AF37 AI7:AI37 AL7:AL37">
    <cfRule type="cellIs" dxfId="23" priority="4" operator="between">
      <formula>0.1</formula>
      <formula>23.984</formula>
    </cfRule>
  </conditionalFormatting>
  <conditionalFormatting sqref="AF7:AF37 AI7:AI37 AL7:AL37">
    <cfRule type="cellIs" dxfId="22" priority="5" operator="equal">
      <formula>0</formula>
    </cfRule>
  </conditionalFormatting>
  <conditionalFormatting sqref="L5:L598">
    <cfRule type="cellIs" dxfId="21" priority="6" operator="greaterThanOrEqual">
      <formula>"3:00:00 AM"</formula>
    </cfRule>
  </conditionalFormatting>
  <conditionalFormatting sqref="L5:L598">
    <cfRule type="cellIs" dxfId="20" priority="7" operator="greaterThanOrEqual">
      <formula>"3:00"</formula>
    </cfRule>
  </conditionalFormatting>
  <conditionalFormatting sqref="L5:L598">
    <cfRule type="cellIs" dxfId="19" priority="8" operator="greaterThanOrEqual">
      <formula>"3:00"</formula>
    </cfRule>
  </conditionalFormatting>
  <conditionalFormatting sqref="AF7:AF37 AI7:AI37 AL7:AL37">
    <cfRule type="cellIs" dxfId="18" priority="9" operator="greaterThan">
      <formula>24.01</formula>
    </cfRule>
  </conditionalFormatting>
  <dataValidations count="2">
    <dataValidation type="custom" allowBlank="1" showDropDown="1" showErrorMessage="1" sqref="F5:F194 H5:H194 F195:H196 F197 H197 F198:H199 F200:F598 H200:H598" xr:uid="{00000000-0002-0000-0300-000003000000}">
      <formula1>OR(NOT(ISERROR(DATEVALUE(F5))), AND(ISNUMBER(F5), LEFT(CELL("format", F5))="D"))</formula1>
    </dataValidation>
    <dataValidation type="decimal" operator="notEqual" allowBlank="1" showDropDown="1" showInputMessage="1" showErrorMessage="1" prompt="Load loss CANNOT be Zero (0)" sqref="E5:E1000" xr:uid="{00000000-0002-0000-0300-000002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8E00-FA30-4B36-B531-C264DD21858E}">
  <sheetPr>
    <outlinePr summaryBelow="0" summaryRight="0"/>
  </sheetPr>
  <dimension ref="A1:AM1000"/>
  <sheetViews>
    <sheetView topLeftCell="G12" workbookViewId="0">
      <selection activeCell="M27" sqref="M27"/>
    </sheetView>
  </sheetViews>
  <sheetFormatPr defaultColWidth="12.6328125" defaultRowHeight="15.75" customHeight="1" outlineLevelCol="1"/>
  <cols>
    <col min="1" max="1" width="5.90625" style="49" customWidth="1"/>
    <col min="2" max="2" width="17.08984375" style="49" customWidth="1"/>
    <col min="3" max="3" width="18.36328125" style="49" customWidth="1"/>
    <col min="4" max="4" width="15.453125" style="49" customWidth="1"/>
    <col min="5" max="5" width="11.7265625" style="49" customWidth="1"/>
    <col min="6" max="6" width="13.90625" style="49" customWidth="1"/>
    <col min="7" max="7" width="14" style="49" customWidth="1"/>
    <col min="8" max="8" width="12.6328125" style="49"/>
    <col min="9" max="9" width="12.6328125" style="49" collapsed="1"/>
    <col min="10" max="11" width="0" style="49" hidden="1" customWidth="1" outlineLevel="1"/>
    <col min="12" max="12" width="12.6328125" style="49"/>
    <col min="13" max="13" width="60.26953125" style="49" customWidth="1"/>
    <col min="14" max="14" width="14.6328125" style="49" customWidth="1"/>
    <col min="15" max="15" width="20.36328125" style="49" customWidth="1"/>
    <col min="16" max="16" width="12.6328125" style="49" outlineLevel="1"/>
    <col min="17" max="17" width="15.26953125" style="49" customWidth="1" outlineLevel="1"/>
    <col min="18" max="18" width="14.08984375" style="49" customWidth="1" outlineLevel="1"/>
    <col min="19" max="21" width="12.6328125" style="49" outlineLevel="1"/>
    <col min="22" max="22" width="14.6328125" style="49" customWidth="1" outlineLevel="1"/>
    <col min="23" max="23" width="18.90625" style="49" customWidth="1"/>
    <col min="24" max="28" width="12.6328125" style="49"/>
    <col min="29" max="29" width="14.36328125" style="49" customWidth="1"/>
    <col min="30" max="31" width="12.6328125" style="49" outlineLevel="1"/>
    <col min="32" max="32" width="12.6328125" style="49"/>
    <col min="33" max="34" width="12.6328125" style="49" outlineLevel="1"/>
    <col min="35" max="35" width="12.6328125" style="49"/>
    <col min="36" max="37" width="12.6328125" style="49" outlineLevel="1"/>
    <col min="38" max="16384" width="12.6328125" style="49"/>
  </cols>
  <sheetData>
    <row r="1" spans="1:39" ht="15.75" customHeight="1">
      <c r="A1" s="56"/>
      <c r="B1" s="59" t="s">
        <v>52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47"/>
      <c r="AC1" s="48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spans="1:39" ht="15.75" customHeight="1">
      <c r="A2" s="57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3"/>
      <c r="AB2" s="47"/>
      <c r="AC2" s="48"/>
      <c r="AD2" s="47"/>
      <c r="AE2" s="47"/>
      <c r="AF2" s="47"/>
      <c r="AG2" s="47"/>
      <c r="AH2" s="47"/>
      <c r="AI2" s="47"/>
      <c r="AJ2" s="47"/>
      <c r="AK2" s="47"/>
      <c r="AL2" s="47"/>
      <c r="AM2" s="47"/>
    </row>
    <row r="3" spans="1:39" ht="15.75" customHeight="1">
      <c r="A3" s="58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5"/>
      <c r="AB3" s="47"/>
      <c r="AC3" s="48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ht="15.75" customHeight="1" thickBot="1">
      <c r="A4" s="46" t="s">
        <v>51</v>
      </c>
      <c r="B4" s="40" t="s">
        <v>50</v>
      </c>
      <c r="C4" s="40" t="s">
        <v>49</v>
      </c>
      <c r="D4" s="45" t="s">
        <v>48</v>
      </c>
      <c r="E4" s="45" t="s">
        <v>47</v>
      </c>
      <c r="F4" s="44" t="s">
        <v>46</v>
      </c>
      <c r="G4" s="43" t="s">
        <v>45</v>
      </c>
      <c r="H4" s="44" t="s">
        <v>44</v>
      </c>
      <c r="I4" s="43" t="s">
        <v>43</v>
      </c>
      <c r="J4" s="42" t="s">
        <v>42</v>
      </c>
      <c r="K4" s="42" t="s">
        <v>41</v>
      </c>
      <c r="L4" s="41" t="s">
        <v>40</v>
      </c>
      <c r="M4" s="40" t="s">
        <v>39</v>
      </c>
      <c r="N4" s="40" t="s">
        <v>38</v>
      </c>
      <c r="O4" s="39" t="s">
        <v>37</v>
      </c>
      <c r="P4" s="38" t="s">
        <v>36</v>
      </c>
      <c r="Q4" s="38" t="s">
        <v>35</v>
      </c>
      <c r="R4" s="38" t="s">
        <v>34</v>
      </c>
      <c r="S4" s="38" t="s">
        <v>33</v>
      </c>
      <c r="T4" s="38" t="s">
        <v>32</v>
      </c>
      <c r="U4" s="38" t="s">
        <v>31</v>
      </c>
      <c r="V4" s="37" t="s">
        <v>30</v>
      </c>
      <c r="W4" s="36" t="s">
        <v>29</v>
      </c>
      <c r="X4" s="35" t="s">
        <v>28</v>
      </c>
      <c r="Y4" s="35" t="s">
        <v>27</v>
      </c>
      <c r="Z4" s="34" t="s">
        <v>26</v>
      </c>
      <c r="AA4" s="34" t="s">
        <v>25</v>
      </c>
      <c r="AB4" s="32"/>
      <c r="AC4" s="33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pans="1:39" ht="15.75" customHeight="1">
      <c r="A5" s="13">
        <f>IF(OR(ISBLANK(C5),ISBLANK(D5),ISBLANK(F5),ISBLANK(G5)),"",COUNTIF($B$5:B5,"JAMBUTU"))</f>
        <v>1</v>
      </c>
      <c r="B5" s="8" t="s">
        <v>78</v>
      </c>
      <c r="C5" s="8" t="s">
        <v>4</v>
      </c>
      <c r="D5" s="8" t="s">
        <v>55</v>
      </c>
      <c r="E5" s="13">
        <v>3.95</v>
      </c>
      <c r="F5" s="12">
        <v>46087</v>
      </c>
      <c r="G5" s="11">
        <v>0.77916666666666667</v>
      </c>
      <c r="H5" s="12">
        <v>46087</v>
      </c>
      <c r="I5" s="11">
        <v>0.92708333333333337</v>
      </c>
      <c r="J5" s="10">
        <f t="shared" ref="J5:J68" si="0">DATE(YEAR(F5),MONTH(F5),DAY(F5))+TIME(HOUR(G5),MINUTE(G5), SECOND(G5))</f>
        <v>46087.779166666667</v>
      </c>
      <c r="K5" s="10">
        <f t="shared" ref="K5:K68" si="1">DATE(YEAR(H5),MONTH(H5),DAY(H5))+TIME(HOUR(I5),MINUTE(I5), SECOND(I5))</f>
        <v>46087.927083333336</v>
      </c>
      <c r="L5" s="9">
        <f t="shared" ref="L5:L68" si="2">IF(ISBLANK(I5),"",IF(J5&gt;K5,(K5+1)-J5,K5-J5))</f>
        <v>0.14791666666860692</v>
      </c>
      <c r="M5" s="8" t="s">
        <v>71</v>
      </c>
      <c r="N5" s="8" t="s">
        <v>1</v>
      </c>
      <c r="O5" s="8" t="s">
        <v>0</v>
      </c>
      <c r="P5" s="8"/>
      <c r="Q5" s="8"/>
      <c r="R5" s="8"/>
      <c r="S5" s="8"/>
      <c r="T5" s="8"/>
      <c r="U5" s="8"/>
      <c r="V5" s="7"/>
      <c r="W5" s="6" t="e">
        <f t="array" aca="1" ref="W5" ca="1">IF(NOT(ISBLANK(D5)),_xludf.XLOOKUP(D5,[2]CODE!$A$4:$A$100,[2]CODE!$D$4:$D$100),"")</f>
        <v>#NAME?</v>
      </c>
      <c r="X5" s="5" t="e">
        <f t="array" aca="1" ref="X5" ca="1">IF(NOT(AND(ISBLANK(D5),ISBLANK(C5))),_xludf.XLOOKUP(D5,[2]CODE!$A$4:$A$100,[2]CODE!$E$4:$E$100),"")</f>
        <v>#NAME?</v>
      </c>
      <c r="Y5" s="5" t="str">
        <f t="shared" ref="Y5:Y68" si="3">LEFT(C5,4)</f>
        <v>33KV</v>
      </c>
      <c r="Z5" s="5" t="str">
        <f t="shared" ref="Z5:Z68" si="4">IF(NOT(ISBLANK(C5)), IF(K5&gt;J5,"YES","NO"),"")</f>
        <v>YES</v>
      </c>
      <c r="AA5" s="4">
        <f t="shared" ref="AA5:AA68" si="5">IF(AND(F5=H5,Z5="NO"),1+H5,H5)</f>
        <v>46087</v>
      </c>
      <c r="AC5" s="66" t="s">
        <v>24</v>
      </c>
      <c r="AD5" s="50" t="s">
        <v>23</v>
      </c>
      <c r="AE5" s="51"/>
      <c r="AF5" s="52"/>
      <c r="AG5" s="50" t="s">
        <v>22</v>
      </c>
      <c r="AH5" s="51"/>
      <c r="AI5" s="52"/>
      <c r="AJ5" s="50" t="s">
        <v>21</v>
      </c>
      <c r="AK5" s="51"/>
      <c r="AL5" s="52"/>
    </row>
    <row r="6" spans="1:39" ht="15.75" customHeight="1" thickBot="1">
      <c r="A6" s="13">
        <f>IF(OR(ISBLANK(C6),ISBLANK(D6),ISBLANK(F6),ISBLANK(G6)),"",COUNTIF($B$5:B6,"JAMBUTU"))</f>
        <v>2</v>
      </c>
      <c r="B6" s="8" t="s">
        <v>78</v>
      </c>
      <c r="C6" s="8" t="s">
        <v>4</v>
      </c>
      <c r="D6" s="8" t="s">
        <v>6</v>
      </c>
      <c r="E6" s="13">
        <v>2.2000000000000002</v>
      </c>
      <c r="F6" s="12">
        <v>46088</v>
      </c>
      <c r="G6" s="11">
        <v>0.44236111111111109</v>
      </c>
      <c r="H6" s="12">
        <v>46088</v>
      </c>
      <c r="I6" s="11">
        <v>0.46527777777777779</v>
      </c>
      <c r="J6" s="10">
        <f t="shared" si="0"/>
        <v>46088.442361111112</v>
      </c>
      <c r="K6" s="10">
        <f t="shared" si="1"/>
        <v>46088.465277777781</v>
      </c>
      <c r="L6" s="9">
        <f t="shared" si="2"/>
        <v>2.2916666668606922E-2</v>
      </c>
      <c r="M6" s="8" t="s">
        <v>15</v>
      </c>
      <c r="N6" s="8" t="s">
        <v>1</v>
      </c>
      <c r="O6" s="8" t="s">
        <v>0</v>
      </c>
      <c r="P6" s="8"/>
      <c r="Q6" s="8"/>
      <c r="R6" s="8"/>
      <c r="S6" s="8"/>
      <c r="T6" s="8"/>
      <c r="U6" s="8"/>
      <c r="V6" s="7"/>
      <c r="W6" s="6" t="e">
        <f t="array" aca="1" ref="W6" ca="1">IF(NOT(ISBLANK(D6)),_xludf.XLOOKUP(D6,[2]CODE!$A$4:$A$100,[2]CODE!$D$4:$D$100),"")</f>
        <v>#NAME?</v>
      </c>
      <c r="X6" s="5" t="e">
        <f t="array" aca="1" ref="X6" ca="1">IF(NOT(AND(ISBLANK(D6),ISBLANK(C6))),_xludf.XLOOKUP(D6,[2]CODE!$A$4:$A$100,[2]CODE!$E$4:$E$100),"")</f>
        <v>#NAME?</v>
      </c>
      <c r="Y6" s="5" t="str">
        <f t="shared" si="3"/>
        <v>33KV</v>
      </c>
      <c r="Z6" s="5" t="str">
        <f t="shared" si="4"/>
        <v>YES</v>
      </c>
      <c r="AA6" s="4">
        <f t="shared" si="5"/>
        <v>46088</v>
      </c>
      <c r="AC6" s="67"/>
      <c r="AD6" s="53"/>
      <c r="AE6" s="54"/>
      <c r="AF6" s="55"/>
      <c r="AG6" s="53"/>
      <c r="AH6" s="54"/>
      <c r="AI6" s="55"/>
      <c r="AJ6" s="53"/>
      <c r="AK6" s="54"/>
      <c r="AL6" s="55"/>
    </row>
    <row r="7" spans="1:39" ht="15.75" customHeight="1">
      <c r="A7" s="13">
        <f>IF(OR(ISBLANK(C7),ISBLANK(D7),ISBLANK(F7),ISBLANK(G7)),"",COUNTIF($B$5:B7,"JAMBUTU"))</f>
        <v>3</v>
      </c>
      <c r="B7" s="8" t="s">
        <v>78</v>
      </c>
      <c r="C7" s="8" t="s">
        <v>4</v>
      </c>
      <c r="D7" s="8" t="s">
        <v>6</v>
      </c>
      <c r="E7" s="13">
        <v>2.5</v>
      </c>
      <c r="F7" s="12">
        <v>46088</v>
      </c>
      <c r="G7" s="11">
        <v>0.51180555555555551</v>
      </c>
      <c r="H7" s="12">
        <v>46088</v>
      </c>
      <c r="I7" s="11">
        <v>0.52083333333333337</v>
      </c>
      <c r="J7" s="10">
        <f t="shared" si="0"/>
        <v>46088.511805555558</v>
      </c>
      <c r="K7" s="10">
        <f t="shared" si="1"/>
        <v>46088.520833333336</v>
      </c>
      <c r="L7" s="9">
        <f t="shared" si="2"/>
        <v>9.0277777781011537E-3</v>
      </c>
      <c r="M7" s="8" t="s">
        <v>15</v>
      </c>
      <c r="N7" s="8" t="s">
        <v>1</v>
      </c>
      <c r="O7" s="8" t="s">
        <v>0</v>
      </c>
      <c r="P7" s="8"/>
      <c r="Q7" s="8"/>
      <c r="R7" s="8"/>
      <c r="S7" s="8"/>
      <c r="T7" s="8"/>
      <c r="U7" s="8"/>
      <c r="V7" s="7"/>
      <c r="W7" s="6" t="e">
        <f t="array" aca="1" ref="W7" ca="1">IF(NOT(ISBLANK(D7)),_xludf.XLOOKUP(D7,[2]CODE!$A$4:$A$100,[2]CODE!$D$4:$D$100),"")</f>
        <v>#NAME?</v>
      </c>
      <c r="X7" s="5" t="e">
        <f t="array" aca="1" ref="X7" ca="1">IF(NOT(AND(ISBLANK(D7),ISBLANK(C7))),_xludf.XLOOKUP(D7,[2]CODE!$A$4:$A$100,[2]CODE!$E$4:$E$100),"")</f>
        <v>#NAME?</v>
      </c>
      <c r="Y7" s="5" t="str">
        <f t="shared" si="3"/>
        <v>33KV</v>
      </c>
      <c r="Z7" s="5" t="str">
        <f t="shared" si="4"/>
        <v>YES</v>
      </c>
      <c r="AA7" s="4">
        <f t="shared" si="5"/>
        <v>46088</v>
      </c>
      <c r="AC7" s="26">
        <v>46054</v>
      </c>
      <c r="AD7" s="25">
        <f ca="1">IFERROR(__xludf.DUMMYFUNCTION("IFERROR(SUM(FILTER($L$5:$L$1002,$C$5:$C$1002=$AD$5,$F$5:$F$1002=AC7))*24,0)"),0)</f>
        <v>0</v>
      </c>
      <c r="AE7" s="30">
        <f t="array" ref="AE7:AE37">TRANSPOSE('[2]ENERGY ACCOUNT'!E19:AI19)</f>
        <v>24</v>
      </c>
      <c r="AF7" s="29" t="str">
        <f t="shared" ref="AF7:AF37" ca="1" si="6">IF(SUM(AD7+AE7)=0,"",IF(ABS(24-SUM(AD7+AE7))&lt;0.004,REPT("✅",5),REPT("❌",5)))</f>
        <v>✅✅✅✅✅</v>
      </c>
      <c r="AG7" s="25">
        <f ca="1">IFERROR(__xludf.DUMMYFUNCTION("IFERROR(SUM(FILTER($L$5:$L$1002,$C$5:$C$1002=$AG$5,$F$5:$F$1002=AC7))*24,0)"),20.9999999998253)</f>
        <v>20.999999999825299</v>
      </c>
      <c r="AH7" s="31">
        <f t="array" ref="AH7:AH37">TRANSPOSE('[2]ENERGY ACCOUNT'!E22:AI22)</f>
        <v>3</v>
      </c>
      <c r="AI7" s="29" t="str">
        <f t="shared" ref="AI7:AI37" ca="1" si="7">IF(SUM(AG7+AH7)=0,"",IF(ABS(24-SUM(AG7+AH7))&lt;0.004,REPT("✅",5),REPT("❌",5)))</f>
        <v>✅✅✅✅✅</v>
      </c>
      <c r="AJ7" s="25">
        <f ca="1">IFERROR(__xludf.DUMMYFUNCTION("IFERROR(SUM(FILTER($L$5:$L$1002,$C$5:$C$1002=$AJ$5,$F$5:$F$1002=AC7))*24,0)"),21.9999999999417)</f>
        <v>21.9999999999417</v>
      </c>
      <c r="AK7" s="30">
        <f t="array" ref="AK7:AK37">TRANSPOSE('[2]ENERGY ACCOUNT'!E25:AI25)</f>
        <v>2</v>
      </c>
      <c r="AL7" s="29" t="str">
        <f t="shared" ref="AL7:AL37" ca="1" si="8">IF(SUM(AJ7+AK7)=0,"",IF(ABS(24-SUM(AJ7+AK7))&lt;0.004,REPT("✅",5),REPT("❌",5)))</f>
        <v>✅✅✅✅✅</v>
      </c>
    </row>
    <row r="8" spans="1:39" ht="15.75" customHeight="1">
      <c r="A8" s="13">
        <f>IF(OR(ISBLANK(C8),ISBLANK(D8),ISBLANK(F8),ISBLANK(G8)),"",COUNTIF($B$5:B8,"JAMBUTU"))</f>
        <v>4</v>
      </c>
      <c r="B8" s="8" t="s">
        <v>78</v>
      </c>
      <c r="C8" s="8" t="s">
        <v>4</v>
      </c>
      <c r="D8" s="8" t="s">
        <v>6</v>
      </c>
      <c r="E8" s="13">
        <v>3.5</v>
      </c>
      <c r="F8" s="12">
        <v>46090</v>
      </c>
      <c r="G8" s="11">
        <v>0.56388888888888888</v>
      </c>
      <c r="H8" s="12">
        <v>46090</v>
      </c>
      <c r="I8" s="11">
        <v>0.56736111111111109</v>
      </c>
      <c r="J8" s="10">
        <f t="shared" si="0"/>
        <v>46090.563888888886</v>
      </c>
      <c r="K8" s="10">
        <f t="shared" si="1"/>
        <v>46090.567361111112</v>
      </c>
      <c r="L8" s="9">
        <f t="shared" si="2"/>
        <v>3.4722222262644209E-3</v>
      </c>
      <c r="M8" s="8" t="s">
        <v>9</v>
      </c>
      <c r="N8" s="8" t="s">
        <v>1</v>
      </c>
      <c r="O8" s="8" t="s">
        <v>0</v>
      </c>
      <c r="P8" s="8"/>
      <c r="Q8" s="8"/>
      <c r="R8" s="8"/>
      <c r="S8" s="8"/>
      <c r="T8" s="8"/>
      <c r="U8" s="8"/>
      <c r="V8" s="7"/>
      <c r="W8" s="6" t="e">
        <f t="array" aca="1" ref="W8" ca="1">IF(NOT(ISBLANK(D8)),_xludf.XLOOKUP(D8,[2]CODE!$A$4:$A$100,[2]CODE!$D$4:$D$100),"")</f>
        <v>#NAME?</v>
      </c>
      <c r="X8" s="5" t="e">
        <f t="array" aca="1" ref="X8" ca="1">IF(NOT(AND(ISBLANK(D8),ISBLANK(C8))),_xludf.XLOOKUP(D8,[2]CODE!$A$4:$A$100,[2]CODE!$E$4:$E$100),"")</f>
        <v>#NAME?</v>
      </c>
      <c r="Y8" s="5" t="str">
        <f t="shared" si="3"/>
        <v>33KV</v>
      </c>
      <c r="Z8" s="5" t="str">
        <f t="shared" si="4"/>
        <v>YES</v>
      </c>
      <c r="AA8" s="4">
        <f t="shared" si="5"/>
        <v>46090</v>
      </c>
      <c r="AC8" s="26">
        <v>46055</v>
      </c>
      <c r="AD8" s="25">
        <f ca="1">IFERROR(__xludf.DUMMYFUNCTION("IFERROR(SUM(FILTER($L$5:$L$1002,$C$5:$C$1002=$AD$5,$F$5:$F$1002=AC8))*24,0)"),0.250000000116415)</f>
        <v>0.25000000011641499</v>
      </c>
      <c r="AE8" s="28">
        <v>23.75</v>
      </c>
      <c r="AF8" s="27" t="str">
        <f t="shared" ca="1" si="6"/>
        <v>✅✅✅✅✅</v>
      </c>
      <c r="AG8" s="25">
        <f ca="1">IFERROR(__xludf.DUMMYFUNCTION("IFERROR(SUM(FILTER($L$5:$L$1002,$C$5:$C$1002=$AG$5,$F$5:$F$1002=AC8))*24,0)"),21.166666666686)</f>
        <v>21.166666666686002</v>
      </c>
      <c r="AH8" s="28">
        <v>2.8333333333333335</v>
      </c>
      <c r="AI8" s="27" t="str">
        <f t="shared" ca="1" si="7"/>
        <v>✅✅✅✅✅</v>
      </c>
      <c r="AJ8" s="25">
        <f ca="1">IFERROR(__xludf.DUMMYFUNCTION("IFERROR(SUM(FILTER($L$5:$L$1002,$C$5:$C$1002=$AJ$5,$F$5:$F$1002=AC8))*24,0)"),21.9999999999417)</f>
        <v>21.9999999999417</v>
      </c>
      <c r="AK8" s="28">
        <v>2</v>
      </c>
      <c r="AL8" s="27" t="str">
        <f t="shared" ca="1" si="8"/>
        <v>✅✅✅✅✅</v>
      </c>
    </row>
    <row r="9" spans="1:39" ht="15.75" customHeight="1">
      <c r="A9" s="13">
        <f>IF(OR(ISBLANK(C9),ISBLANK(D9),ISBLANK(F9),ISBLANK(G9)),"",COUNTIF($B$5:B9,"JAMBUTU"))</f>
        <v>5</v>
      </c>
      <c r="B9" s="8" t="s">
        <v>78</v>
      </c>
      <c r="C9" s="8" t="s">
        <v>4</v>
      </c>
      <c r="D9" s="8" t="s">
        <v>6</v>
      </c>
      <c r="E9" s="13">
        <v>3.9</v>
      </c>
      <c r="F9" s="12">
        <v>46090</v>
      </c>
      <c r="G9" s="11">
        <v>0.6791666666666667</v>
      </c>
      <c r="H9" s="12">
        <v>46090</v>
      </c>
      <c r="I9" s="11">
        <v>0.68055555555555558</v>
      </c>
      <c r="J9" s="10">
        <f t="shared" si="0"/>
        <v>46090.679166666669</v>
      </c>
      <c r="K9" s="10">
        <f t="shared" si="1"/>
        <v>46090.680555555555</v>
      </c>
      <c r="L9" s="9">
        <f t="shared" si="2"/>
        <v>1.3888888861401938E-3</v>
      </c>
      <c r="M9" s="8" t="s">
        <v>9</v>
      </c>
      <c r="N9" s="8" t="s">
        <v>1</v>
      </c>
      <c r="O9" s="8" t="s">
        <v>0</v>
      </c>
      <c r="P9" s="8"/>
      <c r="Q9" s="8"/>
      <c r="R9" s="8"/>
      <c r="S9" s="8"/>
      <c r="T9" s="8"/>
      <c r="U9" s="8"/>
      <c r="V9" s="7"/>
      <c r="W9" s="6" t="e">
        <f t="array" aca="1" ref="W9" ca="1">IF(NOT(ISBLANK(D9)),_xludf.XLOOKUP(D9,[2]CODE!$A$4:$A$100,[2]CODE!$D$4:$D$100),"")</f>
        <v>#NAME?</v>
      </c>
      <c r="X9" s="5" t="e">
        <f t="array" aca="1" ref="X9" ca="1">IF(NOT(AND(ISBLANK(D9),ISBLANK(C9))),_xludf.XLOOKUP(D9,[2]CODE!$A$4:$A$100,[2]CODE!$E$4:$E$100),"")</f>
        <v>#NAME?</v>
      </c>
      <c r="Y9" s="5" t="str">
        <f t="shared" si="3"/>
        <v>33KV</v>
      </c>
      <c r="Z9" s="5" t="str">
        <f t="shared" si="4"/>
        <v>YES</v>
      </c>
      <c r="AA9" s="4">
        <f t="shared" si="5"/>
        <v>46090</v>
      </c>
      <c r="AC9" s="26">
        <v>46056</v>
      </c>
      <c r="AD9" s="25">
        <f ca="1">IFERROR(__xludf.DUMMYFUNCTION("IFERROR(SUM(FILTER($L$5:$L$1002,$C$5:$C$1002=$AD$5,$F$5:$F$1002=AC9))*24,0)"),9.99999999976716)</f>
        <v>9.9999999997671605</v>
      </c>
      <c r="AE9" s="28">
        <v>14</v>
      </c>
      <c r="AF9" s="27" t="str">
        <f t="shared" ca="1" si="6"/>
        <v>✅✅✅✅✅</v>
      </c>
      <c r="AG9" s="25">
        <f ca="1">IFERROR(__xludf.DUMMYFUNCTION("IFERROR(SUM(FILTER($L$5:$L$1002,$C$5:$C$1002=$AG$5,$F$5:$F$1002=AC9))*24,0)"),23.3333333334303)</f>
        <v>23.3333333334303</v>
      </c>
      <c r="AH9" s="28">
        <v>0.66666666666666663</v>
      </c>
      <c r="AI9" s="27" t="str">
        <f t="shared" ca="1" si="7"/>
        <v>✅✅✅✅✅</v>
      </c>
      <c r="AJ9" s="25">
        <f ca="1">IFERROR(__xludf.DUMMYFUNCTION("IFERROR(SUM(FILTER($L$5:$L$1002,$C$5:$C$1002=$AJ$5,$F$5:$F$1002=AC9))*24,0)"),24)</f>
        <v>24</v>
      </c>
      <c r="AK9" s="28">
        <v>0</v>
      </c>
      <c r="AL9" s="27" t="str">
        <f t="shared" ca="1" si="8"/>
        <v>✅✅✅✅✅</v>
      </c>
    </row>
    <row r="10" spans="1:39" ht="15.75" customHeight="1">
      <c r="A10" s="13">
        <f>IF(OR(ISBLANK(C10),ISBLANK(D10),ISBLANK(F10),ISBLANK(G10)),"",COUNTIF($B$5:B10,"JAMBUTU"))</f>
        <v>6</v>
      </c>
      <c r="B10" s="8" t="s">
        <v>78</v>
      </c>
      <c r="C10" s="8" t="s">
        <v>3</v>
      </c>
      <c r="D10" s="8" t="s">
        <v>20</v>
      </c>
      <c r="E10" s="13">
        <v>2.2999999999999998</v>
      </c>
      <c r="F10" s="12">
        <v>46091</v>
      </c>
      <c r="G10" s="11">
        <v>0.10416666666666667</v>
      </c>
      <c r="H10" s="12">
        <v>46091</v>
      </c>
      <c r="I10" s="11">
        <v>0.26874999999999999</v>
      </c>
      <c r="J10" s="10">
        <f t="shared" si="0"/>
        <v>46091.104166666664</v>
      </c>
      <c r="K10" s="10">
        <f t="shared" si="1"/>
        <v>46091.268750000003</v>
      </c>
      <c r="L10" s="9">
        <f t="shared" si="2"/>
        <v>0.16458333333866904</v>
      </c>
      <c r="M10" s="8" t="s">
        <v>19</v>
      </c>
      <c r="N10" s="8" t="s">
        <v>1</v>
      </c>
      <c r="O10" s="8" t="s">
        <v>0</v>
      </c>
      <c r="P10" s="8"/>
      <c r="Q10" s="8"/>
      <c r="R10" s="8"/>
      <c r="S10" s="8"/>
      <c r="T10" s="8"/>
      <c r="U10" s="8"/>
      <c r="V10" s="7"/>
      <c r="W10" s="6" t="e">
        <f t="array" aca="1" ref="W10" ca="1">IF(NOT(ISBLANK(D10)),_xludf.XLOOKUP(D10,[2]CODE!$A$4:$A$100,[2]CODE!$D$4:$D$100),"")</f>
        <v>#NAME?</v>
      </c>
      <c r="X10" s="5" t="e">
        <f t="array" aca="1" ref="X10" ca="1">IF(NOT(AND(ISBLANK(D10),ISBLANK(C10))),_xludf.XLOOKUP(D10,[2]CODE!$A$4:$A$100,[2]CODE!$E$4:$E$100),"")</f>
        <v>#NAME?</v>
      </c>
      <c r="Y10" s="5" t="str">
        <f t="shared" si="3"/>
        <v>11kV</v>
      </c>
      <c r="Z10" s="5" t="str">
        <f t="shared" si="4"/>
        <v>YES</v>
      </c>
      <c r="AA10" s="4">
        <f t="shared" si="5"/>
        <v>46091</v>
      </c>
      <c r="AC10" s="26">
        <v>46057</v>
      </c>
      <c r="AD10" s="25">
        <f ca="1">IFERROR(__xludf.DUMMYFUNCTION("IFERROR(SUM(FILTER($L$5:$L$1002,$C$5:$C$1002=$AD$5,$F$5:$F$1002=AC10))*24,0)"),0.383333333360496)</f>
        <v>0.38333333336049602</v>
      </c>
      <c r="AE10" s="28">
        <v>23.616666666666667</v>
      </c>
      <c r="AF10" s="27" t="str">
        <f t="shared" ca="1" si="6"/>
        <v>✅✅✅✅✅</v>
      </c>
      <c r="AG10" s="25">
        <f ca="1">IFERROR(__xludf.DUMMYFUNCTION("IFERROR(SUM(FILTER($L$5:$L$1002,$C$5:$C$1002=$AG$5,$F$5:$F$1002=AC10))*24,0)"),20.966666666558)</f>
        <v>20.966666666558002</v>
      </c>
      <c r="AH10" s="28">
        <v>3.0333333333333332</v>
      </c>
      <c r="AI10" s="27" t="str">
        <f t="shared" ca="1" si="7"/>
        <v>✅✅✅✅✅</v>
      </c>
      <c r="AJ10" s="25">
        <f ca="1">IFERROR(__xludf.DUMMYFUNCTION("IFERROR(SUM(FILTER($L$5:$L$1002,$C$5:$C$1002=$AJ$5,$F$5:$F$1002=AC10))*24,0)"),20.4666666664998)</f>
        <v>20.466666666499801</v>
      </c>
      <c r="AK10" s="28">
        <v>3.5333333333333332</v>
      </c>
      <c r="AL10" s="27" t="str">
        <f t="shared" ca="1" si="8"/>
        <v>✅✅✅✅✅</v>
      </c>
    </row>
    <row r="11" spans="1:39" ht="15.75" customHeight="1">
      <c r="A11" s="13">
        <f>IF(OR(ISBLANK(C11),ISBLANK(D11),ISBLANK(F11),ISBLANK(G11)),"",COUNTIF($B$5:B11,"JAMBUTU"))</f>
        <v>7</v>
      </c>
      <c r="B11" s="8" t="s">
        <v>78</v>
      </c>
      <c r="C11" s="8" t="s">
        <v>4</v>
      </c>
      <c r="D11" s="8" t="s">
        <v>6</v>
      </c>
      <c r="E11" s="13">
        <v>3.1</v>
      </c>
      <c r="F11" s="12">
        <v>46093</v>
      </c>
      <c r="G11" s="11">
        <v>0.39791666666666664</v>
      </c>
      <c r="H11" s="12">
        <v>46093</v>
      </c>
      <c r="I11" s="11">
        <v>0.44166666666666665</v>
      </c>
      <c r="J11" s="10">
        <f t="shared" si="0"/>
        <v>46093.397916666669</v>
      </c>
      <c r="K11" s="10">
        <f t="shared" si="1"/>
        <v>46093.441666666666</v>
      </c>
      <c r="L11" s="9">
        <f t="shared" si="2"/>
        <v>4.3749999997089617E-2</v>
      </c>
      <c r="M11" s="8" t="s">
        <v>9</v>
      </c>
      <c r="N11" s="8" t="s">
        <v>1</v>
      </c>
      <c r="O11" s="8" t="s">
        <v>0</v>
      </c>
      <c r="P11" s="8"/>
      <c r="Q11" s="8"/>
      <c r="R11" s="8"/>
      <c r="S11" s="8"/>
      <c r="T11" s="8"/>
      <c r="U11" s="8"/>
      <c r="V11" s="7"/>
      <c r="W11" s="6" t="e">
        <f t="array" aca="1" ref="W11" ca="1">IF(NOT(ISBLANK(D11)),_xludf.XLOOKUP(D11,[2]CODE!$A$4:$A$100,[2]CODE!$D$4:$D$100),"")</f>
        <v>#NAME?</v>
      </c>
      <c r="X11" s="5" t="e">
        <f t="array" aca="1" ref="X11" ca="1">IF(NOT(AND(ISBLANK(D11),ISBLANK(C11))),_xludf.XLOOKUP(D11,[2]CODE!$A$4:$A$100,[2]CODE!$E$4:$E$100),"")</f>
        <v>#NAME?</v>
      </c>
      <c r="Y11" s="5" t="str">
        <f t="shared" si="3"/>
        <v>33KV</v>
      </c>
      <c r="Z11" s="5" t="str">
        <f t="shared" si="4"/>
        <v>YES</v>
      </c>
      <c r="AA11" s="4">
        <f t="shared" si="5"/>
        <v>46093</v>
      </c>
      <c r="AC11" s="26">
        <v>46058</v>
      </c>
      <c r="AD11" s="25">
        <f ca="1">IFERROR(__xludf.DUMMYFUNCTION("IFERROR(SUM(FILTER($L$5:$L$1002,$C$5:$C$1002=$AD$5,$F$5:$F$1002=AC11))*24,0)"),0.216666666674427)</f>
        <v>0.21666666667442699</v>
      </c>
      <c r="AE11" s="28">
        <v>23.783333333333335</v>
      </c>
      <c r="AF11" s="27" t="str">
        <f t="shared" ca="1" si="6"/>
        <v>✅✅✅✅✅</v>
      </c>
      <c r="AG11" s="25">
        <f ca="1">IFERROR(__xludf.DUMMYFUNCTION("IFERROR(SUM(FILTER($L$5:$L$1002,$C$5:$C$1002=$AG$5,$F$5:$F$1002=AC11))*24,0)"),21.1000000001513)</f>
        <v>21.100000000151301</v>
      </c>
      <c r="AH11" s="28">
        <v>2.9</v>
      </c>
      <c r="AI11" s="27" t="str">
        <f t="shared" ca="1" si="7"/>
        <v>✅✅✅✅✅</v>
      </c>
      <c r="AJ11" s="25">
        <f ca="1">IFERROR(__xludf.DUMMYFUNCTION("IFERROR(SUM(FILTER($L$5:$L$1002,$C$5:$C$1002=$AJ$5,$F$5:$F$1002=AC11))*24,0)"),21.6166666667559)</f>
        <v>21.616666666755901</v>
      </c>
      <c r="AK11" s="28">
        <v>2.3833333333333333</v>
      </c>
      <c r="AL11" s="27" t="str">
        <f t="shared" ca="1" si="8"/>
        <v>✅✅✅✅✅</v>
      </c>
    </row>
    <row r="12" spans="1:39" ht="15.75" customHeight="1">
      <c r="A12" s="13">
        <f>IF(OR(ISBLANK(C12),ISBLANK(D12),ISBLANK(F12),ISBLANK(G12)),"",COUNTIF($B$5:B12,"JAMBUTU"))</f>
        <v>8</v>
      </c>
      <c r="B12" s="8" t="s">
        <v>78</v>
      </c>
      <c r="C12" s="8" t="s">
        <v>4</v>
      </c>
      <c r="D12" s="8" t="s">
        <v>20</v>
      </c>
      <c r="E12" s="13">
        <v>2.2000000000000002</v>
      </c>
      <c r="F12" s="12">
        <v>46093</v>
      </c>
      <c r="G12" s="11">
        <v>0.82847222222222228</v>
      </c>
      <c r="H12" s="12">
        <v>46093</v>
      </c>
      <c r="I12" s="11">
        <v>0.84375</v>
      </c>
      <c r="J12" s="10">
        <f t="shared" si="0"/>
        <v>46093.828472222223</v>
      </c>
      <c r="K12" s="10">
        <f t="shared" si="1"/>
        <v>46093.84375</v>
      </c>
      <c r="L12" s="9">
        <f t="shared" si="2"/>
        <v>1.5277777776645962E-2</v>
      </c>
      <c r="M12" s="8" t="s">
        <v>9</v>
      </c>
      <c r="N12" s="8" t="s">
        <v>1</v>
      </c>
      <c r="O12" s="8" t="s">
        <v>0</v>
      </c>
      <c r="P12" s="8"/>
      <c r="Q12" s="8"/>
      <c r="R12" s="8"/>
      <c r="S12" s="8"/>
      <c r="T12" s="8"/>
      <c r="U12" s="8"/>
      <c r="V12" s="7"/>
      <c r="W12" s="6" t="e">
        <f t="array" aca="1" ref="W12" ca="1">IF(NOT(ISBLANK(D12)),_xludf.XLOOKUP(D12,[2]CODE!$A$4:$A$100,[2]CODE!$D$4:$D$100),"")</f>
        <v>#NAME?</v>
      </c>
      <c r="X12" s="5" t="e">
        <f t="array" aca="1" ref="X12" ca="1">IF(NOT(AND(ISBLANK(D12),ISBLANK(C12))),_xludf.XLOOKUP(D12,[2]CODE!$A$4:$A$100,[2]CODE!$E$4:$E$100),"")</f>
        <v>#NAME?</v>
      </c>
      <c r="Y12" s="5" t="str">
        <f t="shared" si="3"/>
        <v>33KV</v>
      </c>
      <c r="Z12" s="5" t="str">
        <f t="shared" si="4"/>
        <v>YES</v>
      </c>
      <c r="AA12" s="4">
        <f t="shared" si="5"/>
        <v>46093</v>
      </c>
      <c r="AC12" s="26">
        <v>46059</v>
      </c>
      <c r="AD12" s="25">
        <f ca="1">IFERROR(__xludf.DUMMYFUNCTION("IFERROR(SUM(FILTER($L$5:$L$1002,$C$5:$C$1002=$AD$5,$F$5:$F$1002=AC12))*24,0)"),0)</f>
        <v>0</v>
      </c>
      <c r="AE12" s="28">
        <v>24</v>
      </c>
      <c r="AF12" s="27" t="str">
        <f t="shared" ca="1" si="6"/>
        <v>✅✅✅✅✅</v>
      </c>
      <c r="AG12" s="25">
        <f ca="1">IFERROR(__xludf.DUMMYFUNCTION("IFERROR(SUM(FILTER($L$5:$L$1002,$C$5:$C$1002=$AG$5,$F$5:$F$1002=AC12))*24,0)"),18.9166666668606)</f>
        <v>18.9166666668606</v>
      </c>
      <c r="AH12" s="28">
        <v>5.083333333333333</v>
      </c>
      <c r="AI12" s="27" t="str">
        <f t="shared" ca="1" si="7"/>
        <v>✅✅✅✅✅</v>
      </c>
      <c r="AJ12" s="25">
        <f ca="1">IFERROR(__xludf.DUMMYFUNCTION("IFERROR(SUM(FILTER($L$5:$L$1002,$C$5:$C$1002=$AJ$5,$F$5:$F$1002=AC12))*24,0)"),21.8166666665347)</f>
        <v>21.816666666534701</v>
      </c>
      <c r="AK12" s="28">
        <v>2.1833333333333331</v>
      </c>
      <c r="AL12" s="27" t="str">
        <f t="shared" ca="1" si="8"/>
        <v>✅✅✅✅✅</v>
      </c>
    </row>
    <row r="13" spans="1:39" ht="15.75" customHeight="1">
      <c r="A13" s="13">
        <f>IF(OR(ISBLANK(C13),ISBLANK(D13),ISBLANK(F13),ISBLANK(G13)),"",COUNTIF($B$5:B13,"JAMBUTU"))</f>
        <v>9</v>
      </c>
      <c r="B13" s="8" t="s">
        <v>78</v>
      </c>
      <c r="C13" s="8" t="s">
        <v>4</v>
      </c>
      <c r="D13" s="8" t="s">
        <v>6</v>
      </c>
      <c r="E13" s="13">
        <v>2.5</v>
      </c>
      <c r="F13" s="12">
        <v>46094</v>
      </c>
      <c r="G13" s="11">
        <v>0.46875</v>
      </c>
      <c r="H13" s="12">
        <v>46094</v>
      </c>
      <c r="I13" s="11">
        <v>0.59722222222222221</v>
      </c>
      <c r="J13" s="10">
        <f t="shared" si="0"/>
        <v>46094.46875</v>
      </c>
      <c r="K13" s="10">
        <f t="shared" si="1"/>
        <v>46094.597222222219</v>
      </c>
      <c r="L13" s="9">
        <f t="shared" si="2"/>
        <v>0.12847222221898846</v>
      </c>
      <c r="M13" s="8" t="s">
        <v>69</v>
      </c>
      <c r="N13" s="8" t="s">
        <v>1</v>
      </c>
      <c r="O13" s="8" t="s">
        <v>0</v>
      </c>
      <c r="P13" s="8"/>
      <c r="Q13" s="8"/>
      <c r="R13" s="8"/>
      <c r="S13" s="8"/>
      <c r="T13" s="8"/>
      <c r="U13" s="8"/>
      <c r="V13" s="7"/>
      <c r="W13" s="6" t="e">
        <f t="array" aca="1" ref="W13" ca="1">IF(NOT(ISBLANK(D13)),_xludf.XLOOKUP(D13,[2]CODE!$A$4:$A$100,[2]CODE!$D$4:$D$100),"")</f>
        <v>#NAME?</v>
      </c>
      <c r="X13" s="5" t="e">
        <f t="array" aca="1" ref="X13" ca="1">IF(NOT(AND(ISBLANK(D13),ISBLANK(C13))),_xludf.XLOOKUP(D13,[2]CODE!$A$4:$A$100,[2]CODE!$E$4:$E$100),"")</f>
        <v>#NAME?</v>
      </c>
      <c r="Y13" s="5" t="str">
        <f t="shared" si="3"/>
        <v>33KV</v>
      </c>
      <c r="Z13" s="5" t="str">
        <f t="shared" si="4"/>
        <v>YES</v>
      </c>
      <c r="AA13" s="4">
        <f t="shared" si="5"/>
        <v>46094</v>
      </c>
      <c r="AC13" s="26">
        <v>46060</v>
      </c>
      <c r="AD13" s="25">
        <f ca="1">IFERROR(__xludf.DUMMYFUNCTION("IFERROR(SUM(FILTER($L$5:$L$1002,$C$5:$C$1002=$AD$5,$F$5:$F$1002=AC13))*24,0)"),8.94999999983701)</f>
        <v>8.9499999998370097</v>
      </c>
      <c r="AE13" s="28">
        <v>15.05</v>
      </c>
      <c r="AF13" s="27" t="str">
        <f t="shared" ca="1" si="6"/>
        <v>✅✅✅✅✅</v>
      </c>
      <c r="AG13" s="25">
        <f ca="1">IFERROR(__xludf.DUMMYFUNCTION("IFERROR(SUM(FILTER($L$5:$L$1002,$C$5:$C$1002=$AG$5,$F$5:$F$1002=AC13))*24,0)"),22.9833333333372)</f>
        <v>22.9833333333372</v>
      </c>
      <c r="AH13" s="28">
        <v>1.0166666666666666</v>
      </c>
      <c r="AI13" s="27" t="str">
        <f t="shared" ca="1" si="7"/>
        <v>✅✅✅✅✅</v>
      </c>
      <c r="AJ13" s="25">
        <f ca="1">IFERROR(__xludf.DUMMYFUNCTION("IFERROR(SUM(FILTER($L$5:$L$1002,$C$5:$C$1002=$AJ$5,$F$5:$F$1002=AC13))*24,0)"),20.1333333333022)</f>
        <v>20.1333333333022</v>
      </c>
      <c r="AK13" s="28">
        <v>3.8666666666666667</v>
      </c>
      <c r="AL13" s="27" t="str">
        <f t="shared" ca="1" si="8"/>
        <v>✅✅✅✅✅</v>
      </c>
    </row>
    <row r="14" spans="1:39" ht="15.75" customHeight="1">
      <c r="A14" s="13">
        <f>IF(OR(ISBLANK(C14),ISBLANK(D14),ISBLANK(F14),ISBLANK(G14)),"",COUNTIF($B$5:B14,"JAMBUTU"))</f>
        <v>10</v>
      </c>
      <c r="B14" s="8" t="s">
        <v>78</v>
      </c>
      <c r="C14" s="8" t="s">
        <v>4</v>
      </c>
      <c r="D14" s="8" t="s">
        <v>6</v>
      </c>
      <c r="E14" s="13">
        <v>3.5</v>
      </c>
      <c r="F14" s="12">
        <v>46094</v>
      </c>
      <c r="G14" s="11">
        <v>0.68055555555555558</v>
      </c>
      <c r="H14" s="12">
        <v>46094</v>
      </c>
      <c r="I14" s="11">
        <v>0.68402777777777779</v>
      </c>
      <c r="J14" s="10">
        <f t="shared" si="0"/>
        <v>46094.680555555555</v>
      </c>
      <c r="K14" s="10">
        <f t="shared" si="1"/>
        <v>46094.684027777781</v>
      </c>
      <c r="L14" s="9">
        <f t="shared" si="2"/>
        <v>3.4722222262644209E-3</v>
      </c>
      <c r="M14" s="8" t="s">
        <v>16</v>
      </c>
      <c r="N14" s="8" t="s">
        <v>1</v>
      </c>
      <c r="O14" s="8" t="s">
        <v>0</v>
      </c>
      <c r="P14" s="8"/>
      <c r="Q14" s="8"/>
      <c r="R14" s="8"/>
      <c r="S14" s="8"/>
      <c r="T14" s="8"/>
      <c r="U14" s="8"/>
      <c r="V14" s="7"/>
      <c r="W14" s="6" t="e">
        <f t="array" aca="1" ref="W14" ca="1">IF(NOT(ISBLANK(D14)),_xludf.XLOOKUP(D14,[2]CODE!$A$4:$A$100,[2]CODE!$D$4:$D$100),"")</f>
        <v>#NAME?</v>
      </c>
      <c r="X14" s="5" t="e">
        <f t="array" aca="1" ref="X14" ca="1">IF(NOT(AND(ISBLANK(D14),ISBLANK(C14))),_xludf.XLOOKUP(D14,[2]CODE!$A$4:$A$100,[2]CODE!$E$4:$E$100),"")</f>
        <v>#NAME?</v>
      </c>
      <c r="Y14" s="5" t="str">
        <f t="shared" si="3"/>
        <v>33KV</v>
      </c>
      <c r="Z14" s="5" t="str">
        <f t="shared" si="4"/>
        <v>YES</v>
      </c>
      <c r="AA14" s="4">
        <f t="shared" si="5"/>
        <v>46094</v>
      </c>
      <c r="AC14" s="26">
        <v>46061</v>
      </c>
      <c r="AD14" s="25">
        <f ca="1">IFERROR(__xludf.DUMMYFUNCTION("IFERROR(SUM(FILTER($L$5:$L$1002,$C$5:$C$1002=$AD$5,$F$5:$F$1002=AC14))*24,0)"),24)</f>
        <v>24</v>
      </c>
      <c r="AE14" s="28">
        <v>0</v>
      </c>
      <c r="AF14" s="27" t="str">
        <f t="shared" ca="1" si="6"/>
        <v>✅✅✅✅✅</v>
      </c>
      <c r="AG14" s="25">
        <f ca="1">IFERROR(__xludf.DUMMYFUNCTION("IFERROR(SUM(FILTER($L$5:$L$1002,$C$5:$C$1002=$AG$5,$F$5:$F$1002=AC14))*24,0)"),24)</f>
        <v>24</v>
      </c>
      <c r="AH14" s="28">
        <v>0</v>
      </c>
      <c r="AI14" s="27" t="str">
        <f t="shared" ca="1" si="7"/>
        <v>✅✅✅✅✅</v>
      </c>
      <c r="AJ14" s="25">
        <f ca="1">IFERROR(__xludf.DUMMYFUNCTION("IFERROR(SUM(FILTER($L$5:$L$1002,$C$5:$C$1002=$AJ$5,$F$5:$F$1002=AC14))*24,0)"),24)</f>
        <v>24</v>
      </c>
      <c r="AK14" s="28">
        <v>0</v>
      </c>
      <c r="AL14" s="27" t="str">
        <f t="shared" ca="1" si="8"/>
        <v>✅✅✅✅✅</v>
      </c>
    </row>
    <row r="15" spans="1:39" ht="15.75" customHeight="1">
      <c r="A15" s="13">
        <f>IF(OR(ISBLANK(C15),ISBLANK(D15),ISBLANK(F15),ISBLANK(G15)),"",COUNTIF($B$5:B15,"JAMBUTU"))</f>
        <v>11</v>
      </c>
      <c r="B15" s="8" t="s">
        <v>78</v>
      </c>
      <c r="C15" s="8" t="s">
        <v>4</v>
      </c>
      <c r="D15" s="8" t="s">
        <v>6</v>
      </c>
      <c r="E15" s="13">
        <v>3.5</v>
      </c>
      <c r="F15" s="12">
        <v>46094</v>
      </c>
      <c r="G15" s="11">
        <v>0.69097222222222221</v>
      </c>
      <c r="H15" s="12">
        <v>46094</v>
      </c>
      <c r="I15" s="11">
        <v>0.88194444444444442</v>
      </c>
      <c r="J15" s="10">
        <f t="shared" si="0"/>
        <v>46094.690972222219</v>
      </c>
      <c r="K15" s="10">
        <f t="shared" si="1"/>
        <v>46094.881944444445</v>
      </c>
      <c r="L15" s="9">
        <f t="shared" si="2"/>
        <v>0.19097222222626442</v>
      </c>
      <c r="M15" s="8" t="s">
        <v>16</v>
      </c>
      <c r="N15" s="8" t="s">
        <v>1</v>
      </c>
      <c r="O15" s="8" t="s">
        <v>0</v>
      </c>
      <c r="P15" s="8"/>
      <c r="Q15" s="8"/>
      <c r="R15" s="8"/>
      <c r="S15" s="8"/>
      <c r="T15" s="8"/>
      <c r="U15" s="8"/>
      <c r="V15" s="7"/>
      <c r="W15" s="6" t="e">
        <f t="array" aca="1" ref="W15" ca="1">IF(NOT(ISBLANK(D15)),_xludf.XLOOKUP(D15,[2]CODE!$A$4:$A$100,[2]CODE!$D$4:$D$100),"")</f>
        <v>#NAME?</v>
      </c>
      <c r="X15" s="5" t="e">
        <f t="array" aca="1" ref="X15" ca="1">IF(NOT(AND(ISBLANK(D15),ISBLANK(C15))),_xludf.XLOOKUP(D15,[2]CODE!$A$4:$A$100,[2]CODE!$E$4:$E$100),"")</f>
        <v>#NAME?</v>
      </c>
      <c r="Y15" s="5" t="str">
        <f t="shared" si="3"/>
        <v>33KV</v>
      </c>
      <c r="Z15" s="5" t="str">
        <f t="shared" si="4"/>
        <v>YES</v>
      </c>
      <c r="AA15" s="4">
        <f t="shared" si="5"/>
        <v>46094</v>
      </c>
      <c r="AC15" s="26">
        <v>46062</v>
      </c>
      <c r="AD15" s="25">
        <f ca="1">IFERROR(__xludf.DUMMYFUNCTION("IFERROR(SUM(FILTER($L$5:$L$1002,$C$5:$C$1002=$AD$5,$F$5:$F$1002=AC15))*24,0)"),18.3166666666511)</f>
        <v>18.316666666651098</v>
      </c>
      <c r="AE15" s="28">
        <v>5.6833333333333336</v>
      </c>
      <c r="AF15" s="27" t="str">
        <f t="shared" ca="1" si="6"/>
        <v>✅✅✅✅✅</v>
      </c>
      <c r="AG15" s="25">
        <f ca="1">IFERROR(__xludf.DUMMYFUNCTION("IFERROR(SUM(FILTER($L$5:$L$1002,$C$5:$C$1002=$AG$5,$F$5:$F$1002=AC15))*24,0)"),20.4999999999417)</f>
        <v>20.4999999999417</v>
      </c>
      <c r="AH15" s="28">
        <v>3.5</v>
      </c>
      <c r="AI15" s="27" t="str">
        <f t="shared" ca="1" si="7"/>
        <v>✅✅✅✅✅</v>
      </c>
      <c r="AJ15" s="25">
        <f ca="1">IFERROR(__xludf.DUMMYFUNCTION("IFERROR(SUM(FILTER($L$5:$L$1002,$C$5:$C$1002=$AJ$5,$F$5:$F$1002=AC15))*24,0)"),21.2333333333954)</f>
        <v>21.2333333333954</v>
      </c>
      <c r="AK15" s="28">
        <v>2.7666666666666666</v>
      </c>
      <c r="AL15" s="27" t="str">
        <f t="shared" ca="1" si="8"/>
        <v>✅✅✅✅✅</v>
      </c>
    </row>
    <row r="16" spans="1:39" ht="15.75" customHeight="1">
      <c r="A16" s="13">
        <f>IF(OR(ISBLANK(C16),ISBLANK(D16),ISBLANK(F16),ISBLANK(G16)),"",COUNTIF($B$5:B16,"JAMBUTU"))</f>
        <v>12</v>
      </c>
      <c r="B16" s="8" t="s">
        <v>78</v>
      </c>
      <c r="C16" s="8" t="s">
        <v>3</v>
      </c>
      <c r="D16" s="8" t="s">
        <v>10</v>
      </c>
      <c r="E16" s="13">
        <v>3.5</v>
      </c>
      <c r="F16" s="12">
        <v>46096</v>
      </c>
      <c r="G16" s="11">
        <v>0.52500000000000002</v>
      </c>
      <c r="H16" s="12">
        <v>46096</v>
      </c>
      <c r="I16" s="11">
        <v>0.52638888888888891</v>
      </c>
      <c r="J16" s="10">
        <f t="shared" si="0"/>
        <v>46096.525000000001</v>
      </c>
      <c r="K16" s="10">
        <f t="shared" si="1"/>
        <v>46096.526388888888</v>
      </c>
      <c r="L16" s="9">
        <f t="shared" si="2"/>
        <v>1.3888888861401938E-3</v>
      </c>
      <c r="M16" s="8" t="s">
        <v>68</v>
      </c>
      <c r="N16" s="8" t="s">
        <v>1</v>
      </c>
      <c r="O16" s="8" t="s">
        <v>0</v>
      </c>
      <c r="P16" s="8"/>
      <c r="Q16" s="8"/>
      <c r="R16" s="8"/>
      <c r="S16" s="8"/>
      <c r="T16" s="8"/>
      <c r="U16" s="8"/>
      <c r="V16" s="7"/>
      <c r="W16" s="6" t="e">
        <f t="array" aca="1" ref="W16" ca="1">IF(NOT(ISBLANK(D16)),_xludf.XLOOKUP(D16,[2]CODE!$A$4:$A$100,[2]CODE!$D$4:$D$100),"")</f>
        <v>#NAME?</v>
      </c>
      <c r="X16" s="5" t="e">
        <f t="array" aca="1" ref="X16" ca="1">IF(NOT(AND(ISBLANK(D16),ISBLANK(C16))),_xludf.XLOOKUP(D16,[2]CODE!$A$4:$A$100,[2]CODE!$E$4:$E$100),"")</f>
        <v>#NAME?</v>
      </c>
      <c r="Y16" s="5" t="str">
        <f t="shared" si="3"/>
        <v>11kV</v>
      </c>
      <c r="Z16" s="5" t="str">
        <f t="shared" si="4"/>
        <v>YES</v>
      </c>
      <c r="AA16" s="4">
        <f t="shared" si="5"/>
        <v>46096</v>
      </c>
      <c r="AC16" s="26">
        <v>46063</v>
      </c>
      <c r="AD16" s="25">
        <f ca="1">IFERROR(__xludf.DUMMYFUNCTION("IFERROR(SUM(FILTER($L$5:$L$1002,$C$5:$C$1002=$AD$5,$F$5:$F$1002=AC16))*24,0)"),0.199999999953433)</f>
        <v>0.19999999995343301</v>
      </c>
      <c r="AE16" s="28">
        <v>23.8</v>
      </c>
      <c r="AF16" s="27" t="str">
        <f t="shared" ca="1" si="6"/>
        <v>✅✅✅✅✅</v>
      </c>
      <c r="AG16" s="25">
        <f ca="1">IFERROR(__xludf.DUMMYFUNCTION("IFERROR(SUM(FILTER($L$5:$L$1002,$C$5:$C$1002=$AG$5,$F$5:$F$1002=AC16))*24,0)"),18.4833333331625)</f>
        <v>18.483333333162498</v>
      </c>
      <c r="AH16" s="28">
        <v>5.5166666666666666</v>
      </c>
      <c r="AI16" s="27" t="str">
        <f t="shared" ca="1" si="7"/>
        <v>✅✅✅✅✅</v>
      </c>
      <c r="AJ16" s="25">
        <f ca="1">IFERROR(__xludf.DUMMYFUNCTION("IFERROR(SUM(FILTER($L$5:$L$1002,$C$5:$C$1002=$AJ$5,$F$5:$F$1002=AC16))*24,0)"),19.9833333333372)</f>
        <v>19.9833333333372</v>
      </c>
      <c r="AK16" s="28">
        <v>4.0166666666666666</v>
      </c>
      <c r="AL16" s="27" t="str">
        <f t="shared" ca="1" si="8"/>
        <v>✅✅✅✅✅</v>
      </c>
    </row>
    <row r="17" spans="1:38" ht="15.5">
      <c r="A17" s="13">
        <f>IF(OR(ISBLANK(C17),ISBLANK(D17),ISBLANK(F17),ISBLANK(G17)),"",COUNTIF($B$5:B17,"JAMBUTU"))</f>
        <v>13</v>
      </c>
      <c r="B17" s="8" t="s">
        <v>78</v>
      </c>
      <c r="C17" s="8" t="s">
        <v>4</v>
      </c>
      <c r="D17" s="8" t="s">
        <v>55</v>
      </c>
      <c r="E17" s="13">
        <v>3.9</v>
      </c>
      <c r="F17" s="12">
        <v>46098</v>
      </c>
      <c r="G17" s="11">
        <v>0.8125</v>
      </c>
      <c r="H17" s="12">
        <v>46098</v>
      </c>
      <c r="I17" s="11">
        <v>0.88541666666666663</v>
      </c>
      <c r="J17" s="10">
        <f t="shared" si="0"/>
        <v>46098.8125</v>
      </c>
      <c r="K17" s="10">
        <f t="shared" si="1"/>
        <v>46098.885416666664</v>
      </c>
      <c r="L17" s="9">
        <f t="shared" si="2"/>
        <v>7.2916666664241347E-2</v>
      </c>
      <c r="M17" s="8" t="s">
        <v>16</v>
      </c>
      <c r="N17" s="8" t="s">
        <v>1</v>
      </c>
      <c r="O17" s="8" t="s">
        <v>0</v>
      </c>
      <c r="P17" s="8"/>
      <c r="Q17" s="8"/>
      <c r="R17" s="8"/>
      <c r="S17" s="8"/>
      <c r="T17" s="8"/>
      <c r="U17" s="8"/>
      <c r="V17" s="7"/>
      <c r="W17" s="6" t="e">
        <f t="array" aca="1" ref="W17" ca="1">IF(NOT(ISBLANK(D17)),_xludf.XLOOKUP(D17,[2]CODE!$A$4:$A$100,[2]CODE!$D$4:$D$100),"")</f>
        <v>#NAME?</v>
      </c>
      <c r="X17" s="5" t="e">
        <f t="array" aca="1" ref="X17" ca="1">IF(NOT(AND(ISBLANK(D17),ISBLANK(C17))),_xludf.XLOOKUP(D17,[2]CODE!$A$4:$A$100,[2]CODE!$E$4:$E$100),"")</f>
        <v>#NAME?</v>
      </c>
      <c r="Y17" s="5" t="str">
        <f t="shared" si="3"/>
        <v>33KV</v>
      </c>
      <c r="Z17" s="5" t="str">
        <f t="shared" si="4"/>
        <v>YES</v>
      </c>
      <c r="AA17" s="4">
        <f t="shared" si="5"/>
        <v>46098</v>
      </c>
      <c r="AC17" s="26">
        <v>46064</v>
      </c>
      <c r="AD17" s="25">
        <f ca="1">IFERROR(__xludf.DUMMYFUNCTION("IFERROR(SUM(FILTER($L$5:$L$1002,$C$5:$C$1002=$AD$5,$F$5:$F$1002=AC17))*24,0)"),1.00000000011641)</f>
        <v>1.00000000011641</v>
      </c>
      <c r="AE17" s="28">
        <v>23</v>
      </c>
      <c r="AF17" s="27" t="str">
        <f t="shared" ca="1" si="6"/>
        <v>✅✅✅✅✅</v>
      </c>
      <c r="AG17" s="25">
        <f ca="1">IFERROR(__xludf.DUMMYFUNCTION("IFERROR(SUM(FILTER($L$5:$L$1002,$C$5:$C$1002=$AG$5,$F$5:$F$1002=AC17))*24,0)"),23.433333333407)</f>
        <v>23.433333333406999</v>
      </c>
      <c r="AH17" s="28">
        <v>0.56666666666666665</v>
      </c>
      <c r="AI17" s="27" t="str">
        <f t="shared" ca="1" si="7"/>
        <v>✅✅✅✅✅</v>
      </c>
      <c r="AJ17" s="25">
        <f ca="1">IFERROR(__xludf.DUMMYFUNCTION("IFERROR(SUM(FILTER($L$5:$L$1002,$C$5:$C$1002=$AJ$5,$F$5:$F$1002=AC17))*24,0)"),24)</f>
        <v>24</v>
      </c>
      <c r="AK17" s="28">
        <v>0</v>
      </c>
      <c r="AL17" s="27" t="str">
        <f t="shared" ca="1" si="8"/>
        <v>✅✅✅✅✅</v>
      </c>
    </row>
    <row r="18" spans="1:38" ht="15.5">
      <c r="A18" s="13">
        <f>IF(OR(ISBLANK(C18),ISBLANK(D18),ISBLANK(F18),ISBLANK(G18)),"",COUNTIF($B$5:B18,"JAMBUTU"))</f>
        <v>14</v>
      </c>
      <c r="B18" s="8" t="s">
        <v>78</v>
      </c>
      <c r="C18" s="8" t="s">
        <v>3</v>
      </c>
      <c r="D18" s="8" t="s">
        <v>6</v>
      </c>
      <c r="E18" s="13">
        <v>3</v>
      </c>
      <c r="F18" s="12">
        <v>46101</v>
      </c>
      <c r="G18" s="11">
        <v>0.11597222222222223</v>
      </c>
      <c r="H18" s="12">
        <v>46101</v>
      </c>
      <c r="I18" s="11">
        <v>0.13194444444444445</v>
      </c>
      <c r="J18" s="10">
        <f t="shared" si="0"/>
        <v>46101.115972222222</v>
      </c>
      <c r="K18" s="10">
        <f t="shared" si="1"/>
        <v>46101.131944444445</v>
      </c>
      <c r="L18" s="9">
        <f t="shared" si="2"/>
        <v>1.5972222223354038E-2</v>
      </c>
      <c r="M18" s="8" t="s">
        <v>67</v>
      </c>
      <c r="N18" s="8" t="s">
        <v>1</v>
      </c>
      <c r="O18" s="8" t="s">
        <v>0</v>
      </c>
      <c r="P18" s="8"/>
      <c r="Q18" s="8"/>
      <c r="R18" s="8"/>
      <c r="S18" s="8"/>
      <c r="T18" s="8"/>
      <c r="U18" s="8"/>
      <c r="V18" s="7"/>
      <c r="W18" s="6" t="e">
        <f t="array" aca="1" ref="W18" ca="1">IF(NOT(ISBLANK(D18)),_xludf.XLOOKUP(D18,[2]CODE!$A$4:$A$100,[2]CODE!$D$4:$D$100),"")</f>
        <v>#NAME?</v>
      </c>
      <c r="X18" s="5" t="e">
        <f t="array" aca="1" ref="X18" ca="1">IF(NOT(AND(ISBLANK(D18),ISBLANK(C18))),_xludf.XLOOKUP(D18,[2]CODE!$A$4:$A$100,[2]CODE!$E$4:$E$100),"")</f>
        <v>#NAME?</v>
      </c>
      <c r="Y18" s="5" t="str">
        <f t="shared" si="3"/>
        <v>11kV</v>
      </c>
      <c r="Z18" s="5" t="str">
        <f t="shared" si="4"/>
        <v>YES</v>
      </c>
      <c r="AA18" s="4">
        <f t="shared" si="5"/>
        <v>46101</v>
      </c>
      <c r="AC18" s="26">
        <v>46065</v>
      </c>
      <c r="AD18" s="25">
        <f ca="1">IFERROR(__xludf.DUMMYFUNCTION("IFERROR(SUM(FILTER($L$5:$L$1002,$C$5:$C$1002=$AD$5,$F$5:$F$1002=AC18))*24,0)"),0.666666666569653)</f>
        <v>0.66666666656965301</v>
      </c>
      <c r="AE18" s="28">
        <v>23.333333333333332</v>
      </c>
      <c r="AF18" s="27" t="str">
        <f t="shared" ca="1" si="6"/>
        <v>✅✅✅✅✅</v>
      </c>
      <c r="AG18" s="25">
        <f ca="1">IFERROR(__xludf.DUMMYFUNCTION("IFERROR(SUM(FILTER($L$5:$L$1002,$C$5:$C$1002=$AG$5,$F$5:$F$1002=AC18))*24,0)"),20.233333333279)</f>
        <v>20.233333333278999</v>
      </c>
      <c r="AH18" s="28">
        <v>3.7666666666666666</v>
      </c>
      <c r="AI18" s="27" t="str">
        <f t="shared" ca="1" si="7"/>
        <v>✅✅✅✅✅</v>
      </c>
      <c r="AJ18" s="25">
        <f ca="1">IFERROR(__xludf.DUMMYFUNCTION("IFERROR(SUM(FILTER($L$5:$L$1002,$C$5:$C$1002=$AJ$5,$F$5:$F$1002=AC18))*24,0)"),20.0333333331509)</f>
        <v>20.0333333331509</v>
      </c>
      <c r="AK18" s="28">
        <v>3.9666666666666668</v>
      </c>
      <c r="AL18" s="27" t="str">
        <f t="shared" ca="1" si="8"/>
        <v>✅✅✅✅✅</v>
      </c>
    </row>
    <row r="19" spans="1:38" ht="15.5">
      <c r="A19" s="13">
        <f>IF(OR(ISBLANK(C19),ISBLANK(D19),ISBLANK(F19),ISBLANK(G19)),"",COUNTIF($B$5:B19,"JAMBUTU"))</f>
        <v>15</v>
      </c>
      <c r="B19" s="8" t="s">
        <v>78</v>
      </c>
      <c r="C19" s="8" t="s">
        <v>4</v>
      </c>
      <c r="D19" s="8" t="s">
        <v>6</v>
      </c>
      <c r="E19" s="13">
        <v>2.2000000000000002</v>
      </c>
      <c r="F19" s="12">
        <v>46102</v>
      </c>
      <c r="G19" s="11">
        <v>0.68819444444444444</v>
      </c>
      <c r="H19" s="12">
        <v>46103</v>
      </c>
      <c r="I19" s="11">
        <v>0</v>
      </c>
      <c r="J19" s="10">
        <f t="shared" si="0"/>
        <v>46102.688194444447</v>
      </c>
      <c r="K19" s="10">
        <f t="shared" si="1"/>
        <v>46103</v>
      </c>
      <c r="L19" s="9">
        <f t="shared" si="2"/>
        <v>0.31180555555329192</v>
      </c>
      <c r="M19" s="8" t="s">
        <v>66</v>
      </c>
      <c r="N19" s="8" t="s">
        <v>1</v>
      </c>
      <c r="O19" s="8" t="s">
        <v>0</v>
      </c>
      <c r="P19" s="8"/>
      <c r="Q19" s="8"/>
      <c r="R19" s="8"/>
      <c r="S19" s="8"/>
      <c r="T19" s="8"/>
      <c r="U19" s="8"/>
      <c r="V19" s="7"/>
      <c r="W19" s="6" t="e">
        <f t="array" aca="1" ref="W19" ca="1">IF(NOT(ISBLANK(D19)),_xludf.XLOOKUP(D19,[2]CODE!$A$4:$A$100,[2]CODE!$D$4:$D$100),"")</f>
        <v>#NAME?</v>
      </c>
      <c r="X19" s="5" t="e">
        <f t="array" aca="1" ref="X19" ca="1">IF(NOT(AND(ISBLANK(D19),ISBLANK(C19))),_xludf.XLOOKUP(D19,[2]CODE!$A$4:$A$100,[2]CODE!$E$4:$E$100),"")</f>
        <v>#NAME?</v>
      </c>
      <c r="Y19" s="5" t="str">
        <f t="shared" si="3"/>
        <v>33KV</v>
      </c>
      <c r="Z19" s="5" t="str">
        <f t="shared" si="4"/>
        <v>YES</v>
      </c>
      <c r="AA19" s="4">
        <f t="shared" si="5"/>
        <v>46103</v>
      </c>
      <c r="AC19" s="26">
        <v>46066</v>
      </c>
      <c r="AD19" s="25">
        <f ca="1">IFERROR(__xludf.DUMMYFUNCTION("IFERROR(SUM(FILTER($L$5:$L$1002,$C$5:$C$1002=$AD$5,$F$5:$F$1002=AC19))*24,0)"),0)</f>
        <v>0</v>
      </c>
      <c r="AE19" s="28">
        <v>24</v>
      </c>
      <c r="AF19" s="27" t="str">
        <f t="shared" ca="1" si="6"/>
        <v>✅✅✅✅✅</v>
      </c>
      <c r="AG19" s="25">
        <f ca="1">IFERROR(__xludf.DUMMYFUNCTION("IFERROR(SUM(FILTER($L$5:$L$1002,$C$5:$C$1002=$AG$5,$F$5:$F$1002=AC19))*24,0)"),19.633333333244)</f>
        <v>19.633333333244</v>
      </c>
      <c r="AH19" s="28">
        <v>4.3666666666666663</v>
      </c>
      <c r="AI19" s="27" t="str">
        <f t="shared" ca="1" si="7"/>
        <v>✅✅✅✅✅</v>
      </c>
      <c r="AJ19" s="25">
        <f ca="1">IFERROR(__xludf.DUMMYFUNCTION("IFERROR(SUM(FILTER($L$5:$L$1002,$C$5:$C$1002=$AJ$5,$F$5:$F$1002=AC19))*24,0)"),21.0166666665463)</f>
        <v>21.0166666665463</v>
      </c>
      <c r="AK19" s="28">
        <v>2.9833333333333334</v>
      </c>
      <c r="AL19" s="27" t="str">
        <f t="shared" ca="1" si="8"/>
        <v>✅✅✅✅✅</v>
      </c>
    </row>
    <row r="20" spans="1:38" ht="15.5">
      <c r="A20" s="13">
        <f>IF(OR(ISBLANK(C20),ISBLANK(D20),ISBLANK(F20),ISBLANK(G20)),"",COUNTIF($B$5:B20,"JAMBUTU"))</f>
        <v>16</v>
      </c>
      <c r="B20" s="8" t="s">
        <v>78</v>
      </c>
      <c r="C20" s="8" t="s">
        <v>4</v>
      </c>
      <c r="D20" s="8" t="s">
        <v>6</v>
      </c>
      <c r="E20" s="13">
        <v>2.2000000000000002</v>
      </c>
      <c r="F20" s="12">
        <v>46103</v>
      </c>
      <c r="G20" s="11">
        <v>0</v>
      </c>
      <c r="H20" s="12">
        <v>46103</v>
      </c>
      <c r="I20" s="11">
        <v>0.32291666666666669</v>
      </c>
      <c r="J20" s="10">
        <f t="shared" si="0"/>
        <v>46103</v>
      </c>
      <c r="K20" s="10">
        <f t="shared" si="1"/>
        <v>46103.322916666664</v>
      </c>
      <c r="L20" s="9">
        <f t="shared" si="2"/>
        <v>0.32291666666424135</v>
      </c>
      <c r="M20" s="8" t="s">
        <v>65</v>
      </c>
      <c r="N20" s="8" t="s">
        <v>1</v>
      </c>
      <c r="O20" s="8" t="s">
        <v>0</v>
      </c>
      <c r="P20" s="8"/>
      <c r="Q20" s="8"/>
      <c r="R20" s="8"/>
      <c r="S20" s="8"/>
      <c r="T20" s="8"/>
      <c r="U20" s="8"/>
      <c r="V20" s="7"/>
      <c r="W20" s="6" t="e">
        <f t="array" aca="1" ref="W20" ca="1">IF(NOT(ISBLANK(D20)),_xludf.XLOOKUP(D20,[2]CODE!$A$4:$A$100,[2]CODE!$D$4:$D$100),"")</f>
        <v>#NAME?</v>
      </c>
      <c r="X20" s="5" t="e">
        <f t="array" aca="1" ref="X20" ca="1">IF(NOT(AND(ISBLANK(D20),ISBLANK(C20))),_xludf.XLOOKUP(D20,[2]CODE!$A$4:$A$100,[2]CODE!$E$4:$E$100),"")</f>
        <v>#NAME?</v>
      </c>
      <c r="Y20" s="5" t="str">
        <f t="shared" si="3"/>
        <v>33KV</v>
      </c>
      <c r="Z20" s="5" t="str">
        <f t="shared" si="4"/>
        <v>YES</v>
      </c>
      <c r="AA20" s="4">
        <f t="shared" si="5"/>
        <v>46103</v>
      </c>
      <c r="AC20" s="26">
        <v>46067</v>
      </c>
      <c r="AD20" s="25">
        <f ca="1">IFERROR(__xludf.DUMMYFUNCTION("IFERROR(SUM(FILTER($L$5:$L$1002,$C$5:$C$1002=$AD$5,$F$5:$F$1002=AC20))*24,0)"),0)</f>
        <v>0</v>
      </c>
      <c r="AE20" s="28">
        <v>24</v>
      </c>
      <c r="AF20" s="27" t="str">
        <f t="shared" ca="1" si="6"/>
        <v>✅✅✅✅✅</v>
      </c>
      <c r="AG20" s="25">
        <f ca="1">IFERROR(__xludf.DUMMYFUNCTION("IFERROR(SUM(FILTER($L$5:$L$1002,$C$5:$C$1002=$AG$5,$F$5:$F$1002=AC20))*24,0)"),20.0000000000582)</f>
        <v>20.000000000058201</v>
      </c>
      <c r="AH20" s="28">
        <v>4</v>
      </c>
      <c r="AI20" s="27" t="str">
        <f t="shared" ca="1" si="7"/>
        <v>✅✅✅✅✅</v>
      </c>
      <c r="AJ20" s="25">
        <f ca="1">IFERROR(__xludf.DUMMYFUNCTION("IFERROR(SUM(FILTER($L$5:$L$1002,$C$5:$C$1002=$AJ$5,$F$5:$F$1002=AC20))*24,0)"),17.0000000000582)</f>
        <v>17.000000000058201</v>
      </c>
      <c r="AK20" s="28">
        <v>7</v>
      </c>
      <c r="AL20" s="27" t="str">
        <f t="shared" ca="1" si="8"/>
        <v>✅✅✅✅✅</v>
      </c>
    </row>
    <row r="21" spans="1:38" ht="15.5">
      <c r="A21" s="13">
        <f>IF(OR(ISBLANK(C21),ISBLANK(D21),ISBLANK(F21),ISBLANK(G21)),"",COUNTIF($B$5:B21,"JAMBUTU"))</f>
        <v>17</v>
      </c>
      <c r="B21" s="8" t="s">
        <v>78</v>
      </c>
      <c r="C21" s="8" t="s">
        <v>4</v>
      </c>
      <c r="D21" s="8" t="s">
        <v>6</v>
      </c>
      <c r="E21" s="13">
        <v>2.2000000000000002</v>
      </c>
      <c r="F21" s="12">
        <v>46103</v>
      </c>
      <c r="G21" s="11">
        <v>0.36458333333333331</v>
      </c>
      <c r="H21" s="12">
        <v>46103</v>
      </c>
      <c r="I21" s="11">
        <v>0.36805555555555558</v>
      </c>
      <c r="J21" s="10">
        <f t="shared" si="0"/>
        <v>46103.364583333336</v>
      </c>
      <c r="K21" s="10">
        <f t="shared" si="1"/>
        <v>46103.368055555555</v>
      </c>
      <c r="L21" s="9">
        <f t="shared" si="2"/>
        <v>3.4722222189884633E-3</v>
      </c>
      <c r="M21" s="8" t="s">
        <v>16</v>
      </c>
      <c r="N21" s="8" t="s">
        <v>1</v>
      </c>
      <c r="O21" s="8" t="s">
        <v>0</v>
      </c>
      <c r="P21" s="8"/>
      <c r="Q21" s="8"/>
      <c r="R21" s="8"/>
      <c r="S21" s="8"/>
      <c r="T21" s="8"/>
      <c r="U21" s="8"/>
      <c r="V21" s="7"/>
      <c r="W21" s="6" t="e">
        <f t="array" aca="1" ref="W21" ca="1">IF(NOT(ISBLANK(D21)),_xludf.XLOOKUP(D21,[2]CODE!$A$4:$A$100,[2]CODE!$D$4:$D$100),"")</f>
        <v>#NAME?</v>
      </c>
      <c r="X21" s="5" t="e">
        <f t="array" aca="1" ref="X21" ca="1">IF(NOT(AND(ISBLANK(D21),ISBLANK(C21))),_xludf.XLOOKUP(D21,[2]CODE!$A$4:$A$100,[2]CODE!$E$4:$E$100),"")</f>
        <v>#NAME?</v>
      </c>
      <c r="Y21" s="5" t="str">
        <f t="shared" si="3"/>
        <v>33KV</v>
      </c>
      <c r="Z21" s="5" t="str">
        <f t="shared" si="4"/>
        <v>YES</v>
      </c>
      <c r="AA21" s="4">
        <f t="shared" si="5"/>
        <v>46103</v>
      </c>
      <c r="AC21" s="26">
        <v>46068</v>
      </c>
      <c r="AD21" s="25">
        <f ca="1">IFERROR(__xludf.DUMMYFUNCTION("IFERROR(SUM(FILTER($L$5:$L$1002,$C$5:$C$1002=$AD$5,$F$5:$F$1002=AC21))*24,0)"),0.616666666755918)</f>
        <v>0.61666666675591797</v>
      </c>
      <c r="AE21" s="28">
        <v>23.383333333333333</v>
      </c>
      <c r="AF21" s="27" t="str">
        <f t="shared" ca="1" si="6"/>
        <v>✅✅✅✅✅</v>
      </c>
      <c r="AG21" s="25">
        <f ca="1">IFERROR(__xludf.DUMMYFUNCTION("IFERROR(SUM(FILTER($L$5:$L$1002,$C$5:$C$1002=$AG$5,$F$5:$F$1002=AC21))*24,0)"),20.0000000000582)</f>
        <v>20.000000000058201</v>
      </c>
      <c r="AH21" s="28">
        <v>4</v>
      </c>
      <c r="AI21" s="27" t="str">
        <f t="shared" ca="1" si="7"/>
        <v>✅✅✅✅✅</v>
      </c>
      <c r="AJ21" s="25">
        <f ca="1">IFERROR(__xludf.DUMMYFUNCTION("IFERROR(SUM(FILTER($L$5:$L$1002,$C$5:$C$1002=$AJ$5,$F$5:$F$1002=AC21))*24,0)"),21)</f>
        <v>21</v>
      </c>
      <c r="AK21" s="28">
        <v>3</v>
      </c>
      <c r="AL21" s="27" t="str">
        <f t="shared" ca="1" si="8"/>
        <v>✅✅✅✅✅</v>
      </c>
    </row>
    <row r="22" spans="1:38" ht="15.5">
      <c r="A22" s="13">
        <f>IF(OR(ISBLANK(C22),ISBLANK(D22),ISBLANK(F22),ISBLANK(G22)),"",COUNTIF($B$5:B22,"JAMBUTU"))</f>
        <v>18</v>
      </c>
      <c r="B22" s="8" t="s">
        <v>78</v>
      </c>
      <c r="C22" s="8" t="s">
        <v>4</v>
      </c>
      <c r="D22" s="8" t="s">
        <v>55</v>
      </c>
      <c r="E22" s="13">
        <v>3.7</v>
      </c>
      <c r="F22" s="12">
        <v>46111</v>
      </c>
      <c r="G22" s="11">
        <v>0.77013888888888893</v>
      </c>
      <c r="H22" s="12">
        <v>46111</v>
      </c>
      <c r="I22" s="11">
        <v>0.77430555555555558</v>
      </c>
      <c r="J22" s="10">
        <f t="shared" si="0"/>
        <v>46111.770138888889</v>
      </c>
      <c r="K22" s="10">
        <f t="shared" si="1"/>
        <v>46111.774305555555</v>
      </c>
      <c r="L22" s="9">
        <f t="shared" si="2"/>
        <v>4.166666665696539E-3</v>
      </c>
      <c r="M22" s="8" t="s">
        <v>16</v>
      </c>
      <c r="N22" s="8" t="s">
        <v>1</v>
      </c>
      <c r="O22" s="8" t="s">
        <v>0</v>
      </c>
      <c r="P22" s="8"/>
      <c r="Q22" s="8"/>
      <c r="R22" s="8"/>
      <c r="S22" s="8"/>
      <c r="T22" s="8"/>
      <c r="U22" s="8"/>
      <c r="V22" s="7"/>
      <c r="W22" s="6" t="e">
        <f t="array" aca="1" ref="W22" ca="1">IF(NOT(ISBLANK(D22)),_xludf.XLOOKUP(D22,[2]CODE!$A$4:$A$100,[2]CODE!$D$4:$D$100),"")</f>
        <v>#NAME?</v>
      </c>
      <c r="X22" s="5" t="e">
        <f t="array" aca="1" ref="X22" ca="1">IF(NOT(AND(ISBLANK(D22),ISBLANK(C22))),_xludf.XLOOKUP(D22,[2]CODE!$A$4:$A$100,[2]CODE!$E$4:$E$100),"")</f>
        <v>#NAME?</v>
      </c>
      <c r="Y22" s="5" t="str">
        <f t="shared" si="3"/>
        <v>33KV</v>
      </c>
      <c r="Z22" s="5" t="str">
        <f t="shared" si="4"/>
        <v>YES</v>
      </c>
      <c r="AA22" s="4">
        <f t="shared" si="5"/>
        <v>46111</v>
      </c>
      <c r="AC22" s="26">
        <v>46069</v>
      </c>
      <c r="AD22" s="25">
        <f ca="1">IFERROR(__xludf.DUMMYFUNCTION("IFERROR(SUM(FILTER($L$5:$L$1002,$C$5:$C$1002=$AD$5,$F$5:$F$1002=AC22))*24,0)"),0.0833333332557231)</f>
        <v>8.3333333255723105E-2</v>
      </c>
      <c r="AE22" s="28">
        <v>23.916666666666668</v>
      </c>
      <c r="AF22" s="27" t="str">
        <f t="shared" ca="1" si="6"/>
        <v>✅✅✅✅✅</v>
      </c>
      <c r="AG22" s="25">
        <f ca="1">IFERROR(__xludf.DUMMYFUNCTION("IFERROR(SUM(FILTER($L$5:$L$1002,$C$5:$C$1002=$AG$5,$F$5:$F$1002=AC22))*24,0)"),21.0000000001746)</f>
        <v>21.000000000174602</v>
      </c>
      <c r="AH22" s="28">
        <v>3</v>
      </c>
      <c r="AI22" s="27" t="str">
        <f t="shared" ca="1" si="7"/>
        <v>✅✅✅✅✅</v>
      </c>
      <c r="AJ22" s="25">
        <f ca="1">IFERROR(__xludf.DUMMYFUNCTION("IFERROR(SUM(FILTER($L$5:$L$1002,$C$5:$C$1002=$AJ$5,$F$5:$F$1002=AC22))*24,0)"),21.0000000001746)</f>
        <v>21.000000000174602</v>
      </c>
      <c r="AK22" s="28">
        <v>3</v>
      </c>
      <c r="AL22" s="27" t="str">
        <f t="shared" ca="1" si="8"/>
        <v>✅✅✅✅✅</v>
      </c>
    </row>
    <row r="23" spans="1:38" ht="15.5">
      <c r="A23" s="13">
        <f>IF(OR(ISBLANK(C23),ISBLANK(D23),ISBLANK(F23),ISBLANK(G23)),"",COUNTIF($B$5:B23,"JAMBUTU"))</f>
        <v>19</v>
      </c>
      <c r="B23" s="8" t="s">
        <v>78</v>
      </c>
      <c r="C23" s="8" t="s">
        <v>4</v>
      </c>
      <c r="D23" s="8" t="s">
        <v>55</v>
      </c>
      <c r="E23" s="13">
        <v>3.7</v>
      </c>
      <c r="F23" s="12">
        <v>46111</v>
      </c>
      <c r="G23" s="11">
        <v>0.78125</v>
      </c>
      <c r="H23" s="12">
        <v>46111</v>
      </c>
      <c r="I23" s="11">
        <v>0.96527777777777779</v>
      </c>
      <c r="J23" s="10">
        <f t="shared" si="0"/>
        <v>46111.78125</v>
      </c>
      <c r="K23" s="10">
        <f t="shared" si="1"/>
        <v>46111.965277777781</v>
      </c>
      <c r="L23" s="9">
        <f t="shared" si="2"/>
        <v>0.18402777778101154</v>
      </c>
      <c r="M23" s="8" t="s">
        <v>16</v>
      </c>
      <c r="N23" s="8" t="s">
        <v>1</v>
      </c>
      <c r="O23" s="8" t="s">
        <v>0</v>
      </c>
      <c r="P23" s="8"/>
      <c r="Q23" s="8"/>
      <c r="R23" s="8"/>
      <c r="S23" s="8"/>
      <c r="T23" s="8"/>
      <c r="U23" s="8"/>
      <c r="V23" s="7"/>
      <c r="W23" s="6" t="e">
        <f t="array" aca="1" ref="W23" ca="1">IF(NOT(ISBLANK(D23)),_xludf.XLOOKUP(D23,[2]CODE!$A$4:$A$100,[2]CODE!$D$4:$D$100),"")</f>
        <v>#NAME?</v>
      </c>
      <c r="X23" s="5" t="e">
        <f t="array" aca="1" ref="X23" ca="1">IF(NOT(AND(ISBLANK(D23),ISBLANK(C23))),_xludf.XLOOKUP(D23,[2]CODE!$A$4:$A$100,[2]CODE!$E$4:$E$100),"")</f>
        <v>#NAME?</v>
      </c>
      <c r="Y23" s="5" t="str">
        <f t="shared" si="3"/>
        <v>33KV</v>
      </c>
      <c r="Z23" s="5" t="str">
        <f t="shared" si="4"/>
        <v>YES</v>
      </c>
      <c r="AA23" s="4">
        <f t="shared" si="5"/>
        <v>46111</v>
      </c>
      <c r="AC23" s="26">
        <v>46070</v>
      </c>
      <c r="AD23" s="25">
        <f ca="1">IFERROR(__xludf.DUMMYFUNCTION("IFERROR(SUM(FILTER($L$5:$L$1002,$C$5:$C$1002=$AD$5,$F$5:$F$1002=AC23))*24,0)"),1.11666666646488)</f>
        <v>1.1166666664648801</v>
      </c>
      <c r="AE23" s="28">
        <v>22.883333333333333</v>
      </c>
      <c r="AF23" s="27" t="str">
        <f t="shared" ca="1" si="6"/>
        <v>✅✅✅✅✅</v>
      </c>
      <c r="AG23" s="25">
        <f ca="1">IFERROR(__xludf.DUMMYFUNCTION("IFERROR(SUM(FILTER($L$5:$L$1002,$C$5:$C$1002=$AG$5,$F$5:$F$1002=AC23))*24,0)"),19.3333333333139)</f>
        <v>19.333333333313899</v>
      </c>
      <c r="AH23" s="28">
        <v>4.666666666666667</v>
      </c>
      <c r="AI23" s="27" t="str">
        <f t="shared" ca="1" si="7"/>
        <v>✅✅✅✅✅</v>
      </c>
      <c r="AJ23" s="25">
        <f ca="1">IFERROR(__xludf.DUMMYFUNCTION("IFERROR(SUM(FILTER($L$5:$L$1002,$C$5:$C$1002=$AJ$5,$F$5:$F$1002=AC23))*24,0)"),20.8333333333139)</f>
        <v>20.833333333313899</v>
      </c>
      <c r="AK23" s="28">
        <v>3.1666666666666665</v>
      </c>
      <c r="AL23" s="27" t="str">
        <f t="shared" ca="1" si="8"/>
        <v>✅✅✅✅✅</v>
      </c>
    </row>
    <row r="24" spans="1:38" ht="15.5">
      <c r="A24" s="13">
        <f>IF(OR(ISBLANK(C24),ISBLANK(D24),ISBLANK(F24),ISBLANK(G24)),"",COUNTIF($B$5:B24,"JAMBUTU"))</f>
        <v>20</v>
      </c>
      <c r="B24" s="8" t="s">
        <v>78</v>
      </c>
      <c r="C24" s="8" t="s">
        <v>4</v>
      </c>
      <c r="D24" s="8" t="s">
        <v>6</v>
      </c>
      <c r="E24" s="13">
        <v>3.3</v>
      </c>
      <c r="F24" s="12">
        <v>46112</v>
      </c>
      <c r="G24" s="11">
        <v>0.64097222222222228</v>
      </c>
      <c r="H24" s="12">
        <v>46112</v>
      </c>
      <c r="I24" s="11">
        <v>0.64583333333333337</v>
      </c>
      <c r="J24" s="10">
        <f t="shared" si="0"/>
        <v>46112.640972222223</v>
      </c>
      <c r="K24" s="10">
        <f t="shared" si="1"/>
        <v>46112.645833333336</v>
      </c>
      <c r="L24" s="9">
        <f t="shared" si="2"/>
        <v>4.8611111124046147E-3</v>
      </c>
      <c r="M24" s="8" t="s">
        <v>16</v>
      </c>
      <c r="N24" s="8" t="s">
        <v>1</v>
      </c>
      <c r="O24" s="8" t="s">
        <v>0</v>
      </c>
      <c r="P24" s="8"/>
      <c r="Q24" s="8"/>
      <c r="R24" s="8"/>
      <c r="S24" s="8"/>
      <c r="T24" s="8"/>
      <c r="U24" s="8"/>
      <c r="V24" s="7"/>
      <c r="W24" s="6" t="e">
        <f t="array" aca="1" ref="W24" ca="1">IF(NOT(ISBLANK(D24)),_xludf.XLOOKUP(D24,[2]CODE!$A$4:$A$100,[2]CODE!$D$4:$D$100),"")</f>
        <v>#NAME?</v>
      </c>
      <c r="X24" s="5" t="e">
        <f t="array" aca="1" ref="X24" ca="1">IF(NOT(AND(ISBLANK(D24),ISBLANK(C24))),_xludf.XLOOKUP(D24,[2]CODE!$A$4:$A$100,[2]CODE!$E$4:$E$100),"")</f>
        <v>#NAME?</v>
      </c>
      <c r="Y24" s="5" t="str">
        <f t="shared" si="3"/>
        <v>33KV</v>
      </c>
      <c r="Z24" s="5" t="str">
        <f t="shared" si="4"/>
        <v>YES</v>
      </c>
      <c r="AA24" s="4">
        <f t="shared" si="5"/>
        <v>46112</v>
      </c>
      <c r="AC24" s="26">
        <v>46071</v>
      </c>
      <c r="AD24" s="25">
        <f ca="1">IFERROR(__xludf.DUMMYFUNCTION("IFERROR(SUM(FILTER($L$5:$L$1002,$C$5:$C$1002=$AD$5,$F$5:$F$1002=AC24))*24,0)"),0)</f>
        <v>0</v>
      </c>
      <c r="AE24" s="28">
        <v>24</v>
      </c>
      <c r="AF24" s="27" t="str">
        <f t="shared" ca="1" si="6"/>
        <v>✅✅✅✅✅</v>
      </c>
      <c r="AG24" s="25">
        <f ca="1">IFERROR(__xludf.DUMMYFUNCTION("IFERROR(SUM(FILTER($L$5:$L$1002,$C$5:$C$1002=$AG$5,$F$5:$F$1002=AC24))*24,0)"),19.9999999998835)</f>
        <v>19.999999999883499</v>
      </c>
      <c r="AH24" s="28">
        <v>4</v>
      </c>
      <c r="AI24" s="27" t="str">
        <f t="shared" ca="1" si="7"/>
        <v>✅✅✅✅✅</v>
      </c>
      <c r="AJ24" s="25">
        <f ca="1">IFERROR(__xludf.DUMMYFUNCTION("IFERROR(SUM(FILTER($L$5:$L$1002,$C$5:$C$1002=$AJ$5,$F$5:$F$1002=AC24))*24,0)"),21.0000000001746)</f>
        <v>21.000000000174602</v>
      </c>
      <c r="AK24" s="28">
        <v>3</v>
      </c>
      <c r="AL24" s="27" t="str">
        <f t="shared" ca="1" si="8"/>
        <v>✅✅✅✅✅</v>
      </c>
    </row>
    <row r="25" spans="1:38" ht="15.5">
      <c r="A25" s="13">
        <f>IF(OR(ISBLANK(C25),ISBLANK(D25),ISBLANK(F25),ISBLANK(G25)),"",COUNTIF($B$5:B25,"JAMBUTU"))</f>
        <v>21</v>
      </c>
      <c r="B25" s="8" t="s">
        <v>78</v>
      </c>
      <c r="C25" s="8" t="s">
        <v>4</v>
      </c>
      <c r="D25" s="8" t="s">
        <v>6</v>
      </c>
      <c r="E25" s="13">
        <v>3.3</v>
      </c>
      <c r="F25" s="12">
        <v>46112</v>
      </c>
      <c r="G25" s="11">
        <v>0.66180555555555554</v>
      </c>
      <c r="H25" s="12">
        <v>46112</v>
      </c>
      <c r="I25" s="11">
        <v>0.88194444444444442</v>
      </c>
      <c r="J25" s="10">
        <f t="shared" si="0"/>
        <v>46112.661805555559</v>
      </c>
      <c r="K25" s="10">
        <f t="shared" si="1"/>
        <v>46112.881944444445</v>
      </c>
      <c r="L25" s="9">
        <f t="shared" si="2"/>
        <v>0.22013888888614019</v>
      </c>
      <c r="M25" s="8" t="s">
        <v>16</v>
      </c>
      <c r="N25" s="8" t="s">
        <v>1</v>
      </c>
      <c r="O25" s="8" t="s">
        <v>0</v>
      </c>
      <c r="P25" s="8"/>
      <c r="Q25" s="8"/>
      <c r="R25" s="8"/>
      <c r="S25" s="8"/>
      <c r="T25" s="8"/>
      <c r="U25" s="8"/>
      <c r="V25" s="7"/>
      <c r="W25" s="6" t="e">
        <f t="array" aca="1" ref="W25" ca="1">IF(NOT(ISBLANK(D25)),_xludf.XLOOKUP(D25,[2]CODE!$A$4:$A$100,[2]CODE!$D$4:$D$100),"")</f>
        <v>#NAME?</v>
      </c>
      <c r="X25" s="5" t="e">
        <f t="array" aca="1" ref="X25" ca="1">IF(NOT(AND(ISBLANK(D25),ISBLANK(C25))),_xludf.XLOOKUP(D25,[2]CODE!$A$4:$A$100,[2]CODE!$E$4:$E$100),"")</f>
        <v>#NAME?</v>
      </c>
      <c r="Y25" s="5" t="str">
        <f t="shared" si="3"/>
        <v>33KV</v>
      </c>
      <c r="Z25" s="5" t="str">
        <f t="shared" si="4"/>
        <v>YES</v>
      </c>
      <c r="AA25" s="4">
        <f t="shared" si="5"/>
        <v>46112</v>
      </c>
      <c r="AC25" s="26">
        <v>46072</v>
      </c>
      <c r="AD25" s="25">
        <f ca="1">IFERROR(__xludf.DUMMYFUNCTION("IFERROR(SUM(FILTER($L$5:$L$1002,$C$5:$C$1002=$AD$5,$F$5:$F$1002=AC25))*24,0)"),2.74999999988358)</f>
        <v>2.7499999998835798</v>
      </c>
      <c r="AE25" s="28">
        <v>21.25</v>
      </c>
      <c r="AF25" s="27" t="str">
        <f t="shared" ca="1" si="6"/>
        <v>✅✅✅✅✅</v>
      </c>
      <c r="AG25" s="25">
        <f ca="1">IFERROR(__xludf.DUMMYFUNCTION("IFERROR(SUM(FILTER($L$5:$L$1002,$C$5:$C$1002=$AG$5,$F$5:$F$1002=AC25))*24,0)"),21.916666666686)</f>
        <v>21.916666666686002</v>
      </c>
      <c r="AH25" s="28">
        <v>2.0833333333333335</v>
      </c>
      <c r="AI25" s="27" t="str">
        <f t="shared" ca="1" si="7"/>
        <v>✅✅✅✅✅</v>
      </c>
      <c r="AJ25" s="25">
        <f ca="1">IFERROR(__xludf.DUMMYFUNCTION("IFERROR(SUM(FILTER($L$5:$L$1002,$C$5:$C$1002=$AJ$5,$F$5:$F$1002=AC25))*24,0)"),23.5833333331975)</f>
        <v>23.583333333197501</v>
      </c>
      <c r="AK25" s="28">
        <v>0.41666666666666669</v>
      </c>
      <c r="AL25" s="27" t="str">
        <f t="shared" ca="1" si="8"/>
        <v>✅✅✅✅✅</v>
      </c>
    </row>
    <row r="26" spans="1:38" ht="15.5">
      <c r="A26" s="13" t="str">
        <f>IF(OR(ISBLANK(C26),ISBLANK(D26),ISBLANK(F26),ISBLANK(G26)),"",COUNTIF($B$5:B26,"JAMBUTU"))</f>
        <v/>
      </c>
      <c r="B26" s="8"/>
      <c r="C26" s="8"/>
      <c r="D26" s="8"/>
      <c r="E26" s="13"/>
      <c r="F26" s="12"/>
      <c r="G26" s="11"/>
      <c r="H26" s="12"/>
      <c r="I26" s="11"/>
      <c r="J26" s="10">
        <f t="shared" si="0"/>
        <v>0</v>
      </c>
      <c r="K26" s="10">
        <f t="shared" si="1"/>
        <v>0</v>
      </c>
      <c r="L26" s="9" t="str">
        <f t="shared" si="2"/>
        <v/>
      </c>
      <c r="M26" s="8"/>
      <c r="N26" s="8"/>
      <c r="O26" s="8"/>
      <c r="P26" s="8"/>
      <c r="Q26" s="8"/>
      <c r="R26" s="8"/>
      <c r="S26" s="8"/>
      <c r="T26" s="8"/>
      <c r="U26" s="8"/>
      <c r="V26" s="7"/>
      <c r="W26" s="6" t="str">
        <f t="array" ref="W26">IF(NOT(ISBLANK(D26)),_xludf.XLOOKUP(D26,[2]CODE!$A$4:$A$100,[2]CODE!$D$4:$D$100),"")</f>
        <v/>
      </c>
      <c r="X26" s="5" t="str">
        <f t="array" ref="X26">IF(NOT(AND(ISBLANK(D26),ISBLANK(C26))),_xludf.XLOOKUP(D26,[2]CODE!$A$4:$A$100,[2]CODE!$E$4:$E$100),"")</f>
        <v/>
      </c>
      <c r="Y26" s="5" t="str">
        <f t="shared" si="3"/>
        <v/>
      </c>
      <c r="Z26" s="5" t="str">
        <f t="shared" si="4"/>
        <v/>
      </c>
      <c r="AA26" s="4">
        <f t="shared" si="5"/>
        <v>0</v>
      </c>
      <c r="AC26" s="26">
        <v>46073</v>
      </c>
      <c r="AD26" s="25">
        <f ca="1">IFERROR(__xludf.DUMMYFUNCTION("IFERROR(SUM(FILTER($L$5:$L$1002,$C$5:$C$1002=$AD$5,$F$5:$F$1002=AC26))*24,0)"),0)</f>
        <v>0</v>
      </c>
      <c r="AE26" s="28">
        <v>24</v>
      </c>
      <c r="AF26" s="27" t="str">
        <f t="shared" ca="1" si="6"/>
        <v>✅✅✅✅✅</v>
      </c>
      <c r="AG26" s="25">
        <f ca="1">IFERROR(__xludf.DUMMYFUNCTION("IFERROR(SUM(FILTER($L$5:$L$1002,$C$5:$C$1002=$AG$5,$F$5:$F$1002=AC26))*24,0)"),19.9999999998835)</f>
        <v>19.999999999883499</v>
      </c>
      <c r="AH26" s="28">
        <v>4</v>
      </c>
      <c r="AI26" s="27" t="str">
        <f t="shared" ca="1" si="7"/>
        <v>✅✅✅✅✅</v>
      </c>
      <c r="AJ26" s="25">
        <f ca="1">IFERROR(__xludf.DUMMYFUNCTION("IFERROR(SUM(FILTER($L$5:$L$1002,$C$5:$C$1002=$AJ$5,$F$5:$F$1002=AC26))*24,0)"),19.9833333333372)</f>
        <v>19.9833333333372</v>
      </c>
      <c r="AK26" s="28">
        <v>4.0166666666666666</v>
      </c>
      <c r="AL26" s="27" t="str">
        <f t="shared" ca="1" si="8"/>
        <v>✅✅✅✅✅</v>
      </c>
    </row>
    <row r="27" spans="1:38" ht="15.5">
      <c r="A27" s="13" t="str">
        <f>IF(OR(ISBLANK(C27),ISBLANK(D27),ISBLANK(F27),ISBLANK(G27)),"",COUNTIF($B$5:B27,"JAMBUTU"))</f>
        <v/>
      </c>
      <c r="B27" s="8"/>
      <c r="C27" s="8"/>
      <c r="D27" s="8"/>
      <c r="E27" s="13"/>
      <c r="F27" s="12"/>
      <c r="G27" s="11"/>
      <c r="H27" s="12"/>
      <c r="I27" s="11"/>
      <c r="J27" s="10">
        <f t="shared" si="0"/>
        <v>0</v>
      </c>
      <c r="K27" s="10">
        <f t="shared" si="1"/>
        <v>0</v>
      </c>
      <c r="L27" s="9" t="str">
        <f t="shared" si="2"/>
        <v/>
      </c>
      <c r="M27" s="8"/>
      <c r="N27" s="8"/>
      <c r="O27" s="8"/>
      <c r="P27" s="8"/>
      <c r="Q27" s="8"/>
      <c r="R27" s="8"/>
      <c r="S27" s="8"/>
      <c r="T27" s="8"/>
      <c r="U27" s="8"/>
      <c r="V27" s="7"/>
      <c r="W27" s="6" t="str">
        <f t="array" ref="W27">IF(NOT(ISBLANK(D27)),_xludf.XLOOKUP(D27,[2]CODE!$A$4:$A$100,[2]CODE!$D$4:$D$100),"")</f>
        <v/>
      </c>
      <c r="X27" s="5" t="str">
        <f t="array" ref="X27">IF(NOT(AND(ISBLANK(D27),ISBLANK(C27))),_xludf.XLOOKUP(D27,[2]CODE!$A$4:$A$100,[2]CODE!$E$4:$E$100),"")</f>
        <v/>
      </c>
      <c r="Y27" s="5" t="str">
        <f t="shared" si="3"/>
        <v/>
      </c>
      <c r="Z27" s="5" t="str">
        <f t="shared" si="4"/>
        <v/>
      </c>
      <c r="AA27" s="4">
        <f t="shared" si="5"/>
        <v>0</v>
      </c>
      <c r="AC27" s="26">
        <v>46074</v>
      </c>
      <c r="AD27" s="25">
        <f ca="1">IFERROR(__xludf.DUMMYFUNCTION("IFERROR(SUM(FILTER($L$5:$L$1002,$C$5:$C$1002=$AD$5,$F$5:$F$1002=AC27))*24,0)"),8.23333333345363)</f>
        <v>8.2333333334536292</v>
      </c>
      <c r="AE27" s="28">
        <v>15.766666666666667</v>
      </c>
      <c r="AF27" s="27" t="str">
        <f t="shared" ca="1" si="6"/>
        <v>✅✅✅✅✅</v>
      </c>
      <c r="AG27" s="25">
        <f ca="1">IFERROR(__xludf.DUMMYFUNCTION("IFERROR(SUM(FILTER($L$5:$L$1002,$C$5:$C$1002=$AG$5,$F$5:$F$1002=AC27))*24,0)"),20.0000000000582)</f>
        <v>20.000000000058201</v>
      </c>
      <c r="AH27" s="28">
        <v>4</v>
      </c>
      <c r="AI27" s="27" t="str">
        <f t="shared" ca="1" si="7"/>
        <v>✅✅✅✅✅</v>
      </c>
      <c r="AJ27" s="25">
        <f ca="1">IFERROR(__xludf.DUMMYFUNCTION("IFERROR(SUM(FILTER($L$5:$L$1002,$C$5:$C$1002=$AJ$5,$F$5:$F$1002=AC27))*24,0)"),19.0000000001164)</f>
        <v>19.000000000116401</v>
      </c>
      <c r="AK27" s="28">
        <v>5</v>
      </c>
      <c r="AL27" s="27" t="str">
        <f t="shared" ca="1" si="8"/>
        <v>✅✅✅✅✅</v>
      </c>
    </row>
    <row r="28" spans="1:38" ht="15.5">
      <c r="A28" s="13" t="str">
        <f>IF(OR(ISBLANK(C28),ISBLANK(D28),ISBLANK(F28),ISBLANK(G28)),"",COUNTIF($B$5:B28,"JAMBUTU"))</f>
        <v/>
      </c>
      <c r="B28" s="8"/>
      <c r="C28" s="8"/>
      <c r="D28" s="8"/>
      <c r="E28" s="13"/>
      <c r="F28" s="12"/>
      <c r="G28" s="11"/>
      <c r="H28" s="12"/>
      <c r="I28" s="11"/>
      <c r="J28" s="10">
        <f t="shared" si="0"/>
        <v>0</v>
      </c>
      <c r="K28" s="10">
        <f t="shared" si="1"/>
        <v>0</v>
      </c>
      <c r="L28" s="9" t="str">
        <f t="shared" si="2"/>
        <v/>
      </c>
      <c r="M28" s="8"/>
      <c r="N28" s="8"/>
      <c r="O28" s="8"/>
      <c r="P28" s="8"/>
      <c r="Q28" s="8"/>
      <c r="R28" s="8"/>
      <c r="S28" s="8"/>
      <c r="T28" s="8"/>
      <c r="U28" s="8"/>
      <c r="V28" s="7"/>
      <c r="W28" s="6" t="str">
        <f t="array" ref="W28">IF(NOT(ISBLANK(D28)),_xludf.XLOOKUP(D28,[2]CODE!$A$4:$A$100,[2]CODE!$D$4:$D$100),"")</f>
        <v/>
      </c>
      <c r="X28" s="5" t="str">
        <f t="array" ref="X28">IF(NOT(AND(ISBLANK(D28),ISBLANK(C28))),_xludf.XLOOKUP(D28,[2]CODE!$A$4:$A$100,[2]CODE!$E$4:$E$100),"")</f>
        <v/>
      </c>
      <c r="Y28" s="5" t="str">
        <f t="shared" si="3"/>
        <v/>
      </c>
      <c r="Z28" s="5" t="str">
        <f t="shared" si="4"/>
        <v/>
      </c>
      <c r="AA28" s="4">
        <f t="shared" si="5"/>
        <v>0</v>
      </c>
      <c r="AC28" s="26">
        <v>46075</v>
      </c>
      <c r="AD28" s="25">
        <f ca="1">IFERROR(__xludf.DUMMYFUNCTION("IFERROR(SUM(FILTER($L$5:$L$1002,$C$5:$C$1002=$AD$5,$F$5:$F$1002=AC28))*24,0)"),0)</f>
        <v>0</v>
      </c>
      <c r="AE28" s="28">
        <v>24</v>
      </c>
      <c r="AF28" s="27" t="str">
        <f t="shared" ca="1" si="6"/>
        <v>✅✅✅✅✅</v>
      </c>
      <c r="AG28" s="25">
        <f ca="1">IFERROR(__xludf.DUMMYFUNCTION("IFERROR(SUM(FILTER($L$5:$L$1002,$C$5:$C$1002=$AG$5,$F$5:$F$1002=AC28))*24,0)"),20.0166666666045)</f>
        <v>20.0166666666045</v>
      </c>
      <c r="AH28" s="28">
        <v>3.9833333333333334</v>
      </c>
      <c r="AI28" s="27" t="str">
        <f t="shared" ca="1" si="7"/>
        <v>✅✅✅✅✅</v>
      </c>
      <c r="AJ28" s="25">
        <f ca="1">IFERROR(__xludf.DUMMYFUNCTION("IFERROR(SUM(FILTER($L$5:$L$1002,$C$5:$C$1002=$AJ$5,$F$5:$F$1002=AC28))*24,0)"),21)</f>
        <v>21</v>
      </c>
      <c r="AK28" s="28">
        <v>3</v>
      </c>
      <c r="AL28" s="27" t="str">
        <f t="shared" ca="1" si="8"/>
        <v>✅✅✅✅✅</v>
      </c>
    </row>
    <row r="29" spans="1:38" ht="15.5">
      <c r="A29" s="13" t="str">
        <f>IF(OR(ISBLANK(C29),ISBLANK(D29),ISBLANK(F29),ISBLANK(G29)),"",COUNTIF($B$5:B29,"JAMBUTU"))</f>
        <v/>
      </c>
      <c r="B29" s="8"/>
      <c r="C29" s="8"/>
      <c r="D29" s="8"/>
      <c r="E29" s="13"/>
      <c r="F29" s="12"/>
      <c r="G29" s="11"/>
      <c r="H29" s="12"/>
      <c r="I29" s="11"/>
      <c r="J29" s="10">
        <f t="shared" si="0"/>
        <v>0</v>
      </c>
      <c r="K29" s="10">
        <f t="shared" si="1"/>
        <v>0</v>
      </c>
      <c r="L29" s="9" t="str">
        <f t="shared" si="2"/>
        <v/>
      </c>
      <c r="M29" s="8"/>
      <c r="N29" s="8"/>
      <c r="O29" s="8"/>
      <c r="P29" s="8"/>
      <c r="Q29" s="8"/>
      <c r="R29" s="8"/>
      <c r="S29" s="8"/>
      <c r="T29" s="8"/>
      <c r="U29" s="8"/>
      <c r="V29" s="7"/>
      <c r="W29" s="6" t="str">
        <f t="array" ref="W29">IF(NOT(ISBLANK(D29)),_xludf.XLOOKUP(D29,[2]CODE!$A$4:$A$100,[2]CODE!$D$4:$D$100),"")</f>
        <v/>
      </c>
      <c r="X29" s="5" t="str">
        <f t="array" ref="X29">IF(NOT(AND(ISBLANK(D29),ISBLANK(C29))),_xludf.XLOOKUP(D29,[2]CODE!$A$4:$A$100,[2]CODE!$E$4:$E$100),"")</f>
        <v/>
      </c>
      <c r="Y29" s="5" t="str">
        <f t="shared" si="3"/>
        <v/>
      </c>
      <c r="Z29" s="5" t="str">
        <f t="shared" si="4"/>
        <v/>
      </c>
      <c r="AA29" s="4">
        <f t="shared" si="5"/>
        <v>0</v>
      </c>
      <c r="AC29" s="26">
        <v>46076</v>
      </c>
      <c r="AD29" s="25">
        <f ca="1">IFERROR(__xludf.DUMMYFUNCTION("IFERROR(SUM(FILTER($L$5:$L$1002,$C$5:$C$1002=$AD$5,$F$5:$F$1002=AC29))*24,0)"),0.349999999918509)</f>
        <v>0.349999999918509</v>
      </c>
      <c r="AE29" s="28">
        <v>23.65</v>
      </c>
      <c r="AF29" s="27" t="str">
        <f t="shared" ca="1" si="6"/>
        <v>✅✅✅✅✅</v>
      </c>
      <c r="AG29" s="25">
        <f ca="1">IFERROR(__xludf.DUMMYFUNCTION("IFERROR(SUM(FILTER($L$5:$L$1002,$C$5:$C$1002=$AG$5,$F$5:$F$1002=AC29))*24,0)"),20.0000000000582)</f>
        <v>20.000000000058201</v>
      </c>
      <c r="AH29" s="28">
        <v>4</v>
      </c>
      <c r="AI29" s="27" t="str">
        <f t="shared" ca="1" si="7"/>
        <v>✅✅✅✅✅</v>
      </c>
      <c r="AJ29" s="25">
        <f ca="1">IFERROR(__xludf.DUMMYFUNCTION("IFERROR(SUM(FILTER($L$5:$L$1002,$C$5:$C$1002=$AJ$5,$F$5:$F$1002=AC29))*24,0)"),21)</f>
        <v>21</v>
      </c>
      <c r="AK29" s="28">
        <v>3</v>
      </c>
      <c r="AL29" s="27" t="str">
        <f t="shared" ca="1" si="8"/>
        <v>✅✅✅✅✅</v>
      </c>
    </row>
    <row r="30" spans="1:38" ht="15.5">
      <c r="A30" s="13" t="str">
        <f>IF(OR(ISBLANK(C30),ISBLANK(D30),ISBLANK(F30),ISBLANK(G30)),"",COUNTIF($B$5:B30,"JAMBUTU"))</f>
        <v/>
      </c>
      <c r="B30" s="8"/>
      <c r="C30" s="8"/>
      <c r="D30" s="8"/>
      <c r="E30" s="13"/>
      <c r="F30" s="12"/>
      <c r="G30" s="11"/>
      <c r="H30" s="12"/>
      <c r="I30" s="11"/>
      <c r="J30" s="10">
        <f t="shared" si="0"/>
        <v>0</v>
      </c>
      <c r="K30" s="10">
        <f t="shared" si="1"/>
        <v>0</v>
      </c>
      <c r="L30" s="9" t="str">
        <f t="shared" si="2"/>
        <v/>
      </c>
      <c r="M30" s="8"/>
      <c r="N30" s="8"/>
      <c r="O30" s="8"/>
      <c r="P30" s="8"/>
      <c r="Q30" s="8"/>
      <c r="R30" s="8"/>
      <c r="S30" s="8"/>
      <c r="T30" s="8"/>
      <c r="U30" s="8"/>
      <c r="V30" s="7"/>
      <c r="W30" s="6" t="str">
        <f t="array" ref="W30">IF(NOT(ISBLANK(D30)),_xludf.XLOOKUP(D30,[2]CODE!$A$4:$A$100,[2]CODE!$D$4:$D$100),"")</f>
        <v/>
      </c>
      <c r="X30" s="5" t="str">
        <f t="array" ref="X30">IF(NOT(AND(ISBLANK(D30),ISBLANK(C30))),_xludf.XLOOKUP(D30,[2]CODE!$A$4:$A$100,[2]CODE!$E$4:$E$100),"")</f>
        <v/>
      </c>
      <c r="Y30" s="5" t="str">
        <f t="shared" si="3"/>
        <v/>
      </c>
      <c r="Z30" s="5" t="str">
        <f t="shared" si="4"/>
        <v/>
      </c>
      <c r="AA30" s="4">
        <f t="shared" si="5"/>
        <v>0</v>
      </c>
      <c r="AC30" s="26">
        <v>46077</v>
      </c>
      <c r="AD30" s="25">
        <f ca="1">IFERROR(__xludf.DUMMYFUNCTION("IFERROR(SUM(FILTER($L$5:$L$1002,$C$5:$C$1002=$AD$5,$F$5:$F$1002=AC30))*24,0)"),0.816666666709352)</f>
        <v>0.81666666670935195</v>
      </c>
      <c r="AE30" s="28">
        <v>23.183333333333334</v>
      </c>
      <c r="AF30" s="27" t="str">
        <f t="shared" ca="1" si="6"/>
        <v>✅✅✅✅✅</v>
      </c>
      <c r="AG30" s="25">
        <f ca="1">IFERROR(__xludf.DUMMYFUNCTION("IFERROR(SUM(FILTER($L$5:$L$1002,$C$5:$C$1002=$AG$5,$F$5:$F$1002=AC30))*24,0)"),19.9166666666278)</f>
        <v>19.916666666627801</v>
      </c>
      <c r="AH30" s="28">
        <v>4.083333333333333</v>
      </c>
      <c r="AI30" s="27" t="str">
        <f t="shared" ca="1" si="7"/>
        <v>✅✅✅✅✅</v>
      </c>
      <c r="AJ30" s="25">
        <f ca="1">IFERROR(__xludf.DUMMYFUNCTION("IFERROR(SUM(FILTER($L$5:$L$1002,$C$5:$C$1002=$AJ$5,$F$5:$F$1002=AC30))*24,0)"),21)</f>
        <v>21</v>
      </c>
      <c r="AK30" s="28">
        <v>3</v>
      </c>
      <c r="AL30" s="27" t="str">
        <f t="shared" ca="1" si="8"/>
        <v>✅✅✅✅✅</v>
      </c>
    </row>
    <row r="31" spans="1:38" ht="15.5">
      <c r="A31" s="13" t="str">
        <f>IF(OR(ISBLANK(C31),ISBLANK(D31),ISBLANK(F31),ISBLANK(G31)),"",COUNTIF($B$5:B31,"JAMBUTU"))</f>
        <v/>
      </c>
      <c r="B31" s="8"/>
      <c r="C31" s="8"/>
      <c r="D31" s="8"/>
      <c r="E31" s="13"/>
      <c r="F31" s="12"/>
      <c r="G31" s="11"/>
      <c r="H31" s="12"/>
      <c r="I31" s="11"/>
      <c r="J31" s="10">
        <f t="shared" si="0"/>
        <v>0</v>
      </c>
      <c r="K31" s="10">
        <f t="shared" si="1"/>
        <v>0</v>
      </c>
      <c r="L31" s="9" t="str">
        <f t="shared" si="2"/>
        <v/>
      </c>
      <c r="M31" s="8"/>
      <c r="N31" s="8"/>
      <c r="O31" s="8"/>
      <c r="P31" s="8"/>
      <c r="Q31" s="8"/>
      <c r="R31" s="8"/>
      <c r="S31" s="8"/>
      <c r="T31" s="8"/>
      <c r="U31" s="8"/>
      <c r="V31" s="7"/>
      <c r="W31" s="6" t="str">
        <f t="array" ref="W31">IF(NOT(ISBLANK(D31)),_xludf.XLOOKUP(D31,[2]CODE!$A$4:$A$100,[2]CODE!$D$4:$D$100),"")</f>
        <v/>
      </c>
      <c r="X31" s="5" t="str">
        <f t="array" ref="X31">IF(NOT(AND(ISBLANK(D31),ISBLANK(C31))),_xludf.XLOOKUP(D31,[2]CODE!$A$4:$A$100,[2]CODE!$E$4:$E$100),"")</f>
        <v/>
      </c>
      <c r="Y31" s="5" t="str">
        <f t="shared" si="3"/>
        <v/>
      </c>
      <c r="Z31" s="5" t="str">
        <f t="shared" si="4"/>
        <v/>
      </c>
      <c r="AA31" s="4">
        <f t="shared" si="5"/>
        <v>0</v>
      </c>
      <c r="AC31" s="26">
        <v>46078</v>
      </c>
      <c r="AD31" s="25">
        <f ca="1">IFERROR(__xludf.DUMMYFUNCTION("IFERROR(SUM(FILTER($L$5:$L$1002,$C$5:$C$1002=$AD$5,$F$5:$F$1002=AC31))*24,0)"),0.0833333334303461)</f>
        <v>8.3333333430346102E-2</v>
      </c>
      <c r="AE31" s="28">
        <v>23.916666666666668</v>
      </c>
      <c r="AF31" s="27" t="str">
        <f t="shared" ca="1" si="6"/>
        <v>✅✅✅✅✅</v>
      </c>
      <c r="AG31" s="25">
        <f ca="1">IFERROR(__xludf.DUMMYFUNCTION("IFERROR(SUM(FILTER($L$5:$L$1002,$C$5:$C$1002=$AG$5,$F$5:$F$1002=AC31))*24,0)"),19.7333333332208)</f>
        <v>19.733333333220799</v>
      </c>
      <c r="AH31" s="28">
        <v>4.2666666666666666</v>
      </c>
      <c r="AI31" s="27" t="str">
        <f t="shared" ca="1" si="7"/>
        <v>✅✅✅✅✅</v>
      </c>
      <c r="AJ31" s="25">
        <f ca="1">IFERROR(__xludf.DUMMYFUNCTION("IFERROR(SUM(FILTER($L$5:$L$1002,$C$5:$C$1002=$AJ$5,$F$5:$F$1002=AC31))*24,0)"),20.3666666666977)</f>
        <v>20.3666666666977</v>
      </c>
      <c r="AK31" s="28">
        <v>3.6333333333333333</v>
      </c>
      <c r="AL31" s="27" t="str">
        <f t="shared" ca="1" si="8"/>
        <v>✅✅✅✅✅</v>
      </c>
    </row>
    <row r="32" spans="1:38" ht="15.5">
      <c r="A32" s="13" t="str">
        <f>IF(OR(ISBLANK(C32),ISBLANK(D32),ISBLANK(F32),ISBLANK(G32)),"",COUNTIF($B$5:B32,"JAMBUTU"))</f>
        <v/>
      </c>
      <c r="B32" s="8"/>
      <c r="C32" s="8"/>
      <c r="D32" s="8"/>
      <c r="E32" s="13"/>
      <c r="F32" s="12"/>
      <c r="G32" s="11"/>
      <c r="H32" s="12"/>
      <c r="I32" s="11"/>
      <c r="J32" s="10">
        <f t="shared" si="0"/>
        <v>0</v>
      </c>
      <c r="K32" s="10">
        <f t="shared" si="1"/>
        <v>0</v>
      </c>
      <c r="L32" s="9" t="str">
        <f t="shared" si="2"/>
        <v/>
      </c>
      <c r="M32" s="8"/>
      <c r="N32" s="8"/>
      <c r="O32" s="8"/>
      <c r="P32" s="8"/>
      <c r="Q32" s="8"/>
      <c r="R32" s="8"/>
      <c r="S32" s="8"/>
      <c r="T32" s="8"/>
      <c r="U32" s="8"/>
      <c r="V32" s="7"/>
      <c r="W32" s="6" t="str">
        <f t="array" ref="W32">IF(NOT(ISBLANK(D32)),_xludf.XLOOKUP(D32,[2]CODE!$A$4:$A$100,[2]CODE!$D$4:$D$100),"")</f>
        <v/>
      </c>
      <c r="X32" s="5" t="str">
        <f t="array" ref="X32">IF(NOT(AND(ISBLANK(D32),ISBLANK(C32))),_xludf.XLOOKUP(D32,[2]CODE!$A$4:$A$100,[2]CODE!$E$4:$E$100),"")</f>
        <v/>
      </c>
      <c r="Y32" s="5" t="str">
        <f t="shared" si="3"/>
        <v/>
      </c>
      <c r="Z32" s="5" t="str">
        <f t="shared" si="4"/>
        <v/>
      </c>
      <c r="AA32" s="4">
        <f t="shared" si="5"/>
        <v>0</v>
      </c>
      <c r="AC32" s="26">
        <v>46079</v>
      </c>
      <c r="AD32" s="25">
        <f ca="1">IFERROR(__xludf.DUMMYFUNCTION("IFERROR(SUM(FILTER($L$5:$L$1002,$C$5:$C$1002=$AD$5,$F$5:$F$1002=AC32))*24,0)"),0.533333333325572)</f>
        <v>0.53333333332557198</v>
      </c>
      <c r="AE32" s="28">
        <v>23.466666666666665</v>
      </c>
      <c r="AF32" s="27" t="str">
        <f t="shared" ca="1" si="6"/>
        <v>✅✅✅✅✅</v>
      </c>
      <c r="AG32" s="25">
        <f ca="1">IFERROR(__xludf.DUMMYFUNCTION("IFERROR(SUM(FILTER($L$5:$L$1002,$C$5:$C$1002=$AG$5,$F$5:$F$1002=AC32))*24,0)"),20.0000000000582)</f>
        <v>20.000000000058201</v>
      </c>
      <c r="AH32" s="28">
        <v>4</v>
      </c>
      <c r="AI32" s="27" t="str">
        <f t="shared" ca="1" si="7"/>
        <v>✅✅✅✅✅</v>
      </c>
      <c r="AJ32" s="25">
        <f ca="1">IFERROR(__xludf.DUMMYFUNCTION("IFERROR(SUM(FILTER($L$5:$L$1002,$C$5:$C$1002=$AJ$5,$F$5:$F$1002=AC32))*24,0)"),20.9333333334652)</f>
        <v>20.9333333334652</v>
      </c>
      <c r="AK32" s="28">
        <v>3.0666666666666669</v>
      </c>
      <c r="AL32" s="27" t="str">
        <f t="shared" ca="1" si="8"/>
        <v>✅✅✅✅✅</v>
      </c>
    </row>
    <row r="33" spans="1:38" ht="15.5">
      <c r="A33" s="13" t="str">
        <f>IF(OR(ISBLANK(C33),ISBLANK(D33),ISBLANK(F33),ISBLANK(G33)),"",COUNTIF($B$5:B33,"JAMBUTU"))</f>
        <v/>
      </c>
      <c r="B33" s="8"/>
      <c r="C33" s="8"/>
      <c r="D33" s="8"/>
      <c r="E33" s="13"/>
      <c r="F33" s="12"/>
      <c r="G33" s="11"/>
      <c r="H33" s="12"/>
      <c r="I33" s="11"/>
      <c r="J33" s="10">
        <f t="shared" si="0"/>
        <v>0</v>
      </c>
      <c r="K33" s="10">
        <f t="shared" si="1"/>
        <v>0</v>
      </c>
      <c r="L33" s="9" t="str">
        <f t="shared" si="2"/>
        <v/>
      </c>
      <c r="M33" s="8"/>
      <c r="N33" s="8"/>
      <c r="O33" s="8"/>
      <c r="P33" s="8"/>
      <c r="Q33" s="8"/>
      <c r="R33" s="8"/>
      <c r="S33" s="8"/>
      <c r="T33" s="8"/>
      <c r="U33" s="8"/>
      <c r="V33" s="7"/>
      <c r="W33" s="6" t="str">
        <f t="array" ref="W33">IF(NOT(ISBLANK(D33)),_xludf.XLOOKUP(D33,[2]CODE!$A$4:$A$100,[2]CODE!$D$4:$D$100),"")</f>
        <v/>
      </c>
      <c r="X33" s="5" t="str">
        <f t="array" ref="X33">IF(NOT(AND(ISBLANK(D33),ISBLANK(C33))),_xludf.XLOOKUP(D33,[2]CODE!$A$4:$A$100,[2]CODE!$E$4:$E$100),"")</f>
        <v/>
      </c>
      <c r="Y33" s="5" t="str">
        <f t="shared" si="3"/>
        <v/>
      </c>
      <c r="Z33" s="5" t="str">
        <f t="shared" si="4"/>
        <v/>
      </c>
      <c r="AA33" s="4">
        <f t="shared" si="5"/>
        <v>0</v>
      </c>
      <c r="AC33" s="26">
        <v>46080</v>
      </c>
      <c r="AD33" s="25">
        <f ca="1">IFERROR(__xludf.DUMMYFUNCTION("IFERROR(SUM(FILTER($L$5:$L$1002,$C$5:$C$1002=$AD$5,$F$5:$F$1002=AC33))*24,0)"),11.0666666665929)</f>
        <v>11.0666666665929</v>
      </c>
      <c r="AE33" s="28">
        <v>12.933333333333334</v>
      </c>
      <c r="AF33" s="27" t="str">
        <f t="shared" ca="1" si="6"/>
        <v>✅✅✅✅✅</v>
      </c>
      <c r="AG33" s="25">
        <f ca="1">IFERROR(__xludf.DUMMYFUNCTION("IFERROR(SUM(FILTER($L$5:$L$1002,$C$5:$C$1002=$AG$5,$F$5:$F$1002=AC33))*24,0)"),20.0166666667792)</f>
        <v>20.016666666779201</v>
      </c>
      <c r="AH33" s="28">
        <v>3.9833333333333334</v>
      </c>
      <c r="AI33" s="27" t="str">
        <f t="shared" ca="1" si="7"/>
        <v>✅✅✅✅✅</v>
      </c>
      <c r="AJ33" s="25">
        <f ca="1">IFERROR(__xludf.DUMMYFUNCTION("IFERROR(SUM(FILTER($L$5:$L$1002,$C$5:$C$1002=$AJ$5,$F$5:$F$1002=AC33))*24,0)"),21.5999999998603)</f>
        <v>21.599999999860302</v>
      </c>
      <c r="AK33" s="28">
        <v>2.4</v>
      </c>
      <c r="AL33" s="27" t="str">
        <f t="shared" ca="1" si="8"/>
        <v>✅✅✅✅✅</v>
      </c>
    </row>
    <row r="34" spans="1:38" ht="15.5">
      <c r="A34" s="13" t="str">
        <f>IF(OR(ISBLANK(C34),ISBLANK(D34),ISBLANK(F34),ISBLANK(G34)),"",COUNTIF($B$5:B34,"JAMBUTU"))</f>
        <v/>
      </c>
      <c r="B34" s="8"/>
      <c r="C34" s="8"/>
      <c r="D34" s="8"/>
      <c r="E34" s="13"/>
      <c r="F34" s="12"/>
      <c r="G34" s="11"/>
      <c r="H34" s="12"/>
      <c r="I34" s="11"/>
      <c r="J34" s="10">
        <f t="shared" si="0"/>
        <v>0</v>
      </c>
      <c r="K34" s="10">
        <f t="shared" si="1"/>
        <v>0</v>
      </c>
      <c r="L34" s="9" t="str">
        <f t="shared" si="2"/>
        <v/>
      </c>
      <c r="M34" s="8"/>
      <c r="N34" s="8"/>
      <c r="O34" s="8"/>
      <c r="P34" s="8"/>
      <c r="Q34" s="8"/>
      <c r="R34" s="8"/>
      <c r="S34" s="8"/>
      <c r="T34" s="8"/>
      <c r="U34" s="8"/>
      <c r="V34" s="7"/>
      <c r="W34" s="6" t="str">
        <f t="array" ref="W34">IF(NOT(ISBLANK(D34)),_xludf.XLOOKUP(D34,[2]CODE!$A$4:$A$100,[2]CODE!$D$4:$D$100),"")</f>
        <v/>
      </c>
      <c r="X34" s="5" t="str">
        <f t="array" ref="X34">IF(NOT(AND(ISBLANK(D34),ISBLANK(C34))),_xludf.XLOOKUP(D34,[2]CODE!$A$4:$A$100,[2]CODE!$E$4:$E$100),"")</f>
        <v/>
      </c>
      <c r="Y34" s="5" t="str">
        <f t="shared" si="3"/>
        <v/>
      </c>
      <c r="Z34" s="5" t="str">
        <f t="shared" si="4"/>
        <v/>
      </c>
      <c r="AA34" s="4">
        <f t="shared" si="5"/>
        <v>0</v>
      </c>
      <c r="AC34" s="26">
        <v>46081</v>
      </c>
      <c r="AD34" s="25">
        <f ca="1">IFERROR(__xludf.DUMMYFUNCTION("IFERROR(SUM(FILTER($L$5:$L$1002,$C$5:$C$1002=$AD$5,$F$5:$F$1002=AC34))*24,0)"),0.249999999941792)</f>
        <v>0.24999999994179201</v>
      </c>
      <c r="AE34" s="28">
        <v>23.75</v>
      </c>
      <c r="AF34" s="27" t="str">
        <f t="shared" ca="1" si="6"/>
        <v>✅✅✅✅✅</v>
      </c>
      <c r="AG34" s="25">
        <f ca="1">IFERROR(__xludf.DUMMYFUNCTION("IFERROR(SUM(FILTER($L$5:$L$1002,$C$5:$C$1002=$AG$5,$F$5:$F$1002=AC34))*24,0)"),19.4999999998253)</f>
        <v>19.499999999825299</v>
      </c>
      <c r="AH34" s="28">
        <v>4.5</v>
      </c>
      <c r="AI34" s="27" t="str">
        <f t="shared" ca="1" si="7"/>
        <v>✅✅✅✅✅</v>
      </c>
      <c r="AJ34" s="25">
        <f ca="1">IFERROR(__xludf.DUMMYFUNCTION("IFERROR(SUM(FILTER($L$5:$L$1002,$C$5:$C$1002=$AJ$5,$F$5:$F$1002=AC34))*24,0)"),16.9999999998835)</f>
        <v>16.999999999883499</v>
      </c>
      <c r="AK34" s="28">
        <v>7</v>
      </c>
      <c r="AL34" s="27" t="str">
        <f t="shared" ca="1" si="8"/>
        <v>✅✅✅✅✅</v>
      </c>
    </row>
    <row r="35" spans="1:38" ht="15.5">
      <c r="A35" s="13" t="str">
        <f>IF(OR(ISBLANK(C35),ISBLANK(D35),ISBLANK(F35),ISBLANK(G35)),"",COUNTIF($B$5:B35,"JAMBUTU"))</f>
        <v/>
      </c>
      <c r="B35" s="8"/>
      <c r="C35" s="8"/>
      <c r="D35" s="8"/>
      <c r="E35" s="13"/>
      <c r="F35" s="12"/>
      <c r="G35" s="11"/>
      <c r="H35" s="12"/>
      <c r="I35" s="11"/>
      <c r="J35" s="10">
        <f t="shared" si="0"/>
        <v>0</v>
      </c>
      <c r="K35" s="10">
        <f t="shared" si="1"/>
        <v>0</v>
      </c>
      <c r="L35" s="9" t="str">
        <f t="shared" si="2"/>
        <v/>
      </c>
      <c r="M35" s="8"/>
      <c r="N35" s="8"/>
      <c r="O35" s="8"/>
      <c r="P35" s="8"/>
      <c r="Q35" s="8"/>
      <c r="R35" s="8"/>
      <c r="S35" s="8"/>
      <c r="T35" s="8"/>
      <c r="U35" s="8"/>
      <c r="V35" s="7"/>
      <c r="W35" s="6" t="str">
        <f t="array" ref="W35">IF(NOT(ISBLANK(D35)),_xludf.XLOOKUP(D35,[2]CODE!$A$4:$A$100,[2]CODE!$D$4:$D$100),"")</f>
        <v/>
      </c>
      <c r="X35" s="5" t="str">
        <f t="array" ref="X35">IF(NOT(AND(ISBLANK(D35),ISBLANK(C35))),_xludf.XLOOKUP(D35,[2]CODE!$A$4:$A$100,[2]CODE!$E$4:$E$100),"")</f>
        <v/>
      </c>
      <c r="Y35" s="5" t="str">
        <f t="shared" si="3"/>
        <v/>
      </c>
      <c r="Z35" s="5" t="str">
        <f t="shared" si="4"/>
        <v/>
      </c>
      <c r="AA35" s="4">
        <f t="shared" si="5"/>
        <v>0</v>
      </c>
      <c r="AC35" s="26"/>
      <c r="AD35" s="25">
        <f ca="1">IFERROR(__xludf.DUMMYFUNCTION("IFERROR(SUM(FILTER($L$5:$L$1002,$C$5:$C$1002=$AD$5,$F$5:$F$1002=AC35))*24,0)"),0)</f>
        <v>0</v>
      </c>
      <c r="AE35" s="28">
        <v>0</v>
      </c>
      <c r="AF35" s="27" t="str">
        <f t="shared" ca="1" si="6"/>
        <v/>
      </c>
      <c r="AG35" s="25">
        <f ca="1">IFERROR(__xludf.DUMMYFUNCTION("IFERROR(SUM(FILTER($L$5:$L$1002,$C$5:$C$1002=$AG$5,$F$5:$F$1002=AC35))*24,0)"),0)</f>
        <v>0</v>
      </c>
      <c r="AH35" s="28">
        <v>0</v>
      </c>
      <c r="AI35" s="27" t="str">
        <f t="shared" ca="1" si="7"/>
        <v/>
      </c>
      <c r="AJ35" s="25">
        <f ca="1">IFERROR(__xludf.DUMMYFUNCTION("IFERROR(SUM(FILTER($L$5:$L$1002,$C$5:$C$1002=$AJ$5,$F$5:$F$1002=AC35))*24,0)"),0)</f>
        <v>0</v>
      </c>
      <c r="AK35" s="28">
        <v>0</v>
      </c>
      <c r="AL35" s="27" t="str">
        <f t="shared" ca="1" si="8"/>
        <v/>
      </c>
    </row>
    <row r="36" spans="1:38" ht="15.5">
      <c r="A36" s="13" t="str">
        <f>IF(OR(ISBLANK(C36),ISBLANK(D36),ISBLANK(F36),ISBLANK(G36)),"",COUNTIF($B$5:B36,"JAMBUTU"))</f>
        <v/>
      </c>
      <c r="B36" s="8"/>
      <c r="C36" s="8"/>
      <c r="D36" s="8"/>
      <c r="E36" s="13"/>
      <c r="F36" s="12"/>
      <c r="G36" s="11"/>
      <c r="H36" s="12"/>
      <c r="I36" s="11"/>
      <c r="J36" s="10">
        <f t="shared" si="0"/>
        <v>0</v>
      </c>
      <c r="K36" s="10">
        <f t="shared" si="1"/>
        <v>0</v>
      </c>
      <c r="L36" s="9" t="str">
        <f t="shared" si="2"/>
        <v/>
      </c>
      <c r="M36" s="8"/>
      <c r="N36" s="8"/>
      <c r="O36" s="8"/>
      <c r="P36" s="8"/>
      <c r="Q36" s="8"/>
      <c r="R36" s="8"/>
      <c r="S36" s="8"/>
      <c r="T36" s="8"/>
      <c r="U36" s="8"/>
      <c r="V36" s="7"/>
      <c r="W36" s="6" t="str">
        <f t="array" ref="W36">IF(NOT(ISBLANK(D36)),_xludf.XLOOKUP(D36,[2]CODE!$A$4:$A$100,[2]CODE!$D$4:$D$100),"")</f>
        <v/>
      </c>
      <c r="X36" s="5" t="str">
        <f t="array" ref="X36">IF(NOT(AND(ISBLANK(D36),ISBLANK(C36))),_xludf.XLOOKUP(D36,[2]CODE!$A$4:$A$100,[2]CODE!$E$4:$E$100),"")</f>
        <v/>
      </c>
      <c r="Y36" s="5" t="str">
        <f t="shared" si="3"/>
        <v/>
      </c>
      <c r="Z36" s="5" t="str">
        <f t="shared" si="4"/>
        <v/>
      </c>
      <c r="AA36" s="4">
        <f t="shared" si="5"/>
        <v>0</v>
      </c>
      <c r="AC36" s="26"/>
      <c r="AD36" s="25">
        <f ca="1">IFERROR(__xludf.DUMMYFUNCTION("IFERROR(SUM(FILTER($L$5:$L$1002,$C$5:$C$1002=$AD$5,$F$5:$F$1002=AC36))*24,0)"),0)</f>
        <v>0</v>
      </c>
      <c r="AE36" s="28">
        <v>0</v>
      </c>
      <c r="AF36" s="27" t="str">
        <f t="shared" ca="1" si="6"/>
        <v/>
      </c>
      <c r="AG36" s="25">
        <f ca="1">IFERROR(__xludf.DUMMYFUNCTION("IFERROR(SUM(FILTER($L$5:$L$1002,$C$5:$C$1002=$AG$5,$F$5:$F$1002=AC36))*24,0)"),0)</f>
        <v>0</v>
      </c>
      <c r="AH36" s="28">
        <v>0</v>
      </c>
      <c r="AI36" s="27" t="str">
        <f t="shared" ca="1" si="7"/>
        <v/>
      </c>
      <c r="AJ36" s="25">
        <f ca="1">IFERROR(__xludf.DUMMYFUNCTION("IFERROR(SUM(FILTER($L$5:$L$1002,$C$5:$C$1002=$AJ$5,$F$5:$F$1002=AC36))*24,0)"),0)</f>
        <v>0</v>
      </c>
      <c r="AK36" s="28">
        <v>0</v>
      </c>
      <c r="AL36" s="27" t="str">
        <f t="shared" ca="1" si="8"/>
        <v/>
      </c>
    </row>
    <row r="37" spans="1:38" ht="16" thickBot="1">
      <c r="A37" s="13" t="str">
        <f>IF(OR(ISBLANK(C37),ISBLANK(D37),ISBLANK(F37),ISBLANK(G37)),"",COUNTIF($B$5:B37,"JAMBUTU"))</f>
        <v/>
      </c>
      <c r="B37" s="8"/>
      <c r="C37" s="8"/>
      <c r="D37" s="8"/>
      <c r="E37" s="13"/>
      <c r="F37" s="12"/>
      <c r="G37" s="11"/>
      <c r="H37" s="12"/>
      <c r="I37" s="11"/>
      <c r="J37" s="10">
        <f t="shared" si="0"/>
        <v>0</v>
      </c>
      <c r="K37" s="10">
        <f t="shared" si="1"/>
        <v>0</v>
      </c>
      <c r="L37" s="9" t="str">
        <f t="shared" si="2"/>
        <v/>
      </c>
      <c r="M37" s="8"/>
      <c r="N37" s="8"/>
      <c r="O37" s="8"/>
      <c r="P37" s="8"/>
      <c r="Q37" s="8"/>
      <c r="R37" s="8"/>
      <c r="S37" s="8"/>
      <c r="T37" s="8"/>
      <c r="U37" s="8"/>
      <c r="V37" s="7"/>
      <c r="W37" s="6" t="str">
        <f t="array" ref="W37">IF(NOT(ISBLANK(D37)),_xludf.XLOOKUP(D37,[2]CODE!$A$4:$A$100,[2]CODE!$D$4:$D$100),"")</f>
        <v/>
      </c>
      <c r="X37" s="5" t="str">
        <f t="array" ref="X37">IF(NOT(AND(ISBLANK(D37),ISBLANK(C37))),_xludf.XLOOKUP(D37,[2]CODE!$A$4:$A$100,[2]CODE!$E$4:$E$100),"")</f>
        <v/>
      </c>
      <c r="Y37" s="5" t="str">
        <f t="shared" si="3"/>
        <v/>
      </c>
      <c r="Z37" s="5" t="str">
        <f t="shared" si="4"/>
        <v/>
      </c>
      <c r="AA37" s="4">
        <f t="shared" si="5"/>
        <v>0</v>
      </c>
      <c r="AC37" s="26"/>
      <c r="AD37" s="25">
        <f ca="1">IFERROR(__xludf.DUMMYFUNCTION("IFERROR(SUM(FILTER($L$5:$L$1002,$C$5:$C$1002=$AD$5,$F$5:$F$1002=AC37))*24,0)"),0)</f>
        <v>0</v>
      </c>
      <c r="AE37" s="24">
        <v>0</v>
      </c>
      <c r="AF37" s="23" t="str">
        <f t="shared" ca="1" si="6"/>
        <v/>
      </c>
      <c r="AG37" s="25">
        <f ca="1">IFERROR(__xludf.DUMMYFUNCTION("IFERROR(SUM(FILTER($L$5:$L$1002,$C$5:$C$1002=$AG$5,$F$5:$F$1002=AC37))*24,0)"),0)</f>
        <v>0</v>
      </c>
      <c r="AH37" s="24">
        <v>0</v>
      </c>
      <c r="AI37" s="23" t="str">
        <f t="shared" ca="1" si="7"/>
        <v/>
      </c>
      <c r="AJ37" s="25">
        <f ca="1">IFERROR(__xludf.DUMMYFUNCTION("IFERROR(SUM(FILTER($L$5:$L$1002,$C$5:$C$1002=$AJ$5,$F$5:$F$1002=AC37))*24,0)"),0)</f>
        <v>0</v>
      </c>
      <c r="AK37" s="24">
        <v>0</v>
      </c>
      <c r="AL37" s="23" t="str">
        <f t="shared" ca="1" si="8"/>
        <v/>
      </c>
    </row>
    <row r="38" spans="1:38" ht="15.5">
      <c r="A38" s="13" t="str">
        <f>IF(OR(ISBLANK(C38),ISBLANK(D38),ISBLANK(F38),ISBLANK(G38)),"",COUNTIF($B$5:B38,"JAMBUTU"))</f>
        <v/>
      </c>
      <c r="B38" s="8"/>
      <c r="C38" s="8"/>
      <c r="D38" s="8"/>
      <c r="E38" s="13"/>
      <c r="F38" s="12"/>
      <c r="G38" s="11"/>
      <c r="H38" s="12"/>
      <c r="I38" s="11"/>
      <c r="J38" s="10">
        <f t="shared" si="0"/>
        <v>0</v>
      </c>
      <c r="K38" s="10">
        <f t="shared" si="1"/>
        <v>0</v>
      </c>
      <c r="L38" s="9" t="str">
        <f t="shared" si="2"/>
        <v/>
      </c>
      <c r="M38" s="8"/>
      <c r="N38" s="8"/>
      <c r="O38" s="8"/>
      <c r="P38" s="8"/>
      <c r="Q38" s="8"/>
      <c r="R38" s="8"/>
      <c r="S38" s="8"/>
      <c r="T38" s="8"/>
      <c r="U38" s="8"/>
      <c r="V38" s="7"/>
      <c r="W38" s="6" t="str">
        <f t="array" ref="W38">IF(NOT(ISBLANK(D38)),_xludf.XLOOKUP(D38,[2]CODE!$A$4:$A$100,[2]CODE!$D$4:$D$100),"")</f>
        <v/>
      </c>
      <c r="X38" s="5" t="str">
        <f t="array" ref="X38">IF(NOT(AND(ISBLANK(D38),ISBLANK(C38))),_xludf.XLOOKUP(D38,[2]CODE!$A$4:$A$100,[2]CODE!$E$4:$E$100),"")</f>
        <v/>
      </c>
      <c r="Y38" s="5" t="str">
        <f t="shared" si="3"/>
        <v/>
      </c>
      <c r="Z38" s="5" t="str">
        <f t="shared" si="4"/>
        <v/>
      </c>
      <c r="AA38" s="4">
        <f t="shared" si="5"/>
        <v>0</v>
      </c>
      <c r="AC38" s="22"/>
    </row>
    <row r="39" spans="1:38" ht="15.5">
      <c r="A39" s="13" t="str">
        <f>IF(OR(ISBLANK(C39),ISBLANK(D39),ISBLANK(F39),ISBLANK(G39)),"",COUNTIF($B$5:B39,"JAMBUTU"))</f>
        <v/>
      </c>
      <c r="B39" s="8"/>
      <c r="C39" s="8"/>
      <c r="D39" s="8"/>
      <c r="E39" s="13"/>
      <c r="F39" s="12"/>
      <c r="G39" s="11"/>
      <c r="H39" s="12"/>
      <c r="I39" s="11"/>
      <c r="J39" s="10">
        <f t="shared" si="0"/>
        <v>0</v>
      </c>
      <c r="K39" s="10">
        <f t="shared" si="1"/>
        <v>0</v>
      </c>
      <c r="L39" s="9" t="str">
        <f t="shared" si="2"/>
        <v/>
      </c>
      <c r="M39" s="8"/>
      <c r="N39" s="8"/>
      <c r="O39" s="8"/>
      <c r="P39" s="8"/>
      <c r="Q39" s="8"/>
      <c r="R39" s="8"/>
      <c r="S39" s="8"/>
      <c r="T39" s="8"/>
      <c r="U39" s="8"/>
      <c r="V39" s="7"/>
      <c r="W39" s="6" t="str">
        <f t="array" ref="W39">IF(NOT(ISBLANK(D39)),_xludf.XLOOKUP(D39,[2]CODE!$A$4:$A$100,[2]CODE!$D$4:$D$100),"")</f>
        <v/>
      </c>
      <c r="X39" s="5" t="str">
        <f t="array" ref="X39">IF(NOT(AND(ISBLANK(D39),ISBLANK(C39))),_xludf.XLOOKUP(D39,[2]CODE!$A$4:$A$100,[2]CODE!$E$4:$E$100),"")</f>
        <v/>
      </c>
      <c r="Y39" s="5" t="str">
        <f t="shared" si="3"/>
        <v/>
      </c>
      <c r="Z39" s="5" t="str">
        <f t="shared" si="4"/>
        <v/>
      </c>
      <c r="AA39" s="4">
        <f t="shared" si="5"/>
        <v>0</v>
      </c>
      <c r="AC39" s="22"/>
    </row>
    <row r="40" spans="1:38" ht="15.5">
      <c r="A40" s="13" t="str">
        <f>IF(OR(ISBLANK(C40),ISBLANK(D40),ISBLANK(F40),ISBLANK(G40)),"",COUNTIF($B$5:B40,"JAMBUTU"))</f>
        <v/>
      </c>
      <c r="B40" s="8"/>
      <c r="C40" s="8"/>
      <c r="D40" s="8"/>
      <c r="E40" s="13"/>
      <c r="F40" s="12"/>
      <c r="G40" s="11"/>
      <c r="H40" s="12"/>
      <c r="I40" s="11"/>
      <c r="J40" s="10">
        <f t="shared" si="0"/>
        <v>0</v>
      </c>
      <c r="K40" s="10">
        <f t="shared" si="1"/>
        <v>0</v>
      </c>
      <c r="L40" s="9" t="str">
        <f t="shared" si="2"/>
        <v/>
      </c>
      <c r="M40" s="8"/>
      <c r="N40" s="8"/>
      <c r="O40" s="8"/>
      <c r="P40" s="8"/>
      <c r="Q40" s="8"/>
      <c r="R40" s="8"/>
      <c r="S40" s="8"/>
      <c r="T40" s="8"/>
      <c r="U40" s="8"/>
      <c r="V40" s="7"/>
      <c r="W40" s="6" t="str">
        <f t="array" ref="W40">IF(NOT(ISBLANK(D40)),_xludf.XLOOKUP(D40,[2]CODE!$A$4:$A$100,[2]CODE!$D$4:$D$100),"")</f>
        <v/>
      </c>
      <c r="X40" s="5" t="str">
        <f t="array" ref="X40">IF(NOT(AND(ISBLANK(D40),ISBLANK(C40))),_xludf.XLOOKUP(D40,[2]CODE!$A$4:$A$100,[2]CODE!$E$4:$E$100),"")</f>
        <v/>
      </c>
      <c r="Y40" s="5" t="str">
        <f t="shared" si="3"/>
        <v/>
      </c>
      <c r="Z40" s="5" t="str">
        <f t="shared" si="4"/>
        <v/>
      </c>
      <c r="AA40" s="4">
        <f t="shared" si="5"/>
        <v>0</v>
      </c>
      <c r="AC40" s="2"/>
    </row>
    <row r="41" spans="1:38" ht="15.5">
      <c r="A41" s="13" t="str">
        <f>IF(OR(ISBLANK(C41),ISBLANK(D41),ISBLANK(F41),ISBLANK(G41)),"",COUNTIF($B$5:B41,"JAMBUTU"))</f>
        <v/>
      </c>
      <c r="B41" s="8"/>
      <c r="C41" s="8"/>
      <c r="D41" s="8"/>
      <c r="E41" s="13"/>
      <c r="F41" s="12"/>
      <c r="G41" s="11"/>
      <c r="H41" s="12"/>
      <c r="I41" s="11"/>
      <c r="J41" s="10">
        <f t="shared" si="0"/>
        <v>0</v>
      </c>
      <c r="K41" s="10">
        <f t="shared" si="1"/>
        <v>0</v>
      </c>
      <c r="L41" s="9" t="str">
        <f t="shared" si="2"/>
        <v/>
      </c>
      <c r="M41" s="8"/>
      <c r="N41" s="8"/>
      <c r="O41" s="8"/>
      <c r="P41" s="8"/>
      <c r="Q41" s="8"/>
      <c r="R41" s="8"/>
      <c r="S41" s="8"/>
      <c r="T41" s="8"/>
      <c r="U41" s="8"/>
      <c r="V41" s="7"/>
      <c r="W41" s="6" t="str">
        <f t="array" ref="W41">IF(NOT(ISBLANK(D41)),_xludf.XLOOKUP(D41,[2]CODE!$A$4:$A$100,[2]CODE!$D$4:$D$100),"")</f>
        <v/>
      </c>
      <c r="X41" s="5" t="str">
        <f t="array" ref="X41">IF(NOT(AND(ISBLANK(D41),ISBLANK(C41))),_xludf.XLOOKUP(D41,[2]CODE!$A$4:$A$100,[2]CODE!$E$4:$E$100),"")</f>
        <v/>
      </c>
      <c r="Y41" s="5" t="str">
        <f t="shared" si="3"/>
        <v/>
      </c>
      <c r="Z41" s="5" t="str">
        <f t="shared" si="4"/>
        <v/>
      </c>
      <c r="AA41" s="4">
        <f t="shared" si="5"/>
        <v>0</v>
      </c>
      <c r="AC41" s="22"/>
    </row>
    <row r="42" spans="1:38" ht="15.5">
      <c r="A42" s="13" t="str">
        <f>IF(OR(ISBLANK(C42),ISBLANK(D42),ISBLANK(F42),ISBLANK(G42)),"",COUNTIF($B$5:B42,"JAMBUTU"))</f>
        <v/>
      </c>
      <c r="B42" s="8"/>
      <c r="C42" s="8"/>
      <c r="D42" s="8"/>
      <c r="E42" s="13"/>
      <c r="F42" s="12"/>
      <c r="G42" s="11"/>
      <c r="H42" s="12"/>
      <c r="I42" s="11"/>
      <c r="J42" s="10">
        <f t="shared" si="0"/>
        <v>0</v>
      </c>
      <c r="K42" s="10">
        <f t="shared" si="1"/>
        <v>0</v>
      </c>
      <c r="L42" s="9" t="str">
        <f t="shared" si="2"/>
        <v/>
      </c>
      <c r="M42" s="8"/>
      <c r="N42" s="8"/>
      <c r="O42" s="8"/>
      <c r="P42" s="8"/>
      <c r="Q42" s="8"/>
      <c r="R42" s="8"/>
      <c r="S42" s="8"/>
      <c r="T42" s="8"/>
      <c r="U42" s="8"/>
      <c r="V42" s="7"/>
      <c r="W42" s="6" t="str">
        <f t="array" ref="W42">IF(NOT(ISBLANK(D42)),_xludf.XLOOKUP(D42,[2]CODE!$A$4:$A$100,[2]CODE!$D$4:$D$100),"")</f>
        <v/>
      </c>
      <c r="X42" s="5" t="str">
        <f t="array" ref="X42">IF(NOT(AND(ISBLANK(D42),ISBLANK(C42))),_xludf.XLOOKUP(D42,[2]CODE!$A$4:$A$100,[2]CODE!$E$4:$E$100),"")</f>
        <v/>
      </c>
      <c r="Y42" s="5" t="str">
        <f t="shared" si="3"/>
        <v/>
      </c>
      <c r="Z42" s="5" t="str">
        <f t="shared" si="4"/>
        <v/>
      </c>
      <c r="AA42" s="4">
        <f t="shared" si="5"/>
        <v>0</v>
      </c>
      <c r="AC42" s="2"/>
    </row>
    <row r="43" spans="1:38" ht="15.5">
      <c r="A43" s="13" t="str">
        <f>IF(OR(ISBLANK(C43),ISBLANK(D43),ISBLANK(F43),ISBLANK(G43)),"",COUNTIF($B$5:B43,"JAMBUTU"))</f>
        <v/>
      </c>
      <c r="B43" s="8"/>
      <c r="C43" s="8"/>
      <c r="D43" s="8"/>
      <c r="E43" s="13"/>
      <c r="F43" s="12"/>
      <c r="G43" s="11"/>
      <c r="H43" s="12"/>
      <c r="I43" s="15"/>
      <c r="J43" s="10">
        <f t="shared" si="0"/>
        <v>0</v>
      </c>
      <c r="K43" s="10">
        <f t="shared" si="1"/>
        <v>0</v>
      </c>
      <c r="L43" s="9" t="str">
        <f t="shared" si="2"/>
        <v/>
      </c>
      <c r="M43" s="8"/>
      <c r="N43" s="8"/>
      <c r="O43" s="8"/>
      <c r="P43" s="8"/>
      <c r="Q43" s="8"/>
      <c r="R43" s="8"/>
      <c r="S43" s="8"/>
      <c r="T43" s="8"/>
      <c r="U43" s="8"/>
      <c r="V43" s="7"/>
      <c r="W43" s="6" t="str">
        <f t="array" ref="W43">IF(NOT(ISBLANK(D43)),_xludf.XLOOKUP(D43,[2]CODE!$A$4:$A$100,[2]CODE!$D$4:$D$100),"")</f>
        <v/>
      </c>
      <c r="X43" s="5" t="str">
        <f t="array" ref="X43">IF(NOT(AND(ISBLANK(D43),ISBLANK(C43))),_xludf.XLOOKUP(D43,[2]CODE!$A$4:$A$100,[2]CODE!$E$4:$E$100),"")</f>
        <v/>
      </c>
      <c r="Y43" s="5" t="str">
        <f t="shared" si="3"/>
        <v/>
      </c>
      <c r="Z43" s="5" t="str">
        <f t="shared" si="4"/>
        <v/>
      </c>
      <c r="AA43" s="4">
        <f t="shared" si="5"/>
        <v>0</v>
      </c>
      <c r="AB43" s="2"/>
      <c r="AC43" s="2"/>
    </row>
    <row r="44" spans="1:38" ht="15.5">
      <c r="A44" s="13" t="str">
        <f>IF(OR(ISBLANK(C44),ISBLANK(D44),ISBLANK(F44),ISBLANK(G44)),"",COUNTIF($B$5:B44,"JAMBUTU"))</f>
        <v/>
      </c>
      <c r="B44" s="8"/>
      <c r="C44" s="8"/>
      <c r="D44" s="8"/>
      <c r="E44" s="13"/>
      <c r="F44" s="12"/>
      <c r="G44" s="11"/>
      <c r="H44" s="12"/>
      <c r="I44" s="11"/>
      <c r="J44" s="10">
        <f t="shared" si="0"/>
        <v>0</v>
      </c>
      <c r="K44" s="10">
        <f t="shared" si="1"/>
        <v>0</v>
      </c>
      <c r="L44" s="9" t="str">
        <f t="shared" si="2"/>
        <v/>
      </c>
      <c r="M44" s="8"/>
      <c r="N44" s="8"/>
      <c r="O44" s="8"/>
      <c r="P44" s="8"/>
      <c r="Q44" s="8"/>
      <c r="R44" s="8"/>
      <c r="S44" s="8"/>
      <c r="T44" s="8"/>
      <c r="U44" s="8"/>
      <c r="V44" s="7"/>
      <c r="W44" s="6" t="str">
        <f t="array" ref="W44">IF(NOT(ISBLANK(D44)),_xludf.XLOOKUP(D44,[2]CODE!$A$4:$A$100,[2]CODE!$D$4:$D$100),"")</f>
        <v/>
      </c>
      <c r="X44" s="5" t="str">
        <f t="array" ref="X44">IF(NOT(AND(ISBLANK(D44),ISBLANK(C44))),_xludf.XLOOKUP(D44,[2]CODE!$A$4:$A$100,[2]CODE!$E$4:$E$100),"")</f>
        <v/>
      </c>
      <c r="Y44" s="5" t="str">
        <f t="shared" si="3"/>
        <v/>
      </c>
      <c r="Z44" s="5" t="str">
        <f t="shared" si="4"/>
        <v/>
      </c>
      <c r="AA44" s="4">
        <f t="shared" si="5"/>
        <v>0</v>
      </c>
      <c r="AC44" s="2"/>
    </row>
    <row r="45" spans="1:38" ht="15.5">
      <c r="A45" s="13" t="str">
        <f>IF(OR(ISBLANK(C45),ISBLANK(D45),ISBLANK(F45),ISBLANK(G45)),"",COUNTIF($B$5:B45,"JAMBUTU"))</f>
        <v/>
      </c>
      <c r="B45" s="8"/>
      <c r="C45" s="8"/>
      <c r="D45" s="8"/>
      <c r="E45" s="13"/>
      <c r="F45" s="12"/>
      <c r="G45" s="11"/>
      <c r="H45" s="12"/>
      <c r="I45" s="11"/>
      <c r="J45" s="10">
        <f t="shared" si="0"/>
        <v>0</v>
      </c>
      <c r="K45" s="10">
        <f t="shared" si="1"/>
        <v>0</v>
      </c>
      <c r="L45" s="9" t="str">
        <f t="shared" si="2"/>
        <v/>
      </c>
      <c r="M45" s="8"/>
      <c r="N45" s="8"/>
      <c r="O45" s="8"/>
      <c r="P45" s="8"/>
      <c r="Q45" s="8"/>
      <c r="R45" s="8"/>
      <c r="S45" s="8"/>
      <c r="T45" s="8"/>
      <c r="U45" s="8"/>
      <c r="V45" s="7"/>
      <c r="W45" s="6" t="str">
        <f t="array" ref="W45">IF(NOT(ISBLANK(D45)),_xludf.XLOOKUP(D45,[2]CODE!$A$4:$A$100,[2]CODE!$D$4:$D$100),"")</f>
        <v/>
      </c>
      <c r="X45" s="5" t="str">
        <f t="array" ref="X45">IF(NOT(AND(ISBLANK(D45),ISBLANK(C45))),_xludf.XLOOKUP(D45,[2]CODE!$A$4:$A$100,[2]CODE!$E$4:$E$100),"")</f>
        <v/>
      </c>
      <c r="Y45" s="5" t="str">
        <f t="shared" si="3"/>
        <v/>
      </c>
      <c r="Z45" s="5" t="str">
        <f t="shared" si="4"/>
        <v/>
      </c>
      <c r="AA45" s="4">
        <f t="shared" si="5"/>
        <v>0</v>
      </c>
      <c r="AC45" s="2"/>
    </row>
    <row r="46" spans="1:38" ht="15.5">
      <c r="A46" s="13" t="str">
        <f>IF(OR(ISBLANK(C46),ISBLANK(D46),ISBLANK(F46),ISBLANK(G46)),"",COUNTIF($B$5:B46,"JAMBUTU"))</f>
        <v/>
      </c>
      <c r="B46" s="8"/>
      <c r="C46" s="8"/>
      <c r="D46" s="8"/>
      <c r="E46" s="13"/>
      <c r="F46" s="12"/>
      <c r="G46" s="11"/>
      <c r="H46" s="12"/>
      <c r="I46" s="11"/>
      <c r="J46" s="10">
        <f t="shared" si="0"/>
        <v>0</v>
      </c>
      <c r="K46" s="10">
        <f t="shared" si="1"/>
        <v>0</v>
      </c>
      <c r="L46" s="9" t="str">
        <f t="shared" si="2"/>
        <v/>
      </c>
      <c r="M46" s="8"/>
      <c r="N46" s="8"/>
      <c r="O46" s="8"/>
      <c r="P46" s="8"/>
      <c r="Q46" s="8"/>
      <c r="R46" s="8"/>
      <c r="S46" s="8"/>
      <c r="T46" s="8"/>
      <c r="U46" s="8"/>
      <c r="V46" s="7"/>
      <c r="W46" s="6" t="str">
        <f t="array" ref="W46">IF(NOT(ISBLANK(D46)),_xludf.XLOOKUP(D46,[2]CODE!$A$4:$A$100,[2]CODE!$D$4:$D$100),"")</f>
        <v/>
      </c>
      <c r="X46" s="5" t="str">
        <f t="array" ref="X46">IF(NOT(AND(ISBLANK(D46),ISBLANK(C46))),_xludf.XLOOKUP(D46,[2]CODE!$A$4:$A$100,[2]CODE!$E$4:$E$100),"")</f>
        <v/>
      </c>
      <c r="Y46" s="5" t="str">
        <f t="shared" si="3"/>
        <v/>
      </c>
      <c r="Z46" s="5" t="str">
        <f t="shared" si="4"/>
        <v/>
      </c>
      <c r="AA46" s="4">
        <f t="shared" si="5"/>
        <v>0</v>
      </c>
      <c r="AC46" s="2"/>
    </row>
    <row r="47" spans="1:38" ht="15.5">
      <c r="A47" s="13" t="str">
        <f>IF(OR(ISBLANK(C47),ISBLANK(D47),ISBLANK(F47),ISBLANK(G47)),"",COUNTIF($B$5:B47,"JAMBUTU"))</f>
        <v/>
      </c>
      <c r="B47" s="8"/>
      <c r="C47" s="8"/>
      <c r="D47" s="8"/>
      <c r="E47" s="13"/>
      <c r="F47" s="12"/>
      <c r="G47" s="11"/>
      <c r="H47" s="12"/>
      <c r="I47" s="11"/>
      <c r="J47" s="10">
        <f t="shared" si="0"/>
        <v>0</v>
      </c>
      <c r="K47" s="10">
        <f t="shared" si="1"/>
        <v>0</v>
      </c>
      <c r="L47" s="9" t="str">
        <f t="shared" si="2"/>
        <v/>
      </c>
      <c r="M47" s="8"/>
      <c r="N47" s="8"/>
      <c r="O47" s="8"/>
      <c r="P47" s="8"/>
      <c r="Q47" s="8"/>
      <c r="R47" s="8"/>
      <c r="S47" s="8"/>
      <c r="T47" s="8"/>
      <c r="U47" s="8"/>
      <c r="V47" s="7"/>
      <c r="W47" s="6" t="str">
        <f t="array" ref="W47">IF(NOT(ISBLANK(D47)),_xludf.XLOOKUP(D47,[2]CODE!$A$4:$A$100,[2]CODE!$D$4:$D$100),"")</f>
        <v/>
      </c>
      <c r="X47" s="5" t="str">
        <f t="array" ref="X47">IF(NOT(AND(ISBLANK(D47),ISBLANK(C47))),_xludf.XLOOKUP(D47,[2]CODE!$A$4:$A$100,[2]CODE!$E$4:$E$100),"")</f>
        <v/>
      </c>
      <c r="Y47" s="5" t="str">
        <f t="shared" si="3"/>
        <v/>
      </c>
      <c r="Z47" s="5" t="str">
        <f t="shared" si="4"/>
        <v/>
      </c>
      <c r="AA47" s="4">
        <f t="shared" si="5"/>
        <v>0</v>
      </c>
      <c r="AC47" s="2"/>
    </row>
    <row r="48" spans="1:38" ht="15.5">
      <c r="A48" s="13" t="str">
        <f>IF(OR(ISBLANK(C48),ISBLANK(D48),ISBLANK(F48),ISBLANK(G48)),"",COUNTIF($B$5:B48,"JAMBUTU"))</f>
        <v/>
      </c>
      <c r="B48" s="8"/>
      <c r="C48" s="8"/>
      <c r="D48" s="8"/>
      <c r="E48" s="13"/>
      <c r="F48" s="12"/>
      <c r="G48" s="11"/>
      <c r="H48" s="12"/>
      <c r="I48" s="11"/>
      <c r="J48" s="10">
        <f t="shared" si="0"/>
        <v>0</v>
      </c>
      <c r="K48" s="10">
        <f t="shared" si="1"/>
        <v>0</v>
      </c>
      <c r="L48" s="9" t="str">
        <f t="shared" si="2"/>
        <v/>
      </c>
      <c r="M48" s="8"/>
      <c r="N48" s="8"/>
      <c r="O48" s="8"/>
      <c r="P48" s="8"/>
      <c r="Q48" s="8"/>
      <c r="R48" s="8"/>
      <c r="S48" s="8"/>
      <c r="T48" s="8"/>
      <c r="U48" s="8"/>
      <c r="V48" s="7"/>
      <c r="W48" s="6" t="str">
        <f t="array" ref="W48">IF(NOT(ISBLANK(D48)),_xludf.XLOOKUP(D48,[2]CODE!$A$4:$A$100,[2]CODE!$D$4:$D$100),"")</f>
        <v/>
      </c>
      <c r="X48" s="5" t="str">
        <f t="array" ref="X48">IF(NOT(AND(ISBLANK(D48),ISBLANK(C48))),_xludf.XLOOKUP(D48,[2]CODE!$A$4:$A$100,[2]CODE!$E$4:$E$100),"")</f>
        <v/>
      </c>
      <c r="Y48" s="5" t="str">
        <f t="shared" si="3"/>
        <v/>
      </c>
      <c r="Z48" s="5" t="str">
        <f t="shared" si="4"/>
        <v/>
      </c>
      <c r="AA48" s="4">
        <f t="shared" si="5"/>
        <v>0</v>
      </c>
      <c r="AC48" s="2"/>
    </row>
    <row r="49" spans="1:29" ht="15.5">
      <c r="A49" s="13" t="str">
        <f>IF(OR(ISBLANK(C49),ISBLANK(D49),ISBLANK(F49),ISBLANK(G49)),"",COUNTIF($B$5:B49,"JAMBUTU"))</f>
        <v/>
      </c>
      <c r="B49" s="8"/>
      <c r="C49" s="8"/>
      <c r="D49" s="8"/>
      <c r="E49" s="13"/>
      <c r="F49" s="12"/>
      <c r="G49" s="11"/>
      <c r="H49" s="12"/>
      <c r="I49" s="11"/>
      <c r="J49" s="10">
        <f t="shared" si="0"/>
        <v>0</v>
      </c>
      <c r="K49" s="10">
        <f t="shared" si="1"/>
        <v>0</v>
      </c>
      <c r="L49" s="9" t="str">
        <f t="shared" si="2"/>
        <v/>
      </c>
      <c r="M49" s="8"/>
      <c r="N49" s="8"/>
      <c r="O49" s="8"/>
      <c r="P49" s="8"/>
      <c r="Q49" s="8"/>
      <c r="R49" s="8"/>
      <c r="S49" s="8"/>
      <c r="T49" s="8"/>
      <c r="U49" s="8"/>
      <c r="V49" s="7"/>
      <c r="W49" s="6" t="str">
        <f t="array" ref="W49">IF(NOT(ISBLANK(D49)),_xludf.XLOOKUP(D49,[2]CODE!$A$4:$A$100,[2]CODE!$D$4:$D$100),"")</f>
        <v/>
      </c>
      <c r="X49" s="5" t="str">
        <f t="array" ref="X49">IF(NOT(AND(ISBLANK(D49),ISBLANK(C49))),_xludf.XLOOKUP(D49,[2]CODE!$A$4:$A$100,[2]CODE!$E$4:$E$100),"")</f>
        <v/>
      </c>
      <c r="Y49" s="5" t="str">
        <f t="shared" si="3"/>
        <v/>
      </c>
      <c r="Z49" s="5" t="str">
        <f t="shared" si="4"/>
        <v/>
      </c>
      <c r="AA49" s="4">
        <f t="shared" si="5"/>
        <v>0</v>
      </c>
      <c r="AC49" s="2"/>
    </row>
    <row r="50" spans="1:29" ht="15.5">
      <c r="A50" s="13" t="str">
        <f>IF(OR(ISBLANK(C50),ISBLANK(D50),ISBLANK(F50),ISBLANK(G50)),"",COUNTIF($B$5:B50,"JAMBUTU"))</f>
        <v/>
      </c>
      <c r="B50" s="8"/>
      <c r="C50" s="8"/>
      <c r="D50" s="8"/>
      <c r="E50" s="13"/>
      <c r="F50" s="12"/>
      <c r="G50" s="11"/>
      <c r="H50" s="12"/>
      <c r="I50" s="11"/>
      <c r="J50" s="10">
        <f t="shared" si="0"/>
        <v>0</v>
      </c>
      <c r="K50" s="10">
        <f t="shared" si="1"/>
        <v>0</v>
      </c>
      <c r="L50" s="9" t="str">
        <f t="shared" si="2"/>
        <v/>
      </c>
      <c r="M50" s="8"/>
      <c r="N50" s="8"/>
      <c r="O50" s="8"/>
      <c r="P50" s="8"/>
      <c r="Q50" s="8"/>
      <c r="R50" s="8"/>
      <c r="S50" s="8"/>
      <c r="T50" s="8"/>
      <c r="U50" s="8"/>
      <c r="V50" s="7"/>
      <c r="W50" s="6" t="str">
        <f t="array" ref="W50">IF(NOT(ISBLANK(D50)),_xludf.XLOOKUP(D50,[2]CODE!$A$4:$A$100,[2]CODE!$D$4:$D$100),"")</f>
        <v/>
      </c>
      <c r="X50" s="5" t="str">
        <f t="array" ref="X50">IF(NOT(AND(ISBLANK(D50),ISBLANK(C50))),_xludf.XLOOKUP(D50,[2]CODE!$A$4:$A$100,[2]CODE!$E$4:$E$100),"")</f>
        <v/>
      </c>
      <c r="Y50" s="5" t="str">
        <f t="shared" si="3"/>
        <v/>
      </c>
      <c r="Z50" s="5" t="str">
        <f t="shared" si="4"/>
        <v/>
      </c>
      <c r="AA50" s="4">
        <f t="shared" si="5"/>
        <v>0</v>
      </c>
      <c r="AC50" s="2"/>
    </row>
    <row r="51" spans="1:29" ht="15.5">
      <c r="A51" s="13" t="str">
        <f>IF(OR(ISBLANK(C51),ISBLANK(D51),ISBLANK(F51),ISBLANK(G51)),"",COUNTIF($B$5:B51,"JAMBUTU"))</f>
        <v/>
      </c>
      <c r="B51" s="8"/>
      <c r="C51" s="8"/>
      <c r="D51" s="8"/>
      <c r="E51" s="13"/>
      <c r="F51" s="12"/>
      <c r="G51" s="11"/>
      <c r="H51" s="12"/>
      <c r="I51" s="11"/>
      <c r="J51" s="10">
        <f t="shared" si="0"/>
        <v>0</v>
      </c>
      <c r="K51" s="10">
        <f t="shared" si="1"/>
        <v>0</v>
      </c>
      <c r="L51" s="9" t="str">
        <f t="shared" si="2"/>
        <v/>
      </c>
      <c r="M51" s="8"/>
      <c r="N51" s="8"/>
      <c r="O51" s="8"/>
      <c r="P51" s="8"/>
      <c r="Q51" s="8"/>
      <c r="R51" s="8"/>
      <c r="S51" s="8"/>
      <c r="T51" s="8"/>
      <c r="U51" s="8"/>
      <c r="V51" s="7"/>
      <c r="W51" s="6" t="str">
        <f t="array" ref="W51">IF(NOT(ISBLANK(D51)),_xludf.XLOOKUP(D51,[2]CODE!$A$4:$A$100,[2]CODE!$D$4:$D$100),"")</f>
        <v/>
      </c>
      <c r="X51" s="5" t="str">
        <f t="array" ref="X51">IF(NOT(AND(ISBLANK(D51),ISBLANK(C51))),_xludf.XLOOKUP(D51,[2]CODE!$A$4:$A$100,[2]CODE!$E$4:$E$100),"")</f>
        <v/>
      </c>
      <c r="Y51" s="5" t="str">
        <f t="shared" si="3"/>
        <v/>
      </c>
      <c r="Z51" s="5" t="str">
        <f t="shared" si="4"/>
        <v/>
      </c>
      <c r="AA51" s="4">
        <f t="shared" si="5"/>
        <v>0</v>
      </c>
      <c r="AC51" s="2"/>
    </row>
    <row r="52" spans="1:29" ht="15.5">
      <c r="A52" s="13" t="str">
        <f>IF(OR(ISBLANK(C52),ISBLANK(D52),ISBLANK(F52),ISBLANK(G52)),"",COUNTIF($B$5:B52,"JAMBUTU"))</f>
        <v/>
      </c>
      <c r="B52" s="8"/>
      <c r="C52" s="8"/>
      <c r="D52" s="8"/>
      <c r="E52" s="13"/>
      <c r="F52" s="12"/>
      <c r="G52" s="11"/>
      <c r="H52" s="12"/>
      <c r="I52" s="11"/>
      <c r="J52" s="10">
        <f t="shared" si="0"/>
        <v>0</v>
      </c>
      <c r="K52" s="10">
        <f t="shared" si="1"/>
        <v>0</v>
      </c>
      <c r="L52" s="9" t="str">
        <f t="shared" si="2"/>
        <v/>
      </c>
      <c r="M52" s="8"/>
      <c r="N52" s="8"/>
      <c r="O52" s="8"/>
      <c r="P52" s="8"/>
      <c r="Q52" s="8"/>
      <c r="R52" s="8"/>
      <c r="S52" s="8"/>
      <c r="T52" s="8"/>
      <c r="U52" s="8"/>
      <c r="V52" s="7"/>
      <c r="W52" s="6" t="str">
        <f t="array" ref="W52">IF(NOT(ISBLANK(D52)),_xludf.XLOOKUP(D52,[2]CODE!$A$4:$A$100,[2]CODE!$D$4:$D$100),"")</f>
        <v/>
      </c>
      <c r="X52" s="5" t="str">
        <f t="array" ref="X52">IF(NOT(AND(ISBLANK(D52),ISBLANK(C52))),_xludf.XLOOKUP(D52,[2]CODE!$A$4:$A$100,[2]CODE!$E$4:$E$100),"")</f>
        <v/>
      </c>
      <c r="Y52" s="5" t="str">
        <f t="shared" si="3"/>
        <v/>
      </c>
      <c r="Z52" s="5" t="str">
        <f t="shared" si="4"/>
        <v/>
      </c>
      <c r="AA52" s="4">
        <f t="shared" si="5"/>
        <v>0</v>
      </c>
      <c r="AC52" s="2"/>
    </row>
    <row r="53" spans="1:29" ht="15.5">
      <c r="A53" s="13" t="str">
        <f>IF(OR(ISBLANK(C53),ISBLANK(D53),ISBLANK(F53),ISBLANK(G53)),"",COUNTIF($B$5:B53,"JAMBUTU"))</f>
        <v/>
      </c>
      <c r="B53" s="8"/>
      <c r="C53" s="8"/>
      <c r="D53" s="8"/>
      <c r="E53" s="13"/>
      <c r="F53" s="12"/>
      <c r="G53" s="11"/>
      <c r="H53" s="12"/>
      <c r="I53" s="11"/>
      <c r="J53" s="10">
        <f t="shared" si="0"/>
        <v>0</v>
      </c>
      <c r="K53" s="10">
        <f t="shared" si="1"/>
        <v>0</v>
      </c>
      <c r="L53" s="9" t="str">
        <f t="shared" si="2"/>
        <v/>
      </c>
      <c r="M53" s="8"/>
      <c r="N53" s="8"/>
      <c r="O53" s="8"/>
      <c r="P53" s="8"/>
      <c r="Q53" s="8"/>
      <c r="R53" s="8"/>
      <c r="S53" s="8"/>
      <c r="T53" s="8"/>
      <c r="U53" s="8"/>
      <c r="V53" s="7"/>
      <c r="W53" s="6" t="str">
        <f t="array" ref="W53">IF(NOT(ISBLANK(D53)),_xludf.XLOOKUP(D53,[2]CODE!$A$4:$A$100,[2]CODE!$D$4:$D$100),"")</f>
        <v/>
      </c>
      <c r="X53" s="5" t="str">
        <f t="array" ref="X53">IF(NOT(AND(ISBLANK(D53),ISBLANK(C53))),_xludf.XLOOKUP(D53,[2]CODE!$A$4:$A$100,[2]CODE!$E$4:$E$100),"")</f>
        <v/>
      </c>
      <c r="Y53" s="5" t="str">
        <f t="shared" si="3"/>
        <v/>
      </c>
      <c r="Z53" s="5" t="str">
        <f t="shared" si="4"/>
        <v/>
      </c>
      <c r="AA53" s="4">
        <f t="shared" si="5"/>
        <v>0</v>
      </c>
      <c r="AC53" s="2"/>
    </row>
    <row r="54" spans="1:29" ht="15.5">
      <c r="A54" s="13" t="str">
        <f>IF(OR(ISBLANK(C54),ISBLANK(D54),ISBLANK(F54),ISBLANK(G54)),"",COUNTIF($B$5:B54,"JAMBUTU"))</f>
        <v/>
      </c>
      <c r="B54" s="8"/>
      <c r="C54" s="8"/>
      <c r="D54" s="8"/>
      <c r="E54" s="13"/>
      <c r="F54" s="12"/>
      <c r="G54" s="11"/>
      <c r="H54" s="12"/>
      <c r="I54" s="11"/>
      <c r="J54" s="10">
        <f t="shared" si="0"/>
        <v>0</v>
      </c>
      <c r="K54" s="10">
        <f t="shared" si="1"/>
        <v>0</v>
      </c>
      <c r="L54" s="9" t="str">
        <f t="shared" si="2"/>
        <v/>
      </c>
      <c r="M54" s="8"/>
      <c r="N54" s="8"/>
      <c r="O54" s="8"/>
      <c r="P54" s="8"/>
      <c r="Q54" s="8"/>
      <c r="R54" s="8"/>
      <c r="S54" s="8"/>
      <c r="T54" s="8"/>
      <c r="U54" s="8"/>
      <c r="V54" s="7"/>
      <c r="W54" s="6" t="str">
        <f t="array" ref="W54">IF(NOT(ISBLANK(D54)),_xludf.XLOOKUP(D54,[2]CODE!$A$4:$A$100,[2]CODE!$D$4:$D$100),"")</f>
        <v/>
      </c>
      <c r="X54" s="5" t="str">
        <f t="array" ref="X54">IF(NOT(AND(ISBLANK(D54),ISBLANK(C54))),_xludf.XLOOKUP(D54,[2]CODE!$A$4:$A$100,[2]CODE!$E$4:$E$100),"")</f>
        <v/>
      </c>
      <c r="Y54" s="5" t="str">
        <f t="shared" si="3"/>
        <v/>
      </c>
      <c r="Z54" s="5" t="str">
        <f t="shared" si="4"/>
        <v/>
      </c>
      <c r="AA54" s="4">
        <f t="shared" si="5"/>
        <v>0</v>
      </c>
      <c r="AC54" s="2"/>
    </row>
    <row r="55" spans="1:29" ht="15.5">
      <c r="A55" s="13" t="str">
        <f>IF(OR(ISBLANK(C55),ISBLANK(D55),ISBLANK(F55),ISBLANK(G55)),"",COUNTIF($B$5:B55,"JAMBUTU"))</f>
        <v/>
      </c>
      <c r="B55" s="8"/>
      <c r="C55" s="8"/>
      <c r="D55" s="8"/>
      <c r="E55" s="13"/>
      <c r="F55" s="12"/>
      <c r="G55" s="11"/>
      <c r="H55" s="12"/>
      <c r="I55" s="11"/>
      <c r="J55" s="10">
        <f t="shared" si="0"/>
        <v>0</v>
      </c>
      <c r="K55" s="10">
        <f t="shared" si="1"/>
        <v>0</v>
      </c>
      <c r="L55" s="9" t="str">
        <f t="shared" si="2"/>
        <v/>
      </c>
      <c r="M55" s="8"/>
      <c r="N55" s="8"/>
      <c r="O55" s="8"/>
      <c r="P55" s="8"/>
      <c r="Q55" s="8"/>
      <c r="R55" s="8"/>
      <c r="S55" s="8"/>
      <c r="T55" s="8"/>
      <c r="U55" s="8"/>
      <c r="V55" s="7"/>
      <c r="W55" s="6" t="str">
        <f t="array" ref="W55">IF(NOT(ISBLANK(D55)),_xludf.XLOOKUP(D55,[2]CODE!$A$4:$A$100,[2]CODE!$D$4:$D$100),"")</f>
        <v/>
      </c>
      <c r="X55" s="5" t="str">
        <f t="array" ref="X55">IF(NOT(AND(ISBLANK(D55),ISBLANK(C55))),_xludf.XLOOKUP(D55,[2]CODE!$A$4:$A$100,[2]CODE!$E$4:$E$100),"")</f>
        <v/>
      </c>
      <c r="Y55" s="5" t="str">
        <f t="shared" si="3"/>
        <v/>
      </c>
      <c r="Z55" s="5" t="str">
        <f t="shared" si="4"/>
        <v/>
      </c>
      <c r="AA55" s="4">
        <f t="shared" si="5"/>
        <v>0</v>
      </c>
      <c r="AC55" s="2"/>
    </row>
    <row r="56" spans="1:29" ht="15.5">
      <c r="A56" s="13" t="str">
        <f>IF(OR(ISBLANK(C56),ISBLANK(D56),ISBLANK(F56),ISBLANK(G56)),"",COUNTIF($B$5:B56,"JAMBUTU"))</f>
        <v/>
      </c>
      <c r="B56" s="8"/>
      <c r="C56" s="8"/>
      <c r="D56" s="8"/>
      <c r="E56" s="13"/>
      <c r="F56" s="12"/>
      <c r="G56" s="11"/>
      <c r="H56" s="12"/>
      <c r="I56" s="11"/>
      <c r="J56" s="10">
        <f t="shared" si="0"/>
        <v>0</v>
      </c>
      <c r="K56" s="10">
        <f t="shared" si="1"/>
        <v>0</v>
      </c>
      <c r="L56" s="9" t="str">
        <f t="shared" si="2"/>
        <v/>
      </c>
      <c r="M56" s="8"/>
      <c r="N56" s="8"/>
      <c r="O56" s="8"/>
      <c r="P56" s="8"/>
      <c r="Q56" s="8"/>
      <c r="R56" s="8"/>
      <c r="S56" s="8"/>
      <c r="T56" s="8"/>
      <c r="U56" s="8"/>
      <c r="V56" s="7"/>
      <c r="W56" s="6" t="str">
        <f t="array" ref="W56">IF(NOT(ISBLANK(D56)),_xludf.XLOOKUP(D56,[2]CODE!$A$4:$A$100,[2]CODE!$D$4:$D$100),"")</f>
        <v/>
      </c>
      <c r="X56" s="5" t="str">
        <f t="array" ref="X56">IF(NOT(AND(ISBLANK(D56),ISBLANK(C56))),_xludf.XLOOKUP(D56,[2]CODE!$A$4:$A$100,[2]CODE!$E$4:$E$100),"")</f>
        <v/>
      </c>
      <c r="Y56" s="5" t="str">
        <f t="shared" si="3"/>
        <v/>
      </c>
      <c r="Z56" s="5" t="str">
        <f t="shared" si="4"/>
        <v/>
      </c>
      <c r="AA56" s="4">
        <f t="shared" si="5"/>
        <v>0</v>
      </c>
      <c r="AC56" s="2"/>
    </row>
    <row r="57" spans="1:29" ht="15.5">
      <c r="A57" s="13" t="str">
        <f>IF(OR(ISBLANK(C57),ISBLANK(D57),ISBLANK(F57),ISBLANK(G57)),"",COUNTIF($B$5:B57,"JAMBUTU"))</f>
        <v/>
      </c>
      <c r="B57" s="8"/>
      <c r="C57" s="8"/>
      <c r="D57" s="8"/>
      <c r="E57" s="13"/>
      <c r="F57" s="12"/>
      <c r="G57" s="11"/>
      <c r="H57" s="12"/>
      <c r="I57" s="11"/>
      <c r="J57" s="10">
        <f t="shared" si="0"/>
        <v>0</v>
      </c>
      <c r="K57" s="10">
        <f t="shared" si="1"/>
        <v>0</v>
      </c>
      <c r="L57" s="9" t="str">
        <f t="shared" si="2"/>
        <v/>
      </c>
      <c r="M57" s="8"/>
      <c r="N57" s="8"/>
      <c r="O57" s="8"/>
      <c r="P57" s="8"/>
      <c r="Q57" s="8"/>
      <c r="R57" s="8"/>
      <c r="S57" s="8"/>
      <c r="T57" s="8"/>
      <c r="U57" s="8"/>
      <c r="V57" s="7"/>
      <c r="W57" s="6" t="str">
        <f t="array" ref="W57">IF(NOT(ISBLANK(D57)),_xludf.XLOOKUP(D57,[2]CODE!$A$4:$A$100,[2]CODE!$D$4:$D$100),"")</f>
        <v/>
      </c>
      <c r="X57" s="5" t="str">
        <f t="array" ref="X57">IF(NOT(AND(ISBLANK(D57),ISBLANK(C57))),_xludf.XLOOKUP(D57,[2]CODE!$A$4:$A$100,[2]CODE!$E$4:$E$100),"")</f>
        <v/>
      </c>
      <c r="Y57" s="5" t="str">
        <f t="shared" si="3"/>
        <v/>
      </c>
      <c r="Z57" s="5" t="str">
        <f t="shared" si="4"/>
        <v/>
      </c>
      <c r="AA57" s="4">
        <f t="shared" si="5"/>
        <v>0</v>
      </c>
      <c r="AC57" s="2"/>
    </row>
    <row r="58" spans="1:29" ht="15.5">
      <c r="A58" s="13" t="str">
        <f>IF(OR(ISBLANK(C58),ISBLANK(D58),ISBLANK(F58),ISBLANK(G58)),"",COUNTIF($B$5:B58,"JAMBUTU"))</f>
        <v/>
      </c>
      <c r="B58" s="8"/>
      <c r="C58" s="8"/>
      <c r="D58" s="8"/>
      <c r="E58" s="13"/>
      <c r="F58" s="12"/>
      <c r="G58" s="11"/>
      <c r="H58" s="12"/>
      <c r="I58" s="11"/>
      <c r="J58" s="10">
        <f t="shared" si="0"/>
        <v>0</v>
      </c>
      <c r="K58" s="10">
        <f t="shared" si="1"/>
        <v>0</v>
      </c>
      <c r="L58" s="9" t="str">
        <f t="shared" si="2"/>
        <v/>
      </c>
      <c r="M58" s="8"/>
      <c r="N58" s="8"/>
      <c r="O58" s="8"/>
      <c r="P58" s="8"/>
      <c r="Q58" s="8"/>
      <c r="R58" s="8"/>
      <c r="S58" s="8"/>
      <c r="T58" s="8"/>
      <c r="U58" s="8"/>
      <c r="V58" s="7"/>
      <c r="W58" s="6" t="str">
        <f t="array" ref="W58">IF(NOT(ISBLANK(D58)),_xludf.XLOOKUP(D58,[2]CODE!$A$4:$A$100,[2]CODE!$D$4:$D$100),"")</f>
        <v/>
      </c>
      <c r="X58" s="5" t="str">
        <f t="array" ref="X58">IF(NOT(AND(ISBLANK(D58),ISBLANK(C58))),_xludf.XLOOKUP(D58,[2]CODE!$A$4:$A$100,[2]CODE!$E$4:$E$100),"")</f>
        <v/>
      </c>
      <c r="Y58" s="5" t="str">
        <f t="shared" si="3"/>
        <v/>
      </c>
      <c r="Z58" s="5" t="str">
        <f t="shared" si="4"/>
        <v/>
      </c>
      <c r="AA58" s="4">
        <f t="shared" si="5"/>
        <v>0</v>
      </c>
      <c r="AC58" s="2"/>
    </row>
    <row r="59" spans="1:29" ht="15.5">
      <c r="A59" s="13" t="str">
        <f>IF(OR(ISBLANK(C59),ISBLANK(D59),ISBLANK(F59),ISBLANK(G59)),"",COUNTIF($B$5:B59,"JAMBUTU"))</f>
        <v/>
      </c>
      <c r="B59" s="8"/>
      <c r="C59" s="8"/>
      <c r="D59" s="8"/>
      <c r="E59" s="13"/>
      <c r="F59" s="12"/>
      <c r="G59" s="11"/>
      <c r="H59" s="12"/>
      <c r="I59" s="11"/>
      <c r="J59" s="10">
        <f t="shared" si="0"/>
        <v>0</v>
      </c>
      <c r="K59" s="10">
        <f t="shared" si="1"/>
        <v>0</v>
      </c>
      <c r="L59" s="9" t="str">
        <f t="shared" si="2"/>
        <v/>
      </c>
      <c r="M59" s="8"/>
      <c r="N59" s="8"/>
      <c r="O59" s="8"/>
      <c r="P59" s="8"/>
      <c r="Q59" s="8"/>
      <c r="R59" s="8"/>
      <c r="S59" s="8"/>
      <c r="T59" s="8"/>
      <c r="U59" s="8"/>
      <c r="V59" s="7"/>
      <c r="W59" s="6" t="str">
        <f t="array" ref="W59">IF(NOT(ISBLANK(D59)),_xludf.XLOOKUP(D59,[2]CODE!$A$4:$A$100,[2]CODE!$D$4:$D$100),"")</f>
        <v/>
      </c>
      <c r="X59" s="5" t="str">
        <f t="array" ref="X59">IF(NOT(AND(ISBLANK(D59),ISBLANK(C59))),_xludf.XLOOKUP(D59,[2]CODE!$A$4:$A$100,[2]CODE!$E$4:$E$100),"")</f>
        <v/>
      </c>
      <c r="Y59" s="5" t="str">
        <f t="shared" si="3"/>
        <v/>
      </c>
      <c r="Z59" s="5" t="str">
        <f t="shared" si="4"/>
        <v/>
      </c>
      <c r="AA59" s="4">
        <f t="shared" si="5"/>
        <v>0</v>
      </c>
      <c r="AC59" s="2"/>
    </row>
    <row r="60" spans="1:29" ht="15.5">
      <c r="A60" s="13" t="str">
        <f>IF(OR(ISBLANK(C60),ISBLANK(D60),ISBLANK(F60),ISBLANK(G60)),"",COUNTIF($B$5:B60,"JAMBUTU"))</f>
        <v/>
      </c>
      <c r="B60" s="8"/>
      <c r="C60" s="8"/>
      <c r="D60" s="8"/>
      <c r="E60" s="13"/>
      <c r="F60" s="12"/>
      <c r="G60" s="11"/>
      <c r="H60" s="12"/>
      <c r="I60" s="11"/>
      <c r="J60" s="10">
        <f t="shared" si="0"/>
        <v>0</v>
      </c>
      <c r="K60" s="10">
        <f t="shared" si="1"/>
        <v>0</v>
      </c>
      <c r="L60" s="9" t="str">
        <f t="shared" si="2"/>
        <v/>
      </c>
      <c r="M60" s="8"/>
      <c r="N60" s="8"/>
      <c r="O60" s="8"/>
      <c r="P60" s="8"/>
      <c r="Q60" s="8"/>
      <c r="R60" s="8"/>
      <c r="S60" s="8"/>
      <c r="T60" s="8"/>
      <c r="U60" s="8"/>
      <c r="V60" s="7"/>
      <c r="W60" s="6" t="str">
        <f t="array" ref="W60">IF(NOT(ISBLANK(D60)),_xludf.XLOOKUP(D60,[2]CODE!$A$4:$A$100,[2]CODE!$D$4:$D$100),"")</f>
        <v/>
      </c>
      <c r="X60" s="5" t="str">
        <f t="array" ref="X60">IF(NOT(AND(ISBLANK(D60),ISBLANK(C60))),_xludf.XLOOKUP(D60,[2]CODE!$A$4:$A$100,[2]CODE!$E$4:$E$100),"")</f>
        <v/>
      </c>
      <c r="Y60" s="5" t="str">
        <f t="shared" si="3"/>
        <v/>
      </c>
      <c r="Z60" s="5" t="str">
        <f t="shared" si="4"/>
        <v/>
      </c>
      <c r="AA60" s="4">
        <f t="shared" si="5"/>
        <v>0</v>
      </c>
      <c r="AC60" s="2"/>
    </row>
    <row r="61" spans="1:29" ht="15.5">
      <c r="A61" s="13" t="str">
        <f>IF(OR(ISBLANK(C61),ISBLANK(D61),ISBLANK(F61),ISBLANK(G61)),"",COUNTIF($B$5:B61,"JAMBUTU"))</f>
        <v/>
      </c>
      <c r="B61" s="8"/>
      <c r="C61" s="8"/>
      <c r="D61" s="8"/>
      <c r="E61" s="13"/>
      <c r="F61" s="12"/>
      <c r="G61" s="11"/>
      <c r="H61" s="12"/>
      <c r="I61" s="11"/>
      <c r="J61" s="10">
        <f t="shared" si="0"/>
        <v>0</v>
      </c>
      <c r="K61" s="10">
        <f t="shared" si="1"/>
        <v>0</v>
      </c>
      <c r="L61" s="9" t="str">
        <f t="shared" si="2"/>
        <v/>
      </c>
      <c r="M61" s="8"/>
      <c r="N61" s="8"/>
      <c r="O61" s="8"/>
      <c r="P61" s="8"/>
      <c r="Q61" s="8"/>
      <c r="R61" s="8"/>
      <c r="S61" s="8"/>
      <c r="T61" s="8"/>
      <c r="U61" s="8"/>
      <c r="V61" s="7"/>
      <c r="W61" s="6" t="str">
        <f t="array" ref="W61">IF(NOT(ISBLANK(D61)),_xludf.XLOOKUP(D61,[2]CODE!$A$4:$A$100,[2]CODE!$D$4:$D$100),"")</f>
        <v/>
      </c>
      <c r="X61" s="5" t="str">
        <f t="array" ref="X61">IF(NOT(AND(ISBLANK(D61),ISBLANK(C61))),_xludf.XLOOKUP(D61,[2]CODE!$A$4:$A$100,[2]CODE!$E$4:$E$100),"")</f>
        <v/>
      </c>
      <c r="Y61" s="5" t="str">
        <f t="shared" si="3"/>
        <v/>
      </c>
      <c r="Z61" s="5" t="str">
        <f t="shared" si="4"/>
        <v/>
      </c>
      <c r="AA61" s="4">
        <f t="shared" si="5"/>
        <v>0</v>
      </c>
      <c r="AC61" s="2"/>
    </row>
    <row r="62" spans="1:29" ht="15.5">
      <c r="A62" s="13" t="str">
        <f>IF(OR(ISBLANK(C62),ISBLANK(D62),ISBLANK(F62),ISBLANK(G62)),"",COUNTIF($B$5:B62,"JAMBUTU"))</f>
        <v/>
      </c>
      <c r="B62" s="8"/>
      <c r="C62" s="8"/>
      <c r="D62" s="8"/>
      <c r="E62" s="13"/>
      <c r="F62" s="12"/>
      <c r="G62" s="11"/>
      <c r="H62" s="12"/>
      <c r="I62" s="11"/>
      <c r="J62" s="10">
        <f t="shared" si="0"/>
        <v>0</v>
      </c>
      <c r="K62" s="10">
        <f t="shared" si="1"/>
        <v>0</v>
      </c>
      <c r="L62" s="9" t="str">
        <f t="shared" si="2"/>
        <v/>
      </c>
      <c r="M62" s="8"/>
      <c r="N62" s="8"/>
      <c r="O62" s="8"/>
      <c r="P62" s="8"/>
      <c r="Q62" s="8"/>
      <c r="R62" s="8"/>
      <c r="S62" s="8"/>
      <c r="T62" s="8"/>
      <c r="U62" s="8"/>
      <c r="V62" s="7"/>
      <c r="W62" s="6" t="str">
        <f t="array" ref="W62">IF(NOT(ISBLANK(D62)),_xludf.XLOOKUP(D62,[2]CODE!$A$4:$A$100,[2]CODE!$D$4:$D$100),"")</f>
        <v/>
      </c>
      <c r="X62" s="5" t="str">
        <f t="array" ref="X62">IF(NOT(AND(ISBLANK(D62),ISBLANK(C62))),_xludf.XLOOKUP(D62,[2]CODE!$A$4:$A$100,[2]CODE!$E$4:$E$100),"")</f>
        <v/>
      </c>
      <c r="Y62" s="5" t="str">
        <f t="shared" si="3"/>
        <v/>
      </c>
      <c r="Z62" s="5" t="str">
        <f t="shared" si="4"/>
        <v/>
      </c>
      <c r="AA62" s="4">
        <f t="shared" si="5"/>
        <v>0</v>
      </c>
      <c r="AC62" s="2"/>
    </row>
    <row r="63" spans="1:29" ht="15.5">
      <c r="A63" s="13" t="str">
        <f>IF(OR(ISBLANK(C63),ISBLANK(D63),ISBLANK(F63),ISBLANK(G63)),"",COUNTIF($B$5:B63,"JAMBUTU"))</f>
        <v/>
      </c>
      <c r="B63" s="8"/>
      <c r="C63" s="8"/>
      <c r="D63" s="8"/>
      <c r="E63" s="13"/>
      <c r="F63" s="12"/>
      <c r="G63" s="11"/>
      <c r="H63" s="12"/>
      <c r="I63" s="11"/>
      <c r="J63" s="10">
        <f t="shared" si="0"/>
        <v>0</v>
      </c>
      <c r="K63" s="10">
        <f t="shared" si="1"/>
        <v>0</v>
      </c>
      <c r="L63" s="9" t="str">
        <f t="shared" si="2"/>
        <v/>
      </c>
      <c r="M63" s="8"/>
      <c r="N63" s="8"/>
      <c r="O63" s="8"/>
      <c r="P63" s="8"/>
      <c r="Q63" s="8"/>
      <c r="R63" s="8"/>
      <c r="S63" s="8"/>
      <c r="T63" s="8"/>
      <c r="U63" s="8"/>
      <c r="V63" s="7"/>
      <c r="W63" s="6" t="str">
        <f t="array" ref="W63">IF(NOT(ISBLANK(D63)),_xludf.XLOOKUP(D63,[2]CODE!$A$4:$A$100,[2]CODE!$D$4:$D$100),"")</f>
        <v/>
      </c>
      <c r="X63" s="5" t="str">
        <f t="array" ref="X63">IF(NOT(AND(ISBLANK(D63),ISBLANK(C63))),_xludf.XLOOKUP(D63,[2]CODE!$A$4:$A$100,[2]CODE!$E$4:$E$100),"")</f>
        <v/>
      </c>
      <c r="Y63" s="5" t="str">
        <f t="shared" si="3"/>
        <v/>
      </c>
      <c r="Z63" s="5" t="str">
        <f t="shared" si="4"/>
        <v/>
      </c>
      <c r="AA63" s="4">
        <f t="shared" si="5"/>
        <v>0</v>
      </c>
      <c r="AC63" s="2"/>
    </row>
    <row r="64" spans="1:29" ht="15.5">
      <c r="A64" s="13" t="str">
        <f>IF(OR(ISBLANK(C64),ISBLANK(D64),ISBLANK(F64),ISBLANK(G64)),"",COUNTIF($B$5:B64,"JAMBUTU"))</f>
        <v/>
      </c>
      <c r="B64" s="8"/>
      <c r="C64" s="8"/>
      <c r="D64" s="8"/>
      <c r="E64" s="13"/>
      <c r="F64" s="12"/>
      <c r="G64" s="11"/>
      <c r="H64" s="12"/>
      <c r="I64" s="11"/>
      <c r="J64" s="10">
        <f t="shared" si="0"/>
        <v>0</v>
      </c>
      <c r="K64" s="10">
        <f t="shared" si="1"/>
        <v>0</v>
      </c>
      <c r="L64" s="9" t="str">
        <f t="shared" si="2"/>
        <v/>
      </c>
      <c r="M64" s="8"/>
      <c r="N64" s="8"/>
      <c r="O64" s="8"/>
      <c r="P64" s="8"/>
      <c r="Q64" s="8"/>
      <c r="R64" s="8"/>
      <c r="S64" s="8"/>
      <c r="T64" s="8"/>
      <c r="U64" s="8"/>
      <c r="V64" s="7"/>
      <c r="W64" s="6" t="str">
        <f t="array" ref="W64">IF(NOT(ISBLANK(D64)),_xludf.XLOOKUP(D64,[2]CODE!$A$4:$A$100,[2]CODE!$D$4:$D$100),"")</f>
        <v/>
      </c>
      <c r="X64" s="5" t="str">
        <f t="array" ref="X64">IF(NOT(AND(ISBLANK(D64),ISBLANK(C64))),_xludf.XLOOKUP(D64,[2]CODE!$A$4:$A$100,[2]CODE!$E$4:$E$100),"")</f>
        <v/>
      </c>
      <c r="Y64" s="5" t="str">
        <f t="shared" si="3"/>
        <v/>
      </c>
      <c r="Z64" s="5" t="str">
        <f t="shared" si="4"/>
        <v/>
      </c>
      <c r="AA64" s="4">
        <f t="shared" si="5"/>
        <v>0</v>
      </c>
      <c r="AC64" s="2"/>
    </row>
    <row r="65" spans="1:29" ht="15.5">
      <c r="A65" s="13" t="str">
        <f>IF(OR(ISBLANK(C65),ISBLANK(D65),ISBLANK(F65),ISBLANK(G65)),"",COUNTIF($B$5:B65,"JAMBUTU"))</f>
        <v/>
      </c>
      <c r="B65" s="8"/>
      <c r="C65" s="8"/>
      <c r="D65" s="8"/>
      <c r="E65" s="13"/>
      <c r="F65" s="12"/>
      <c r="G65" s="11"/>
      <c r="H65" s="12"/>
      <c r="I65" s="11"/>
      <c r="J65" s="10">
        <f t="shared" si="0"/>
        <v>0</v>
      </c>
      <c r="K65" s="10">
        <f t="shared" si="1"/>
        <v>0</v>
      </c>
      <c r="L65" s="9" t="str">
        <f t="shared" si="2"/>
        <v/>
      </c>
      <c r="M65" s="8"/>
      <c r="N65" s="8"/>
      <c r="O65" s="8"/>
      <c r="P65" s="8"/>
      <c r="Q65" s="8"/>
      <c r="R65" s="8"/>
      <c r="S65" s="8"/>
      <c r="T65" s="8"/>
      <c r="U65" s="8"/>
      <c r="V65" s="7"/>
      <c r="W65" s="6" t="str">
        <f t="array" ref="W65">IF(NOT(ISBLANK(D65)),_xludf.XLOOKUP(D65,[2]CODE!$A$4:$A$100,[2]CODE!$D$4:$D$100),"")</f>
        <v/>
      </c>
      <c r="X65" s="5" t="str">
        <f t="array" ref="X65">IF(NOT(AND(ISBLANK(D65),ISBLANK(C65))),_xludf.XLOOKUP(D65,[2]CODE!$A$4:$A$100,[2]CODE!$E$4:$E$100),"")</f>
        <v/>
      </c>
      <c r="Y65" s="5" t="str">
        <f t="shared" si="3"/>
        <v/>
      </c>
      <c r="Z65" s="5" t="str">
        <f t="shared" si="4"/>
        <v/>
      </c>
      <c r="AA65" s="4">
        <f t="shared" si="5"/>
        <v>0</v>
      </c>
      <c r="AC65" s="2"/>
    </row>
    <row r="66" spans="1:29" ht="15.5">
      <c r="A66" s="13" t="str">
        <f>IF(OR(ISBLANK(C66),ISBLANK(D66),ISBLANK(F66),ISBLANK(G66)),"",COUNTIF($B$5:B66,"JAMBUTU"))</f>
        <v/>
      </c>
      <c r="B66" s="8"/>
      <c r="C66" s="8"/>
      <c r="D66" s="8"/>
      <c r="E66" s="13"/>
      <c r="F66" s="12"/>
      <c r="G66" s="11"/>
      <c r="H66" s="12"/>
      <c r="I66" s="11"/>
      <c r="J66" s="10">
        <f t="shared" si="0"/>
        <v>0</v>
      </c>
      <c r="K66" s="10">
        <f t="shared" si="1"/>
        <v>0</v>
      </c>
      <c r="L66" s="9" t="str">
        <f t="shared" si="2"/>
        <v/>
      </c>
      <c r="M66" s="8"/>
      <c r="N66" s="8"/>
      <c r="O66" s="8"/>
      <c r="P66" s="8"/>
      <c r="Q66" s="8"/>
      <c r="R66" s="8"/>
      <c r="S66" s="8"/>
      <c r="T66" s="8"/>
      <c r="U66" s="8"/>
      <c r="V66" s="7"/>
      <c r="W66" s="6" t="str">
        <f t="array" ref="W66">IF(NOT(ISBLANK(D66)),_xludf.XLOOKUP(D66,[2]CODE!$A$4:$A$100,[2]CODE!$D$4:$D$100),"")</f>
        <v/>
      </c>
      <c r="X66" s="5" t="str">
        <f t="array" ref="X66">IF(NOT(AND(ISBLANK(D66),ISBLANK(C66))),_xludf.XLOOKUP(D66,[2]CODE!$A$4:$A$100,[2]CODE!$E$4:$E$100),"")</f>
        <v/>
      </c>
      <c r="Y66" s="5" t="str">
        <f t="shared" si="3"/>
        <v/>
      </c>
      <c r="Z66" s="5" t="str">
        <f t="shared" si="4"/>
        <v/>
      </c>
      <c r="AA66" s="4">
        <f t="shared" si="5"/>
        <v>0</v>
      </c>
      <c r="AC66" s="2"/>
    </row>
    <row r="67" spans="1:29" ht="15.5">
      <c r="A67" s="13" t="str">
        <f>IF(OR(ISBLANK(C67),ISBLANK(D67),ISBLANK(F67),ISBLANK(G67)),"",COUNTIF($B$5:B67,"JAMBUTU"))</f>
        <v/>
      </c>
      <c r="B67" s="8"/>
      <c r="C67" s="8"/>
      <c r="D67" s="8"/>
      <c r="E67" s="13"/>
      <c r="F67" s="12"/>
      <c r="G67" s="11"/>
      <c r="H67" s="12"/>
      <c r="I67" s="11"/>
      <c r="J67" s="10">
        <f t="shared" si="0"/>
        <v>0</v>
      </c>
      <c r="K67" s="10">
        <f t="shared" si="1"/>
        <v>0</v>
      </c>
      <c r="L67" s="9" t="str">
        <f t="shared" si="2"/>
        <v/>
      </c>
      <c r="M67" s="8"/>
      <c r="N67" s="8"/>
      <c r="O67" s="8"/>
      <c r="P67" s="8"/>
      <c r="Q67" s="8"/>
      <c r="R67" s="8"/>
      <c r="S67" s="8"/>
      <c r="T67" s="8"/>
      <c r="U67" s="8"/>
      <c r="V67" s="7"/>
      <c r="W67" s="6" t="str">
        <f t="array" ref="W67">IF(NOT(ISBLANK(D67)),_xludf.XLOOKUP(D67,[2]CODE!$A$4:$A$100,[2]CODE!$D$4:$D$100),"")</f>
        <v/>
      </c>
      <c r="X67" s="5" t="str">
        <f t="array" ref="X67">IF(NOT(AND(ISBLANK(D67),ISBLANK(C67))),_xludf.XLOOKUP(D67,[2]CODE!$A$4:$A$100,[2]CODE!$E$4:$E$100),"")</f>
        <v/>
      </c>
      <c r="Y67" s="5" t="str">
        <f t="shared" si="3"/>
        <v/>
      </c>
      <c r="Z67" s="5" t="str">
        <f t="shared" si="4"/>
        <v/>
      </c>
      <c r="AA67" s="4">
        <f t="shared" si="5"/>
        <v>0</v>
      </c>
      <c r="AC67" s="2"/>
    </row>
    <row r="68" spans="1:29" ht="15.5">
      <c r="A68" s="13" t="str">
        <f>IF(OR(ISBLANK(C68),ISBLANK(D68),ISBLANK(F68),ISBLANK(G68)),"",COUNTIF($B$5:B68,"JAMBUTU"))</f>
        <v/>
      </c>
      <c r="B68" s="8"/>
      <c r="C68" s="8"/>
      <c r="D68" s="8"/>
      <c r="E68" s="13"/>
      <c r="F68" s="12"/>
      <c r="G68" s="11"/>
      <c r="H68" s="12"/>
      <c r="I68" s="11"/>
      <c r="J68" s="10">
        <f t="shared" si="0"/>
        <v>0</v>
      </c>
      <c r="K68" s="10">
        <f t="shared" si="1"/>
        <v>0</v>
      </c>
      <c r="L68" s="9" t="str">
        <f t="shared" si="2"/>
        <v/>
      </c>
      <c r="M68" s="8"/>
      <c r="N68" s="8"/>
      <c r="O68" s="8"/>
      <c r="P68" s="8"/>
      <c r="Q68" s="8"/>
      <c r="R68" s="8"/>
      <c r="S68" s="8"/>
      <c r="T68" s="8"/>
      <c r="U68" s="8"/>
      <c r="V68" s="7"/>
      <c r="W68" s="6" t="str">
        <f t="array" ref="W68">IF(NOT(ISBLANK(D68)),_xludf.XLOOKUP(D68,[2]CODE!$A$4:$A$100,[2]CODE!$D$4:$D$100),"")</f>
        <v/>
      </c>
      <c r="X68" s="5" t="str">
        <f t="array" ref="X68">IF(NOT(AND(ISBLANK(D68),ISBLANK(C68))),_xludf.XLOOKUP(D68,[2]CODE!$A$4:$A$100,[2]CODE!$E$4:$E$100),"")</f>
        <v/>
      </c>
      <c r="Y68" s="5" t="str">
        <f t="shared" si="3"/>
        <v/>
      </c>
      <c r="Z68" s="5" t="str">
        <f t="shared" si="4"/>
        <v/>
      </c>
      <c r="AA68" s="4">
        <f t="shared" si="5"/>
        <v>0</v>
      </c>
      <c r="AC68" s="2"/>
    </row>
    <row r="69" spans="1:29" ht="15.5">
      <c r="A69" s="13" t="str">
        <f>IF(OR(ISBLANK(C69),ISBLANK(D69),ISBLANK(F69),ISBLANK(G69)),"",COUNTIF($B$5:B69,"JAMBUTU"))</f>
        <v/>
      </c>
      <c r="B69" s="8"/>
      <c r="C69" s="8"/>
      <c r="D69" s="8"/>
      <c r="E69" s="13"/>
      <c r="F69" s="12"/>
      <c r="G69" s="11"/>
      <c r="H69" s="12"/>
      <c r="I69" s="11"/>
      <c r="J69" s="10">
        <f t="shared" ref="J69:J132" si="9">DATE(YEAR(F69),MONTH(F69),DAY(F69))+TIME(HOUR(G69),MINUTE(G69), SECOND(G69))</f>
        <v>0</v>
      </c>
      <c r="K69" s="10">
        <f t="shared" ref="K69:K132" si="10">DATE(YEAR(H69),MONTH(H69),DAY(H69))+TIME(HOUR(I69),MINUTE(I69), SECOND(I69))</f>
        <v>0</v>
      </c>
      <c r="L69" s="9" t="str">
        <f t="shared" ref="L69:L132" si="11">IF(ISBLANK(I69),"",IF(J69&gt;K69,(K69+1)-J69,K69-J69))</f>
        <v/>
      </c>
      <c r="M69" s="8"/>
      <c r="N69" s="8"/>
      <c r="O69" s="8"/>
      <c r="P69" s="8"/>
      <c r="Q69" s="8"/>
      <c r="R69" s="8"/>
      <c r="S69" s="8"/>
      <c r="T69" s="8"/>
      <c r="U69" s="8"/>
      <c r="V69" s="7"/>
      <c r="W69" s="6" t="str">
        <f t="array" ref="W69">IF(NOT(ISBLANK(D69)),_xludf.XLOOKUP(D69,[2]CODE!$A$4:$A$100,[2]CODE!$D$4:$D$100),"")</f>
        <v/>
      </c>
      <c r="X69" s="5" t="str">
        <f t="array" ref="X69">IF(NOT(AND(ISBLANK(D69),ISBLANK(C69))),_xludf.XLOOKUP(D69,[2]CODE!$A$4:$A$100,[2]CODE!$E$4:$E$100),"")</f>
        <v/>
      </c>
      <c r="Y69" s="5" t="str">
        <f t="shared" ref="Y69:Y132" si="12">LEFT(C69,4)</f>
        <v/>
      </c>
      <c r="Z69" s="5" t="str">
        <f t="shared" ref="Z69:Z132" si="13">IF(NOT(ISBLANK(C69)), IF(K69&gt;J69,"YES","NO"),"")</f>
        <v/>
      </c>
      <c r="AA69" s="4">
        <f t="shared" ref="AA69:AA132" si="14">IF(AND(F69=H69,Z69="NO"),1+H69,H69)</f>
        <v>0</v>
      </c>
      <c r="AC69" s="2"/>
    </row>
    <row r="70" spans="1:29" ht="15.5">
      <c r="A70" s="13" t="str">
        <f>IF(OR(ISBLANK(C70),ISBLANK(D70),ISBLANK(F70),ISBLANK(G70)),"",COUNTIF($B$5:B70,"JAMBUTU"))</f>
        <v/>
      </c>
      <c r="B70" s="8"/>
      <c r="C70" s="8"/>
      <c r="D70" s="8"/>
      <c r="E70" s="13"/>
      <c r="F70" s="12"/>
      <c r="G70" s="11"/>
      <c r="H70" s="12"/>
      <c r="I70" s="11"/>
      <c r="J70" s="10">
        <f t="shared" si="9"/>
        <v>0</v>
      </c>
      <c r="K70" s="10">
        <f t="shared" si="10"/>
        <v>0</v>
      </c>
      <c r="L70" s="9" t="str">
        <f t="shared" si="11"/>
        <v/>
      </c>
      <c r="M70" s="8"/>
      <c r="N70" s="8"/>
      <c r="O70" s="8"/>
      <c r="P70" s="8"/>
      <c r="Q70" s="8"/>
      <c r="R70" s="8"/>
      <c r="S70" s="8"/>
      <c r="T70" s="8"/>
      <c r="U70" s="8"/>
      <c r="V70" s="7"/>
      <c r="W70" s="6" t="str">
        <f t="array" ref="W70">IF(NOT(ISBLANK(D70)),_xludf.XLOOKUP(D70,[2]CODE!$A$4:$A$100,[2]CODE!$D$4:$D$100),"")</f>
        <v/>
      </c>
      <c r="X70" s="5" t="str">
        <f t="array" ref="X70">IF(NOT(AND(ISBLANK(D70),ISBLANK(C70))),_xludf.XLOOKUP(D70,[2]CODE!$A$4:$A$100,[2]CODE!$E$4:$E$100),"")</f>
        <v/>
      </c>
      <c r="Y70" s="5" t="str">
        <f t="shared" si="12"/>
        <v/>
      </c>
      <c r="Z70" s="5" t="str">
        <f t="shared" si="13"/>
        <v/>
      </c>
      <c r="AA70" s="4">
        <f t="shared" si="14"/>
        <v>0</v>
      </c>
      <c r="AC70" s="2"/>
    </row>
    <row r="71" spans="1:29" ht="15.5">
      <c r="A71" s="13" t="str">
        <f>IF(OR(ISBLANK(C71),ISBLANK(D71),ISBLANK(F71),ISBLANK(G71)),"",COUNTIF($B$5:B71,"JAMBUTU"))</f>
        <v/>
      </c>
      <c r="B71" s="8"/>
      <c r="C71" s="8"/>
      <c r="D71" s="8"/>
      <c r="E71" s="13"/>
      <c r="F71" s="12"/>
      <c r="G71" s="11"/>
      <c r="H71" s="12"/>
      <c r="I71" s="11"/>
      <c r="J71" s="10">
        <f t="shared" si="9"/>
        <v>0</v>
      </c>
      <c r="K71" s="10">
        <f t="shared" si="10"/>
        <v>0</v>
      </c>
      <c r="L71" s="9" t="str">
        <f t="shared" si="11"/>
        <v/>
      </c>
      <c r="M71" s="8"/>
      <c r="N71" s="8"/>
      <c r="O71" s="8"/>
      <c r="P71" s="8"/>
      <c r="Q71" s="8"/>
      <c r="R71" s="8"/>
      <c r="S71" s="8"/>
      <c r="T71" s="8"/>
      <c r="U71" s="8"/>
      <c r="V71" s="7"/>
      <c r="W71" s="6" t="str">
        <f t="array" ref="W71">IF(NOT(ISBLANK(D71)),_xludf.XLOOKUP(D71,[2]CODE!$A$4:$A$100,[2]CODE!$D$4:$D$100),"")</f>
        <v/>
      </c>
      <c r="X71" s="5" t="str">
        <f t="array" ref="X71">IF(NOT(AND(ISBLANK(D71),ISBLANK(C71))),_xludf.XLOOKUP(D71,[2]CODE!$A$4:$A$100,[2]CODE!$E$4:$E$100),"")</f>
        <v/>
      </c>
      <c r="Y71" s="5" t="str">
        <f t="shared" si="12"/>
        <v/>
      </c>
      <c r="Z71" s="5" t="str">
        <f t="shared" si="13"/>
        <v/>
      </c>
      <c r="AA71" s="4">
        <f t="shared" si="14"/>
        <v>0</v>
      </c>
      <c r="AC71" s="2"/>
    </row>
    <row r="72" spans="1:29" ht="15.5">
      <c r="A72" s="13" t="str">
        <f>IF(OR(ISBLANK(C72),ISBLANK(D72),ISBLANK(F72),ISBLANK(G72)),"",COUNTIF($B$5:B72,"JAMBUTU"))</f>
        <v/>
      </c>
      <c r="B72" s="8"/>
      <c r="C72" s="8"/>
      <c r="D72" s="8"/>
      <c r="E72" s="13"/>
      <c r="F72" s="12"/>
      <c r="G72" s="11"/>
      <c r="H72" s="12"/>
      <c r="I72" s="11"/>
      <c r="J72" s="10">
        <f t="shared" si="9"/>
        <v>0</v>
      </c>
      <c r="K72" s="10">
        <f t="shared" si="10"/>
        <v>0</v>
      </c>
      <c r="L72" s="9" t="str">
        <f t="shared" si="11"/>
        <v/>
      </c>
      <c r="M72" s="8"/>
      <c r="N72" s="8"/>
      <c r="O72" s="8"/>
      <c r="P72" s="8"/>
      <c r="Q72" s="8"/>
      <c r="R72" s="8"/>
      <c r="S72" s="8"/>
      <c r="T72" s="8"/>
      <c r="U72" s="8"/>
      <c r="V72" s="7"/>
      <c r="W72" s="6" t="str">
        <f t="array" ref="W72">IF(NOT(ISBLANK(D72)),_xludf.XLOOKUP(D72,[2]CODE!$A$4:$A$100,[2]CODE!$D$4:$D$100),"")</f>
        <v/>
      </c>
      <c r="X72" s="5" t="str">
        <f t="array" ref="X72">IF(NOT(AND(ISBLANK(D72),ISBLANK(C72))),_xludf.XLOOKUP(D72,[2]CODE!$A$4:$A$100,[2]CODE!$E$4:$E$100),"")</f>
        <v/>
      </c>
      <c r="Y72" s="5" t="str">
        <f t="shared" si="12"/>
        <v/>
      </c>
      <c r="Z72" s="5" t="str">
        <f t="shared" si="13"/>
        <v/>
      </c>
      <c r="AA72" s="4">
        <f t="shared" si="14"/>
        <v>0</v>
      </c>
      <c r="AC72" s="2"/>
    </row>
    <row r="73" spans="1:29" ht="15.5">
      <c r="A73" s="13" t="str">
        <f>IF(OR(ISBLANK(C73),ISBLANK(D73),ISBLANK(F73),ISBLANK(G73)),"",COUNTIF($B$5:B73,"JAMBUTU"))</f>
        <v/>
      </c>
      <c r="B73" s="8"/>
      <c r="C73" s="8"/>
      <c r="D73" s="8"/>
      <c r="E73" s="13"/>
      <c r="F73" s="12"/>
      <c r="G73" s="11"/>
      <c r="H73" s="12"/>
      <c r="I73" s="11"/>
      <c r="J73" s="10">
        <f t="shared" si="9"/>
        <v>0</v>
      </c>
      <c r="K73" s="10">
        <f t="shared" si="10"/>
        <v>0</v>
      </c>
      <c r="L73" s="9" t="str">
        <f t="shared" si="11"/>
        <v/>
      </c>
      <c r="M73" s="8"/>
      <c r="N73" s="8"/>
      <c r="O73" s="8"/>
      <c r="P73" s="8"/>
      <c r="Q73" s="8"/>
      <c r="R73" s="8"/>
      <c r="S73" s="8"/>
      <c r="T73" s="8"/>
      <c r="U73" s="8"/>
      <c r="V73" s="7"/>
      <c r="W73" s="6" t="str">
        <f t="array" ref="W73">IF(NOT(ISBLANK(D73)),_xludf.XLOOKUP(D73,[2]CODE!$A$4:$A$100,[2]CODE!$D$4:$D$100),"")</f>
        <v/>
      </c>
      <c r="X73" s="5" t="str">
        <f t="array" ref="X73">IF(NOT(AND(ISBLANK(D73),ISBLANK(C73))),_xludf.XLOOKUP(D73,[2]CODE!$A$4:$A$100,[2]CODE!$E$4:$E$100),"")</f>
        <v/>
      </c>
      <c r="Y73" s="5" t="str">
        <f t="shared" si="12"/>
        <v/>
      </c>
      <c r="Z73" s="5" t="str">
        <f t="shared" si="13"/>
        <v/>
      </c>
      <c r="AA73" s="4">
        <f t="shared" si="14"/>
        <v>0</v>
      </c>
      <c r="AC73" s="2"/>
    </row>
    <row r="74" spans="1:29" ht="15.5">
      <c r="A74" s="13" t="str">
        <f>IF(OR(ISBLANK(C74),ISBLANK(D74),ISBLANK(F74),ISBLANK(G74)),"",COUNTIF($B$5:B74,"JAMBUTU"))</f>
        <v/>
      </c>
      <c r="B74" s="8"/>
      <c r="C74" s="8"/>
      <c r="D74" s="8"/>
      <c r="E74" s="13"/>
      <c r="F74" s="12"/>
      <c r="G74" s="11"/>
      <c r="H74" s="12"/>
      <c r="I74" s="11"/>
      <c r="J74" s="10">
        <f t="shared" si="9"/>
        <v>0</v>
      </c>
      <c r="K74" s="10">
        <f t="shared" si="10"/>
        <v>0</v>
      </c>
      <c r="L74" s="9" t="str">
        <f t="shared" si="11"/>
        <v/>
      </c>
      <c r="M74" s="8"/>
      <c r="N74" s="8"/>
      <c r="O74" s="8"/>
      <c r="P74" s="8"/>
      <c r="Q74" s="8"/>
      <c r="R74" s="8"/>
      <c r="S74" s="8"/>
      <c r="T74" s="8"/>
      <c r="U74" s="8"/>
      <c r="V74" s="7"/>
      <c r="W74" s="6" t="str">
        <f t="array" ref="W74">IF(NOT(ISBLANK(D74)),_xludf.XLOOKUP(D74,[2]CODE!$A$4:$A$100,[2]CODE!$D$4:$D$100),"")</f>
        <v/>
      </c>
      <c r="X74" s="5" t="str">
        <f t="array" ref="X74">IF(NOT(AND(ISBLANK(D74),ISBLANK(C74))),_xludf.XLOOKUP(D74,[2]CODE!$A$4:$A$100,[2]CODE!$E$4:$E$100),"")</f>
        <v/>
      </c>
      <c r="Y74" s="5" t="str">
        <f t="shared" si="12"/>
        <v/>
      </c>
      <c r="Z74" s="5" t="str">
        <f t="shared" si="13"/>
        <v/>
      </c>
      <c r="AA74" s="4">
        <f t="shared" si="14"/>
        <v>0</v>
      </c>
      <c r="AC74" s="2"/>
    </row>
    <row r="75" spans="1:29" ht="15.5">
      <c r="A75" s="13" t="str">
        <f>IF(OR(ISBLANK(C75),ISBLANK(D75),ISBLANK(F75),ISBLANK(G75)),"",COUNTIF($B$5:B75,"JAMBUTU"))</f>
        <v/>
      </c>
      <c r="B75" s="8"/>
      <c r="C75" s="8"/>
      <c r="D75" s="8"/>
      <c r="E75" s="13"/>
      <c r="F75" s="12"/>
      <c r="G75" s="11"/>
      <c r="H75" s="12"/>
      <c r="I75" s="11"/>
      <c r="J75" s="10">
        <f t="shared" si="9"/>
        <v>0</v>
      </c>
      <c r="K75" s="10">
        <f t="shared" si="10"/>
        <v>0</v>
      </c>
      <c r="L75" s="9" t="str">
        <f t="shared" si="11"/>
        <v/>
      </c>
      <c r="M75" s="8"/>
      <c r="N75" s="8"/>
      <c r="O75" s="8"/>
      <c r="P75" s="8"/>
      <c r="Q75" s="8"/>
      <c r="R75" s="8"/>
      <c r="S75" s="8"/>
      <c r="T75" s="8"/>
      <c r="U75" s="8"/>
      <c r="V75" s="7"/>
      <c r="W75" s="6" t="str">
        <f t="array" ref="W75">IF(NOT(ISBLANK(D75)),_xludf.XLOOKUP(D75,[2]CODE!$A$4:$A$100,[2]CODE!$D$4:$D$100),"")</f>
        <v/>
      </c>
      <c r="X75" s="5" t="str">
        <f t="array" ref="X75">IF(NOT(AND(ISBLANK(D75),ISBLANK(C75))),_xludf.XLOOKUP(D75,[2]CODE!$A$4:$A$100,[2]CODE!$E$4:$E$100),"")</f>
        <v/>
      </c>
      <c r="Y75" s="5" t="str">
        <f t="shared" si="12"/>
        <v/>
      </c>
      <c r="Z75" s="5" t="str">
        <f t="shared" si="13"/>
        <v/>
      </c>
      <c r="AA75" s="4">
        <f t="shared" si="14"/>
        <v>0</v>
      </c>
      <c r="AC75" s="2"/>
    </row>
    <row r="76" spans="1:29" ht="15.5">
      <c r="A76" s="13" t="str">
        <f>IF(OR(ISBLANK(C76),ISBLANK(D76),ISBLANK(F76),ISBLANK(G76)),"",COUNTIF($B$5:B76,"JAMBUTU"))</f>
        <v/>
      </c>
      <c r="B76" s="8"/>
      <c r="C76" s="8"/>
      <c r="D76" s="8"/>
      <c r="E76" s="13"/>
      <c r="F76" s="12"/>
      <c r="G76" s="11"/>
      <c r="H76" s="12"/>
      <c r="I76" s="11"/>
      <c r="J76" s="10">
        <f t="shared" si="9"/>
        <v>0</v>
      </c>
      <c r="K76" s="10">
        <f t="shared" si="10"/>
        <v>0</v>
      </c>
      <c r="L76" s="9" t="str">
        <f t="shared" si="11"/>
        <v/>
      </c>
      <c r="M76" s="8"/>
      <c r="N76" s="8"/>
      <c r="O76" s="8"/>
      <c r="P76" s="8"/>
      <c r="Q76" s="8"/>
      <c r="R76" s="8"/>
      <c r="S76" s="8"/>
      <c r="T76" s="8"/>
      <c r="U76" s="8"/>
      <c r="V76" s="7"/>
      <c r="W76" s="6" t="str">
        <f t="array" ref="W76">IF(NOT(ISBLANK(D76)),_xludf.XLOOKUP(D76,[2]CODE!$A$4:$A$100,[2]CODE!$D$4:$D$100),"")</f>
        <v/>
      </c>
      <c r="X76" s="5" t="str">
        <f t="array" ref="X76">IF(NOT(AND(ISBLANK(D76),ISBLANK(C76))),_xludf.XLOOKUP(D76,[2]CODE!$A$4:$A$100,[2]CODE!$E$4:$E$100),"")</f>
        <v/>
      </c>
      <c r="Y76" s="5" t="str">
        <f t="shared" si="12"/>
        <v/>
      </c>
      <c r="Z76" s="5" t="str">
        <f t="shared" si="13"/>
        <v/>
      </c>
      <c r="AA76" s="4">
        <f t="shared" si="14"/>
        <v>0</v>
      </c>
      <c r="AC76" s="2"/>
    </row>
    <row r="77" spans="1:29" ht="15.5">
      <c r="A77" s="13" t="str">
        <f>IF(OR(ISBLANK(C77),ISBLANK(D77),ISBLANK(F77),ISBLANK(G77)),"",COUNTIF($B$5:B77,"JAMBUTU"))</f>
        <v/>
      </c>
      <c r="B77" s="8"/>
      <c r="C77" s="8"/>
      <c r="D77" s="8"/>
      <c r="E77" s="13"/>
      <c r="F77" s="12"/>
      <c r="G77" s="11"/>
      <c r="H77" s="12"/>
      <c r="I77" s="11"/>
      <c r="J77" s="10">
        <f t="shared" si="9"/>
        <v>0</v>
      </c>
      <c r="K77" s="10">
        <f t="shared" si="10"/>
        <v>0</v>
      </c>
      <c r="L77" s="9" t="str">
        <f t="shared" si="11"/>
        <v/>
      </c>
      <c r="M77" s="8"/>
      <c r="N77" s="8"/>
      <c r="O77" s="8"/>
      <c r="P77" s="8"/>
      <c r="Q77" s="8"/>
      <c r="R77" s="8"/>
      <c r="S77" s="8"/>
      <c r="T77" s="8"/>
      <c r="U77" s="8"/>
      <c r="V77" s="7"/>
      <c r="W77" s="6" t="str">
        <f t="array" ref="W77">IF(NOT(ISBLANK(D77)),_xludf.XLOOKUP(D77,[2]CODE!$A$4:$A$100,[2]CODE!$D$4:$D$100),"")</f>
        <v/>
      </c>
      <c r="X77" s="5" t="str">
        <f t="array" ref="X77">IF(NOT(AND(ISBLANK(D77),ISBLANK(C77))),_xludf.XLOOKUP(D77,[2]CODE!$A$4:$A$100,[2]CODE!$E$4:$E$100),"")</f>
        <v/>
      </c>
      <c r="Y77" s="5" t="str">
        <f t="shared" si="12"/>
        <v/>
      </c>
      <c r="Z77" s="5" t="str">
        <f t="shared" si="13"/>
        <v/>
      </c>
      <c r="AA77" s="4">
        <f t="shared" si="14"/>
        <v>0</v>
      </c>
      <c r="AC77" s="2"/>
    </row>
    <row r="78" spans="1:29" ht="15.5">
      <c r="A78" s="13" t="str">
        <f>IF(OR(ISBLANK(C78),ISBLANK(D78),ISBLANK(F78),ISBLANK(G78)),"",COUNTIF($B$5:B78,"JAMBUTU"))</f>
        <v/>
      </c>
      <c r="B78" s="8"/>
      <c r="C78" s="8"/>
      <c r="D78" s="8"/>
      <c r="E78" s="13"/>
      <c r="F78" s="12"/>
      <c r="G78" s="11"/>
      <c r="H78" s="12"/>
      <c r="I78" s="11"/>
      <c r="J78" s="10">
        <f t="shared" si="9"/>
        <v>0</v>
      </c>
      <c r="K78" s="10">
        <f t="shared" si="10"/>
        <v>0</v>
      </c>
      <c r="L78" s="9" t="str">
        <f t="shared" si="11"/>
        <v/>
      </c>
      <c r="M78" s="8"/>
      <c r="N78" s="8"/>
      <c r="O78" s="8"/>
      <c r="P78" s="8"/>
      <c r="Q78" s="8"/>
      <c r="R78" s="8"/>
      <c r="S78" s="8"/>
      <c r="T78" s="8"/>
      <c r="U78" s="8"/>
      <c r="V78" s="7"/>
      <c r="W78" s="6" t="str">
        <f t="array" ref="W78">IF(NOT(ISBLANK(D78)),_xludf.XLOOKUP(D78,[2]CODE!$A$4:$A$100,[2]CODE!$D$4:$D$100),"")</f>
        <v/>
      </c>
      <c r="X78" s="5" t="str">
        <f t="array" ref="X78">IF(NOT(AND(ISBLANK(D78),ISBLANK(C78))),_xludf.XLOOKUP(D78,[2]CODE!$A$4:$A$100,[2]CODE!$E$4:$E$100),"")</f>
        <v/>
      </c>
      <c r="Y78" s="5" t="str">
        <f t="shared" si="12"/>
        <v/>
      </c>
      <c r="Z78" s="5" t="str">
        <f t="shared" si="13"/>
        <v/>
      </c>
      <c r="AA78" s="4">
        <f t="shared" si="14"/>
        <v>0</v>
      </c>
      <c r="AC78" s="2"/>
    </row>
    <row r="79" spans="1:29" ht="15.5">
      <c r="A79" s="13" t="str">
        <f>IF(OR(ISBLANK(C79),ISBLANK(D79),ISBLANK(F79),ISBLANK(G79)),"",COUNTIF($B$5:B79,"JAMBUTU"))</f>
        <v/>
      </c>
      <c r="B79" s="8"/>
      <c r="C79" s="21"/>
      <c r="D79" s="8"/>
      <c r="E79" s="13"/>
      <c r="F79" s="12"/>
      <c r="G79" s="11"/>
      <c r="H79" s="12"/>
      <c r="I79" s="11"/>
      <c r="J79" s="10">
        <f t="shared" si="9"/>
        <v>0</v>
      </c>
      <c r="K79" s="10">
        <f t="shared" si="10"/>
        <v>0</v>
      </c>
      <c r="L79" s="9" t="str">
        <f t="shared" si="11"/>
        <v/>
      </c>
      <c r="M79" s="8"/>
      <c r="N79" s="8"/>
      <c r="O79" s="8"/>
      <c r="P79" s="8"/>
      <c r="Q79" s="8"/>
      <c r="R79" s="8"/>
      <c r="S79" s="8"/>
      <c r="T79" s="8"/>
      <c r="U79" s="8"/>
      <c r="V79" s="7"/>
      <c r="W79" s="6" t="str">
        <f t="array" ref="W79">IF(NOT(ISBLANK(D79)),_xludf.XLOOKUP(D79,[2]CODE!$A$4:$A$100,[2]CODE!$D$4:$D$100),"")</f>
        <v/>
      </c>
      <c r="X79" s="5" t="str">
        <f t="array" ref="X79">IF(NOT(AND(ISBLANK(D79),ISBLANK(C79))),_xludf.XLOOKUP(D79,[2]CODE!$A$4:$A$100,[2]CODE!$E$4:$E$100),"")</f>
        <v/>
      </c>
      <c r="Y79" s="5" t="str">
        <f t="shared" si="12"/>
        <v/>
      </c>
      <c r="Z79" s="5" t="str">
        <f t="shared" si="13"/>
        <v/>
      </c>
      <c r="AA79" s="4">
        <f t="shared" si="14"/>
        <v>0</v>
      </c>
      <c r="AC79" s="2"/>
    </row>
    <row r="80" spans="1:29" ht="15.5">
      <c r="A80" s="13" t="str">
        <f>IF(OR(ISBLANK(C80),ISBLANK(D80),ISBLANK(F80),ISBLANK(G80)),"",COUNTIF($B$5:B80,"JAMBUTU"))</f>
        <v/>
      </c>
      <c r="B80" s="8"/>
      <c r="C80" s="8"/>
      <c r="D80" s="8"/>
      <c r="E80" s="13"/>
      <c r="F80" s="12"/>
      <c r="G80" s="11"/>
      <c r="H80" s="12"/>
      <c r="I80" s="11"/>
      <c r="J80" s="10">
        <f t="shared" si="9"/>
        <v>0</v>
      </c>
      <c r="K80" s="10">
        <f t="shared" si="10"/>
        <v>0</v>
      </c>
      <c r="L80" s="9" t="str">
        <f t="shared" si="11"/>
        <v/>
      </c>
      <c r="M80" s="8"/>
      <c r="N80" s="8"/>
      <c r="O80" s="8"/>
      <c r="P80" s="8"/>
      <c r="Q80" s="8"/>
      <c r="R80" s="8"/>
      <c r="S80" s="8"/>
      <c r="T80" s="8"/>
      <c r="U80" s="8"/>
      <c r="V80" s="7"/>
      <c r="W80" s="6" t="str">
        <f t="array" ref="W80">IF(NOT(ISBLANK(D80)),_xludf.XLOOKUP(D80,[2]CODE!$A$4:$A$100,[2]CODE!$D$4:$D$100),"")</f>
        <v/>
      </c>
      <c r="X80" s="5" t="str">
        <f t="array" ref="X80">IF(NOT(AND(ISBLANK(D80),ISBLANK(C80))),_xludf.XLOOKUP(D80,[2]CODE!$A$4:$A$100,[2]CODE!$E$4:$E$100),"")</f>
        <v/>
      </c>
      <c r="Y80" s="5" t="str">
        <f t="shared" si="12"/>
        <v/>
      </c>
      <c r="Z80" s="5" t="str">
        <f t="shared" si="13"/>
        <v/>
      </c>
      <c r="AA80" s="4">
        <f t="shared" si="14"/>
        <v>0</v>
      </c>
      <c r="AC80" s="2"/>
    </row>
    <row r="81" spans="1:29" ht="15.5">
      <c r="A81" s="13" t="str">
        <f>IF(OR(ISBLANK(C81),ISBLANK(D81),ISBLANK(F81),ISBLANK(G81)),"",COUNTIF($B$5:B81,"JAMBUTU"))</f>
        <v/>
      </c>
      <c r="B81" s="8"/>
      <c r="C81" s="8"/>
      <c r="D81" s="8"/>
      <c r="E81" s="13"/>
      <c r="F81" s="12"/>
      <c r="G81" s="11"/>
      <c r="H81" s="12"/>
      <c r="I81" s="11"/>
      <c r="J81" s="10">
        <f t="shared" si="9"/>
        <v>0</v>
      </c>
      <c r="K81" s="10">
        <f t="shared" si="10"/>
        <v>0</v>
      </c>
      <c r="L81" s="9" t="str">
        <f t="shared" si="11"/>
        <v/>
      </c>
      <c r="M81" s="8"/>
      <c r="N81" s="8"/>
      <c r="O81" s="8"/>
      <c r="P81" s="8"/>
      <c r="Q81" s="8"/>
      <c r="R81" s="8"/>
      <c r="S81" s="8"/>
      <c r="T81" s="8"/>
      <c r="U81" s="8"/>
      <c r="V81" s="7"/>
      <c r="W81" s="6" t="str">
        <f t="array" ref="W81">IF(NOT(ISBLANK(D81)),_xludf.XLOOKUP(D81,[2]CODE!$A$4:$A$100,[2]CODE!$D$4:$D$100),"")</f>
        <v/>
      </c>
      <c r="X81" s="5" t="str">
        <f t="array" ref="X81">IF(NOT(AND(ISBLANK(D81),ISBLANK(C81))),_xludf.XLOOKUP(D81,[2]CODE!$A$4:$A$100,[2]CODE!$E$4:$E$100),"")</f>
        <v/>
      </c>
      <c r="Y81" s="5" t="str">
        <f t="shared" si="12"/>
        <v/>
      </c>
      <c r="Z81" s="5" t="str">
        <f t="shared" si="13"/>
        <v/>
      </c>
      <c r="AA81" s="4">
        <f t="shared" si="14"/>
        <v>0</v>
      </c>
      <c r="AC81" s="2"/>
    </row>
    <row r="82" spans="1:29" ht="15.5">
      <c r="A82" s="13" t="str">
        <f>IF(OR(ISBLANK(C82),ISBLANK(D82),ISBLANK(F82),ISBLANK(G82)),"",COUNTIF($B$5:B82,"JAMBUTU"))</f>
        <v/>
      </c>
      <c r="B82" s="8"/>
      <c r="C82" s="8"/>
      <c r="D82" s="8"/>
      <c r="E82" s="13"/>
      <c r="F82" s="12"/>
      <c r="G82" s="11"/>
      <c r="H82" s="12"/>
      <c r="I82" s="11"/>
      <c r="J82" s="10">
        <f t="shared" si="9"/>
        <v>0</v>
      </c>
      <c r="K82" s="10">
        <f t="shared" si="10"/>
        <v>0</v>
      </c>
      <c r="L82" s="9" t="str">
        <f t="shared" si="11"/>
        <v/>
      </c>
      <c r="M82" s="8"/>
      <c r="N82" s="8"/>
      <c r="O82" s="8"/>
      <c r="P82" s="8"/>
      <c r="Q82" s="8"/>
      <c r="R82" s="8"/>
      <c r="S82" s="8"/>
      <c r="T82" s="8"/>
      <c r="U82" s="8"/>
      <c r="V82" s="7"/>
      <c r="W82" s="6" t="str">
        <f t="array" ref="W82">IF(NOT(ISBLANK(D82)),_xludf.XLOOKUP(D82,[2]CODE!$A$4:$A$100,[2]CODE!$D$4:$D$100),"")</f>
        <v/>
      </c>
      <c r="X82" s="5" t="str">
        <f t="array" ref="X82">IF(NOT(AND(ISBLANK(D82),ISBLANK(C82))),_xludf.XLOOKUP(D82,[2]CODE!$A$4:$A$100,[2]CODE!$E$4:$E$100),"")</f>
        <v/>
      </c>
      <c r="Y82" s="5" t="str">
        <f t="shared" si="12"/>
        <v/>
      </c>
      <c r="Z82" s="5" t="str">
        <f t="shared" si="13"/>
        <v/>
      </c>
      <c r="AA82" s="4">
        <f t="shared" si="14"/>
        <v>0</v>
      </c>
      <c r="AC82" s="2"/>
    </row>
    <row r="83" spans="1:29" ht="15.5">
      <c r="A83" s="13" t="str">
        <f>IF(OR(ISBLANK(C83),ISBLANK(D83),ISBLANK(F83),ISBLANK(G83)),"",COUNTIF($B$5:B83,"JAMBUTU"))</f>
        <v/>
      </c>
      <c r="B83" s="8"/>
      <c r="C83" s="8"/>
      <c r="D83" s="8"/>
      <c r="E83" s="13"/>
      <c r="F83" s="12"/>
      <c r="G83" s="11"/>
      <c r="H83" s="12"/>
      <c r="I83" s="11"/>
      <c r="J83" s="10">
        <f t="shared" si="9"/>
        <v>0</v>
      </c>
      <c r="K83" s="10">
        <f t="shared" si="10"/>
        <v>0</v>
      </c>
      <c r="L83" s="9" t="str">
        <f t="shared" si="11"/>
        <v/>
      </c>
      <c r="M83" s="8"/>
      <c r="N83" s="8"/>
      <c r="O83" s="8"/>
      <c r="P83" s="8"/>
      <c r="Q83" s="8"/>
      <c r="R83" s="8"/>
      <c r="S83" s="8"/>
      <c r="T83" s="8"/>
      <c r="U83" s="8"/>
      <c r="V83" s="7"/>
      <c r="W83" s="6" t="str">
        <f t="array" ref="W83">IF(NOT(ISBLANK(D83)),_xludf.XLOOKUP(D83,[2]CODE!$A$4:$A$100,[2]CODE!$D$4:$D$100),"")</f>
        <v/>
      </c>
      <c r="X83" s="5" t="str">
        <f t="array" ref="X83">IF(NOT(AND(ISBLANK(D83),ISBLANK(C83))),_xludf.XLOOKUP(D83,[2]CODE!$A$4:$A$100,[2]CODE!$E$4:$E$100),"")</f>
        <v/>
      </c>
      <c r="Y83" s="5" t="str">
        <f t="shared" si="12"/>
        <v/>
      </c>
      <c r="Z83" s="5" t="str">
        <f t="shared" si="13"/>
        <v/>
      </c>
      <c r="AA83" s="4">
        <f t="shared" si="14"/>
        <v>0</v>
      </c>
      <c r="AC83" s="2"/>
    </row>
    <row r="84" spans="1:29" ht="15.5">
      <c r="A84" s="13" t="str">
        <f>IF(OR(ISBLANK(C84),ISBLANK(D84),ISBLANK(F84),ISBLANK(G84)),"",COUNTIF($B$5:B84,"JAMBUTU"))</f>
        <v/>
      </c>
      <c r="B84" s="8"/>
      <c r="C84" s="8"/>
      <c r="D84" s="8"/>
      <c r="E84" s="13"/>
      <c r="F84" s="12"/>
      <c r="G84" s="11"/>
      <c r="H84" s="12"/>
      <c r="I84" s="11"/>
      <c r="J84" s="10">
        <f t="shared" si="9"/>
        <v>0</v>
      </c>
      <c r="K84" s="10">
        <f t="shared" si="10"/>
        <v>0</v>
      </c>
      <c r="L84" s="9" t="str">
        <f t="shared" si="11"/>
        <v/>
      </c>
      <c r="M84" s="8"/>
      <c r="N84" s="8"/>
      <c r="O84" s="8"/>
      <c r="P84" s="8"/>
      <c r="Q84" s="8"/>
      <c r="R84" s="8"/>
      <c r="S84" s="8"/>
      <c r="T84" s="8"/>
      <c r="U84" s="8"/>
      <c r="V84" s="7"/>
      <c r="W84" s="6" t="str">
        <f t="array" ref="W84">IF(NOT(ISBLANK(D84)),_xludf.XLOOKUP(D84,[2]CODE!$A$4:$A$100,[2]CODE!$D$4:$D$100),"")</f>
        <v/>
      </c>
      <c r="X84" s="5" t="str">
        <f t="array" ref="X84">IF(NOT(AND(ISBLANK(D84),ISBLANK(C84))),_xludf.XLOOKUP(D84,[2]CODE!$A$4:$A$100,[2]CODE!$E$4:$E$100),"")</f>
        <v/>
      </c>
      <c r="Y84" s="5" t="str">
        <f t="shared" si="12"/>
        <v/>
      </c>
      <c r="Z84" s="5" t="str">
        <f t="shared" si="13"/>
        <v/>
      </c>
      <c r="AA84" s="4">
        <f t="shared" si="14"/>
        <v>0</v>
      </c>
      <c r="AC84" s="2"/>
    </row>
    <row r="85" spans="1:29" ht="15.5">
      <c r="A85" s="13" t="str">
        <f>IF(OR(ISBLANK(C85),ISBLANK(D85),ISBLANK(F85),ISBLANK(G85)),"",COUNTIF($B$5:B85,"JAMBUTU"))</f>
        <v/>
      </c>
      <c r="B85" s="8"/>
      <c r="C85" s="8"/>
      <c r="D85" s="8"/>
      <c r="E85" s="13"/>
      <c r="F85" s="12"/>
      <c r="G85" s="11"/>
      <c r="H85" s="12"/>
      <c r="I85" s="11"/>
      <c r="J85" s="10">
        <f t="shared" si="9"/>
        <v>0</v>
      </c>
      <c r="K85" s="10">
        <f t="shared" si="10"/>
        <v>0</v>
      </c>
      <c r="L85" s="9" t="str">
        <f t="shared" si="11"/>
        <v/>
      </c>
      <c r="M85" s="8"/>
      <c r="N85" s="8"/>
      <c r="O85" s="8"/>
      <c r="P85" s="8"/>
      <c r="Q85" s="8"/>
      <c r="R85" s="8"/>
      <c r="S85" s="8"/>
      <c r="T85" s="8"/>
      <c r="U85" s="8"/>
      <c r="V85" s="7"/>
      <c r="W85" s="6" t="str">
        <f t="array" ref="W85">IF(NOT(ISBLANK(D85)),_xludf.XLOOKUP(D85,[2]CODE!$A$4:$A$100,[2]CODE!$D$4:$D$100),"")</f>
        <v/>
      </c>
      <c r="X85" s="5" t="str">
        <f t="array" ref="X85">IF(NOT(AND(ISBLANK(D85),ISBLANK(C85))),_xludf.XLOOKUP(D85,[2]CODE!$A$4:$A$100,[2]CODE!$E$4:$E$100),"")</f>
        <v/>
      </c>
      <c r="Y85" s="5" t="str">
        <f t="shared" si="12"/>
        <v/>
      </c>
      <c r="Z85" s="5" t="str">
        <f t="shared" si="13"/>
        <v/>
      </c>
      <c r="AA85" s="4">
        <f t="shared" si="14"/>
        <v>0</v>
      </c>
      <c r="AC85" s="2"/>
    </row>
    <row r="86" spans="1:29" ht="15.5">
      <c r="A86" s="13" t="str">
        <f>IF(OR(ISBLANK(C86),ISBLANK(D86),ISBLANK(F86),ISBLANK(G86)),"",COUNTIF($B$5:B86,"JAMBUTU"))</f>
        <v/>
      </c>
      <c r="B86" s="8"/>
      <c r="C86" s="8"/>
      <c r="D86" s="8"/>
      <c r="E86" s="13"/>
      <c r="F86" s="12"/>
      <c r="G86" s="11"/>
      <c r="H86" s="12"/>
      <c r="I86" s="11"/>
      <c r="J86" s="10">
        <f t="shared" si="9"/>
        <v>0</v>
      </c>
      <c r="K86" s="10">
        <f t="shared" si="10"/>
        <v>0</v>
      </c>
      <c r="L86" s="9" t="str">
        <f t="shared" si="11"/>
        <v/>
      </c>
      <c r="M86" s="8"/>
      <c r="N86" s="8"/>
      <c r="O86" s="8"/>
      <c r="P86" s="8"/>
      <c r="Q86" s="8"/>
      <c r="R86" s="8"/>
      <c r="S86" s="8"/>
      <c r="T86" s="8"/>
      <c r="U86" s="8"/>
      <c r="V86" s="7"/>
      <c r="W86" s="6" t="str">
        <f t="array" ref="W86">IF(NOT(ISBLANK(D86)),_xludf.XLOOKUP(D86,[2]CODE!$A$4:$A$100,[2]CODE!$D$4:$D$100),"")</f>
        <v/>
      </c>
      <c r="X86" s="5" t="str">
        <f t="array" ref="X86">IF(NOT(AND(ISBLANK(D86),ISBLANK(C86))),_xludf.XLOOKUP(D86,[2]CODE!$A$4:$A$100,[2]CODE!$E$4:$E$100),"")</f>
        <v/>
      </c>
      <c r="Y86" s="5" t="str">
        <f t="shared" si="12"/>
        <v/>
      </c>
      <c r="Z86" s="5" t="str">
        <f t="shared" si="13"/>
        <v/>
      </c>
      <c r="AA86" s="4">
        <f t="shared" si="14"/>
        <v>0</v>
      </c>
      <c r="AC86" s="2"/>
    </row>
    <row r="87" spans="1:29" ht="15.5">
      <c r="A87" s="13" t="str">
        <f>IF(OR(ISBLANK(C87),ISBLANK(D87),ISBLANK(F87),ISBLANK(G87)),"",COUNTIF($B$5:B87,"JAMBUTU"))</f>
        <v/>
      </c>
      <c r="B87" s="8"/>
      <c r="C87" s="8"/>
      <c r="D87" s="8"/>
      <c r="E87" s="13"/>
      <c r="F87" s="12"/>
      <c r="G87" s="11"/>
      <c r="H87" s="12"/>
      <c r="I87" s="11"/>
      <c r="J87" s="10">
        <f t="shared" si="9"/>
        <v>0</v>
      </c>
      <c r="K87" s="10">
        <f t="shared" si="10"/>
        <v>0</v>
      </c>
      <c r="L87" s="9" t="str">
        <f t="shared" si="11"/>
        <v/>
      </c>
      <c r="M87" s="8"/>
      <c r="N87" s="8"/>
      <c r="O87" s="8"/>
      <c r="P87" s="8"/>
      <c r="Q87" s="8"/>
      <c r="R87" s="8"/>
      <c r="S87" s="8"/>
      <c r="T87" s="8"/>
      <c r="U87" s="8"/>
      <c r="V87" s="7"/>
      <c r="W87" s="6" t="str">
        <f t="array" ref="W87">IF(NOT(ISBLANK(D87)),_xludf.XLOOKUP(D87,[2]CODE!$A$4:$A$100,[2]CODE!$D$4:$D$100),"")</f>
        <v/>
      </c>
      <c r="X87" s="5" t="str">
        <f t="array" ref="X87">IF(NOT(AND(ISBLANK(D87),ISBLANK(C87))),_xludf.XLOOKUP(D87,[2]CODE!$A$4:$A$100,[2]CODE!$E$4:$E$100),"")</f>
        <v/>
      </c>
      <c r="Y87" s="5" t="str">
        <f t="shared" si="12"/>
        <v/>
      </c>
      <c r="Z87" s="5" t="str">
        <f t="shared" si="13"/>
        <v/>
      </c>
      <c r="AA87" s="4">
        <f t="shared" si="14"/>
        <v>0</v>
      </c>
      <c r="AC87" s="2"/>
    </row>
    <row r="88" spans="1:29" ht="15.5">
      <c r="A88" s="13" t="str">
        <f>IF(OR(ISBLANK(C88),ISBLANK(D88),ISBLANK(F88),ISBLANK(G88)),"",COUNTIF($B$5:B88,"JAMBUTU"))</f>
        <v/>
      </c>
      <c r="B88" s="8"/>
      <c r="C88" s="8"/>
      <c r="D88" s="8"/>
      <c r="E88" s="13"/>
      <c r="F88" s="12"/>
      <c r="G88" s="11"/>
      <c r="H88" s="12"/>
      <c r="I88" s="15"/>
      <c r="J88" s="10">
        <f t="shared" si="9"/>
        <v>0</v>
      </c>
      <c r="K88" s="10">
        <f t="shared" si="10"/>
        <v>0</v>
      </c>
      <c r="L88" s="9" t="str">
        <f t="shared" si="11"/>
        <v/>
      </c>
      <c r="M88" s="8"/>
      <c r="N88" s="8"/>
      <c r="O88" s="8"/>
      <c r="P88" s="8"/>
      <c r="Q88" s="8"/>
      <c r="R88" s="8"/>
      <c r="S88" s="8"/>
      <c r="T88" s="8"/>
      <c r="U88" s="8"/>
      <c r="V88" s="7"/>
      <c r="W88" s="6" t="str">
        <f t="array" ref="W88">IF(NOT(ISBLANK(D88)),_xludf.XLOOKUP(D88,[2]CODE!$A$4:$A$100,[2]CODE!$D$4:$D$100),"")</f>
        <v/>
      </c>
      <c r="X88" s="5" t="str">
        <f t="array" ref="X88">IF(NOT(AND(ISBLANK(D88),ISBLANK(C88))),_xludf.XLOOKUP(D88,[2]CODE!$A$4:$A$100,[2]CODE!$E$4:$E$100),"")</f>
        <v/>
      </c>
      <c r="Y88" s="5" t="str">
        <f t="shared" si="12"/>
        <v/>
      </c>
      <c r="Z88" s="5" t="str">
        <f t="shared" si="13"/>
        <v/>
      </c>
      <c r="AA88" s="4">
        <f t="shared" si="14"/>
        <v>0</v>
      </c>
      <c r="AC88" s="2"/>
    </row>
    <row r="89" spans="1:29" ht="15.5">
      <c r="A89" s="13" t="str">
        <f>IF(OR(ISBLANK(C89),ISBLANK(D89),ISBLANK(F89),ISBLANK(G89)),"",COUNTIF($B$5:B89,"JAMBUTU"))</f>
        <v/>
      </c>
      <c r="B89" s="8"/>
      <c r="C89" s="8"/>
      <c r="D89" s="8"/>
      <c r="E89" s="13"/>
      <c r="F89" s="12"/>
      <c r="G89" s="11"/>
      <c r="H89" s="12"/>
      <c r="I89" s="15"/>
      <c r="J89" s="10">
        <f t="shared" si="9"/>
        <v>0</v>
      </c>
      <c r="K89" s="10">
        <f t="shared" si="10"/>
        <v>0</v>
      </c>
      <c r="L89" s="9" t="str">
        <f t="shared" si="11"/>
        <v/>
      </c>
      <c r="M89" s="8"/>
      <c r="N89" s="8"/>
      <c r="O89" s="8"/>
      <c r="P89" s="8"/>
      <c r="Q89" s="8"/>
      <c r="R89" s="8"/>
      <c r="S89" s="8"/>
      <c r="T89" s="8"/>
      <c r="U89" s="8"/>
      <c r="V89" s="7"/>
      <c r="W89" s="6" t="str">
        <f t="array" ref="W89">IF(NOT(ISBLANK(D89)),_xludf.XLOOKUP(D89,[2]CODE!$A$4:$A$100,[2]CODE!$D$4:$D$100),"")</f>
        <v/>
      </c>
      <c r="X89" s="5" t="str">
        <f t="array" ref="X89">IF(NOT(AND(ISBLANK(D89),ISBLANK(C89))),_xludf.XLOOKUP(D89,[2]CODE!$A$4:$A$100,[2]CODE!$E$4:$E$100),"")</f>
        <v/>
      </c>
      <c r="Y89" s="5" t="str">
        <f t="shared" si="12"/>
        <v/>
      </c>
      <c r="Z89" s="5" t="str">
        <f t="shared" si="13"/>
        <v/>
      </c>
      <c r="AA89" s="4">
        <f t="shared" si="14"/>
        <v>0</v>
      </c>
      <c r="AC89" s="2"/>
    </row>
    <row r="90" spans="1:29" ht="15.5">
      <c r="A90" s="13" t="str">
        <f>IF(OR(ISBLANK(C90),ISBLANK(D90),ISBLANK(F90),ISBLANK(G90)),"",COUNTIF($B$5:B90,"JAMBUTU"))</f>
        <v/>
      </c>
      <c r="B90" s="8"/>
      <c r="C90" s="8"/>
      <c r="D90" s="8"/>
      <c r="E90" s="13"/>
      <c r="F90" s="12"/>
      <c r="G90" s="11"/>
      <c r="H90" s="12"/>
      <c r="I90" s="15"/>
      <c r="J90" s="10">
        <f t="shared" si="9"/>
        <v>0</v>
      </c>
      <c r="K90" s="10">
        <f t="shared" si="10"/>
        <v>0</v>
      </c>
      <c r="L90" s="9" t="str">
        <f t="shared" si="11"/>
        <v/>
      </c>
      <c r="M90" s="8"/>
      <c r="N90" s="8"/>
      <c r="O90" s="8"/>
      <c r="P90" s="8"/>
      <c r="Q90" s="8"/>
      <c r="R90" s="8"/>
      <c r="S90" s="8"/>
      <c r="T90" s="8"/>
      <c r="U90" s="8"/>
      <c r="V90" s="7"/>
      <c r="W90" s="6" t="str">
        <f t="array" ref="W90">IF(NOT(ISBLANK(D90)),_xludf.XLOOKUP(D90,[2]CODE!$A$4:$A$100,[2]CODE!$D$4:$D$100),"")</f>
        <v/>
      </c>
      <c r="X90" s="5" t="str">
        <f t="array" ref="X90">IF(NOT(AND(ISBLANK(D90),ISBLANK(C90))),_xludf.XLOOKUP(D90,[2]CODE!$A$4:$A$100,[2]CODE!$E$4:$E$100),"")</f>
        <v/>
      </c>
      <c r="Y90" s="5" t="str">
        <f t="shared" si="12"/>
        <v/>
      </c>
      <c r="Z90" s="5" t="str">
        <f t="shared" si="13"/>
        <v/>
      </c>
      <c r="AA90" s="4">
        <f t="shared" si="14"/>
        <v>0</v>
      </c>
      <c r="AC90" s="2"/>
    </row>
    <row r="91" spans="1:29" ht="15.5">
      <c r="A91" s="13" t="str">
        <f>IF(OR(ISBLANK(C91),ISBLANK(D91),ISBLANK(F91),ISBLANK(G91)),"",COUNTIF($B$5:B91,"JAMBUTU"))</f>
        <v/>
      </c>
      <c r="B91" s="8"/>
      <c r="C91" s="8"/>
      <c r="D91" s="8"/>
      <c r="E91" s="13"/>
      <c r="F91" s="12"/>
      <c r="G91" s="11"/>
      <c r="H91" s="12"/>
      <c r="I91" s="15"/>
      <c r="J91" s="10">
        <f t="shared" si="9"/>
        <v>0</v>
      </c>
      <c r="K91" s="10">
        <f t="shared" si="10"/>
        <v>0</v>
      </c>
      <c r="L91" s="9" t="str">
        <f t="shared" si="11"/>
        <v/>
      </c>
      <c r="M91" s="8"/>
      <c r="N91" s="8"/>
      <c r="O91" s="8"/>
      <c r="P91" s="8"/>
      <c r="Q91" s="8"/>
      <c r="R91" s="8"/>
      <c r="S91" s="8"/>
      <c r="T91" s="8"/>
      <c r="U91" s="8"/>
      <c r="V91" s="7"/>
      <c r="W91" s="6" t="str">
        <f t="array" ref="W91">IF(NOT(ISBLANK(D91)),_xludf.XLOOKUP(D91,[2]CODE!$A$4:$A$100,[2]CODE!$D$4:$D$100),"")</f>
        <v/>
      </c>
      <c r="X91" s="5" t="str">
        <f t="array" ref="X91">IF(NOT(AND(ISBLANK(D91),ISBLANK(C91))),_xludf.XLOOKUP(D91,[2]CODE!$A$4:$A$100,[2]CODE!$E$4:$E$100),"")</f>
        <v/>
      </c>
      <c r="Y91" s="5" t="str">
        <f t="shared" si="12"/>
        <v/>
      </c>
      <c r="Z91" s="5" t="str">
        <f t="shared" si="13"/>
        <v/>
      </c>
      <c r="AA91" s="4">
        <f t="shared" si="14"/>
        <v>0</v>
      </c>
      <c r="AC91" s="2"/>
    </row>
    <row r="92" spans="1:29" ht="15.5">
      <c r="A92" s="13" t="str">
        <f>IF(OR(ISBLANK(C92),ISBLANK(D92),ISBLANK(F92),ISBLANK(G92)),"",COUNTIF($B$5:B92,"JAMBUTU"))</f>
        <v/>
      </c>
      <c r="B92" s="8"/>
      <c r="C92" s="8"/>
      <c r="D92" s="8"/>
      <c r="E92" s="13"/>
      <c r="F92" s="12"/>
      <c r="G92" s="11"/>
      <c r="H92" s="12"/>
      <c r="I92" s="11"/>
      <c r="J92" s="10">
        <f t="shared" si="9"/>
        <v>0</v>
      </c>
      <c r="K92" s="10">
        <f t="shared" si="10"/>
        <v>0</v>
      </c>
      <c r="L92" s="9" t="str">
        <f t="shared" si="11"/>
        <v/>
      </c>
      <c r="M92" s="8"/>
      <c r="N92" s="8"/>
      <c r="O92" s="8"/>
      <c r="P92" s="8"/>
      <c r="Q92" s="8"/>
      <c r="R92" s="8"/>
      <c r="S92" s="8"/>
      <c r="T92" s="8"/>
      <c r="U92" s="8"/>
      <c r="V92" s="7"/>
      <c r="W92" s="6" t="str">
        <f t="array" ref="W92">IF(NOT(ISBLANK(D92)),_xludf.XLOOKUP(D92,[2]CODE!$A$4:$A$100,[2]CODE!$D$4:$D$100),"")</f>
        <v/>
      </c>
      <c r="X92" s="5" t="str">
        <f t="array" ref="X92">IF(NOT(AND(ISBLANK(D92),ISBLANK(C92))),_xludf.XLOOKUP(D92,[2]CODE!$A$4:$A$100,[2]CODE!$E$4:$E$100),"")</f>
        <v/>
      </c>
      <c r="Y92" s="5" t="str">
        <f t="shared" si="12"/>
        <v/>
      </c>
      <c r="Z92" s="5" t="str">
        <f t="shared" si="13"/>
        <v/>
      </c>
      <c r="AA92" s="4">
        <f t="shared" si="14"/>
        <v>0</v>
      </c>
      <c r="AC92" s="2"/>
    </row>
    <row r="93" spans="1:29" ht="15.5">
      <c r="A93" s="13" t="str">
        <f>IF(OR(ISBLANK(C93),ISBLANK(D93),ISBLANK(F93),ISBLANK(G93)),"",COUNTIF($B$5:B93,"JAMBUTU"))</f>
        <v/>
      </c>
      <c r="B93" s="8"/>
      <c r="C93" s="8"/>
      <c r="D93" s="8"/>
      <c r="E93" s="13"/>
      <c r="F93" s="12"/>
      <c r="G93" s="11"/>
      <c r="H93" s="12"/>
      <c r="I93" s="11"/>
      <c r="J93" s="10">
        <f t="shared" si="9"/>
        <v>0</v>
      </c>
      <c r="K93" s="10">
        <f t="shared" si="10"/>
        <v>0</v>
      </c>
      <c r="L93" s="9" t="str">
        <f t="shared" si="11"/>
        <v/>
      </c>
      <c r="M93" s="8"/>
      <c r="N93" s="8"/>
      <c r="O93" s="8"/>
      <c r="P93" s="8"/>
      <c r="Q93" s="8"/>
      <c r="R93" s="8"/>
      <c r="S93" s="8"/>
      <c r="T93" s="8"/>
      <c r="U93" s="8"/>
      <c r="V93" s="7"/>
      <c r="W93" s="6" t="str">
        <f t="array" ref="W93">IF(NOT(ISBLANK(D93)),_xludf.XLOOKUP(D93,[2]CODE!$A$4:$A$100,[2]CODE!$D$4:$D$100),"")</f>
        <v/>
      </c>
      <c r="X93" s="5" t="str">
        <f t="array" ref="X93">IF(NOT(AND(ISBLANK(D93),ISBLANK(C93))),_xludf.XLOOKUP(D93,[2]CODE!$A$4:$A$100,[2]CODE!$E$4:$E$100),"")</f>
        <v/>
      </c>
      <c r="Y93" s="5" t="str">
        <f t="shared" si="12"/>
        <v/>
      </c>
      <c r="Z93" s="5" t="str">
        <f t="shared" si="13"/>
        <v/>
      </c>
      <c r="AA93" s="4">
        <f t="shared" si="14"/>
        <v>0</v>
      </c>
      <c r="AC93" s="2"/>
    </row>
    <row r="94" spans="1:29" ht="15.5">
      <c r="A94" s="13" t="str">
        <f>IF(OR(ISBLANK(C94),ISBLANK(D94),ISBLANK(F94),ISBLANK(G94)),"",COUNTIF($B$5:B94,"JAMBUTU"))</f>
        <v/>
      </c>
      <c r="B94" s="8"/>
      <c r="C94" s="8"/>
      <c r="D94" s="8"/>
      <c r="E94" s="13"/>
      <c r="F94" s="12"/>
      <c r="G94" s="11"/>
      <c r="H94" s="12"/>
      <c r="I94" s="11"/>
      <c r="J94" s="10">
        <f t="shared" si="9"/>
        <v>0</v>
      </c>
      <c r="K94" s="10">
        <f t="shared" si="10"/>
        <v>0</v>
      </c>
      <c r="L94" s="9" t="str">
        <f t="shared" si="11"/>
        <v/>
      </c>
      <c r="M94" s="8"/>
      <c r="N94" s="8"/>
      <c r="O94" s="8"/>
      <c r="P94" s="8"/>
      <c r="Q94" s="8"/>
      <c r="R94" s="8"/>
      <c r="S94" s="8"/>
      <c r="T94" s="8"/>
      <c r="U94" s="8"/>
      <c r="V94" s="7"/>
      <c r="W94" s="6" t="str">
        <f t="array" ref="W94">IF(NOT(ISBLANK(D94)),_xludf.XLOOKUP(D94,[2]CODE!$A$4:$A$100,[2]CODE!$D$4:$D$100),"")</f>
        <v/>
      </c>
      <c r="X94" s="5" t="str">
        <f t="array" ref="X94">IF(NOT(AND(ISBLANK(D94),ISBLANK(C94))),_xludf.XLOOKUP(D94,[2]CODE!$A$4:$A$100,[2]CODE!$E$4:$E$100),"")</f>
        <v/>
      </c>
      <c r="Y94" s="5" t="str">
        <f t="shared" si="12"/>
        <v/>
      </c>
      <c r="Z94" s="5" t="str">
        <f t="shared" si="13"/>
        <v/>
      </c>
      <c r="AA94" s="4">
        <f t="shared" si="14"/>
        <v>0</v>
      </c>
      <c r="AC94" s="2"/>
    </row>
    <row r="95" spans="1:29" ht="15.5">
      <c r="A95" s="13" t="str">
        <f>IF(OR(ISBLANK(C95),ISBLANK(D95),ISBLANK(F95),ISBLANK(G95)),"",COUNTIF($B$5:B95,"JAMBUTU"))</f>
        <v/>
      </c>
      <c r="B95" s="8"/>
      <c r="C95" s="8"/>
      <c r="D95" s="8"/>
      <c r="E95" s="13"/>
      <c r="F95" s="12"/>
      <c r="G95" s="11"/>
      <c r="H95" s="12"/>
      <c r="I95" s="11"/>
      <c r="J95" s="10">
        <f t="shared" si="9"/>
        <v>0</v>
      </c>
      <c r="K95" s="10">
        <f t="shared" si="10"/>
        <v>0</v>
      </c>
      <c r="L95" s="9" t="str">
        <f t="shared" si="11"/>
        <v/>
      </c>
      <c r="M95" s="8"/>
      <c r="N95" s="8"/>
      <c r="O95" s="8"/>
      <c r="P95" s="8"/>
      <c r="Q95" s="8"/>
      <c r="R95" s="8"/>
      <c r="S95" s="8"/>
      <c r="T95" s="8"/>
      <c r="U95" s="8"/>
      <c r="V95" s="7"/>
      <c r="W95" s="6" t="str">
        <f t="array" ref="W95">IF(NOT(ISBLANK(D95)),_xludf.XLOOKUP(D95,[2]CODE!$A$4:$A$100,[2]CODE!$D$4:$D$100),"")</f>
        <v/>
      </c>
      <c r="X95" s="5" t="str">
        <f t="array" ref="X95">IF(NOT(AND(ISBLANK(D95),ISBLANK(C95))),_xludf.XLOOKUP(D95,[2]CODE!$A$4:$A$100,[2]CODE!$E$4:$E$100),"")</f>
        <v/>
      </c>
      <c r="Y95" s="5" t="str">
        <f t="shared" si="12"/>
        <v/>
      </c>
      <c r="Z95" s="5" t="str">
        <f t="shared" si="13"/>
        <v/>
      </c>
      <c r="AA95" s="4">
        <f t="shared" si="14"/>
        <v>0</v>
      </c>
      <c r="AC95" s="2"/>
    </row>
    <row r="96" spans="1:29" ht="15.5">
      <c r="A96" s="13" t="str">
        <f>IF(OR(ISBLANK(C96),ISBLANK(D96),ISBLANK(F96),ISBLANK(G96)),"",COUNTIF($B$5:B96,"JAMBUTU"))</f>
        <v/>
      </c>
      <c r="B96" s="8"/>
      <c r="C96" s="8"/>
      <c r="D96" s="8"/>
      <c r="E96" s="13"/>
      <c r="F96" s="12"/>
      <c r="G96" s="11"/>
      <c r="H96" s="12"/>
      <c r="I96" s="11"/>
      <c r="J96" s="10">
        <f t="shared" si="9"/>
        <v>0</v>
      </c>
      <c r="K96" s="10">
        <f t="shared" si="10"/>
        <v>0</v>
      </c>
      <c r="L96" s="9" t="str">
        <f t="shared" si="11"/>
        <v/>
      </c>
      <c r="M96" s="8"/>
      <c r="N96" s="8"/>
      <c r="O96" s="8"/>
      <c r="P96" s="8"/>
      <c r="Q96" s="8"/>
      <c r="R96" s="8"/>
      <c r="S96" s="8"/>
      <c r="T96" s="8"/>
      <c r="U96" s="8"/>
      <c r="V96" s="7"/>
      <c r="W96" s="6" t="str">
        <f t="array" ref="W96">IF(NOT(ISBLANK(D96)),_xludf.XLOOKUP(D96,[2]CODE!$A$4:$A$100,[2]CODE!$D$4:$D$100),"")</f>
        <v/>
      </c>
      <c r="X96" s="5" t="str">
        <f t="array" ref="X96">IF(NOT(AND(ISBLANK(D96),ISBLANK(C96))),_xludf.XLOOKUP(D96,[2]CODE!$A$4:$A$100,[2]CODE!$E$4:$E$100),"")</f>
        <v/>
      </c>
      <c r="Y96" s="5" t="str">
        <f t="shared" si="12"/>
        <v/>
      </c>
      <c r="Z96" s="5" t="str">
        <f t="shared" si="13"/>
        <v/>
      </c>
      <c r="AA96" s="4">
        <f t="shared" si="14"/>
        <v>0</v>
      </c>
      <c r="AC96" s="2"/>
    </row>
    <row r="97" spans="1:29" ht="15.5">
      <c r="A97" s="13" t="str">
        <f>IF(OR(ISBLANK(C97),ISBLANK(D97),ISBLANK(F97),ISBLANK(G97)),"",COUNTIF($B$5:B97,"JAMBUTU"))</f>
        <v/>
      </c>
      <c r="B97" s="8"/>
      <c r="C97" s="8"/>
      <c r="D97" s="8"/>
      <c r="E97" s="13"/>
      <c r="F97" s="12"/>
      <c r="G97" s="11"/>
      <c r="H97" s="12"/>
      <c r="I97" s="11"/>
      <c r="J97" s="10">
        <f t="shared" si="9"/>
        <v>0</v>
      </c>
      <c r="K97" s="10">
        <f t="shared" si="10"/>
        <v>0</v>
      </c>
      <c r="L97" s="9" t="str">
        <f t="shared" si="11"/>
        <v/>
      </c>
      <c r="M97" s="8"/>
      <c r="N97" s="8"/>
      <c r="O97" s="8"/>
      <c r="P97" s="8"/>
      <c r="Q97" s="8"/>
      <c r="R97" s="8"/>
      <c r="S97" s="8"/>
      <c r="T97" s="8"/>
      <c r="U97" s="8"/>
      <c r="V97" s="7"/>
      <c r="W97" s="6" t="str">
        <f t="array" ref="W97">IF(NOT(ISBLANK(D97)),_xludf.XLOOKUP(D97,[2]CODE!$A$4:$A$100,[2]CODE!$D$4:$D$100),"")</f>
        <v/>
      </c>
      <c r="X97" s="5" t="str">
        <f t="array" ref="X97">IF(NOT(AND(ISBLANK(D97),ISBLANK(C97))),_xludf.XLOOKUP(D97,[2]CODE!$A$4:$A$100,[2]CODE!$E$4:$E$100),"")</f>
        <v/>
      </c>
      <c r="Y97" s="5" t="str">
        <f t="shared" si="12"/>
        <v/>
      </c>
      <c r="Z97" s="5" t="str">
        <f t="shared" si="13"/>
        <v/>
      </c>
      <c r="AA97" s="4">
        <f t="shared" si="14"/>
        <v>0</v>
      </c>
      <c r="AC97" s="2"/>
    </row>
    <row r="98" spans="1:29" ht="15.5">
      <c r="A98" s="13" t="str">
        <f>IF(OR(ISBLANK(C98),ISBLANK(D98),ISBLANK(F98),ISBLANK(G98)),"",COUNTIF($B$5:B98,"JAMBUTU"))</f>
        <v/>
      </c>
      <c r="B98" s="8"/>
      <c r="C98" s="8"/>
      <c r="D98" s="8"/>
      <c r="E98" s="13"/>
      <c r="F98" s="12"/>
      <c r="G98" s="11"/>
      <c r="H98" s="12"/>
      <c r="I98" s="11"/>
      <c r="J98" s="10">
        <f t="shared" si="9"/>
        <v>0</v>
      </c>
      <c r="K98" s="10">
        <f t="shared" si="10"/>
        <v>0</v>
      </c>
      <c r="L98" s="9" t="str">
        <f t="shared" si="11"/>
        <v/>
      </c>
      <c r="M98" s="8"/>
      <c r="N98" s="8"/>
      <c r="O98" s="8"/>
      <c r="P98" s="8"/>
      <c r="Q98" s="8"/>
      <c r="R98" s="8"/>
      <c r="S98" s="8"/>
      <c r="T98" s="8"/>
      <c r="U98" s="8"/>
      <c r="V98" s="7"/>
      <c r="W98" s="6" t="str">
        <f t="array" ref="W98">IF(NOT(ISBLANK(D98)),_xludf.XLOOKUP(D98,[2]CODE!$A$4:$A$100,[2]CODE!$D$4:$D$100),"")</f>
        <v/>
      </c>
      <c r="X98" s="5" t="str">
        <f t="array" ref="X98">IF(NOT(AND(ISBLANK(D98),ISBLANK(C98))),_xludf.XLOOKUP(D98,[2]CODE!$A$4:$A$100,[2]CODE!$E$4:$E$100),"")</f>
        <v/>
      </c>
      <c r="Y98" s="5" t="str">
        <f t="shared" si="12"/>
        <v/>
      </c>
      <c r="Z98" s="5" t="str">
        <f t="shared" si="13"/>
        <v/>
      </c>
      <c r="AA98" s="4">
        <f t="shared" si="14"/>
        <v>0</v>
      </c>
      <c r="AC98" s="2"/>
    </row>
    <row r="99" spans="1:29" ht="15.5">
      <c r="A99" s="13" t="str">
        <f>IF(OR(ISBLANK(C99),ISBLANK(D99),ISBLANK(F99),ISBLANK(G99)),"",COUNTIF($B$5:B99,"JAMBUTU"))</f>
        <v/>
      </c>
      <c r="B99" s="8"/>
      <c r="C99" s="8"/>
      <c r="D99" s="8"/>
      <c r="E99" s="13"/>
      <c r="F99" s="12"/>
      <c r="G99" s="11"/>
      <c r="H99" s="12"/>
      <c r="I99" s="11"/>
      <c r="J99" s="10">
        <f t="shared" si="9"/>
        <v>0</v>
      </c>
      <c r="K99" s="10">
        <f t="shared" si="10"/>
        <v>0</v>
      </c>
      <c r="L99" s="9" t="str">
        <f t="shared" si="11"/>
        <v/>
      </c>
      <c r="M99" s="8"/>
      <c r="N99" s="8"/>
      <c r="O99" s="8"/>
      <c r="P99" s="8"/>
      <c r="Q99" s="8"/>
      <c r="R99" s="8"/>
      <c r="S99" s="8"/>
      <c r="T99" s="8"/>
      <c r="U99" s="8"/>
      <c r="V99" s="7"/>
      <c r="W99" s="6" t="str">
        <f t="array" ref="W99">IF(NOT(ISBLANK(D99)),_xludf.XLOOKUP(D99,[2]CODE!$A$4:$A$100,[2]CODE!$D$4:$D$100),"")</f>
        <v/>
      </c>
      <c r="X99" s="5" t="str">
        <f t="array" ref="X99">IF(NOT(AND(ISBLANK(D99),ISBLANK(C99))),_xludf.XLOOKUP(D99,[2]CODE!$A$4:$A$100,[2]CODE!$E$4:$E$100),"")</f>
        <v/>
      </c>
      <c r="Y99" s="5" t="str">
        <f t="shared" si="12"/>
        <v/>
      </c>
      <c r="Z99" s="5" t="str">
        <f t="shared" si="13"/>
        <v/>
      </c>
      <c r="AA99" s="4">
        <f t="shared" si="14"/>
        <v>0</v>
      </c>
      <c r="AC99" s="2"/>
    </row>
    <row r="100" spans="1:29" ht="15.5">
      <c r="A100" s="13" t="str">
        <f>IF(OR(ISBLANK(C100),ISBLANK(D100),ISBLANK(F100),ISBLANK(G100)),"",COUNTIF($B$5:B100,"JAMBUTU"))</f>
        <v/>
      </c>
      <c r="B100" s="8"/>
      <c r="C100" s="8"/>
      <c r="D100" s="8"/>
      <c r="E100" s="13"/>
      <c r="F100" s="12"/>
      <c r="G100" s="11"/>
      <c r="H100" s="12"/>
      <c r="I100" s="11"/>
      <c r="J100" s="10">
        <f t="shared" si="9"/>
        <v>0</v>
      </c>
      <c r="K100" s="10">
        <f t="shared" si="10"/>
        <v>0</v>
      </c>
      <c r="L100" s="9" t="str">
        <f t="shared" si="11"/>
        <v/>
      </c>
      <c r="M100" s="8"/>
      <c r="N100" s="8"/>
      <c r="O100" s="8"/>
      <c r="P100" s="8"/>
      <c r="Q100" s="8"/>
      <c r="R100" s="8"/>
      <c r="S100" s="8"/>
      <c r="T100" s="8"/>
      <c r="U100" s="8"/>
      <c r="V100" s="7"/>
      <c r="W100" s="6" t="str">
        <f t="array" ref="W100">IF(NOT(ISBLANK(D100)),_xludf.XLOOKUP(D100,[2]CODE!$A$4:$A$100,[2]CODE!$D$4:$D$100),"")</f>
        <v/>
      </c>
      <c r="X100" s="5" t="str">
        <f t="array" ref="X100">IF(NOT(AND(ISBLANK(D100),ISBLANK(C100))),_xludf.XLOOKUP(D100,[2]CODE!$A$4:$A$100,[2]CODE!$E$4:$E$100),"")</f>
        <v/>
      </c>
      <c r="Y100" s="5" t="str">
        <f t="shared" si="12"/>
        <v/>
      </c>
      <c r="Z100" s="5" t="str">
        <f t="shared" si="13"/>
        <v/>
      </c>
      <c r="AA100" s="4">
        <f t="shared" si="14"/>
        <v>0</v>
      </c>
      <c r="AC100" s="2"/>
    </row>
    <row r="101" spans="1:29" ht="15.5">
      <c r="A101" s="13" t="str">
        <f>IF(OR(ISBLANK(C101),ISBLANK(D101),ISBLANK(F101),ISBLANK(G101)),"",COUNTIF($B$5:B101,"JAMBUTU"))</f>
        <v/>
      </c>
      <c r="B101" s="8"/>
      <c r="C101" s="8"/>
      <c r="D101" s="8"/>
      <c r="E101" s="13"/>
      <c r="F101" s="12"/>
      <c r="G101" s="11"/>
      <c r="H101" s="12"/>
      <c r="I101" s="15"/>
      <c r="J101" s="10">
        <f t="shared" si="9"/>
        <v>0</v>
      </c>
      <c r="K101" s="10">
        <f t="shared" si="10"/>
        <v>0</v>
      </c>
      <c r="L101" s="9" t="str">
        <f t="shared" si="11"/>
        <v/>
      </c>
      <c r="M101" s="8"/>
      <c r="N101" s="8"/>
      <c r="O101" s="8"/>
      <c r="P101" s="8"/>
      <c r="Q101" s="8"/>
      <c r="R101" s="8"/>
      <c r="S101" s="8"/>
      <c r="T101" s="8"/>
      <c r="U101" s="8"/>
      <c r="V101" s="7"/>
      <c r="W101" s="6" t="str">
        <f t="array" ref="W101">IF(NOT(ISBLANK(D101)),_xludf.XLOOKUP(D101,[2]CODE!$A$4:$A$100,[2]CODE!$D$4:$D$100),"")</f>
        <v/>
      </c>
      <c r="X101" s="5" t="str">
        <f t="array" ref="X101">IF(NOT(AND(ISBLANK(D101),ISBLANK(C101))),_xludf.XLOOKUP(D101,[2]CODE!$A$4:$A$100,[2]CODE!$E$4:$E$100),"")</f>
        <v/>
      </c>
      <c r="Y101" s="5" t="str">
        <f t="shared" si="12"/>
        <v/>
      </c>
      <c r="Z101" s="5" t="str">
        <f t="shared" si="13"/>
        <v/>
      </c>
      <c r="AA101" s="4">
        <f t="shared" si="14"/>
        <v>0</v>
      </c>
      <c r="AC101" s="2"/>
    </row>
    <row r="102" spans="1:29" ht="15.5">
      <c r="A102" s="13" t="str">
        <f>IF(OR(ISBLANK(C102),ISBLANK(D102),ISBLANK(F102),ISBLANK(G102)),"",COUNTIF($B$5:B102,"JAMBUTU"))</f>
        <v/>
      </c>
      <c r="B102" s="8"/>
      <c r="C102" s="8"/>
      <c r="D102" s="8"/>
      <c r="E102" s="13"/>
      <c r="F102" s="12"/>
      <c r="G102" s="11"/>
      <c r="H102" s="12"/>
      <c r="I102" s="15"/>
      <c r="J102" s="10">
        <f t="shared" si="9"/>
        <v>0</v>
      </c>
      <c r="K102" s="10">
        <f t="shared" si="10"/>
        <v>0</v>
      </c>
      <c r="L102" s="9" t="str">
        <f t="shared" si="11"/>
        <v/>
      </c>
      <c r="M102" s="8"/>
      <c r="N102" s="8"/>
      <c r="O102" s="8"/>
      <c r="P102" s="8"/>
      <c r="Q102" s="8"/>
      <c r="R102" s="8"/>
      <c r="S102" s="8"/>
      <c r="T102" s="8"/>
      <c r="U102" s="8"/>
      <c r="V102" s="7"/>
      <c r="W102" s="6" t="str">
        <f t="array" ref="W102">IF(NOT(ISBLANK(D102)),_xludf.XLOOKUP(D102,[2]CODE!$A$4:$A$100,[2]CODE!$D$4:$D$100),"")</f>
        <v/>
      </c>
      <c r="X102" s="5" t="str">
        <f t="array" ref="X102">IF(NOT(AND(ISBLANK(D102),ISBLANK(C102))),_xludf.XLOOKUP(D102,[2]CODE!$A$4:$A$100,[2]CODE!$E$4:$E$100),"")</f>
        <v/>
      </c>
      <c r="Y102" s="5" t="str">
        <f t="shared" si="12"/>
        <v/>
      </c>
      <c r="Z102" s="5" t="str">
        <f t="shared" si="13"/>
        <v/>
      </c>
      <c r="AA102" s="4">
        <f t="shared" si="14"/>
        <v>0</v>
      </c>
      <c r="AC102" s="2"/>
    </row>
    <row r="103" spans="1:29" ht="15.5">
      <c r="A103" s="13" t="str">
        <f>IF(OR(ISBLANK(C103),ISBLANK(D103),ISBLANK(F103),ISBLANK(G103)),"",COUNTIF($B$5:B103,"JAMBUTU"))</f>
        <v/>
      </c>
      <c r="B103" s="8"/>
      <c r="C103" s="8"/>
      <c r="D103" s="8"/>
      <c r="E103" s="13"/>
      <c r="F103" s="12"/>
      <c r="G103" s="11"/>
      <c r="H103" s="12"/>
      <c r="I103" s="11"/>
      <c r="J103" s="10">
        <f t="shared" si="9"/>
        <v>0</v>
      </c>
      <c r="K103" s="10">
        <f t="shared" si="10"/>
        <v>0</v>
      </c>
      <c r="L103" s="9" t="str">
        <f t="shared" si="11"/>
        <v/>
      </c>
      <c r="M103" s="8"/>
      <c r="N103" s="8"/>
      <c r="O103" s="8"/>
      <c r="P103" s="8"/>
      <c r="Q103" s="8"/>
      <c r="R103" s="8"/>
      <c r="S103" s="8"/>
      <c r="T103" s="8"/>
      <c r="U103" s="8"/>
      <c r="V103" s="7"/>
      <c r="W103" s="6" t="str">
        <f t="array" ref="W103">IF(NOT(ISBLANK(D103)),_xludf.XLOOKUP(D103,[2]CODE!$A$4:$A$100,[2]CODE!$D$4:$D$100),"")</f>
        <v/>
      </c>
      <c r="X103" s="5" t="str">
        <f t="array" ref="X103">IF(NOT(AND(ISBLANK(D103),ISBLANK(C103))),_xludf.XLOOKUP(D103,[2]CODE!$A$4:$A$100,[2]CODE!$E$4:$E$100),"")</f>
        <v/>
      </c>
      <c r="Y103" s="5" t="str">
        <f t="shared" si="12"/>
        <v/>
      </c>
      <c r="Z103" s="5" t="str">
        <f t="shared" si="13"/>
        <v/>
      </c>
      <c r="AA103" s="4">
        <f t="shared" si="14"/>
        <v>0</v>
      </c>
      <c r="AC103" s="2"/>
    </row>
    <row r="104" spans="1:29" ht="15.5">
      <c r="A104" s="13" t="str">
        <f>IF(OR(ISBLANK(C104),ISBLANK(D104),ISBLANK(F104),ISBLANK(G104)),"",COUNTIF($B$5:B104,"JAMBUTU"))</f>
        <v/>
      </c>
      <c r="B104" s="8"/>
      <c r="C104" s="8"/>
      <c r="D104" s="8"/>
      <c r="E104" s="13"/>
      <c r="F104" s="12"/>
      <c r="G104" s="11"/>
      <c r="H104" s="12"/>
      <c r="I104" s="11"/>
      <c r="J104" s="10">
        <f t="shared" si="9"/>
        <v>0</v>
      </c>
      <c r="K104" s="10">
        <f t="shared" si="10"/>
        <v>0</v>
      </c>
      <c r="L104" s="9" t="str">
        <f t="shared" si="11"/>
        <v/>
      </c>
      <c r="M104" s="8"/>
      <c r="N104" s="8"/>
      <c r="O104" s="8"/>
      <c r="P104" s="8"/>
      <c r="Q104" s="8"/>
      <c r="R104" s="8"/>
      <c r="S104" s="8"/>
      <c r="T104" s="8"/>
      <c r="U104" s="8"/>
      <c r="V104" s="7"/>
      <c r="W104" s="6" t="str">
        <f t="array" ref="W104">IF(NOT(ISBLANK(D104)),_xludf.XLOOKUP(D104,[2]CODE!$A$4:$A$100,[2]CODE!$D$4:$D$100),"")</f>
        <v/>
      </c>
      <c r="X104" s="5" t="str">
        <f t="array" ref="X104">IF(NOT(AND(ISBLANK(D104),ISBLANK(C104))),_xludf.XLOOKUP(D104,[2]CODE!$A$4:$A$100,[2]CODE!$E$4:$E$100),"")</f>
        <v/>
      </c>
      <c r="Y104" s="5" t="str">
        <f t="shared" si="12"/>
        <v/>
      </c>
      <c r="Z104" s="5" t="str">
        <f t="shared" si="13"/>
        <v/>
      </c>
      <c r="AA104" s="4">
        <f t="shared" si="14"/>
        <v>0</v>
      </c>
      <c r="AC104" s="2"/>
    </row>
    <row r="105" spans="1:29" ht="15.5">
      <c r="A105" s="13" t="str">
        <f>IF(OR(ISBLANK(C105),ISBLANK(D105),ISBLANK(F105),ISBLANK(G105)),"",COUNTIF($B$5:B105,"JAMBUTU"))</f>
        <v/>
      </c>
      <c r="B105" s="8"/>
      <c r="C105" s="8"/>
      <c r="D105" s="8"/>
      <c r="E105" s="13"/>
      <c r="F105" s="12"/>
      <c r="G105" s="11"/>
      <c r="H105" s="12"/>
      <c r="I105" s="11"/>
      <c r="J105" s="10">
        <f t="shared" si="9"/>
        <v>0</v>
      </c>
      <c r="K105" s="10">
        <f t="shared" si="10"/>
        <v>0</v>
      </c>
      <c r="L105" s="9" t="str">
        <f t="shared" si="11"/>
        <v/>
      </c>
      <c r="M105" s="8"/>
      <c r="N105" s="8"/>
      <c r="O105" s="8"/>
      <c r="P105" s="8"/>
      <c r="Q105" s="8"/>
      <c r="R105" s="8"/>
      <c r="S105" s="8"/>
      <c r="T105" s="8"/>
      <c r="U105" s="8"/>
      <c r="V105" s="7"/>
      <c r="W105" s="6" t="str">
        <f t="array" ref="W105">IF(NOT(ISBLANK(D105)),_xludf.XLOOKUP(D105,[2]CODE!$A$4:$A$100,[2]CODE!$D$4:$D$100),"")</f>
        <v/>
      </c>
      <c r="X105" s="5" t="str">
        <f t="array" ref="X105">IF(NOT(AND(ISBLANK(D105),ISBLANK(C105))),_xludf.XLOOKUP(D105,[2]CODE!$A$4:$A$100,[2]CODE!$E$4:$E$100),"")</f>
        <v/>
      </c>
      <c r="Y105" s="5" t="str">
        <f t="shared" si="12"/>
        <v/>
      </c>
      <c r="Z105" s="5" t="str">
        <f t="shared" si="13"/>
        <v/>
      </c>
      <c r="AA105" s="4">
        <f t="shared" si="14"/>
        <v>0</v>
      </c>
      <c r="AC105" s="2"/>
    </row>
    <row r="106" spans="1:29" ht="15.5">
      <c r="A106" s="13" t="str">
        <f>IF(OR(ISBLANK(C106),ISBLANK(D106),ISBLANK(F106),ISBLANK(G106)),"",COUNTIF($B$5:B106,"JAMBUTU"))</f>
        <v/>
      </c>
      <c r="B106" s="8"/>
      <c r="C106" s="8"/>
      <c r="D106" s="8"/>
      <c r="E106" s="13"/>
      <c r="F106" s="12"/>
      <c r="G106" s="11"/>
      <c r="H106" s="12"/>
      <c r="I106" s="11"/>
      <c r="J106" s="10">
        <f t="shared" si="9"/>
        <v>0</v>
      </c>
      <c r="K106" s="10">
        <f t="shared" si="10"/>
        <v>0</v>
      </c>
      <c r="L106" s="9" t="str">
        <f t="shared" si="11"/>
        <v/>
      </c>
      <c r="M106" s="8"/>
      <c r="N106" s="8"/>
      <c r="O106" s="8"/>
      <c r="P106" s="8"/>
      <c r="Q106" s="8"/>
      <c r="R106" s="8"/>
      <c r="S106" s="8"/>
      <c r="T106" s="8"/>
      <c r="U106" s="8"/>
      <c r="V106" s="7"/>
      <c r="W106" s="6" t="str">
        <f t="array" ref="W106">IF(NOT(ISBLANK(D106)),_xludf.XLOOKUP(D106,[2]CODE!$A$4:$A$100,[2]CODE!$D$4:$D$100),"")</f>
        <v/>
      </c>
      <c r="X106" s="5" t="str">
        <f t="array" ref="X106">IF(NOT(AND(ISBLANK(D106),ISBLANK(C106))),_xludf.XLOOKUP(D106,[2]CODE!$A$4:$A$100,[2]CODE!$E$4:$E$100),"")</f>
        <v/>
      </c>
      <c r="Y106" s="5" t="str">
        <f t="shared" si="12"/>
        <v/>
      </c>
      <c r="Z106" s="5" t="str">
        <f t="shared" si="13"/>
        <v/>
      </c>
      <c r="AA106" s="4">
        <f t="shared" si="14"/>
        <v>0</v>
      </c>
      <c r="AC106" s="2"/>
    </row>
    <row r="107" spans="1:29" ht="15.5">
      <c r="A107" s="13" t="str">
        <f>IF(OR(ISBLANK(C107),ISBLANK(D107),ISBLANK(F107),ISBLANK(G107)),"",COUNTIF($B$5:B107,"JAMBUTU"))</f>
        <v/>
      </c>
      <c r="B107" s="8"/>
      <c r="C107" s="8"/>
      <c r="D107" s="8"/>
      <c r="E107" s="13"/>
      <c r="F107" s="12"/>
      <c r="G107" s="11"/>
      <c r="H107" s="12"/>
      <c r="I107" s="15"/>
      <c r="J107" s="10">
        <f t="shared" si="9"/>
        <v>0</v>
      </c>
      <c r="K107" s="10">
        <f t="shared" si="10"/>
        <v>0</v>
      </c>
      <c r="L107" s="9" t="str">
        <f t="shared" si="11"/>
        <v/>
      </c>
      <c r="M107" s="8"/>
      <c r="N107" s="8"/>
      <c r="O107" s="8"/>
      <c r="P107" s="8"/>
      <c r="Q107" s="8"/>
      <c r="R107" s="8"/>
      <c r="S107" s="8"/>
      <c r="T107" s="8"/>
      <c r="U107" s="8"/>
      <c r="V107" s="7"/>
      <c r="W107" s="6" t="str">
        <f t="array" ref="W107">IF(NOT(ISBLANK(D107)),_xludf.XLOOKUP(D107,[2]CODE!$A$4:$A$100,[2]CODE!$D$4:$D$100),"")</f>
        <v/>
      </c>
      <c r="X107" s="5" t="str">
        <f t="array" ref="X107">IF(NOT(AND(ISBLANK(D107),ISBLANK(C107))),_xludf.XLOOKUP(D107,[2]CODE!$A$4:$A$100,[2]CODE!$E$4:$E$100),"")</f>
        <v/>
      </c>
      <c r="Y107" s="5" t="str">
        <f t="shared" si="12"/>
        <v/>
      </c>
      <c r="Z107" s="5" t="str">
        <f t="shared" si="13"/>
        <v/>
      </c>
      <c r="AA107" s="4">
        <f t="shared" si="14"/>
        <v>0</v>
      </c>
      <c r="AC107" s="2"/>
    </row>
    <row r="108" spans="1:29" ht="15.5">
      <c r="A108" s="13" t="str">
        <f>IF(OR(ISBLANK(C108),ISBLANK(D108),ISBLANK(F108),ISBLANK(G108)),"",COUNTIF($B$5:B108,"JAMBUTU"))</f>
        <v/>
      </c>
      <c r="B108" s="8"/>
      <c r="C108" s="8"/>
      <c r="D108" s="8"/>
      <c r="E108" s="13"/>
      <c r="F108" s="12"/>
      <c r="G108" s="11"/>
      <c r="H108" s="12"/>
      <c r="I108" s="15"/>
      <c r="J108" s="10">
        <f t="shared" si="9"/>
        <v>0</v>
      </c>
      <c r="K108" s="10">
        <f t="shared" si="10"/>
        <v>0</v>
      </c>
      <c r="L108" s="9" t="str">
        <f t="shared" si="11"/>
        <v/>
      </c>
      <c r="M108" s="8"/>
      <c r="N108" s="8"/>
      <c r="O108" s="8"/>
      <c r="P108" s="8"/>
      <c r="Q108" s="8"/>
      <c r="R108" s="8"/>
      <c r="S108" s="8"/>
      <c r="T108" s="8"/>
      <c r="U108" s="8"/>
      <c r="V108" s="7"/>
      <c r="W108" s="6" t="str">
        <f t="array" ref="W108">IF(NOT(ISBLANK(D108)),_xludf.XLOOKUP(D108,[2]CODE!$A$4:$A$100,[2]CODE!$D$4:$D$100),"")</f>
        <v/>
      </c>
      <c r="X108" s="5" t="str">
        <f t="array" ref="X108">IF(NOT(AND(ISBLANK(D108),ISBLANK(C108))),_xludf.XLOOKUP(D108,[2]CODE!$A$4:$A$100,[2]CODE!$E$4:$E$100),"")</f>
        <v/>
      </c>
      <c r="Y108" s="5" t="str">
        <f t="shared" si="12"/>
        <v/>
      </c>
      <c r="Z108" s="5" t="str">
        <f t="shared" si="13"/>
        <v/>
      </c>
      <c r="AA108" s="4">
        <f t="shared" si="14"/>
        <v>0</v>
      </c>
      <c r="AC108" s="2"/>
    </row>
    <row r="109" spans="1:29" ht="15.5">
      <c r="A109" s="13" t="str">
        <f>IF(OR(ISBLANK(C109),ISBLANK(D109),ISBLANK(F109),ISBLANK(G109)),"",COUNTIF($B$5:B109,"JAMBUTU"))</f>
        <v/>
      </c>
      <c r="B109" s="8"/>
      <c r="C109" s="8"/>
      <c r="D109" s="8"/>
      <c r="E109" s="13"/>
      <c r="F109" s="12"/>
      <c r="G109" s="11"/>
      <c r="H109" s="12"/>
      <c r="I109" s="15"/>
      <c r="J109" s="10">
        <f t="shared" si="9"/>
        <v>0</v>
      </c>
      <c r="K109" s="10">
        <f t="shared" si="10"/>
        <v>0</v>
      </c>
      <c r="L109" s="9" t="str">
        <f t="shared" si="11"/>
        <v/>
      </c>
      <c r="M109" s="8"/>
      <c r="N109" s="8"/>
      <c r="O109" s="8"/>
      <c r="P109" s="8"/>
      <c r="Q109" s="8"/>
      <c r="R109" s="8"/>
      <c r="S109" s="8"/>
      <c r="T109" s="8"/>
      <c r="U109" s="8"/>
      <c r="V109" s="7"/>
      <c r="W109" s="6" t="str">
        <f t="array" ref="W109">IF(NOT(ISBLANK(D109)),_xludf.XLOOKUP(D109,[2]CODE!$A$4:$A$100,[2]CODE!$D$4:$D$100),"")</f>
        <v/>
      </c>
      <c r="X109" s="5" t="str">
        <f t="array" ref="X109">IF(NOT(AND(ISBLANK(D109),ISBLANK(C109))),_xludf.XLOOKUP(D109,[2]CODE!$A$4:$A$100,[2]CODE!$E$4:$E$100),"")</f>
        <v/>
      </c>
      <c r="Y109" s="5" t="str">
        <f t="shared" si="12"/>
        <v/>
      </c>
      <c r="Z109" s="5" t="str">
        <f t="shared" si="13"/>
        <v/>
      </c>
      <c r="AA109" s="4">
        <f t="shared" si="14"/>
        <v>0</v>
      </c>
      <c r="AC109" s="2"/>
    </row>
    <row r="110" spans="1:29" ht="15.5">
      <c r="A110" s="13" t="str">
        <f>IF(OR(ISBLANK(C110),ISBLANK(D110),ISBLANK(F110),ISBLANK(G110)),"",COUNTIF($B$5:B110,"JAMBUTU"))</f>
        <v/>
      </c>
      <c r="B110" s="8"/>
      <c r="C110" s="8"/>
      <c r="D110" s="8"/>
      <c r="E110" s="13"/>
      <c r="F110" s="12"/>
      <c r="G110" s="11"/>
      <c r="H110" s="12"/>
      <c r="I110" s="11"/>
      <c r="J110" s="10">
        <f t="shared" si="9"/>
        <v>0</v>
      </c>
      <c r="K110" s="10">
        <f t="shared" si="10"/>
        <v>0</v>
      </c>
      <c r="L110" s="9" t="str">
        <f t="shared" si="11"/>
        <v/>
      </c>
      <c r="M110" s="8"/>
      <c r="N110" s="8"/>
      <c r="O110" s="8"/>
      <c r="P110" s="8"/>
      <c r="Q110" s="8"/>
      <c r="R110" s="8"/>
      <c r="S110" s="8"/>
      <c r="T110" s="8"/>
      <c r="U110" s="8"/>
      <c r="V110" s="7"/>
      <c r="W110" s="6" t="str">
        <f t="array" ref="W110">IF(NOT(ISBLANK(D110)),_xludf.XLOOKUP(D110,[2]CODE!$A$4:$A$100,[2]CODE!$D$4:$D$100),"")</f>
        <v/>
      </c>
      <c r="X110" s="5" t="str">
        <f t="array" ref="X110">IF(NOT(AND(ISBLANK(D110),ISBLANK(C110))),_xludf.XLOOKUP(D110,[2]CODE!$A$4:$A$100,[2]CODE!$E$4:$E$100),"")</f>
        <v/>
      </c>
      <c r="Y110" s="5" t="str">
        <f t="shared" si="12"/>
        <v/>
      </c>
      <c r="Z110" s="5" t="str">
        <f t="shared" si="13"/>
        <v/>
      </c>
      <c r="AA110" s="4">
        <f t="shared" si="14"/>
        <v>0</v>
      </c>
      <c r="AC110" s="2"/>
    </row>
    <row r="111" spans="1:29" ht="15.5">
      <c r="A111" s="13" t="str">
        <f>IF(OR(ISBLANK(C111),ISBLANK(D111),ISBLANK(F111),ISBLANK(G111)),"",COUNTIF($B$5:B111,"JAMBUTU"))</f>
        <v/>
      </c>
      <c r="B111" s="8"/>
      <c r="C111" s="8"/>
      <c r="D111" s="8"/>
      <c r="E111" s="13"/>
      <c r="F111" s="12"/>
      <c r="G111" s="11"/>
      <c r="H111" s="12"/>
      <c r="I111" s="15"/>
      <c r="J111" s="10">
        <f t="shared" si="9"/>
        <v>0</v>
      </c>
      <c r="K111" s="10">
        <f t="shared" si="10"/>
        <v>0</v>
      </c>
      <c r="L111" s="9" t="str">
        <f t="shared" si="11"/>
        <v/>
      </c>
      <c r="M111" s="8"/>
      <c r="N111" s="8"/>
      <c r="O111" s="8"/>
      <c r="P111" s="8"/>
      <c r="Q111" s="8"/>
      <c r="R111" s="8"/>
      <c r="S111" s="8"/>
      <c r="T111" s="8"/>
      <c r="U111" s="8"/>
      <c r="V111" s="7"/>
      <c r="W111" s="6" t="str">
        <f t="array" ref="W111">IF(NOT(ISBLANK(D111)),_xludf.XLOOKUP(D111,[2]CODE!$A$4:$A$100,[2]CODE!$D$4:$D$100),"")</f>
        <v/>
      </c>
      <c r="X111" s="5" t="str">
        <f t="array" ref="X111">IF(NOT(AND(ISBLANK(D111),ISBLANK(C111))),_xludf.XLOOKUP(D111,[2]CODE!$A$4:$A$100,[2]CODE!$E$4:$E$100),"")</f>
        <v/>
      </c>
      <c r="Y111" s="5" t="str">
        <f t="shared" si="12"/>
        <v/>
      </c>
      <c r="Z111" s="5" t="str">
        <f t="shared" si="13"/>
        <v/>
      </c>
      <c r="AA111" s="4">
        <f t="shared" si="14"/>
        <v>0</v>
      </c>
      <c r="AC111" s="2"/>
    </row>
    <row r="112" spans="1:29" ht="15.5">
      <c r="A112" s="13" t="str">
        <f>IF(OR(ISBLANK(C112),ISBLANK(D112),ISBLANK(F112),ISBLANK(G112)),"",COUNTIF($B$5:B112,"JAMBUTU"))</f>
        <v/>
      </c>
      <c r="B112" s="8"/>
      <c r="C112" s="8"/>
      <c r="D112" s="8"/>
      <c r="E112" s="13"/>
      <c r="F112" s="12"/>
      <c r="G112" s="11"/>
      <c r="H112" s="12"/>
      <c r="I112" s="11"/>
      <c r="J112" s="10">
        <f t="shared" si="9"/>
        <v>0</v>
      </c>
      <c r="K112" s="10">
        <f t="shared" si="10"/>
        <v>0</v>
      </c>
      <c r="L112" s="9" t="str">
        <f t="shared" si="11"/>
        <v/>
      </c>
      <c r="M112" s="8"/>
      <c r="N112" s="8"/>
      <c r="O112" s="8"/>
      <c r="P112" s="8"/>
      <c r="Q112" s="8"/>
      <c r="R112" s="8"/>
      <c r="S112" s="8"/>
      <c r="T112" s="8"/>
      <c r="U112" s="8"/>
      <c r="V112" s="7"/>
      <c r="W112" s="6" t="str">
        <f t="array" ref="W112">IF(NOT(ISBLANK(D112)),_xludf.XLOOKUP(D112,[2]CODE!$A$4:$A$100,[2]CODE!$D$4:$D$100),"")</f>
        <v/>
      </c>
      <c r="X112" s="5" t="str">
        <f t="array" ref="X112">IF(NOT(AND(ISBLANK(D112),ISBLANK(C112))),_xludf.XLOOKUP(D112,[2]CODE!$A$4:$A$100,[2]CODE!$E$4:$E$100),"")</f>
        <v/>
      </c>
      <c r="Y112" s="5" t="str">
        <f t="shared" si="12"/>
        <v/>
      </c>
      <c r="Z112" s="5" t="str">
        <f t="shared" si="13"/>
        <v/>
      </c>
      <c r="AA112" s="4">
        <f t="shared" si="14"/>
        <v>0</v>
      </c>
      <c r="AC112" s="2"/>
    </row>
    <row r="113" spans="1:29" ht="15.5">
      <c r="A113" s="13" t="str">
        <f>IF(OR(ISBLANK(C113),ISBLANK(D113),ISBLANK(F113),ISBLANK(G113)),"",COUNTIF($B$5:B113,"JAMBUTU"))</f>
        <v/>
      </c>
      <c r="B113" s="8"/>
      <c r="C113" s="8"/>
      <c r="D113" s="8"/>
      <c r="E113" s="13"/>
      <c r="F113" s="12"/>
      <c r="G113" s="11"/>
      <c r="H113" s="12"/>
      <c r="I113" s="15"/>
      <c r="J113" s="10">
        <f t="shared" si="9"/>
        <v>0</v>
      </c>
      <c r="K113" s="10">
        <f t="shared" si="10"/>
        <v>0</v>
      </c>
      <c r="L113" s="9" t="str">
        <f t="shared" si="11"/>
        <v/>
      </c>
      <c r="M113" s="8"/>
      <c r="N113" s="8"/>
      <c r="O113" s="8"/>
      <c r="P113" s="8"/>
      <c r="Q113" s="8"/>
      <c r="R113" s="8"/>
      <c r="S113" s="8"/>
      <c r="T113" s="8"/>
      <c r="U113" s="8"/>
      <c r="V113" s="7"/>
      <c r="W113" s="6" t="str">
        <f t="array" ref="W113">IF(NOT(ISBLANK(D113)),_xludf.XLOOKUP(D113,[2]CODE!$A$4:$A$100,[2]CODE!$D$4:$D$100),"")</f>
        <v/>
      </c>
      <c r="X113" s="5" t="str">
        <f t="array" ref="X113">IF(NOT(AND(ISBLANK(D113),ISBLANK(C113))),_xludf.XLOOKUP(D113,[2]CODE!$A$4:$A$100,[2]CODE!$E$4:$E$100),"")</f>
        <v/>
      </c>
      <c r="Y113" s="5" t="str">
        <f t="shared" si="12"/>
        <v/>
      </c>
      <c r="Z113" s="5" t="str">
        <f t="shared" si="13"/>
        <v/>
      </c>
      <c r="AA113" s="4">
        <f t="shared" si="14"/>
        <v>0</v>
      </c>
      <c r="AC113" s="2"/>
    </row>
    <row r="114" spans="1:29" ht="15.5">
      <c r="A114" s="13" t="str">
        <f>IF(OR(ISBLANK(C114),ISBLANK(D114),ISBLANK(F114),ISBLANK(G114)),"",COUNTIF($B$5:B114,"JAMBUTU"))</f>
        <v/>
      </c>
      <c r="B114" s="8"/>
      <c r="C114" s="8"/>
      <c r="D114" s="8"/>
      <c r="E114" s="13"/>
      <c r="F114" s="12"/>
      <c r="G114" s="11"/>
      <c r="H114" s="12"/>
      <c r="I114" s="15"/>
      <c r="J114" s="10">
        <f t="shared" si="9"/>
        <v>0</v>
      </c>
      <c r="K114" s="10">
        <f t="shared" si="10"/>
        <v>0</v>
      </c>
      <c r="L114" s="9" t="str">
        <f t="shared" si="11"/>
        <v/>
      </c>
      <c r="M114" s="8"/>
      <c r="N114" s="8"/>
      <c r="O114" s="8"/>
      <c r="P114" s="8"/>
      <c r="Q114" s="8"/>
      <c r="R114" s="8"/>
      <c r="S114" s="8"/>
      <c r="T114" s="8"/>
      <c r="U114" s="8"/>
      <c r="V114" s="7"/>
      <c r="W114" s="6" t="str">
        <f t="array" ref="W114">IF(NOT(ISBLANK(D114)),_xludf.XLOOKUP(D114,[2]CODE!$A$4:$A$100,[2]CODE!$D$4:$D$100),"")</f>
        <v/>
      </c>
      <c r="X114" s="5" t="str">
        <f t="array" ref="X114">IF(NOT(AND(ISBLANK(D114),ISBLANK(C114))),_xludf.XLOOKUP(D114,[2]CODE!$A$4:$A$100,[2]CODE!$E$4:$E$100),"")</f>
        <v/>
      </c>
      <c r="Y114" s="5" t="str">
        <f t="shared" si="12"/>
        <v/>
      </c>
      <c r="Z114" s="5" t="str">
        <f t="shared" si="13"/>
        <v/>
      </c>
      <c r="AA114" s="4">
        <f t="shared" si="14"/>
        <v>0</v>
      </c>
      <c r="AC114" s="2"/>
    </row>
    <row r="115" spans="1:29" ht="15.5">
      <c r="A115" s="13" t="str">
        <f>IF(OR(ISBLANK(C115),ISBLANK(D115),ISBLANK(F115),ISBLANK(G115)),"",COUNTIF($B$5:B115,"JAMBUTU"))</f>
        <v/>
      </c>
      <c r="B115" s="8"/>
      <c r="C115" s="8"/>
      <c r="D115" s="8"/>
      <c r="E115" s="13"/>
      <c r="F115" s="12"/>
      <c r="G115" s="11"/>
      <c r="H115" s="12"/>
      <c r="I115" s="11"/>
      <c r="J115" s="10">
        <f t="shared" si="9"/>
        <v>0</v>
      </c>
      <c r="K115" s="10">
        <f t="shared" si="10"/>
        <v>0</v>
      </c>
      <c r="L115" s="9" t="str">
        <f t="shared" si="11"/>
        <v/>
      </c>
      <c r="M115" s="8"/>
      <c r="N115" s="8"/>
      <c r="O115" s="8"/>
      <c r="P115" s="8"/>
      <c r="Q115" s="8"/>
      <c r="R115" s="8"/>
      <c r="S115" s="8"/>
      <c r="T115" s="8"/>
      <c r="U115" s="8"/>
      <c r="V115" s="7"/>
      <c r="W115" s="6" t="str">
        <f t="array" ref="W115">IF(NOT(ISBLANK(D115)),_xludf.XLOOKUP(D115,[2]CODE!$A$4:$A$100,[2]CODE!$D$4:$D$100),"")</f>
        <v/>
      </c>
      <c r="X115" s="5" t="str">
        <f t="array" ref="X115">IF(NOT(AND(ISBLANK(D115),ISBLANK(C115))),_xludf.XLOOKUP(D115,[2]CODE!$A$4:$A$100,[2]CODE!$E$4:$E$100),"")</f>
        <v/>
      </c>
      <c r="Y115" s="5" t="str">
        <f t="shared" si="12"/>
        <v/>
      </c>
      <c r="Z115" s="5" t="str">
        <f t="shared" si="13"/>
        <v/>
      </c>
      <c r="AA115" s="4">
        <f t="shared" si="14"/>
        <v>0</v>
      </c>
      <c r="AC115" s="2"/>
    </row>
    <row r="116" spans="1:29" ht="15.5">
      <c r="A116" s="13" t="str">
        <f>IF(OR(ISBLANK(C116),ISBLANK(D116),ISBLANK(F116),ISBLANK(G116)),"",COUNTIF($B$5:B116,"JAMBUTU"))</f>
        <v/>
      </c>
      <c r="B116" s="8"/>
      <c r="C116" s="8"/>
      <c r="D116" s="8"/>
      <c r="E116" s="13"/>
      <c r="F116" s="12"/>
      <c r="G116" s="11"/>
      <c r="H116" s="12"/>
      <c r="I116" s="11"/>
      <c r="J116" s="10">
        <f t="shared" si="9"/>
        <v>0</v>
      </c>
      <c r="K116" s="10">
        <f t="shared" si="10"/>
        <v>0</v>
      </c>
      <c r="L116" s="9" t="str">
        <f t="shared" si="11"/>
        <v/>
      </c>
      <c r="M116" s="8"/>
      <c r="N116" s="8"/>
      <c r="O116" s="8"/>
      <c r="P116" s="8"/>
      <c r="Q116" s="8"/>
      <c r="R116" s="8"/>
      <c r="S116" s="8"/>
      <c r="T116" s="8"/>
      <c r="U116" s="8"/>
      <c r="V116" s="7"/>
      <c r="W116" s="6" t="str">
        <f t="array" ref="W116">IF(NOT(ISBLANK(D116)),_xludf.XLOOKUP(D116,[2]CODE!$A$4:$A$100,[2]CODE!$D$4:$D$100),"")</f>
        <v/>
      </c>
      <c r="X116" s="5" t="str">
        <f t="array" ref="X116">IF(NOT(AND(ISBLANK(D116),ISBLANK(C116))),_xludf.XLOOKUP(D116,[2]CODE!$A$4:$A$100,[2]CODE!$E$4:$E$100),"")</f>
        <v/>
      </c>
      <c r="Y116" s="5" t="str">
        <f t="shared" si="12"/>
        <v/>
      </c>
      <c r="Z116" s="5" t="str">
        <f t="shared" si="13"/>
        <v/>
      </c>
      <c r="AA116" s="4">
        <f t="shared" si="14"/>
        <v>0</v>
      </c>
      <c r="AC116" s="2"/>
    </row>
    <row r="117" spans="1:29" ht="15.5">
      <c r="A117" s="13" t="str">
        <f>IF(OR(ISBLANK(C117),ISBLANK(D117),ISBLANK(F117),ISBLANK(G117)),"",COUNTIF($B$5:B117,"JAMBUTU"))</f>
        <v/>
      </c>
      <c r="B117" s="8"/>
      <c r="C117" s="8"/>
      <c r="D117" s="8"/>
      <c r="E117" s="13"/>
      <c r="F117" s="12"/>
      <c r="G117" s="11"/>
      <c r="H117" s="12"/>
      <c r="I117" s="11"/>
      <c r="J117" s="10">
        <f t="shared" si="9"/>
        <v>0</v>
      </c>
      <c r="K117" s="10">
        <f t="shared" si="10"/>
        <v>0</v>
      </c>
      <c r="L117" s="9" t="str">
        <f t="shared" si="11"/>
        <v/>
      </c>
      <c r="M117" s="8"/>
      <c r="N117" s="8"/>
      <c r="O117" s="8"/>
      <c r="P117" s="8"/>
      <c r="Q117" s="8"/>
      <c r="R117" s="8"/>
      <c r="S117" s="8"/>
      <c r="T117" s="8"/>
      <c r="U117" s="8"/>
      <c r="V117" s="7"/>
      <c r="W117" s="6" t="str">
        <f t="array" ref="W117">IF(NOT(ISBLANK(D117)),_xludf.XLOOKUP(D117,[2]CODE!$A$4:$A$100,[2]CODE!$D$4:$D$100),"")</f>
        <v/>
      </c>
      <c r="X117" s="5" t="str">
        <f t="array" ref="X117">IF(NOT(AND(ISBLANK(D117),ISBLANK(C117))),_xludf.XLOOKUP(D117,[2]CODE!$A$4:$A$100,[2]CODE!$E$4:$E$100),"")</f>
        <v/>
      </c>
      <c r="Y117" s="5" t="str">
        <f t="shared" si="12"/>
        <v/>
      </c>
      <c r="Z117" s="5" t="str">
        <f t="shared" si="13"/>
        <v/>
      </c>
      <c r="AA117" s="4">
        <f t="shared" si="14"/>
        <v>0</v>
      </c>
      <c r="AC117" s="2"/>
    </row>
    <row r="118" spans="1:29" ht="15.5">
      <c r="A118" s="13" t="str">
        <f>IF(OR(ISBLANK(C118),ISBLANK(D118),ISBLANK(F118),ISBLANK(G118)),"",COUNTIF($B$5:B118,"JAMBUTU"))</f>
        <v/>
      </c>
      <c r="B118" s="8"/>
      <c r="C118" s="8"/>
      <c r="D118" s="8"/>
      <c r="E118" s="13"/>
      <c r="F118" s="12"/>
      <c r="G118" s="11"/>
      <c r="H118" s="12"/>
      <c r="I118" s="11"/>
      <c r="J118" s="10">
        <f t="shared" si="9"/>
        <v>0</v>
      </c>
      <c r="K118" s="10">
        <f t="shared" si="10"/>
        <v>0</v>
      </c>
      <c r="L118" s="9" t="str">
        <f t="shared" si="11"/>
        <v/>
      </c>
      <c r="M118" s="8"/>
      <c r="N118" s="8"/>
      <c r="O118" s="8"/>
      <c r="P118" s="8"/>
      <c r="Q118" s="8"/>
      <c r="R118" s="8"/>
      <c r="S118" s="8"/>
      <c r="T118" s="8"/>
      <c r="U118" s="8"/>
      <c r="V118" s="7"/>
      <c r="W118" s="6" t="str">
        <f t="array" ref="W118">IF(NOT(ISBLANK(D118)),_xludf.XLOOKUP(D118,[2]CODE!$A$4:$A$100,[2]CODE!$D$4:$D$100),"")</f>
        <v/>
      </c>
      <c r="X118" s="5" t="str">
        <f t="array" ref="X118">IF(NOT(AND(ISBLANK(D118),ISBLANK(C118))),_xludf.XLOOKUP(D118,[2]CODE!$A$4:$A$100,[2]CODE!$E$4:$E$100),"")</f>
        <v/>
      </c>
      <c r="Y118" s="5" t="str">
        <f t="shared" si="12"/>
        <v/>
      </c>
      <c r="Z118" s="5" t="str">
        <f t="shared" si="13"/>
        <v/>
      </c>
      <c r="AA118" s="4">
        <f t="shared" si="14"/>
        <v>0</v>
      </c>
      <c r="AC118" s="2"/>
    </row>
    <row r="119" spans="1:29" ht="15.5">
      <c r="A119" s="13" t="str">
        <f>IF(OR(ISBLANK(C119),ISBLANK(D119),ISBLANK(F119),ISBLANK(G119)),"",COUNTIF($B$5:B119,"JAMBUTU"))</f>
        <v/>
      </c>
      <c r="B119" s="8"/>
      <c r="C119" s="8"/>
      <c r="D119" s="8"/>
      <c r="E119" s="13"/>
      <c r="F119" s="12"/>
      <c r="G119" s="11"/>
      <c r="H119" s="12"/>
      <c r="I119" s="11"/>
      <c r="J119" s="10">
        <f t="shared" si="9"/>
        <v>0</v>
      </c>
      <c r="K119" s="10">
        <f t="shared" si="10"/>
        <v>0</v>
      </c>
      <c r="L119" s="9" t="str">
        <f t="shared" si="11"/>
        <v/>
      </c>
      <c r="M119" s="8"/>
      <c r="N119" s="8"/>
      <c r="O119" s="8"/>
      <c r="P119" s="8"/>
      <c r="Q119" s="8"/>
      <c r="R119" s="8"/>
      <c r="S119" s="8"/>
      <c r="T119" s="8"/>
      <c r="U119" s="8"/>
      <c r="V119" s="7"/>
      <c r="W119" s="6" t="str">
        <f t="array" ref="W119">IF(NOT(ISBLANK(D119)),_xludf.XLOOKUP(D119,[2]CODE!$A$4:$A$100,[2]CODE!$D$4:$D$100),"")</f>
        <v/>
      </c>
      <c r="X119" s="5" t="str">
        <f t="array" ref="X119">IF(NOT(AND(ISBLANK(D119),ISBLANK(C119))),_xludf.XLOOKUP(D119,[2]CODE!$A$4:$A$100,[2]CODE!$E$4:$E$100),"")</f>
        <v/>
      </c>
      <c r="Y119" s="5" t="str">
        <f t="shared" si="12"/>
        <v/>
      </c>
      <c r="Z119" s="5" t="str">
        <f t="shared" si="13"/>
        <v/>
      </c>
      <c r="AA119" s="4">
        <f t="shared" si="14"/>
        <v>0</v>
      </c>
      <c r="AC119" s="2"/>
    </row>
    <row r="120" spans="1:29" ht="15.5">
      <c r="A120" s="13" t="str">
        <f>IF(OR(ISBLANK(C120),ISBLANK(D120),ISBLANK(F120),ISBLANK(G120)),"",COUNTIF($B$5:B120,"JAMBUTU"))</f>
        <v/>
      </c>
      <c r="B120" s="8"/>
      <c r="C120" s="8"/>
      <c r="D120" s="8"/>
      <c r="E120" s="13"/>
      <c r="F120" s="12"/>
      <c r="G120" s="11"/>
      <c r="H120" s="12"/>
      <c r="I120" s="11"/>
      <c r="J120" s="10">
        <f t="shared" si="9"/>
        <v>0</v>
      </c>
      <c r="K120" s="10">
        <f t="shared" si="10"/>
        <v>0</v>
      </c>
      <c r="L120" s="9" t="str">
        <f t="shared" si="11"/>
        <v/>
      </c>
      <c r="M120" s="8"/>
      <c r="N120" s="8"/>
      <c r="O120" s="8"/>
      <c r="P120" s="8"/>
      <c r="Q120" s="8"/>
      <c r="R120" s="8"/>
      <c r="S120" s="8"/>
      <c r="T120" s="8"/>
      <c r="U120" s="8"/>
      <c r="V120" s="7"/>
      <c r="W120" s="6" t="str">
        <f t="array" ref="W120">IF(NOT(ISBLANK(D120)),_xludf.XLOOKUP(D120,[2]CODE!$A$4:$A$100,[2]CODE!$D$4:$D$100),"")</f>
        <v/>
      </c>
      <c r="X120" s="5" t="str">
        <f t="array" ref="X120">IF(NOT(AND(ISBLANK(D120),ISBLANK(C120))),_xludf.XLOOKUP(D120,[2]CODE!$A$4:$A$100,[2]CODE!$E$4:$E$100),"")</f>
        <v/>
      </c>
      <c r="Y120" s="5" t="str">
        <f t="shared" si="12"/>
        <v/>
      </c>
      <c r="Z120" s="5" t="str">
        <f t="shared" si="13"/>
        <v/>
      </c>
      <c r="AA120" s="4">
        <f t="shared" si="14"/>
        <v>0</v>
      </c>
      <c r="AC120" s="2"/>
    </row>
    <row r="121" spans="1:29" ht="15.5">
      <c r="A121" s="13" t="str">
        <f>IF(OR(ISBLANK(C121),ISBLANK(D121),ISBLANK(F121),ISBLANK(G121)),"",COUNTIF($B$5:B121,"JAMBUTU"))</f>
        <v/>
      </c>
      <c r="B121" s="8"/>
      <c r="C121" s="8"/>
      <c r="D121" s="8"/>
      <c r="E121" s="13"/>
      <c r="F121" s="12"/>
      <c r="G121" s="11"/>
      <c r="H121" s="12"/>
      <c r="I121" s="11"/>
      <c r="J121" s="10">
        <f t="shared" si="9"/>
        <v>0</v>
      </c>
      <c r="K121" s="10">
        <f t="shared" si="10"/>
        <v>0</v>
      </c>
      <c r="L121" s="9" t="str">
        <f t="shared" si="11"/>
        <v/>
      </c>
      <c r="M121" s="8"/>
      <c r="N121" s="8"/>
      <c r="O121" s="8"/>
      <c r="P121" s="8"/>
      <c r="Q121" s="8"/>
      <c r="R121" s="8"/>
      <c r="S121" s="8"/>
      <c r="T121" s="8"/>
      <c r="U121" s="8"/>
      <c r="V121" s="7"/>
      <c r="W121" s="6" t="str">
        <f t="array" ref="W121">IF(NOT(ISBLANK(D121)),_xludf.XLOOKUP(D121,[2]CODE!$A$4:$A$100,[2]CODE!$D$4:$D$100),"")</f>
        <v/>
      </c>
      <c r="X121" s="5" t="str">
        <f t="array" ref="X121">IF(NOT(AND(ISBLANK(D121),ISBLANK(C121))),_xludf.XLOOKUP(D121,[2]CODE!$A$4:$A$100,[2]CODE!$E$4:$E$100),"")</f>
        <v/>
      </c>
      <c r="Y121" s="5" t="str">
        <f t="shared" si="12"/>
        <v/>
      </c>
      <c r="Z121" s="5" t="str">
        <f t="shared" si="13"/>
        <v/>
      </c>
      <c r="AA121" s="4">
        <f t="shared" si="14"/>
        <v>0</v>
      </c>
      <c r="AC121" s="2"/>
    </row>
    <row r="122" spans="1:29" ht="15.5">
      <c r="A122" s="13" t="str">
        <f>IF(OR(ISBLANK(C122),ISBLANK(D122),ISBLANK(F122),ISBLANK(G122)),"",COUNTIF($B$5:B122,"JAMBUTU"))</f>
        <v/>
      </c>
      <c r="B122" s="8"/>
      <c r="C122" s="8"/>
      <c r="D122" s="8"/>
      <c r="E122" s="13"/>
      <c r="F122" s="12"/>
      <c r="G122" s="11"/>
      <c r="H122" s="12"/>
      <c r="I122" s="11"/>
      <c r="J122" s="10">
        <f t="shared" si="9"/>
        <v>0</v>
      </c>
      <c r="K122" s="10">
        <f t="shared" si="10"/>
        <v>0</v>
      </c>
      <c r="L122" s="9" t="str">
        <f t="shared" si="11"/>
        <v/>
      </c>
      <c r="M122" s="8"/>
      <c r="N122" s="8"/>
      <c r="O122" s="8"/>
      <c r="P122" s="8"/>
      <c r="Q122" s="8"/>
      <c r="R122" s="8"/>
      <c r="S122" s="8"/>
      <c r="T122" s="8"/>
      <c r="U122" s="8"/>
      <c r="V122" s="7"/>
      <c r="W122" s="6" t="str">
        <f t="array" ref="W122">IF(NOT(ISBLANK(D122)),_xludf.XLOOKUP(D122,[2]CODE!$A$4:$A$100,[2]CODE!$D$4:$D$100),"")</f>
        <v/>
      </c>
      <c r="X122" s="5" t="str">
        <f t="array" ref="X122">IF(NOT(AND(ISBLANK(D122),ISBLANK(C122))),_xludf.XLOOKUP(D122,[2]CODE!$A$4:$A$100,[2]CODE!$E$4:$E$100),"")</f>
        <v/>
      </c>
      <c r="Y122" s="5" t="str">
        <f t="shared" si="12"/>
        <v/>
      </c>
      <c r="Z122" s="5" t="str">
        <f t="shared" si="13"/>
        <v/>
      </c>
      <c r="AA122" s="4">
        <f t="shared" si="14"/>
        <v>0</v>
      </c>
      <c r="AC122" s="2"/>
    </row>
    <row r="123" spans="1:29" ht="15.5">
      <c r="A123" s="13" t="str">
        <f>IF(OR(ISBLANK(C123),ISBLANK(D123),ISBLANK(F123),ISBLANK(G123)),"",COUNTIF($B$5:B123,"JAMBUTU"))</f>
        <v/>
      </c>
      <c r="B123" s="8"/>
      <c r="C123" s="8"/>
      <c r="D123" s="8"/>
      <c r="E123" s="13"/>
      <c r="F123" s="12"/>
      <c r="G123" s="11"/>
      <c r="H123" s="12"/>
      <c r="I123" s="11"/>
      <c r="J123" s="10">
        <f t="shared" si="9"/>
        <v>0</v>
      </c>
      <c r="K123" s="10">
        <f t="shared" si="10"/>
        <v>0</v>
      </c>
      <c r="L123" s="9" t="str">
        <f t="shared" si="11"/>
        <v/>
      </c>
      <c r="M123" s="8"/>
      <c r="N123" s="8"/>
      <c r="O123" s="8"/>
      <c r="P123" s="8"/>
      <c r="Q123" s="8"/>
      <c r="R123" s="8"/>
      <c r="S123" s="8"/>
      <c r="T123" s="8"/>
      <c r="U123" s="8"/>
      <c r="V123" s="7"/>
      <c r="W123" s="6" t="str">
        <f t="array" ref="W123">IF(NOT(ISBLANK(D123)),_xludf.XLOOKUP(D123,[2]CODE!$A$4:$A$100,[2]CODE!$D$4:$D$100),"")</f>
        <v/>
      </c>
      <c r="X123" s="5" t="str">
        <f t="array" ref="X123">IF(NOT(AND(ISBLANK(D123),ISBLANK(C123))),_xludf.XLOOKUP(D123,[2]CODE!$A$4:$A$100,[2]CODE!$E$4:$E$100),"")</f>
        <v/>
      </c>
      <c r="Y123" s="5" t="str">
        <f t="shared" si="12"/>
        <v/>
      </c>
      <c r="Z123" s="5" t="str">
        <f t="shared" si="13"/>
        <v/>
      </c>
      <c r="AA123" s="4">
        <f t="shared" si="14"/>
        <v>0</v>
      </c>
      <c r="AC123" s="2"/>
    </row>
    <row r="124" spans="1:29" ht="15.5">
      <c r="A124" s="13" t="str">
        <f>IF(OR(ISBLANK(C124),ISBLANK(D124),ISBLANK(F124),ISBLANK(G124)),"",COUNTIF($B$5:B124,"JAMBUTU"))</f>
        <v/>
      </c>
      <c r="B124" s="8"/>
      <c r="C124" s="8"/>
      <c r="D124" s="8"/>
      <c r="E124" s="13"/>
      <c r="F124" s="12"/>
      <c r="G124" s="11"/>
      <c r="H124" s="12"/>
      <c r="I124" s="11"/>
      <c r="J124" s="10">
        <f t="shared" si="9"/>
        <v>0</v>
      </c>
      <c r="K124" s="10">
        <f t="shared" si="10"/>
        <v>0</v>
      </c>
      <c r="L124" s="9" t="str">
        <f t="shared" si="11"/>
        <v/>
      </c>
      <c r="M124" s="8"/>
      <c r="N124" s="8"/>
      <c r="O124" s="8"/>
      <c r="P124" s="8"/>
      <c r="Q124" s="8"/>
      <c r="R124" s="8"/>
      <c r="S124" s="8"/>
      <c r="T124" s="8"/>
      <c r="U124" s="8"/>
      <c r="V124" s="7"/>
      <c r="W124" s="6" t="str">
        <f t="array" ref="W124">IF(NOT(ISBLANK(D124)),_xludf.XLOOKUP(D124,[2]CODE!$A$4:$A$100,[2]CODE!$D$4:$D$100),"")</f>
        <v/>
      </c>
      <c r="X124" s="5" t="str">
        <f t="array" ref="X124">IF(NOT(AND(ISBLANK(D124),ISBLANK(C124))),_xludf.XLOOKUP(D124,[2]CODE!$A$4:$A$100,[2]CODE!$E$4:$E$100),"")</f>
        <v/>
      </c>
      <c r="Y124" s="5" t="str">
        <f t="shared" si="12"/>
        <v/>
      </c>
      <c r="Z124" s="5" t="str">
        <f t="shared" si="13"/>
        <v/>
      </c>
      <c r="AA124" s="4">
        <f t="shared" si="14"/>
        <v>0</v>
      </c>
      <c r="AC124" s="2"/>
    </row>
    <row r="125" spans="1:29" ht="15.5">
      <c r="A125" s="13" t="str">
        <f>IF(OR(ISBLANK(C125),ISBLANK(D125),ISBLANK(F125),ISBLANK(G125)),"",COUNTIF($B$5:B125,"JAMBUTU"))</f>
        <v/>
      </c>
      <c r="B125" s="8"/>
      <c r="C125" s="8"/>
      <c r="D125" s="8"/>
      <c r="E125" s="13"/>
      <c r="F125" s="12"/>
      <c r="G125" s="11"/>
      <c r="H125" s="12"/>
      <c r="I125" s="11"/>
      <c r="J125" s="10">
        <f t="shared" si="9"/>
        <v>0</v>
      </c>
      <c r="K125" s="10">
        <f t="shared" si="10"/>
        <v>0</v>
      </c>
      <c r="L125" s="9" t="str">
        <f t="shared" si="11"/>
        <v/>
      </c>
      <c r="M125" s="8"/>
      <c r="N125" s="8"/>
      <c r="O125" s="8"/>
      <c r="P125" s="8"/>
      <c r="Q125" s="8"/>
      <c r="R125" s="8"/>
      <c r="S125" s="8"/>
      <c r="T125" s="8"/>
      <c r="U125" s="8"/>
      <c r="V125" s="7"/>
      <c r="W125" s="6" t="str">
        <f t="array" ref="W125">IF(NOT(ISBLANK(D125)),_xludf.XLOOKUP(D125,[2]CODE!$A$4:$A$100,[2]CODE!$D$4:$D$100),"")</f>
        <v/>
      </c>
      <c r="X125" s="5" t="str">
        <f t="array" ref="X125">IF(NOT(AND(ISBLANK(D125),ISBLANK(C125))),_xludf.XLOOKUP(D125,[2]CODE!$A$4:$A$100,[2]CODE!$E$4:$E$100),"")</f>
        <v/>
      </c>
      <c r="Y125" s="5" t="str">
        <f t="shared" si="12"/>
        <v/>
      </c>
      <c r="Z125" s="5" t="str">
        <f t="shared" si="13"/>
        <v/>
      </c>
      <c r="AA125" s="4">
        <f t="shared" si="14"/>
        <v>0</v>
      </c>
      <c r="AC125" s="2"/>
    </row>
    <row r="126" spans="1:29" ht="15.5">
      <c r="A126" s="13" t="str">
        <f>IF(OR(ISBLANK(C126),ISBLANK(D126),ISBLANK(F126),ISBLANK(G126)),"",COUNTIF($B$5:B126,"JAMBUTU"))</f>
        <v/>
      </c>
      <c r="B126" s="8"/>
      <c r="C126" s="8"/>
      <c r="D126" s="8"/>
      <c r="E126" s="13"/>
      <c r="F126" s="12"/>
      <c r="G126" s="11"/>
      <c r="H126" s="12"/>
      <c r="I126" s="11"/>
      <c r="J126" s="10">
        <f t="shared" si="9"/>
        <v>0</v>
      </c>
      <c r="K126" s="10">
        <f t="shared" si="10"/>
        <v>0</v>
      </c>
      <c r="L126" s="9" t="str">
        <f t="shared" si="11"/>
        <v/>
      </c>
      <c r="M126" s="8"/>
      <c r="N126" s="8"/>
      <c r="O126" s="8"/>
      <c r="P126" s="8"/>
      <c r="Q126" s="8"/>
      <c r="R126" s="8"/>
      <c r="S126" s="8"/>
      <c r="T126" s="8"/>
      <c r="U126" s="8"/>
      <c r="V126" s="7"/>
      <c r="W126" s="6" t="str">
        <f t="array" ref="W126">IF(NOT(ISBLANK(D126)),_xludf.XLOOKUP(D126,[2]CODE!$A$4:$A$100,[2]CODE!$D$4:$D$100),"")</f>
        <v/>
      </c>
      <c r="X126" s="5" t="str">
        <f t="array" ref="X126">IF(NOT(AND(ISBLANK(D126),ISBLANK(C126))),_xludf.XLOOKUP(D126,[2]CODE!$A$4:$A$100,[2]CODE!$E$4:$E$100),"")</f>
        <v/>
      </c>
      <c r="Y126" s="5" t="str">
        <f t="shared" si="12"/>
        <v/>
      </c>
      <c r="Z126" s="5" t="str">
        <f t="shared" si="13"/>
        <v/>
      </c>
      <c r="AA126" s="4">
        <f t="shared" si="14"/>
        <v>0</v>
      </c>
      <c r="AC126" s="2"/>
    </row>
    <row r="127" spans="1:29" ht="15.5">
      <c r="A127" s="13" t="str">
        <f>IF(OR(ISBLANK(C127),ISBLANK(D127),ISBLANK(F127),ISBLANK(G127)),"",COUNTIF($B$5:B127,"JAMBUTU"))</f>
        <v/>
      </c>
      <c r="B127" s="8"/>
      <c r="C127" s="8"/>
      <c r="D127" s="8"/>
      <c r="E127" s="13"/>
      <c r="F127" s="12"/>
      <c r="G127" s="11"/>
      <c r="H127" s="12"/>
      <c r="I127" s="11"/>
      <c r="J127" s="10">
        <f t="shared" si="9"/>
        <v>0</v>
      </c>
      <c r="K127" s="10">
        <f t="shared" si="10"/>
        <v>0</v>
      </c>
      <c r="L127" s="9" t="str">
        <f t="shared" si="11"/>
        <v/>
      </c>
      <c r="M127" s="8"/>
      <c r="N127" s="8"/>
      <c r="O127" s="8"/>
      <c r="P127" s="8"/>
      <c r="Q127" s="8"/>
      <c r="R127" s="8"/>
      <c r="S127" s="8"/>
      <c r="T127" s="8"/>
      <c r="U127" s="8"/>
      <c r="V127" s="7"/>
      <c r="W127" s="6" t="str">
        <f t="array" ref="W127">IF(NOT(ISBLANK(D127)),_xludf.XLOOKUP(D127,[2]CODE!$A$4:$A$100,[2]CODE!$D$4:$D$100),"")</f>
        <v/>
      </c>
      <c r="X127" s="5" t="str">
        <f t="array" ref="X127">IF(NOT(AND(ISBLANK(D127),ISBLANK(C127))),_xludf.XLOOKUP(D127,[2]CODE!$A$4:$A$100,[2]CODE!$E$4:$E$100),"")</f>
        <v/>
      </c>
      <c r="Y127" s="5" t="str">
        <f t="shared" si="12"/>
        <v/>
      </c>
      <c r="Z127" s="5" t="str">
        <f t="shared" si="13"/>
        <v/>
      </c>
      <c r="AA127" s="4">
        <f t="shared" si="14"/>
        <v>0</v>
      </c>
      <c r="AC127" s="2"/>
    </row>
    <row r="128" spans="1:29" ht="15.5">
      <c r="A128" s="13" t="str">
        <f>IF(OR(ISBLANK(C128),ISBLANK(D128),ISBLANK(F128),ISBLANK(G128)),"",COUNTIF($B$5:B128,"JAMBUTU"))</f>
        <v/>
      </c>
      <c r="B128" s="8"/>
      <c r="C128" s="8"/>
      <c r="D128" s="8"/>
      <c r="E128" s="13"/>
      <c r="F128" s="12"/>
      <c r="G128" s="11"/>
      <c r="H128" s="12"/>
      <c r="I128" s="11"/>
      <c r="J128" s="10">
        <f t="shared" si="9"/>
        <v>0</v>
      </c>
      <c r="K128" s="10">
        <f t="shared" si="10"/>
        <v>0</v>
      </c>
      <c r="L128" s="9" t="str">
        <f t="shared" si="11"/>
        <v/>
      </c>
      <c r="M128" s="8"/>
      <c r="N128" s="8"/>
      <c r="O128" s="8"/>
      <c r="P128" s="8"/>
      <c r="Q128" s="8"/>
      <c r="R128" s="8"/>
      <c r="S128" s="8"/>
      <c r="T128" s="8"/>
      <c r="U128" s="8"/>
      <c r="V128" s="7"/>
      <c r="W128" s="6" t="str">
        <f t="array" ref="W128">IF(NOT(ISBLANK(D128)),_xludf.XLOOKUP(D128,[2]CODE!$A$4:$A$100,[2]CODE!$D$4:$D$100),"")</f>
        <v/>
      </c>
      <c r="X128" s="5" t="str">
        <f t="array" ref="X128">IF(NOT(AND(ISBLANK(D128),ISBLANK(C128))),_xludf.XLOOKUP(D128,[2]CODE!$A$4:$A$100,[2]CODE!$E$4:$E$100),"")</f>
        <v/>
      </c>
      <c r="Y128" s="5" t="str">
        <f t="shared" si="12"/>
        <v/>
      </c>
      <c r="Z128" s="5" t="str">
        <f t="shared" si="13"/>
        <v/>
      </c>
      <c r="AA128" s="4">
        <f t="shared" si="14"/>
        <v>0</v>
      </c>
      <c r="AC128" s="2"/>
    </row>
    <row r="129" spans="1:29" ht="15.5">
      <c r="A129" s="13" t="str">
        <f>IF(OR(ISBLANK(C129),ISBLANK(D129),ISBLANK(F129),ISBLANK(G129)),"",COUNTIF($B$5:B129,"JAMBUTU"))</f>
        <v/>
      </c>
      <c r="B129" s="8"/>
      <c r="C129" s="8"/>
      <c r="D129" s="8"/>
      <c r="E129" s="13"/>
      <c r="F129" s="12"/>
      <c r="G129" s="11"/>
      <c r="H129" s="12"/>
      <c r="I129" s="11"/>
      <c r="J129" s="10">
        <f t="shared" si="9"/>
        <v>0</v>
      </c>
      <c r="K129" s="10">
        <f t="shared" si="10"/>
        <v>0</v>
      </c>
      <c r="L129" s="9" t="str">
        <f t="shared" si="11"/>
        <v/>
      </c>
      <c r="M129" s="8"/>
      <c r="N129" s="8"/>
      <c r="O129" s="8"/>
      <c r="P129" s="8"/>
      <c r="Q129" s="8"/>
      <c r="R129" s="8"/>
      <c r="S129" s="8"/>
      <c r="T129" s="8"/>
      <c r="U129" s="8"/>
      <c r="V129" s="7"/>
      <c r="W129" s="6" t="str">
        <f t="array" ref="W129">IF(NOT(ISBLANK(D129)),_xludf.XLOOKUP(D129,[2]CODE!$A$4:$A$100,[2]CODE!$D$4:$D$100),"")</f>
        <v/>
      </c>
      <c r="X129" s="5" t="str">
        <f t="array" ref="X129">IF(NOT(AND(ISBLANK(D129),ISBLANK(C129))),_xludf.XLOOKUP(D129,[2]CODE!$A$4:$A$100,[2]CODE!$E$4:$E$100),"")</f>
        <v/>
      </c>
      <c r="Y129" s="5" t="str">
        <f t="shared" si="12"/>
        <v/>
      </c>
      <c r="Z129" s="5" t="str">
        <f t="shared" si="13"/>
        <v/>
      </c>
      <c r="AA129" s="4">
        <f t="shared" si="14"/>
        <v>0</v>
      </c>
      <c r="AC129" s="2"/>
    </row>
    <row r="130" spans="1:29" ht="15.5">
      <c r="A130" s="13" t="str">
        <f>IF(OR(ISBLANK(C130),ISBLANK(D130),ISBLANK(F130),ISBLANK(G130)),"",COUNTIF($B$5:B130,"JAMBUTU"))</f>
        <v/>
      </c>
      <c r="B130" s="8"/>
      <c r="C130" s="8"/>
      <c r="D130" s="8"/>
      <c r="E130" s="13"/>
      <c r="F130" s="12"/>
      <c r="G130" s="11"/>
      <c r="H130" s="12"/>
      <c r="I130" s="11"/>
      <c r="J130" s="10">
        <f t="shared" si="9"/>
        <v>0</v>
      </c>
      <c r="K130" s="10">
        <f t="shared" si="10"/>
        <v>0</v>
      </c>
      <c r="L130" s="9" t="str">
        <f t="shared" si="11"/>
        <v/>
      </c>
      <c r="M130" s="8"/>
      <c r="N130" s="8"/>
      <c r="O130" s="8"/>
      <c r="P130" s="8"/>
      <c r="Q130" s="8"/>
      <c r="R130" s="8"/>
      <c r="S130" s="8"/>
      <c r="T130" s="8"/>
      <c r="U130" s="8"/>
      <c r="V130" s="7"/>
      <c r="W130" s="6" t="str">
        <f t="array" ref="W130">IF(NOT(ISBLANK(D130)),_xludf.XLOOKUP(D130,[2]CODE!$A$4:$A$100,[2]CODE!$D$4:$D$100),"")</f>
        <v/>
      </c>
      <c r="X130" s="5" t="str">
        <f t="array" ref="X130">IF(NOT(AND(ISBLANK(D130),ISBLANK(C130))),_xludf.XLOOKUP(D130,[2]CODE!$A$4:$A$100,[2]CODE!$E$4:$E$100),"")</f>
        <v/>
      </c>
      <c r="Y130" s="5" t="str">
        <f t="shared" si="12"/>
        <v/>
      </c>
      <c r="Z130" s="5" t="str">
        <f t="shared" si="13"/>
        <v/>
      </c>
      <c r="AA130" s="4">
        <f t="shared" si="14"/>
        <v>0</v>
      </c>
      <c r="AC130" s="2"/>
    </row>
    <row r="131" spans="1:29" ht="15.5">
      <c r="A131" s="13" t="str">
        <f>IF(OR(ISBLANK(C131),ISBLANK(D131),ISBLANK(F131),ISBLANK(G131)),"",COUNTIF($B$5:B131,"JAMBUTU"))</f>
        <v/>
      </c>
      <c r="B131" s="8"/>
      <c r="C131" s="8"/>
      <c r="D131" s="8"/>
      <c r="E131" s="13"/>
      <c r="F131" s="12"/>
      <c r="G131" s="11"/>
      <c r="H131" s="12"/>
      <c r="I131" s="11"/>
      <c r="J131" s="10">
        <f t="shared" si="9"/>
        <v>0</v>
      </c>
      <c r="K131" s="10">
        <f t="shared" si="10"/>
        <v>0</v>
      </c>
      <c r="L131" s="9" t="str">
        <f t="shared" si="11"/>
        <v/>
      </c>
      <c r="M131" s="8"/>
      <c r="N131" s="8"/>
      <c r="O131" s="8"/>
      <c r="P131" s="8"/>
      <c r="Q131" s="8"/>
      <c r="R131" s="8"/>
      <c r="S131" s="8"/>
      <c r="T131" s="8"/>
      <c r="U131" s="8"/>
      <c r="V131" s="7"/>
      <c r="W131" s="6" t="str">
        <f t="array" ref="W131">IF(NOT(ISBLANK(D131)),_xludf.XLOOKUP(D131,[2]CODE!$A$4:$A$100,[2]CODE!$D$4:$D$100),"")</f>
        <v/>
      </c>
      <c r="X131" s="5" t="str">
        <f t="array" ref="X131">IF(NOT(AND(ISBLANK(D131),ISBLANK(C131))),_xludf.XLOOKUP(D131,[2]CODE!$A$4:$A$100,[2]CODE!$E$4:$E$100),"")</f>
        <v/>
      </c>
      <c r="Y131" s="5" t="str">
        <f t="shared" si="12"/>
        <v/>
      </c>
      <c r="Z131" s="5" t="str">
        <f t="shared" si="13"/>
        <v/>
      </c>
      <c r="AA131" s="4">
        <f t="shared" si="14"/>
        <v>0</v>
      </c>
      <c r="AC131" s="2"/>
    </row>
    <row r="132" spans="1:29" ht="15.5">
      <c r="A132" s="13" t="str">
        <f>IF(OR(ISBLANK(C132),ISBLANK(D132),ISBLANK(F132),ISBLANK(G132)),"",COUNTIF($B$5:B132,"JAMBUTU"))</f>
        <v/>
      </c>
      <c r="B132" s="8"/>
      <c r="C132" s="8"/>
      <c r="D132" s="8"/>
      <c r="E132" s="13"/>
      <c r="F132" s="12"/>
      <c r="G132" s="11"/>
      <c r="H132" s="12"/>
      <c r="I132" s="11"/>
      <c r="J132" s="10">
        <f t="shared" si="9"/>
        <v>0</v>
      </c>
      <c r="K132" s="10">
        <f t="shared" si="10"/>
        <v>0</v>
      </c>
      <c r="L132" s="9" t="str">
        <f t="shared" si="11"/>
        <v/>
      </c>
      <c r="M132" s="8"/>
      <c r="N132" s="8"/>
      <c r="O132" s="8"/>
      <c r="P132" s="8"/>
      <c r="Q132" s="8"/>
      <c r="R132" s="8"/>
      <c r="S132" s="8"/>
      <c r="T132" s="8"/>
      <c r="U132" s="8"/>
      <c r="V132" s="7"/>
      <c r="W132" s="6" t="str">
        <f t="array" ref="W132">IF(NOT(ISBLANK(D132)),_xludf.XLOOKUP(D132,[2]CODE!$A$4:$A$100,[2]CODE!$D$4:$D$100),"")</f>
        <v/>
      </c>
      <c r="X132" s="5" t="str">
        <f t="array" ref="X132">IF(NOT(AND(ISBLANK(D132),ISBLANK(C132))),_xludf.XLOOKUP(D132,[2]CODE!$A$4:$A$100,[2]CODE!$E$4:$E$100),"")</f>
        <v/>
      </c>
      <c r="Y132" s="5" t="str">
        <f t="shared" si="12"/>
        <v/>
      </c>
      <c r="Z132" s="5" t="str">
        <f t="shared" si="13"/>
        <v/>
      </c>
      <c r="AA132" s="4">
        <f t="shared" si="14"/>
        <v>0</v>
      </c>
      <c r="AC132" s="2"/>
    </row>
    <row r="133" spans="1:29" ht="15.5">
      <c r="A133" s="13" t="str">
        <f>IF(OR(ISBLANK(C133),ISBLANK(D133),ISBLANK(F133),ISBLANK(G133)),"",COUNTIF($B$5:B133,"JAMBUTU"))</f>
        <v/>
      </c>
      <c r="B133" s="8"/>
      <c r="C133" s="8"/>
      <c r="D133" s="8"/>
      <c r="E133" s="13"/>
      <c r="F133" s="12"/>
      <c r="G133" s="11"/>
      <c r="H133" s="12"/>
      <c r="I133" s="11"/>
      <c r="J133" s="10">
        <f t="shared" ref="J133:J196" si="15">DATE(YEAR(F133),MONTH(F133),DAY(F133))+TIME(HOUR(G133),MINUTE(G133), SECOND(G133))</f>
        <v>0</v>
      </c>
      <c r="K133" s="10">
        <f t="shared" ref="K133:K196" si="16">DATE(YEAR(H133),MONTH(H133),DAY(H133))+TIME(HOUR(I133),MINUTE(I133), SECOND(I133))</f>
        <v>0</v>
      </c>
      <c r="L133" s="9" t="str">
        <f t="shared" ref="L133:L196" si="17">IF(ISBLANK(I133),"",IF(J133&gt;K133,(K133+1)-J133,K133-J133))</f>
        <v/>
      </c>
      <c r="M133" s="8"/>
      <c r="N133" s="8"/>
      <c r="O133" s="8"/>
      <c r="P133" s="8"/>
      <c r="Q133" s="8"/>
      <c r="R133" s="8"/>
      <c r="S133" s="8"/>
      <c r="T133" s="8"/>
      <c r="U133" s="8"/>
      <c r="V133" s="7"/>
      <c r="W133" s="6" t="str">
        <f t="array" ref="W133">IF(NOT(ISBLANK(D133)),_xludf.XLOOKUP(D133,[2]CODE!$A$4:$A$100,[2]CODE!$D$4:$D$100),"")</f>
        <v/>
      </c>
      <c r="X133" s="5" t="str">
        <f t="array" ref="X133">IF(NOT(AND(ISBLANK(D133),ISBLANK(C133))),_xludf.XLOOKUP(D133,[2]CODE!$A$4:$A$100,[2]CODE!$E$4:$E$100),"")</f>
        <v/>
      </c>
      <c r="Y133" s="5" t="str">
        <f t="shared" ref="Y133:Y196" si="18">LEFT(C133,4)</f>
        <v/>
      </c>
      <c r="Z133" s="5" t="str">
        <f t="shared" ref="Z133:Z196" si="19">IF(NOT(ISBLANK(C133)), IF(K133&gt;J133,"YES","NO"),"")</f>
        <v/>
      </c>
      <c r="AA133" s="4">
        <f t="shared" ref="AA133:AA196" si="20">IF(AND(F133=H133,Z133="NO"),1+H133,H133)</f>
        <v>0</v>
      </c>
      <c r="AC133" s="2"/>
    </row>
    <row r="134" spans="1:29" ht="15.5">
      <c r="A134" s="13" t="str">
        <f>IF(OR(ISBLANK(C134),ISBLANK(D134),ISBLANK(F134),ISBLANK(G134)),"",COUNTIF($B$5:B134,"JAMBUTU"))</f>
        <v/>
      </c>
      <c r="B134" s="8"/>
      <c r="C134" s="8"/>
      <c r="D134" s="8"/>
      <c r="E134" s="13"/>
      <c r="F134" s="12"/>
      <c r="G134" s="11"/>
      <c r="H134" s="12"/>
      <c r="I134" s="11"/>
      <c r="J134" s="10">
        <f t="shared" si="15"/>
        <v>0</v>
      </c>
      <c r="K134" s="10">
        <f t="shared" si="16"/>
        <v>0</v>
      </c>
      <c r="L134" s="9" t="str">
        <f t="shared" si="17"/>
        <v/>
      </c>
      <c r="M134" s="8"/>
      <c r="N134" s="8"/>
      <c r="O134" s="8"/>
      <c r="P134" s="8"/>
      <c r="Q134" s="8"/>
      <c r="R134" s="8"/>
      <c r="S134" s="8"/>
      <c r="T134" s="8"/>
      <c r="U134" s="8"/>
      <c r="V134" s="7"/>
      <c r="W134" s="6" t="str">
        <f t="array" ref="W134">IF(NOT(ISBLANK(D134)),_xludf.XLOOKUP(D134,[2]CODE!$A$4:$A$100,[2]CODE!$D$4:$D$100),"")</f>
        <v/>
      </c>
      <c r="X134" s="5" t="str">
        <f t="array" ref="X134">IF(NOT(AND(ISBLANK(D134),ISBLANK(C134))),_xludf.XLOOKUP(D134,[2]CODE!$A$4:$A$100,[2]CODE!$E$4:$E$100),"")</f>
        <v/>
      </c>
      <c r="Y134" s="5" t="str">
        <f t="shared" si="18"/>
        <v/>
      </c>
      <c r="Z134" s="5" t="str">
        <f t="shared" si="19"/>
        <v/>
      </c>
      <c r="AA134" s="4">
        <f t="shared" si="20"/>
        <v>0</v>
      </c>
      <c r="AC134" s="2"/>
    </row>
    <row r="135" spans="1:29" ht="15.5">
      <c r="A135" s="13" t="str">
        <f>IF(OR(ISBLANK(C135),ISBLANK(D135),ISBLANK(F135),ISBLANK(G135)),"",COUNTIF($B$5:B135,"JAMBUTU"))</f>
        <v/>
      </c>
      <c r="B135" s="8"/>
      <c r="C135" s="8"/>
      <c r="D135" s="8"/>
      <c r="E135" s="13"/>
      <c r="F135" s="12"/>
      <c r="G135" s="11"/>
      <c r="H135" s="12"/>
      <c r="I135" s="11"/>
      <c r="J135" s="10">
        <f t="shared" si="15"/>
        <v>0</v>
      </c>
      <c r="K135" s="10">
        <f t="shared" si="16"/>
        <v>0</v>
      </c>
      <c r="L135" s="9" t="str">
        <f t="shared" si="17"/>
        <v/>
      </c>
      <c r="M135" s="8"/>
      <c r="N135" s="8"/>
      <c r="O135" s="8"/>
      <c r="P135" s="8"/>
      <c r="Q135" s="8"/>
      <c r="R135" s="8"/>
      <c r="S135" s="8"/>
      <c r="T135" s="8"/>
      <c r="U135" s="8"/>
      <c r="V135" s="7"/>
      <c r="W135" s="6" t="str">
        <f t="array" ref="W135">IF(NOT(ISBLANK(D135)),_xludf.XLOOKUP(D135,[2]CODE!$A$4:$A$100,[2]CODE!$D$4:$D$100),"")</f>
        <v/>
      </c>
      <c r="X135" s="5" t="str">
        <f t="array" ref="X135">IF(NOT(AND(ISBLANK(D135),ISBLANK(C135))),_xludf.XLOOKUP(D135,[2]CODE!$A$4:$A$100,[2]CODE!$E$4:$E$100),"")</f>
        <v/>
      </c>
      <c r="Y135" s="5" t="str">
        <f t="shared" si="18"/>
        <v/>
      </c>
      <c r="Z135" s="5" t="str">
        <f t="shared" si="19"/>
        <v/>
      </c>
      <c r="AA135" s="4">
        <f t="shared" si="20"/>
        <v>0</v>
      </c>
      <c r="AC135" s="2"/>
    </row>
    <row r="136" spans="1:29" ht="15.5">
      <c r="A136" s="13" t="str">
        <f>IF(OR(ISBLANK(C136),ISBLANK(D136),ISBLANK(F136),ISBLANK(G136)),"",COUNTIF($B$5:B136,"JAMBUTU"))</f>
        <v/>
      </c>
      <c r="B136" s="8"/>
      <c r="C136" s="8"/>
      <c r="D136" s="8"/>
      <c r="E136" s="13"/>
      <c r="F136" s="12"/>
      <c r="G136" s="11"/>
      <c r="H136" s="12"/>
      <c r="I136" s="11"/>
      <c r="J136" s="10">
        <f t="shared" si="15"/>
        <v>0</v>
      </c>
      <c r="K136" s="10">
        <f t="shared" si="16"/>
        <v>0</v>
      </c>
      <c r="L136" s="9" t="str">
        <f t="shared" si="17"/>
        <v/>
      </c>
      <c r="M136" s="8"/>
      <c r="N136" s="8"/>
      <c r="O136" s="8"/>
      <c r="P136" s="8"/>
      <c r="Q136" s="8"/>
      <c r="R136" s="8"/>
      <c r="S136" s="8"/>
      <c r="T136" s="8"/>
      <c r="U136" s="8"/>
      <c r="V136" s="7"/>
      <c r="W136" s="6" t="str">
        <f t="array" ref="W136">IF(NOT(ISBLANK(D136)),_xludf.XLOOKUP(D136,[2]CODE!$A$4:$A$100,[2]CODE!$D$4:$D$100),"")</f>
        <v/>
      </c>
      <c r="X136" s="5" t="str">
        <f t="array" ref="X136">IF(NOT(AND(ISBLANK(D136),ISBLANK(C136))),_xludf.XLOOKUP(D136,[2]CODE!$A$4:$A$100,[2]CODE!$E$4:$E$100),"")</f>
        <v/>
      </c>
      <c r="Y136" s="5" t="str">
        <f t="shared" si="18"/>
        <v/>
      </c>
      <c r="Z136" s="5" t="str">
        <f t="shared" si="19"/>
        <v/>
      </c>
      <c r="AA136" s="4">
        <f t="shared" si="20"/>
        <v>0</v>
      </c>
      <c r="AC136" s="2"/>
    </row>
    <row r="137" spans="1:29" ht="15.5">
      <c r="A137" s="13" t="str">
        <f>IF(OR(ISBLANK(C137),ISBLANK(D137),ISBLANK(F137),ISBLANK(G137)),"",COUNTIF($B$5:B137,"JAMBUTU"))</f>
        <v/>
      </c>
      <c r="B137" s="8"/>
      <c r="C137" s="8"/>
      <c r="D137" s="8"/>
      <c r="E137" s="13"/>
      <c r="F137" s="12"/>
      <c r="G137" s="11"/>
      <c r="H137" s="12"/>
      <c r="I137" s="11"/>
      <c r="J137" s="10">
        <f t="shared" si="15"/>
        <v>0</v>
      </c>
      <c r="K137" s="10">
        <f t="shared" si="16"/>
        <v>0</v>
      </c>
      <c r="L137" s="9" t="str">
        <f t="shared" si="17"/>
        <v/>
      </c>
      <c r="M137" s="8"/>
      <c r="N137" s="8"/>
      <c r="O137" s="8"/>
      <c r="P137" s="8"/>
      <c r="Q137" s="8"/>
      <c r="R137" s="8"/>
      <c r="S137" s="8"/>
      <c r="T137" s="8"/>
      <c r="U137" s="8"/>
      <c r="V137" s="7"/>
      <c r="W137" s="6" t="str">
        <f t="array" ref="W137">IF(NOT(ISBLANK(D137)),_xludf.XLOOKUP(D137,[2]CODE!$A$4:$A$100,[2]CODE!$D$4:$D$100),"")</f>
        <v/>
      </c>
      <c r="X137" s="5" t="str">
        <f t="array" ref="X137">IF(NOT(AND(ISBLANK(D137),ISBLANK(C137))),_xludf.XLOOKUP(D137,[2]CODE!$A$4:$A$100,[2]CODE!$E$4:$E$100),"")</f>
        <v/>
      </c>
      <c r="Y137" s="5" t="str">
        <f t="shared" si="18"/>
        <v/>
      </c>
      <c r="Z137" s="5" t="str">
        <f t="shared" si="19"/>
        <v/>
      </c>
      <c r="AA137" s="4">
        <f t="shared" si="20"/>
        <v>0</v>
      </c>
      <c r="AC137" s="2"/>
    </row>
    <row r="138" spans="1:29" ht="15.5">
      <c r="A138" s="13" t="str">
        <f>IF(OR(ISBLANK(C138),ISBLANK(D138),ISBLANK(F138),ISBLANK(G138)),"",COUNTIF($B$5:B138,"JAMBUTU"))</f>
        <v/>
      </c>
      <c r="B138" s="8"/>
      <c r="C138" s="8"/>
      <c r="D138" s="8"/>
      <c r="E138" s="13"/>
      <c r="F138" s="12"/>
      <c r="G138" s="11"/>
      <c r="H138" s="12"/>
      <c r="I138" s="15"/>
      <c r="J138" s="10">
        <f t="shared" si="15"/>
        <v>0</v>
      </c>
      <c r="K138" s="10">
        <f t="shared" si="16"/>
        <v>0</v>
      </c>
      <c r="L138" s="9" t="str">
        <f t="shared" si="17"/>
        <v/>
      </c>
      <c r="M138" s="8"/>
      <c r="N138" s="8"/>
      <c r="O138" s="8"/>
      <c r="P138" s="8"/>
      <c r="Q138" s="8"/>
      <c r="R138" s="8"/>
      <c r="S138" s="8"/>
      <c r="T138" s="8"/>
      <c r="U138" s="8"/>
      <c r="V138" s="7"/>
      <c r="W138" s="6" t="str">
        <f t="array" ref="W138">IF(NOT(ISBLANK(D138)),_xludf.XLOOKUP(D138,[2]CODE!$A$4:$A$100,[2]CODE!$D$4:$D$100),"")</f>
        <v/>
      </c>
      <c r="X138" s="5" t="str">
        <f t="array" ref="X138">IF(NOT(AND(ISBLANK(D138),ISBLANK(C138))),_xludf.XLOOKUP(D138,[2]CODE!$A$4:$A$100,[2]CODE!$E$4:$E$100),"")</f>
        <v/>
      </c>
      <c r="Y138" s="5" t="str">
        <f t="shared" si="18"/>
        <v/>
      </c>
      <c r="Z138" s="5" t="str">
        <f t="shared" si="19"/>
        <v/>
      </c>
      <c r="AA138" s="4">
        <f t="shared" si="20"/>
        <v>0</v>
      </c>
      <c r="AC138" s="2"/>
    </row>
    <row r="139" spans="1:29" ht="15.5">
      <c r="A139" s="13" t="str">
        <f>IF(OR(ISBLANK(C139),ISBLANK(D139),ISBLANK(F139),ISBLANK(G139)),"",COUNTIF($B$5:B139,"JAMBUTU"))</f>
        <v/>
      </c>
      <c r="B139" s="8"/>
      <c r="C139" s="8"/>
      <c r="D139" s="8"/>
      <c r="E139" s="13"/>
      <c r="F139" s="12"/>
      <c r="G139" s="11"/>
      <c r="H139" s="12"/>
      <c r="I139" s="11"/>
      <c r="J139" s="10">
        <f t="shared" si="15"/>
        <v>0</v>
      </c>
      <c r="K139" s="10">
        <f t="shared" si="16"/>
        <v>0</v>
      </c>
      <c r="L139" s="9" t="str">
        <f t="shared" si="17"/>
        <v/>
      </c>
      <c r="M139" s="8"/>
      <c r="N139" s="8"/>
      <c r="O139" s="8"/>
      <c r="P139" s="8"/>
      <c r="Q139" s="8"/>
      <c r="R139" s="8"/>
      <c r="S139" s="8"/>
      <c r="T139" s="8"/>
      <c r="U139" s="8"/>
      <c r="V139" s="7"/>
      <c r="W139" s="6" t="str">
        <f t="array" ref="W139">IF(NOT(ISBLANK(D139)),_xludf.XLOOKUP(D139,[2]CODE!$A$4:$A$100,[2]CODE!$D$4:$D$100),"")</f>
        <v/>
      </c>
      <c r="X139" s="5" t="str">
        <f t="array" ref="X139">IF(NOT(AND(ISBLANK(D139),ISBLANK(C139))),_xludf.XLOOKUP(D139,[2]CODE!$A$4:$A$100,[2]CODE!$E$4:$E$100),"")</f>
        <v/>
      </c>
      <c r="Y139" s="5" t="str">
        <f t="shared" si="18"/>
        <v/>
      </c>
      <c r="Z139" s="5" t="str">
        <f t="shared" si="19"/>
        <v/>
      </c>
      <c r="AA139" s="4">
        <f t="shared" si="20"/>
        <v>0</v>
      </c>
      <c r="AC139" s="2"/>
    </row>
    <row r="140" spans="1:29" ht="15.5">
      <c r="A140" s="13" t="str">
        <f>IF(OR(ISBLANK(C140),ISBLANK(D140),ISBLANK(F140),ISBLANK(G140)),"",COUNTIF($B$5:B140,"JAMBUTU"))</f>
        <v/>
      </c>
      <c r="B140" s="8"/>
      <c r="C140" s="8"/>
      <c r="D140" s="8"/>
      <c r="E140" s="13"/>
      <c r="F140" s="12"/>
      <c r="G140" s="11"/>
      <c r="H140" s="12"/>
      <c r="I140" s="11"/>
      <c r="J140" s="10">
        <f t="shared" si="15"/>
        <v>0</v>
      </c>
      <c r="K140" s="10">
        <f t="shared" si="16"/>
        <v>0</v>
      </c>
      <c r="L140" s="9" t="str">
        <f t="shared" si="17"/>
        <v/>
      </c>
      <c r="M140" s="8"/>
      <c r="N140" s="8"/>
      <c r="O140" s="8"/>
      <c r="P140" s="8"/>
      <c r="Q140" s="8"/>
      <c r="R140" s="8"/>
      <c r="S140" s="8"/>
      <c r="T140" s="8"/>
      <c r="U140" s="8"/>
      <c r="V140" s="7"/>
      <c r="W140" s="6" t="str">
        <f t="array" ref="W140">IF(NOT(ISBLANK(D140)),_xludf.XLOOKUP(D140,[2]CODE!$A$4:$A$100,[2]CODE!$D$4:$D$100),"")</f>
        <v/>
      </c>
      <c r="X140" s="5" t="str">
        <f t="array" ref="X140">IF(NOT(AND(ISBLANK(D140),ISBLANK(C140))),_xludf.XLOOKUP(D140,[2]CODE!$A$4:$A$100,[2]CODE!$E$4:$E$100),"")</f>
        <v/>
      </c>
      <c r="Y140" s="5" t="str">
        <f t="shared" si="18"/>
        <v/>
      </c>
      <c r="Z140" s="5" t="str">
        <f t="shared" si="19"/>
        <v/>
      </c>
      <c r="AA140" s="4">
        <f t="shared" si="20"/>
        <v>0</v>
      </c>
      <c r="AC140" s="2"/>
    </row>
    <row r="141" spans="1:29" ht="15.5">
      <c r="A141" s="13" t="str">
        <f>IF(OR(ISBLANK(C141),ISBLANK(D141),ISBLANK(F141),ISBLANK(G141)),"",COUNTIF($B$5:B141,"JAMBUTU"))</f>
        <v/>
      </c>
      <c r="B141" s="8"/>
      <c r="C141" s="8"/>
      <c r="D141" s="8"/>
      <c r="E141" s="13"/>
      <c r="F141" s="12"/>
      <c r="G141" s="11"/>
      <c r="H141" s="12"/>
      <c r="I141" s="11"/>
      <c r="J141" s="10">
        <f t="shared" si="15"/>
        <v>0</v>
      </c>
      <c r="K141" s="10">
        <f t="shared" si="16"/>
        <v>0</v>
      </c>
      <c r="L141" s="9" t="str">
        <f t="shared" si="17"/>
        <v/>
      </c>
      <c r="M141" s="8"/>
      <c r="N141" s="8"/>
      <c r="O141" s="8"/>
      <c r="P141" s="8"/>
      <c r="Q141" s="8"/>
      <c r="R141" s="8"/>
      <c r="S141" s="8"/>
      <c r="T141" s="8"/>
      <c r="U141" s="8"/>
      <c r="V141" s="7"/>
      <c r="W141" s="6" t="str">
        <f t="array" ref="W141">IF(NOT(ISBLANK(D141)),_xludf.XLOOKUP(D141,[2]CODE!$A$4:$A$100,[2]CODE!$D$4:$D$100),"")</f>
        <v/>
      </c>
      <c r="X141" s="5" t="str">
        <f t="array" ref="X141">IF(NOT(AND(ISBLANK(D141),ISBLANK(C141))),_xludf.XLOOKUP(D141,[2]CODE!$A$4:$A$100,[2]CODE!$E$4:$E$100),"")</f>
        <v/>
      </c>
      <c r="Y141" s="5" t="str">
        <f t="shared" si="18"/>
        <v/>
      </c>
      <c r="Z141" s="5" t="str">
        <f t="shared" si="19"/>
        <v/>
      </c>
      <c r="AA141" s="4">
        <f t="shared" si="20"/>
        <v>0</v>
      </c>
      <c r="AC141" s="2"/>
    </row>
    <row r="142" spans="1:29" ht="15.5">
      <c r="A142" s="13" t="str">
        <f>IF(OR(ISBLANK(C142),ISBLANK(D142),ISBLANK(F142),ISBLANK(G142)),"",COUNTIF($B$5:B142,"JAMBUTU"))</f>
        <v/>
      </c>
      <c r="B142" s="8"/>
      <c r="C142" s="8"/>
      <c r="D142" s="8"/>
      <c r="E142" s="13"/>
      <c r="F142" s="12"/>
      <c r="G142" s="11"/>
      <c r="H142" s="12"/>
      <c r="I142" s="11"/>
      <c r="J142" s="10">
        <f t="shared" si="15"/>
        <v>0</v>
      </c>
      <c r="K142" s="10">
        <f t="shared" si="16"/>
        <v>0</v>
      </c>
      <c r="L142" s="9" t="str">
        <f t="shared" si="17"/>
        <v/>
      </c>
      <c r="M142" s="8"/>
      <c r="N142" s="8"/>
      <c r="O142" s="8"/>
      <c r="P142" s="8"/>
      <c r="Q142" s="8"/>
      <c r="R142" s="8"/>
      <c r="S142" s="8"/>
      <c r="T142" s="8"/>
      <c r="U142" s="8"/>
      <c r="V142" s="7"/>
      <c r="W142" s="6" t="str">
        <f t="array" ref="W142">IF(NOT(ISBLANK(D142)),_xludf.XLOOKUP(D142,[2]CODE!$A$4:$A$100,[2]CODE!$D$4:$D$100),"")</f>
        <v/>
      </c>
      <c r="X142" s="5" t="str">
        <f t="array" ref="X142">IF(NOT(AND(ISBLANK(D142),ISBLANK(C142))),_xludf.XLOOKUP(D142,[2]CODE!$A$4:$A$100,[2]CODE!$E$4:$E$100),"")</f>
        <v/>
      </c>
      <c r="Y142" s="5" t="str">
        <f t="shared" si="18"/>
        <v/>
      </c>
      <c r="Z142" s="5" t="str">
        <f t="shared" si="19"/>
        <v/>
      </c>
      <c r="AA142" s="4">
        <f t="shared" si="20"/>
        <v>0</v>
      </c>
      <c r="AC142" s="2"/>
    </row>
    <row r="143" spans="1:29" ht="15.5">
      <c r="A143" s="13" t="str">
        <f>IF(OR(ISBLANK(C143),ISBLANK(D143),ISBLANK(F143),ISBLANK(G143)),"",COUNTIF($B$5:B143,"JAMBUTU"))</f>
        <v/>
      </c>
      <c r="B143" s="8"/>
      <c r="C143" s="8"/>
      <c r="D143" s="8"/>
      <c r="E143" s="13"/>
      <c r="F143" s="12"/>
      <c r="G143" s="11"/>
      <c r="H143" s="12"/>
      <c r="I143" s="11"/>
      <c r="J143" s="10">
        <f t="shared" si="15"/>
        <v>0</v>
      </c>
      <c r="K143" s="10">
        <f t="shared" si="16"/>
        <v>0</v>
      </c>
      <c r="L143" s="9" t="str">
        <f t="shared" si="17"/>
        <v/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6" t="str">
        <f t="array" ref="W143">IF(NOT(ISBLANK(D143)),_xludf.XLOOKUP(D143,[2]CODE!$A$4:$A$100,[2]CODE!$D$4:$D$100),"")</f>
        <v/>
      </c>
      <c r="X143" s="5" t="str">
        <f t="array" ref="X143">IF(NOT(AND(ISBLANK(D143),ISBLANK(C143))),_xludf.XLOOKUP(D143,[2]CODE!$A$4:$A$100,[2]CODE!$E$4:$E$100),"")</f>
        <v/>
      </c>
      <c r="Y143" s="5" t="str">
        <f t="shared" si="18"/>
        <v/>
      </c>
      <c r="Z143" s="5" t="str">
        <f t="shared" si="19"/>
        <v/>
      </c>
      <c r="AA143" s="4">
        <f t="shared" si="20"/>
        <v>0</v>
      </c>
      <c r="AC143" s="2"/>
    </row>
    <row r="144" spans="1:29" ht="15.5">
      <c r="A144" s="13" t="str">
        <f>IF(OR(ISBLANK(C144),ISBLANK(D144),ISBLANK(F144),ISBLANK(G144)),"",COUNTIF($B$5:B144,"JAMBUTU"))</f>
        <v/>
      </c>
      <c r="B144" s="8"/>
      <c r="C144" s="8"/>
      <c r="D144" s="8"/>
      <c r="E144" s="13"/>
      <c r="F144" s="12"/>
      <c r="G144" s="11"/>
      <c r="H144" s="12"/>
      <c r="I144" s="11"/>
      <c r="J144" s="10">
        <f t="shared" si="15"/>
        <v>0</v>
      </c>
      <c r="K144" s="10">
        <f t="shared" si="16"/>
        <v>0</v>
      </c>
      <c r="L144" s="9" t="str">
        <f t="shared" si="17"/>
        <v/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6" t="str">
        <f t="array" ref="W144">IF(NOT(ISBLANK(D144)),_xludf.XLOOKUP(D144,[2]CODE!$A$4:$A$100,[2]CODE!$D$4:$D$100),"")</f>
        <v/>
      </c>
      <c r="X144" s="5" t="str">
        <f t="array" ref="X144">IF(NOT(AND(ISBLANK(D144),ISBLANK(C144))),_xludf.XLOOKUP(D144,[2]CODE!$A$4:$A$100,[2]CODE!$E$4:$E$100),"")</f>
        <v/>
      </c>
      <c r="Y144" s="5" t="str">
        <f t="shared" si="18"/>
        <v/>
      </c>
      <c r="Z144" s="5" t="str">
        <f t="shared" si="19"/>
        <v/>
      </c>
      <c r="AA144" s="4">
        <f t="shared" si="20"/>
        <v>0</v>
      </c>
      <c r="AC144" s="2"/>
    </row>
    <row r="145" spans="1:29" ht="15.5">
      <c r="A145" s="13" t="str">
        <f>IF(OR(ISBLANK(C145),ISBLANK(D145),ISBLANK(F145),ISBLANK(G145)),"",COUNTIF($B$5:B145,"JAMBUTU"))</f>
        <v/>
      </c>
      <c r="B145" s="8"/>
      <c r="C145" s="8"/>
      <c r="D145" s="8"/>
      <c r="E145" s="13"/>
      <c r="F145" s="12"/>
      <c r="G145" s="11"/>
      <c r="H145" s="12"/>
      <c r="I145" s="11"/>
      <c r="J145" s="10">
        <f t="shared" si="15"/>
        <v>0</v>
      </c>
      <c r="K145" s="10">
        <f t="shared" si="16"/>
        <v>0</v>
      </c>
      <c r="L145" s="9" t="str">
        <f t="shared" si="17"/>
        <v/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6" t="str">
        <f t="array" ref="W145">IF(NOT(ISBLANK(D145)),_xludf.XLOOKUP(D145,[2]CODE!$A$4:$A$100,[2]CODE!$D$4:$D$100),"")</f>
        <v/>
      </c>
      <c r="X145" s="5" t="str">
        <f t="array" ref="X145">IF(NOT(AND(ISBLANK(D145),ISBLANK(C145))),_xludf.XLOOKUP(D145,[2]CODE!$A$4:$A$100,[2]CODE!$E$4:$E$100),"")</f>
        <v/>
      </c>
      <c r="Y145" s="5" t="str">
        <f t="shared" si="18"/>
        <v/>
      </c>
      <c r="Z145" s="5" t="str">
        <f t="shared" si="19"/>
        <v/>
      </c>
      <c r="AA145" s="4">
        <f t="shared" si="20"/>
        <v>0</v>
      </c>
      <c r="AC145" s="2"/>
    </row>
    <row r="146" spans="1:29" ht="15.5">
      <c r="A146" s="13" t="str">
        <f>IF(OR(ISBLANK(C146),ISBLANK(D146),ISBLANK(F146),ISBLANK(G146)),"",COUNTIF($B$5:B146,"JAMBUTU"))</f>
        <v/>
      </c>
      <c r="B146" s="8"/>
      <c r="C146" s="8"/>
      <c r="D146" s="8"/>
      <c r="E146" s="13"/>
      <c r="F146" s="12"/>
      <c r="G146" s="11"/>
      <c r="H146" s="12"/>
      <c r="I146" s="11"/>
      <c r="J146" s="10">
        <f t="shared" si="15"/>
        <v>0</v>
      </c>
      <c r="K146" s="10">
        <f t="shared" si="16"/>
        <v>0</v>
      </c>
      <c r="L146" s="9" t="str">
        <f t="shared" si="17"/>
        <v/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6" t="str">
        <f t="array" ref="W146">IF(NOT(ISBLANK(D146)),_xludf.XLOOKUP(D146,[2]CODE!$A$4:$A$100,[2]CODE!$D$4:$D$100),"")</f>
        <v/>
      </c>
      <c r="X146" s="5" t="str">
        <f t="array" ref="X146">IF(NOT(AND(ISBLANK(D146),ISBLANK(C146))),_xludf.XLOOKUP(D146,[2]CODE!$A$4:$A$100,[2]CODE!$E$4:$E$100),"")</f>
        <v/>
      </c>
      <c r="Y146" s="5" t="str">
        <f t="shared" si="18"/>
        <v/>
      </c>
      <c r="Z146" s="5" t="str">
        <f t="shared" si="19"/>
        <v/>
      </c>
      <c r="AA146" s="4">
        <f t="shared" si="20"/>
        <v>0</v>
      </c>
      <c r="AC146" s="2"/>
    </row>
    <row r="147" spans="1:29" ht="15.5">
      <c r="A147" s="13" t="str">
        <f>IF(OR(ISBLANK(C147),ISBLANK(D147),ISBLANK(F147),ISBLANK(G147)),"",COUNTIF($B$5:B147,"JAMBUTU"))</f>
        <v/>
      </c>
      <c r="B147" s="8"/>
      <c r="C147" s="8"/>
      <c r="D147" s="8"/>
      <c r="E147" s="13"/>
      <c r="F147" s="12"/>
      <c r="G147" s="11"/>
      <c r="H147" s="12"/>
      <c r="I147" s="11"/>
      <c r="J147" s="10">
        <f t="shared" si="15"/>
        <v>0</v>
      </c>
      <c r="K147" s="10">
        <f t="shared" si="16"/>
        <v>0</v>
      </c>
      <c r="L147" s="9" t="str">
        <f t="shared" si="17"/>
        <v/>
      </c>
      <c r="M147" s="8"/>
      <c r="N147" s="8"/>
      <c r="O147" s="8"/>
      <c r="P147" s="8"/>
      <c r="Q147" s="8"/>
      <c r="R147" s="8"/>
      <c r="S147" s="8"/>
      <c r="T147" s="8"/>
      <c r="U147" s="8"/>
      <c r="V147" s="7"/>
      <c r="W147" s="6" t="str">
        <f t="array" ref="W147">IF(NOT(ISBLANK(D147)),_xludf.XLOOKUP(D147,[2]CODE!$A$4:$A$100,[2]CODE!$D$4:$D$100),"")</f>
        <v/>
      </c>
      <c r="X147" s="5" t="str">
        <f t="array" ref="X147">IF(NOT(AND(ISBLANK(D147),ISBLANK(C147))),_xludf.XLOOKUP(D147,[2]CODE!$A$4:$A$100,[2]CODE!$E$4:$E$100),"")</f>
        <v/>
      </c>
      <c r="Y147" s="5" t="str">
        <f t="shared" si="18"/>
        <v/>
      </c>
      <c r="Z147" s="5" t="str">
        <f t="shared" si="19"/>
        <v/>
      </c>
      <c r="AA147" s="4">
        <f t="shared" si="20"/>
        <v>0</v>
      </c>
      <c r="AC147" s="2"/>
    </row>
    <row r="148" spans="1:29" ht="15.5">
      <c r="A148" s="13" t="str">
        <f>IF(OR(ISBLANK(C148),ISBLANK(D148),ISBLANK(F148),ISBLANK(G148)),"",COUNTIF($B$5:B148,"JAMBUTU"))</f>
        <v/>
      </c>
      <c r="B148" s="8"/>
      <c r="C148" s="8"/>
      <c r="D148" s="8"/>
      <c r="E148" s="13"/>
      <c r="F148" s="12"/>
      <c r="G148" s="11"/>
      <c r="H148" s="12"/>
      <c r="I148" s="11"/>
      <c r="J148" s="10">
        <f t="shared" si="15"/>
        <v>0</v>
      </c>
      <c r="K148" s="10">
        <f t="shared" si="16"/>
        <v>0</v>
      </c>
      <c r="L148" s="9" t="str">
        <f t="shared" si="17"/>
        <v/>
      </c>
      <c r="M148" s="8"/>
      <c r="N148" s="8"/>
      <c r="O148" s="8"/>
      <c r="P148" s="8"/>
      <c r="Q148" s="8"/>
      <c r="R148" s="8"/>
      <c r="S148" s="8"/>
      <c r="T148" s="8"/>
      <c r="U148" s="8"/>
      <c r="V148" s="7"/>
      <c r="W148" s="6" t="str">
        <f t="array" ref="W148">IF(NOT(ISBLANK(D148)),_xludf.XLOOKUP(D148,[2]CODE!$A$4:$A$100,[2]CODE!$D$4:$D$100),"")</f>
        <v/>
      </c>
      <c r="X148" s="5" t="str">
        <f t="array" ref="X148">IF(NOT(AND(ISBLANK(D148),ISBLANK(C148))),_xludf.XLOOKUP(D148,[2]CODE!$A$4:$A$100,[2]CODE!$E$4:$E$100),"")</f>
        <v/>
      </c>
      <c r="Y148" s="5" t="str">
        <f t="shared" si="18"/>
        <v/>
      </c>
      <c r="Z148" s="5" t="str">
        <f t="shared" si="19"/>
        <v/>
      </c>
      <c r="AA148" s="4">
        <f t="shared" si="20"/>
        <v>0</v>
      </c>
      <c r="AC148" s="2"/>
    </row>
    <row r="149" spans="1:29" ht="15.5">
      <c r="A149" s="13" t="str">
        <f>IF(OR(ISBLANK(C149),ISBLANK(D149),ISBLANK(F149),ISBLANK(G149)),"",COUNTIF($B$5:B149,"JAMBUTU"))</f>
        <v/>
      </c>
      <c r="B149" s="8"/>
      <c r="C149" s="8"/>
      <c r="D149" s="8"/>
      <c r="E149" s="13"/>
      <c r="F149" s="12"/>
      <c r="G149" s="11"/>
      <c r="H149" s="12"/>
      <c r="I149" s="11"/>
      <c r="J149" s="10">
        <f t="shared" si="15"/>
        <v>0</v>
      </c>
      <c r="K149" s="10">
        <f t="shared" si="16"/>
        <v>0</v>
      </c>
      <c r="L149" s="9" t="str">
        <f t="shared" si="17"/>
        <v/>
      </c>
      <c r="M149" s="8"/>
      <c r="N149" s="8"/>
      <c r="O149" s="8"/>
      <c r="P149" s="8"/>
      <c r="Q149" s="8"/>
      <c r="R149" s="8"/>
      <c r="S149" s="8"/>
      <c r="T149" s="8"/>
      <c r="U149" s="8"/>
      <c r="V149" s="7"/>
      <c r="W149" s="6" t="str">
        <f t="array" ref="W149">IF(NOT(ISBLANK(D149)),_xludf.XLOOKUP(D149,[2]CODE!$A$4:$A$100,[2]CODE!$D$4:$D$100),"")</f>
        <v/>
      </c>
      <c r="X149" s="5" t="str">
        <f t="array" ref="X149">IF(NOT(AND(ISBLANK(D149),ISBLANK(C149))),_xludf.XLOOKUP(D149,[2]CODE!$A$4:$A$100,[2]CODE!$E$4:$E$100),"")</f>
        <v/>
      </c>
      <c r="Y149" s="5" t="str">
        <f t="shared" si="18"/>
        <v/>
      </c>
      <c r="Z149" s="5" t="str">
        <f t="shared" si="19"/>
        <v/>
      </c>
      <c r="AA149" s="4">
        <f t="shared" si="20"/>
        <v>0</v>
      </c>
      <c r="AC149" s="2"/>
    </row>
    <row r="150" spans="1:29" ht="15.5">
      <c r="A150" s="13" t="str">
        <f>IF(OR(ISBLANK(C150),ISBLANK(D150),ISBLANK(F150),ISBLANK(G150)),"",COUNTIF($B$5:B150,"JAMBUTU"))</f>
        <v/>
      </c>
      <c r="B150" s="8"/>
      <c r="C150" s="8"/>
      <c r="D150" s="8"/>
      <c r="E150" s="13"/>
      <c r="F150" s="12"/>
      <c r="G150" s="11"/>
      <c r="H150" s="12"/>
      <c r="I150" s="11"/>
      <c r="J150" s="10">
        <f t="shared" si="15"/>
        <v>0</v>
      </c>
      <c r="K150" s="10">
        <f t="shared" si="16"/>
        <v>0</v>
      </c>
      <c r="L150" s="9" t="str">
        <f t="shared" si="17"/>
        <v/>
      </c>
      <c r="M150" s="8"/>
      <c r="N150" s="8"/>
      <c r="O150" s="8"/>
      <c r="P150" s="8"/>
      <c r="Q150" s="8"/>
      <c r="R150" s="8"/>
      <c r="S150" s="8"/>
      <c r="T150" s="8"/>
      <c r="U150" s="8"/>
      <c r="V150" s="7"/>
      <c r="W150" s="6" t="str">
        <f t="array" ref="W150">IF(NOT(ISBLANK(D150)),_xludf.XLOOKUP(D150,[2]CODE!$A$4:$A$100,[2]CODE!$D$4:$D$100),"")</f>
        <v/>
      </c>
      <c r="X150" s="5" t="str">
        <f t="array" ref="X150">IF(NOT(AND(ISBLANK(D150),ISBLANK(C150))),_xludf.XLOOKUP(D150,[2]CODE!$A$4:$A$100,[2]CODE!$E$4:$E$100),"")</f>
        <v/>
      </c>
      <c r="Y150" s="5" t="str">
        <f t="shared" si="18"/>
        <v/>
      </c>
      <c r="Z150" s="5" t="str">
        <f t="shared" si="19"/>
        <v/>
      </c>
      <c r="AA150" s="4">
        <f t="shared" si="20"/>
        <v>0</v>
      </c>
      <c r="AC150" s="2"/>
    </row>
    <row r="151" spans="1:29" ht="15.5">
      <c r="A151" s="13" t="str">
        <f>IF(OR(ISBLANK(C151),ISBLANK(D151),ISBLANK(F151),ISBLANK(G151)),"",COUNTIF($B$5:B151,"JAMBUTU"))</f>
        <v/>
      </c>
      <c r="B151" s="8"/>
      <c r="C151" s="8"/>
      <c r="D151" s="8"/>
      <c r="E151" s="13"/>
      <c r="F151" s="12"/>
      <c r="G151" s="11"/>
      <c r="H151" s="12"/>
      <c r="I151" s="11"/>
      <c r="J151" s="10">
        <f t="shared" si="15"/>
        <v>0</v>
      </c>
      <c r="K151" s="10">
        <f t="shared" si="16"/>
        <v>0</v>
      </c>
      <c r="L151" s="9" t="str">
        <f t="shared" si="17"/>
        <v/>
      </c>
      <c r="M151" s="8"/>
      <c r="N151" s="8"/>
      <c r="O151" s="8"/>
      <c r="P151" s="8"/>
      <c r="Q151" s="8"/>
      <c r="R151" s="8"/>
      <c r="S151" s="8"/>
      <c r="T151" s="8"/>
      <c r="U151" s="8"/>
      <c r="V151" s="7"/>
      <c r="W151" s="6" t="str">
        <f t="array" ref="W151">IF(NOT(ISBLANK(D151)),_xludf.XLOOKUP(D151,[2]CODE!$A$4:$A$100,[2]CODE!$D$4:$D$100),"")</f>
        <v/>
      </c>
      <c r="X151" s="5" t="str">
        <f t="array" ref="X151">IF(NOT(AND(ISBLANK(D151),ISBLANK(C151))),_xludf.XLOOKUP(D151,[2]CODE!$A$4:$A$100,[2]CODE!$E$4:$E$100),"")</f>
        <v/>
      </c>
      <c r="Y151" s="5" t="str">
        <f t="shared" si="18"/>
        <v/>
      </c>
      <c r="Z151" s="5" t="str">
        <f t="shared" si="19"/>
        <v/>
      </c>
      <c r="AA151" s="4">
        <f t="shared" si="20"/>
        <v>0</v>
      </c>
      <c r="AC151" s="2"/>
    </row>
    <row r="152" spans="1:29" ht="15.5">
      <c r="A152" s="13" t="str">
        <f>IF(OR(ISBLANK(C152),ISBLANK(D152),ISBLANK(F152),ISBLANK(G152)),"",COUNTIF($B$5:B152,"JAMBUTU"))</f>
        <v/>
      </c>
      <c r="B152" s="8"/>
      <c r="C152" s="8"/>
      <c r="D152" s="8"/>
      <c r="E152" s="13"/>
      <c r="F152" s="12"/>
      <c r="G152" s="11"/>
      <c r="H152" s="12"/>
      <c r="I152" s="11"/>
      <c r="J152" s="10">
        <f t="shared" si="15"/>
        <v>0</v>
      </c>
      <c r="K152" s="10">
        <f t="shared" si="16"/>
        <v>0</v>
      </c>
      <c r="L152" s="9" t="str">
        <f t="shared" si="17"/>
        <v/>
      </c>
      <c r="M152" s="8"/>
      <c r="N152" s="8"/>
      <c r="O152" s="8"/>
      <c r="P152" s="8"/>
      <c r="Q152" s="8"/>
      <c r="R152" s="8"/>
      <c r="S152" s="8"/>
      <c r="T152" s="8"/>
      <c r="U152" s="8"/>
      <c r="V152" s="7"/>
      <c r="W152" s="6" t="str">
        <f t="array" ref="W152">IF(NOT(ISBLANK(D152)),_xludf.XLOOKUP(D152,[2]CODE!$A$4:$A$100,[2]CODE!$D$4:$D$100),"")</f>
        <v/>
      </c>
      <c r="X152" s="5" t="str">
        <f t="array" ref="X152">IF(NOT(AND(ISBLANK(D152),ISBLANK(C152))),_xludf.XLOOKUP(D152,[2]CODE!$A$4:$A$100,[2]CODE!$E$4:$E$100),"")</f>
        <v/>
      </c>
      <c r="Y152" s="5" t="str">
        <f t="shared" si="18"/>
        <v/>
      </c>
      <c r="Z152" s="5" t="str">
        <f t="shared" si="19"/>
        <v/>
      </c>
      <c r="AA152" s="4">
        <f t="shared" si="20"/>
        <v>0</v>
      </c>
      <c r="AC152" s="2"/>
    </row>
    <row r="153" spans="1:29" ht="15.5">
      <c r="A153" s="13" t="str">
        <f>IF(OR(ISBLANK(C153),ISBLANK(D153),ISBLANK(F153),ISBLANK(G153)),"",COUNTIF($B$5:B153,"JAMBUTU"))</f>
        <v/>
      </c>
      <c r="B153" s="8"/>
      <c r="C153" s="8"/>
      <c r="D153" s="8"/>
      <c r="E153" s="13"/>
      <c r="F153" s="12"/>
      <c r="G153" s="11"/>
      <c r="H153" s="12"/>
      <c r="I153" s="11"/>
      <c r="J153" s="10">
        <f t="shared" si="15"/>
        <v>0</v>
      </c>
      <c r="K153" s="10">
        <f t="shared" si="16"/>
        <v>0</v>
      </c>
      <c r="L153" s="9" t="str">
        <f t="shared" si="17"/>
        <v/>
      </c>
      <c r="M153" s="8"/>
      <c r="N153" s="8"/>
      <c r="O153" s="8"/>
      <c r="P153" s="8"/>
      <c r="Q153" s="8"/>
      <c r="R153" s="8"/>
      <c r="S153" s="8"/>
      <c r="T153" s="8"/>
      <c r="U153" s="8"/>
      <c r="V153" s="7"/>
      <c r="W153" s="6" t="str">
        <f t="array" ref="W153">IF(NOT(ISBLANK(D153)),_xludf.XLOOKUP(D153,[2]CODE!$A$4:$A$100,[2]CODE!$D$4:$D$100),"")</f>
        <v/>
      </c>
      <c r="X153" s="5" t="str">
        <f t="array" ref="X153">IF(NOT(AND(ISBLANK(D153),ISBLANK(C153))),_xludf.XLOOKUP(D153,[2]CODE!$A$4:$A$100,[2]CODE!$E$4:$E$100),"")</f>
        <v/>
      </c>
      <c r="Y153" s="5" t="str">
        <f t="shared" si="18"/>
        <v/>
      </c>
      <c r="Z153" s="5" t="str">
        <f t="shared" si="19"/>
        <v/>
      </c>
      <c r="AA153" s="4">
        <f t="shared" si="20"/>
        <v>0</v>
      </c>
      <c r="AC153" s="2"/>
    </row>
    <row r="154" spans="1:29" ht="15.5">
      <c r="A154" s="13" t="str">
        <f>IF(OR(ISBLANK(C154),ISBLANK(D154),ISBLANK(F154),ISBLANK(G154)),"",COUNTIF($B$5:B154,"JAMBUTU"))</f>
        <v/>
      </c>
      <c r="B154" s="8"/>
      <c r="C154" s="8"/>
      <c r="D154" s="8"/>
      <c r="E154" s="13"/>
      <c r="F154" s="12"/>
      <c r="G154" s="11"/>
      <c r="H154" s="12"/>
      <c r="I154" s="11"/>
      <c r="J154" s="10">
        <f t="shared" si="15"/>
        <v>0</v>
      </c>
      <c r="K154" s="10">
        <f t="shared" si="16"/>
        <v>0</v>
      </c>
      <c r="L154" s="9" t="str">
        <f t="shared" si="17"/>
        <v/>
      </c>
      <c r="M154" s="8"/>
      <c r="N154" s="8"/>
      <c r="O154" s="8"/>
      <c r="P154" s="8"/>
      <c r="Q154" s="8"/>
      <c r="R154" s="8"/>
      <c r="S154" s="8"/>
      <c r="T154" s="8"/>
      <c r="U154" s="8"/>
      <c r="V154" s="7"/>
      <c r="W154" s="6" t="str">
        <f t="array" ref="W154">IF(NOT(ISBLANK(D154)),_xludf.XLOOKUP(D154,[2]CODE!$A$4:$A$100,[2]CODE!$D$4:$D$100),"")</f>
        <v/>
      </c>
      <c r="X154" s="5" t="str">
        <f t="array" ref="X154">IF(NOT(AND(ISBLANK(D154),ISBLANK(C154))),_xludf.XLOOKUP(D154,[2]CODE!$A$4:$A$100,[2]CODE!$E$4:$E$100),"")</f>
        <v/>
      </c>
      <c r="Y154" s="5" t="str">
        <f t="shared" si="18"/>
        <v/>
      </c>
      <c r="Z154" s="5" t="str">
        <f t="shared" si="19"/>
        <v/>
      </c>
      <c r="AA154" s="4">
        <f t="shared" si="20"/>
        <v>0</v>
      </c>
      <c r="AC154" s="2"/>
    </row>
    <row r="155" spans="1:29" ht="15.5">
      <c r="A155" s="13" t="str">
        <f>IF(OR(ISBLANK(C155),ISBLANK(D155),ISBLANK(F155),ISBLANK(G155)),"",COUNTIF($B$5:B155,"JAMBUTU"))</f>
        <v/>
      </c>
      <c r="B155" s="8"/>
      <c r="C155" s="8"/>
      <c r="D155" s="8"/>
      <c r="E155" s="13"/>
      <c r="F155" s="12"/>
      <c r="G155" s="11"/>
      <c r="H155" s="12"/>
      <c r="I155" s="11"/>
      <c r="J155" s="10">
        <f t="shared" si="15"/>
        <v>0</v>
      </c>
      <c r="K155" s="10">
        <f t="shared" si="16"/>
        <v>0</v>
      </c>
      <c r="L155" s="9" t="str">
        <f t="shared" si="17"/>
        <v/>
      </c>
      <c r="M155" s="8"/>
      <c r="N155" s="8"/>
      <c r="O155" s="8"/>
      <c r="P155" s="8"/>
      <c r="Q155" s="8"/>
      <c r="R155" s="8"/>
      <c r="S155" s="8"/>
      <c r="T155" s="8"/>
      <c r="U155" s="8"/>
      <c r="V155" s="7"/>
      <c r="W155" s="6" t="str">
        <f t="array" ref="W155">IF(NOT(ISBLANK(D155)),_xludf.XLOOKUP(D155,[2]CODE!$A$4:$A$100,[2]CODE!$D$4:$D$100),"")</f>
        <v/>
      </c>
      <c r="X155" s="5" t="str">
        <f t="array" ref="X155">IF(NOT(AND(ISBLANK(D155),ISBLANK(C155))),_xludf.XLOOKUP(D155,[2]CODE!$A$4:$A$100,[2]CODE!$E$4:$E$100),"")</f>
        <v/>
      </c>
      <c r="Y155" s="5" t="str">
        <f t="shared" si="18"/>
        <v/>
      </c>
      <c r="Z155" s="5" t="str">
        <f t="shared" si="19"/>
        <v/>
      </c>
      <c r="AA155" s="4">
        <f t="shared" si="20"/>
        <v>0</v>
      </c>
      <c r="AC155" s="2"/>
    </row>
    <row r="156" spans="1:29" ht="15.5">
      <c r="A156" s="13" t="str">
        <f>IF(OR(ISBLANK(C156),ISBLANK(D156),ISBLANK(F156),ISBLANK(G156)),"",COUNTIF($B$5:B156,"JAMBUTU"))</f>
        <v/>
      </c>
      <c r="B156" s="8"/>
      <c r="C156" s="8"/>
      <c r="D156" s="8"/>
      <c r="E156" s="13"/>
      <c r="F156" s="12"/>
      <c r="G156" s="11"/>
      <c r="H156" s="12"/>
      <c r="I156" s="11"/>
      <c r="J156" s="10">
        <f t="shared" si="15"/>
        <v>0</v>
      </c>
      <c r="K156" s="10">
        <f t="shared" si="16"/>
        <v>0</v>
      </c>
      <c r="L156" s="9" t="str">
        <f t="shared" si="17"/>
        <v/>
      </c>
      <c r="M156" s="8"/>
      <c r="N156" s="8"/>
      <c r="O156" s="8"/>
      <c r="P156" s="8"/>
      <c r="Q156" s="8"/>
      <c r="R156" s="8"/>
      <c r="S156" s="8"/>
      <c r="T156" s="8"/>
      <c r="U156" s="8"/>
      <c r="V156" s="7"/>
      <c r="W156" s="6" t="str">
        <f t="array" ref="W156">IF(NOT(ISBLANK(D156)),_xludf.XLOOKUP(D156,[2]CODE!$A$4:$A$100,[2]CODE!$D$4:$D$100),"")</f>
        <v/>
      </c>
      <c r="X156" s="5" t="str">
        <f t="array" ref="X156">IF(NOT(AND(ISBLANK(D156),ISBLANK(C156))),_xludf.XLOOKUP(D156,[2]CODE!$A$4:$A$100,[2]CODE!$E$4:$E$100),"")</f>
        <v/>
      </c>
      <c r="Y156" s="5" t="str">
        <f t="shared" si="18"/>
        <v/>
      </c>
      <c r="Z156" s="5" t="str">
        <f t="shared" si="19"/>
        <v/>
      </c>
      <c r="AA156" s="4">
        <f t="shared" si="20"/>
        <v>0</v>
      </c>
      <c r="AC156" s="2"/>
    </row>
    <row r="157" spans="1:29" ht="15.5">
      <c r="A157" s="13" t="str">
        <f>IF(OR(ISBLANK(C157),ISBLANK(D157),ISBLANK(F157),ISBLANK(G157)),"",COUNTIF($B$5:B157,"JAMBUTU"))</f>
        <v/>
      </c>
      <c r="B157" s="8"/>
      <c r="C157" s="8"/>
      <c r="D157" s="8"/>
      <c r="E157" s="13"/>
      <c r="F157" s="12"/>
      <c r="G157" s="11"/>
      <c r="H157" s="12"/>
      <c r="I157" s="11"/>
      <c r="J157" s="10">
        <f t="shared" si="15"/>
        <v>0</v>
      </c>
      <c r="K157" s="10">
        <f t="shared" si="16"/>
        <v>0</v>
      </c>
      <c r="L157" s="9" t="str">
        <f t="shared" si="17"/>
        <v/>
      </c>
      <c r="M157" s="8"/>
      <c r="N157" s="8"/>
      <c r="O157" s="8"/>
      <c r="P157" s="8"/>
      <c r="Q157" s="8"/>
      <c r="R157" s="8"/>
      <c r="S157" s="8"/>
      <c r="T157" s="8"/>
      <c r="U157" s="8"/>
      <c r="V157" s="7"/>
      <c r="W157" s="6" t="str">
        <f t="array" ref="W157">IF(NOT(ISBLANK(D157)),_xludf.XLOOKUP(D157,[2]CODE!$A$4:$A$100,[2]CODE!$D$4:$D$100),"")</f>
        <v/>
      </c>
      <c r="X157" s="5" t="str">
        <f t="array" ref="X157">IF(NOT(AND(ISBLANK(D157),ISBLANK(C157))),_xludf.XLOOKUP(D157,[2]CODE!$A$4:$A$100,[2]CODE!$E$4:$E$100),"")</f>
        <v/>
      </c>
      <c r="Y157" s="5" t="str">
        <f t="shared" si="18"/>
        <v/>
      </c>
      <c r="Z157" s="5" t="str">
        <f t="shared" si="19"/>
        <v/>
      </c>
      <c r="AA157" s="4">
        <f t="shared" si="20"/>
        <v>0</v>
      </c>
      <c r="AC157" s="2"/>
    </row>
    <row r="158" spans="1:29" ht="15.5">
      <c r="A158" s="13" t="str">
        <f>IF(OR(ISBLANK(C158),ISBLANK(D158),ISBLANK(F158),ISBLANK(G158)),"",COUNTIF($B$5:B158,"JAMBUTU"))</f>
        <v/>
      </c>
      <c r="B158" s="8"/>
      <c r="C158" s="8"/>
      <c r="D158" s="8"/>
      <c r="E158" s="13"/>
      <c r="F158" s="12"/>
      <c r="G158" s="11"/>
      <c r="H158" s="12"/>
      <c r="I158" s="11"/>
      <c r="J158" s="10">
        <f t="shared" si="15"/>
        <v>0</v>
      </c>
      <c r="K158" s="10">
        <f t="shared" si="16"/>
        <v>0</v>
      </c>
      <c r="L158" s="9" t="str">
        <f t="shared" si="17"/>
        <v/>
      </c>
      <c r="M158" s="8"/>
      <c r="N158" s="8"/>
      <c r="O158" s="8"/>
      <c r="P158" s="8"/>
      <c r="Q158" s="8"/>
      <c r="R158" s="8"/>
      <c r="S158" s="8"/>
      <c r="T158" s="8"/>
      <c r="U158" s="8"/>
      <c r="V158" s="7"/>
      <c r="W158" s="6" t="str">
        <f t="array" ref="W158">IF(NOT(ISBLANK(D158)),_xludf.XLOOKUP(D158,[2]CODE!$A$4:$A$100,[2]CODE!$D$4:$D$100),"")</f>
        <v/>
      </c>
      <c r="X158" s="5" t="str">
        <f t="array" ref="X158">IF(NOT(AND(ISBLANK(D158),ISBLANK(C158))),_xludf.XLOOKUP(D158,[2]CODE!$A$4:$A$100,[2]CODE!$E$4:$E$100),"")</f>
        <v/>
      </c>
      <c r="Y158" s="5" t="str">
        <f t="shared" si="18"/>
        <v/>
      </c>
      <c r="Z158" s="5" t="str">
        <f t="shared" si="19"/>
        <v/>
      </c>
      <c r="AA158" s="4">
        <f t="shared" si="20"/>
        <v>0</v>
      </c>
      <c r="AC158" s="2"/>
    </row>
    <row r="159" spans="1:29" ht="15.5">
      <c r="A159" s="13" t="str">
        <f>IF(OR(ISBLANK(C159),ISBLANK(D159),ISBLANK(F159),ISBLANK(G159)),"",COUNTIF($B$5:B159,"JAMBUTU"))</f>
        <v/>
      </c>
      <c r="B159" s="8"/>
      <c r="C159" s="8"/>
      <c r="D159" s="8"/>
      <c r="E159" s="13"/>
      <c r="F159" s="12"/>
      <c r="G159" s="11"/>
      <c r="H159" s="12"/>
      <c r="I159" s="11"/>
      <c r="J159" s="10">
        <f t="shared" si="15"/>
        <v>0</v>
      </c>
      <c r="K159" s="10">
        <f t="shared" si="16"/>
        <v>0</v>
      </c>
      <c r="L159" s="9" t="str">
        <f t="shared" si="17"/>
        <v/>
      </c>
      <c r="M159" s="8"/>
      <c r="N159" s="8"/>
      <c r="O159" s="8"/>
      <c r="P159" s="8"/>
      <c r="Q159" s="8"/>
      <c r="R159" s="8"/>
      <c r="S159" s="8"/>
      <c r="T159" s="8"/>
      <c r="U159" s="8"/>
      <c r="V159" s="7"/>
      <c r="W159" s="6" t="str">
        <f t="array" ref="W159">IF(NOT(ISBLANK(D159)),_xludf.XLOOKUP(D159,[2]CODE!$A$4:$A$100,[2]CODE!$D$4:$D$100),"")</f>
        <v/>
      </c>
      <c r="X159" s="5" t="str">
        <f t="array" ref="X159">IF(NOT(AND(ISBLANK(D159),ISBLANK(C159))),_xludf.XLOOKUP(D159,[2]CODE!$A$4:$A$100,[2]CODE!$E$4:$E$100),"")</f>
        <v/>
      </c>
      <c r="Y159" s="5" t="str">
        <f t="shared" si="18"/>
        <v/>
      </c>
      <c r="Z159" s="5" t="str">
        <f t="shared" si="19"/>
        <v/>
      </c>
      <c r="AA159" s="4">
        <f t="shared" si="20"/>
        <v>0</v>
      </c>
      <c r="AC159" s="2"/>
    </row>
    <row r="160" spans="1:29" ht="15.5">
      <c r="A160" s="13" t="str">
        <f>IF(OR(ISBLANK(C160),ISBLANK(D160),ISBLANK(F160),ISBLANK(G160)),"",COUNTIF($B$5:B160,"JAMBUTU"))</f>
        <v/>
      </c>
      <c r="B160" s="8"/>
      <c r="C160" s="8"/>
      <c r="D160" s="8"/>
      <c r="E160" s="13"/>
      <c r="F160" s="12"/>
      <c r="G160" s="11"/>
      <c r="H160" s="12"/>
      <c r="I160" s="11"/>
      <c r="J160" s="10">
        <f t="shared" si="15"/>
        <v>0</v>
      </c>
      <c r="K160" s="10">
        <f t="shared" si="16"/>
        <v>0</v>
      </c>
      <c r="L160" s="9" t="str">
        <f t="shared" si="17"/>
        <v/>
      </c>
      <c r="M160" s="8"/>
      <c r="N160" s="8"/>
      <c r="O160" s="8"/>
      <c r="P160" s="8"/>
      <c r="Q160" s="8"/>
      <c r="R160" s="8"/>
      <c r="S160" s="16"/>
      <c r="T160" s="8"/>
      <c r="U160" s="8"/>
      <c r="V160" s="7"/>
      <c r="W160" s="6" t="str">
        <f t="array" ref="W160">IF(NOT(ISBLANK(D160)),_xludf.XLOOKUP(D160,[2]CODE!$A$4:$A$100,[2]CODE!$D$4:$D$100),"")</f>
        <v/>
      </c>
      <c r="X160" s="5" t="str">
        <f t="array" ref="X160">IF(NOT(AND(ISBLANK(D160),ISBLANK(C160))),_xludf.XLOOKUP(D160,[2]CODE!$A$4:$A$100,[2]CODE!$E$4:$E$100),"")</f>
        <v/>
      </c>
      <c r="Y160" s="5" t="str">
        <f t="shared" si="18"/>
        <v/>
      </c>
      <c r="Z160" s="5" t="str">
        <f t="shared" si="19"/>
        <v/>
      </c>
      <c r="AA160" s="4">
        <f t="shared" si="20"/>
        <v>0</v>
      </c>
      <c r="AC160" s="2"/>
    </row>
    <row r="161" spans="1:29" ht="15.5">
      <c r="A161" s="13" t="str">
        <f>IF(OR(ISBLANK(C161),ISBLANK(D161),ISBLANK(F161),ISBLANK(G161)),"",COUNTIF($B$5:B161,"JAMBUTU"))</f>
        <v/>
      </c>
      <c r="B161" s="8"/>
      <c r="C161" s="8"/>
      <c r="D161" s="8"/>
      <c r="E161" s="13"/>
      <c r="F161" s="12"/>
      <c r="G161" s="11"/>
      <c r="H161" s="12"/>
      <c r="I161" s="15"/>
      <c r="J161" s="10">
        <f t="shared" si="15"/>
        <v>0</v>
      </c>
      <c r="K161" s="10">
        <f t="shared" si="16"/>
        <v>0</v>
      </c>
      <c r="L161" s="9" t="str">
        <f t="shared" si="17"/>
        <v/>
      </c>
      <c r="M161" s="8"/>
      <c r="N161" s="8"/>
      <c r="O161" s="8"/>
      <c r="P161" s="8"/>
      <c r="Q161" s="8"/>
      <c r="R161" s="8"/>
      <c r="S161" s="8"/>
      <c r="T161" s="8"/>
      <c r="U161" s="8"/>
      <c r="V161" s="7"/>
      <c r="W161" s="6" t="str">
        <f t="array" ref="W161">IF(NOT(ISBLANK(D161)),_xludf.XLOOKUP(D161,[2]CODE!$A$4:$A$100,[2]CODE!$D$4:$D$100),"")</f>
        <v/>
      </c>
      <c r="X161" s="5" t="str">
        <f t="array" ref="X161">IF(NOT(AND(ISBLANK(D161),ISBLANK(C161))),_xludf.XLOOKUP(D161,[2]CODE!$A$4:$A$100,[2]CODE!$E$4:$E$100),"")</f>
        <v/>
      </c>
      <c r="Y161" s="5" t="str">
        <f t="shared" si="18"/>
        <v/>
      </c>
      <c r="Z161" s="5" t="str">
        <f t="shared" si="19"/>
        <v/>
      </c>
      <c r="AA161" s="4">
        <f t="shared" si="20"/>
        <v>0</v>
      </c>
      <c r="AC161" s="2"/>
    </row>
    <row r="162" spans="1:29" ht="15.5">
      <c r="A162" s="13" t="str">
        <f>IF(OR(ISBLANK(C162),ISBLANK(D162),ISBLANK(F162),ISBLANK(G162)),"",COUNTIF($B$5:B162,"JAMBUTU"))</f>
        <v/>
      </c>
      <c r="B162" s="8"/>
      <c r="C162" s="8"/>
      <c r="D162" s="8"/>
      <c r="E162" s="13"/>
      <c r="F162" s="12"/>
      <c r="G162" s="11"/>
      <c r="H162" s="12"/>
      <c r="I162" s="11"/>
      <c r="J162" s="10">
        <f t="shared" si="15"/>
        <v>0</v>
      </c>
      <c r="K162" s="10">
        <f t="shared" si="16"/>
        <v>0</v>
      </c>
      <c r="L162" s="9" t="str">
        <f t="shared" si="17"/>
        <v/>
      </c>
      <c r="M162" s="8"/>
      <c r="N162" s="8"/>
      <c r="O162" s="8"/>
      <c r="P162" s="8"/>
      <c r="Q162" s="8"/>
      <c r="R162" s="8"/>
      <c r="S162" s="8"/>
      <c r="T162" s="8"/>
      <c r="U162" s="8"/>
      <c r="V162" s="7"/>
      <c r="W162" s="6" t="str">
        <f t="array" ref="W162">IF(NOT(ISBLANK(D162)),_xludf.XLOOKUP(D162,[2]CODE!$A$4:$A$100,[2]CODE!$D$4:$D$100),"")</f>
        <v/>
      </c>
      <c r="X162" s="5" t="str">
        <f t="array" ref="X162">IF(NOT(AND(ISBLANK(D162),ISBLANK(C162))),_xludf.XLOOKUP(D162,[2]CODE!$A$4:$A$100,[2]CODE!$E$4:$E$100),"")</f>
        <v/>
      </c>
      <c r="Y162" s="5" t="str">
        <f t="shared" si="18"/>
        <v/>
      </c>
      <c r="Z162" s="5" t="str">
        <f t="shared" si="19"/>
        <v/>
      </c>
      <c r="AA162" s="4">
        <f t="shared" si="20"/>
        <v>0</v>
      </c>
      <c r="AC162" s="2"/>
    </row>
    <row r="163" spans="1:29" ht="15.5">
      <c r="A163" s="13" t="str">
        <f>IF(OR(ISBLANK(C163),ISBLANK(D163),ISBLANK(F163),ISBLANK(G163)),"",COUNTIF($B$5:B163,"JAMBUTU"))</f>
        <v/>
      </c>
      <c r="B163" s="8"/>
      <c r="C163" s="8"/>
      <c r="D163" s="8"/>
      <c r="E163" s="13"/>
      <c r="F163" s="12"/>
      <c r="G163" s="11"/>
      <c r="H163" s="12"/>
      <c r="I163" s="11"/>
      <c r="J163" s="10">
        <f t="shared" si="15"/>
        <v>0</v>
      </c>
      <c r="K163" s="10">
        <f t="shared" si="16"/>
        <v>0</v>
      </c>
      <c r="L163" s="9" t="str">
        <f t="shared" si="17"/>
        <v/>
      </c>
      <c r="M163" s="8"/>
      <c r="N163" s="8"/>
      <c r="O163" s="8"/>
      <c r="P163" s="8"/>
      <c r="Q163" s="8"/>
      <c r="R163" s="8"/>
      <c r="S163" s="8"/>
      <c r="T163" s="8"/>
      <c r="U163" s="8"/>
      <c r="V163" s="7"/>
      <c r="W163" s="6" t="str">
        <f t="array" ref="W163">IF(NOT(ISBLANK(D163)),_xludf.XLOOKUP(D163,[2]CODE!$A$4:$A$100,[2]CODE!$D$4:$D$100),"")</f>
        <v/>
      </c>
      <c r="X163" s="5" t="str">
        <f t="array" ref="X163">IF(NOT(AND(ISBLANK(D163),ISBLANK(C163))),_xludf.XLOOKUP(D163,[2]CODE!$A$4:$A$100,[2]CODE!$E$4:$E$100),"")</f>
        <v/>
      </c>
      <c r="Y163" s="5" t="str">
        <f t="shared" si="18"/>
        <v/>
      </c>
      <c r="Z163" s="5" t="str">
        <f t="shared" si="19"/>
        <v/>
      </c>
      <c r="AA163" s="4">
        <f t="shared" si="20"/>
        <v>0</v>
      </c>
      <c r="AC163" s="2"/>
    </row>
    <row r="164" spans="1:29" ht="15.5">
      <c r="A164" s="13" t="str">
        <f>IF(OR(ISBLANK(C164),ISBLANK(D164),ISBLANK(F164),ISBLANK(G164)),"",COUNTIF($B$5:B164,"JAMBUTU"))</f>
        <v/>
      </c>
      <c r="B164" s="8"/>
      <c r="C164" s="8"/>
      <c r="D164" s="8"/>
      <c r="E164" s="13"/>
      <c r="F164" s="12"/>
      <c r="G164" s="11"/>
      <c r="H164" s="12"/>
      <c r="I164" s="15"/>
      <c r="J164" s="10">
        <f t="shared" si="15"/>
        <v>0</v>
      </c>
      <c r="K164" s="10">
        <f t="shared" si="16"/>
        <v>0</v>
      </c>
      <c r="L164" s="9" t="str">
        <f t="shared" si="17"/>
        <v/>
      </c>
      <c r="M164" s="8"/>
      <c r="N164" s="8"/>
      <c r="O164" s="8"/>
      <c r="P164" s="8"/>
      <c r="Q164" s="8"/>
      <c r="R164" s="8"/>
      <c r="S164" s="8"/>
      <c r="T164" s="8"/>
      <c r="U164" s="8"/>
      <c r="V164" s="7"/>
      <c r="W164" s="6" t="str">
        <f t="array" ref="W164">IF(NOT(ISBLANK(D164)),_xludf.XLOOKUP(D164,[2]CODE!$A$4:$A$100,[2]CODE!$D$4:$D$100),"")</f>
        <v/>
      </c>
      <c r="X164" s="5" t="str">
        <f t="array" ref="X164">IF(NOT(AND(ISBLANK(D164),ISBLANK(C164))),_xludf.XLOOKUP(D164,[2]CODE!$A$4:$A$100,[2]CODE!$E$4:$E$100),"")</f>
        <v/>
      </c>
      <c r="Y164" s="5" t="str">
        <f t="shared" si="18"/>
        <v/>
      </c>
      <c r="Z164" s="5" t="str">
        <f t="shared" si="19"/>
        <v/>
      </c>
      <c r="AA164" s="4">
        <f t="shared" si="20"/>
        <v>0</v>
      </c>
      <c r="AC164" s="2"/>
    </row>
    <row r="165" spans="1:29" ht="15.5">
      <c r="A165" s="13" t="str">
        <f>IF(OR(ISBLANK(C165),ISBLANK(D165),ISBLANK(F165),ISBLANK(G165)),"",COUNTIF($B$5:B165,"JAMBUTU"))</f>
        <v/>
      </c>
      <c r="B165" s="8"/>
      <c r="C165" s="8"/>
      <c r="D165" s="8"/>
      <c r="E165" s="13"/>
      <c r="F165" s="12"/>
      <c r="G165" s="11"/>
      <c r="H165" s="12"/>
      <c r="I165" s="15"/>
      <c r="J165" s="10">
        <f t="shared" si="15"/>
        <v>0</v>
      </c>
      <c r="K165" s="10">
        <f t="shared" si="16"/>
        <v>0</v>
      </c>
      <c r="L165" s="9" t="str">
        <f t="shared" si="17"/>
        <v/>
      </c>
      <c r="M165" s="8"/>
      <c r="N165" s="8"/>
      <c r="O165" s="8"/>
      <c r="P165" s="8"/>
      <c r="Q165" s="8"/>
      <c r="R165" s="8"/>
      <c r="S165" s="8"/>
      <c r="T165" s="8"/>
      <c r="U165" s="8"/>
      <c r="V165" s="7"/>
      <c r="W165" s="6" t="str">
        <f t="array" ref="W165">IF(NOT(ISBLANK(D165)),_xludf.XLOOKUP(D165,[2]CODE!$A$4:$A$100,[2]CODE!$D$4:$D$100),"")</f>
        <v/>
      </c>
      <c r="X165" s="5" t="str">
        <f t="array" ref="X165">IF(NOT(AND(ISBLANK(D165),ISBLANK(C165))),_xludf.XLOOKUP(D165,[2]CODE!$A$4:$A$100,[2]CODE!$E$4:$E$100),"")</f>
        <v/>
      </c>
      <c r="Y165" s="5" t="str">
        <f t="shared" si="18"/>
        <v/>
      </c>
      <c r="Z165" s="5" t="str">
        <f t="shared" si="19"/>
        <v/>
      </c>
      <c r="AA165" s="4">
        <f t="shared" si="20"/>
        <v>0</v>
      </c>
      <c r="AC165" s="2"/>
    </row>
    <row r="166" spans="1:29" ht="15.5">
      <c r="A166" s="13" t="str">
        <f>IF(OR(ISBLANK(C166),ISBLANK(D166),ISBLANK(F166),ISBLANK(G166)),"",COUNTIF($B$5:B166,"JAMBUTU"))</f>
        <v/>
      </c>
      <c r="B166" s="8"/>
      <c r="C166" s="8"/>
      <c r="D166" s="8"/>
      <c r="E166" s="13"/>
      <c r="F166" s="12"/>
      <c r="G166" s="11"/>
      <c r="H166" s="12"/>
      <c r="I166" s="11"/>
      <c r="J166" s="10">
        <f t="shared" si="15"/>
        <v>0</v>
      </c>
      <c r="K166" s="10">
        <f t="shared" si="16"/>
        <v>0</v>
      </c>
      <c r="L166" s="9" t="str">
        <f t="shared" si="17"/>
        <v/>
      </c>
      <c r="M166" s="8"/>
      <c r="N166" s="8"/>
      <c r="O166" s="8"/>
      <c r="P166" s="8"/>
      <c r="Q166" s="8"/>
      <c r="R166" s="8"/>
      <c r="S166" s="8"/>
      <c r="T166" s="8"/>
      <c r="U166" s="8"/>
      <c r="V166" s="7"/>
      <c r="W166" s="6" t="str">
        <f t="array" ref="W166">IF(NOT(ISBLANK(D166)),_xludf.XLOOKUP(D166,[2]CODE!$A$4:$A$100,[2]CODE!$D$4:$D$100),"")</f>
        <v/>
      </c>
      <c r="X166" s="5" t="str">
        <f t="array" ref="X166">IF(NOT(AND(ISBLANK(D166),ISBLANK(C166))),_xludf.XLOOKUP(D166,[2]CODE!$A$4:$A$100,[2]CODE!$E$4:$E$100),"")</f>
        <v/>
      </c>
      <c r="Y166" s="5" t="str">
        <f t="shared" si="18"/>
        <v/>
      </c>
      <c r="Z166" s="5" t="str">
        <f t="shared" si="19"/>
        <v/>
      </c>
      <c r="AA166" s="4">
        <f t="shared" si="20"/>
        <v>0</v>
      </c>
      <c r="AC166" s="2"/>
    </row>
    <row r="167" spans="1:29" ht="15.5">
      <c r="A167" s="13" t="str">
        <f>IF(OR(ISBLANK(C167),ISBLANK(D167),ISBLANK(F167),ISBLANK(G167)),"",COUNTIF($B$5:B167,"JAMBUTU"))</f>
        <v/>
      </c>
      <c r="B167" s="8"/>
      <c r="C167" s="8"/>
      <c r="D167" s="8"/>
      <c r="E167" s="13"/>
      <c r="F167" s="12"/>
      <c r="G167" s="11"/>
      <c r="H167" s="12"/>
      <c r="I167" s="11"/>
      <c r="J167" s="10">
        <f t="shared" si="15"/>
        <v>0</v>
      </c>
      <c r="K167" s="10">
        <f t="shared" si="16"/>
        <v>0</v>
      </c>
      <c r="L167" s="9" t="str">
        <f t="shared" si="17"/>
        <v/>
      </c>
      <c r="M167" s="8"/>
      <c r="N167" s="8"/>
      <c r="O167" s="8"/>
      <c r="P167" s="8"/>
      <c r="Q167" s="8"/>
      <c r="R167" s="8"/>
      <c r="S167" s="8"/>
      <c r="T167" s="8"/>
      <c r="U167" s="8"/>
      <c r="V167" s="7"/>
      <c r="W167" s="6" t="str">
        <f t="array" ref="W167">IF(NOT(ISBLANK(D167)),_xludf.XLOOKUP(D167,[2]CODE!$A$4:$A$100,[2]CODE!$D$4:$D$100),"")</f>
        <v/>
      </c>
      <c r="X167" s="5" t="str">
        <f t="array" ref="X167">IF(NOT(AND(ISBLANK(D167),ISBLANK(C167))),_xludf.XLOOKUP(D167,[2]CODE!$A$4:$A$100,[2]CODE!$E$4:$E$100),"")</f>
        <v/>
      </c>
      <c r="Y167" s="5" t="str">
        <f t="shared" si="18"/>
        <v/>
      </c>
      <c r="Z167" s="5" t="str">
        <f t="shared" si="19"/>
        <v/>
      </c>
      <c r="AA167" s="4">
        <f t="shared" si="20"/>
        <v>0</v>
      </c>
      <c r="AC167" s="2"/>
    </row>
    <row r="168" spans="1:29" ht="15.5">
      <c r="A168" s="13" t="str">
        <f>IF(OR(ISBLANK(C168),ISBLANK(D168),ISBLANK(F168),ISBLANK(G168)),"",COUNTIF($B$5:B168,"JAMBUTU"))</f>
        <v/>
      </c>
      <c r="B168" s="8"/>
      <c r="C168" s="8"/>
      <c r="D168" s="8"/>
      <c r="E168" s="13"/>
      <c r="F168" s="12"/>
      <c r="G168" s="11"/>
      <c r="H168" s="12"/>
      <c r="I168" s="15"/>
      <c r="J168" s="10">
        <f t="shared" si="15"/>
        <v>0</v>
      </c>
      <c r="K168" s="10">
        <f t="shared" si="16"/>
        <v>0</v>
      </c>
      <c r="L168" s="9" t="str">
        <f t="shared" si="17"/>
        <v/>
      </c>
      <c r="M168" s="8"/>
      <c r="N168" s="8"/>
      <c r="O168" s="8"/>
      <c r="P168" s="8"/>
      <c r="Q168" s="8"/>
      <c r="R168" s="8"/>
      <c r="S168" s="8"/>
      <c r="T168" s="8"/>
      <c r="U168" s="8"/>
      <c r="V168" s="7"/>
      <c r="W168" s="6" t="str">
        <f t="array" ref="W168">IF(NOT(ISBLANK(D168)),_xludf.XLOOKUP(D168,[2]CODE!$A$4:$A$100,[2]CODE!$D$4:$D$100),"")</f>
        <v/>
      </c>
      <c r="X168" s="5" t="str">
        <f t="array" ref="X168">IF(NOT(AND(ISBLANK(D168),ISBLANK(C168))),_xludf.XLOOKUP(D168,[2]CODE!$A$4:$A$100,[2]CODE!$E$4:$E$100),"")</f>
        <v/>
      </c>
      <c r="Y168" s="5" t="str">
        <f t="shared" si="18"/>
        <v/>
      </c>
      <c r="Z168" s="5" t="str">
        <f t="shared" si="19"/>
        <v/>
      </c>
      <c r="AA168" s="4">
        <f t="shared" si="20"/>
        <v>0</v>
      </c>
      <c r="AC168" s="2"/>
    </row>
    <row r="169" spans="1:29" ht="15.5">
      <c r="A169" s="13" t="str">
        <f>IF(OR(ISBLANK(C169),ISBLANK(D169),ISBLANK(F169),ISBLANK(G169)),"",COUNTIF($B$5:B169,"JAMBUTU"))</f>
        <v/>
      </c>
      <c r="B169" s="8"/>
      <c r="C169" s="8"/>
      <c r="D169" s="8"/>
      <c r="E169" s="13"/>
      <c r="F169" s="12"/>
      <c r="G169" s="11"/>
      <c r="H169" s="12"/>
      <c r="I169" s="11"/>
      <c r="J169" s="10">
        <f t="shared" si="15"/>
        <v>0</v>
      </c>
      <c r="K169" s="10">
        <f t="shared" si="16"/>
        <v>0</v>
      </c>
      <c r="L169" s="9" t="str">
        <f t="shared" si="17"/>
        <v/>
      </c>
      <c r="M169" s="8"/>
      <c r="N169" s="8"/>
      <c r="O169" s="8"/>
      <c r="P169" s="8"/>
      <c r="Q169" s="8"/>
      <c r="R169" s="8"/>
      <c r="S169" s="8"/>
      <c r="T169" s="8"/>
      <c r="U169" s="8"/>
      <c r="V169" s="7"/>
      <c r="W169" s="6" t="str">
        <f t="array" ref="W169">IF(NOT(ISBLANK(D169)),_xludf.XLOOKUP(D169,[2]CODE!$A$4:$A$100,[2]CODE!$D$4:$D$100),"")</f>
        <v/>
      </c>
      <c r="X169" s="5" t="str">
        <f t="array" ref="X169">IF(NOT(AND(ISBLANK(D169),ISBLANK(C169))),_xludf.XLOOKUP(D169,[2]CODE!$A$4:$A$100,[2]CODE!$E$4:$E$100),"")</f>
        <v/>
      </c>
      <c r="Y169" s="5" t="str">
        <f t="shared" si="18"/>
        <v/>
      </c>
      <c r="Z169" s="5" t="str">
        <f t="shared" si="19"/>
        <v/>
      </c>
      <c r="AA169" s="4">
        <f t="shared" si="20"/>
        <v>0</v>
      </c>
      <c r="AC169" s="2"/>
    </row>
    <row r="170" spans="1:29" ht="15.5">
      <c r="A170" s="13" t="str">
        <f>IF(OR(ISBLANK(C170),ISBLANK(D170),ISBLANK(F170),ISBLANK(G170)),"",COUNTIF($B$5:B170,"JAMBUTU"))</f>
        <v/>
      </c>
      <c r="B170" s="8"/>
      <c r="C170" s="8"/>
      <c r="D170" s="8"/>
      <c r="E170" s="13"/>
      <c r="F170" s="12"/>
      <c r="G170" s="11"/>
      <c r="H170" s="12"/>
      <c r="I170" s="11"/>
      <c r="J170" s="10">
        <f t="shared" si="15"/>
        <v>0</v>
      </c>
      <c r="K170" s="10">
        <f t="shared" si="16"/>
        <v>0</v>
      </c>
      <c r="L170" s="9" t="str">
        <f t="shared" si="17"/>
        <v/>
      </c>
      <c r="M170" s="8"/>
      <c r="N170" s="8"/>
      <c r="O170" s="8"/>
      <c r="P170" s="8"/>
      <c r="Q170" s="8"/>
      <c r="R170" s="8"/>
      <c r="S170" s="8"/>
      <c r="T170" s="8"/>
      <c r="U170" s="8"/>
      <c r="V170" s="7"/>
      <c r="W170" s="6" t="str">
        <f t="array" ref="W170">IF(NOT(ISBLANK(D170)),_xludf.XLOOKUP(D170,[2]CODE!$A$4:$A$100,[2]CODE!$D$4:$D$100),"")</f>
        <v/>
      </c>
      <c r="X170" s="5" t="str">
        <f t="array" ref="X170">IF(NOT(AND(ISBLANK(D170),ISBLANK(C170))),_xludf.XLOOKUP(D170,[2]CODE!$A$4:$A$100,[2]CODE!$E$4:$E$100),"")</f>
        <v/>
      </c>
      <c r="Y170" s="5" t="str">
        <f t="shared" si="18"/>
        <v/>
      </c>
      <c r="Z170" s="5" t="str">
        <f t="shared" si="19"/>
        <v/>
      </c>
      <c r="AA170" s="4">
        <f t="shared" si="20"/>
        <v>0</v>
      </c>
      <c r="AC170" s="2"/>
    </row>
    <row r="171" spans="1:29" ht="15.5">
      <c r="A171" s="13" t="str">
        <f>IF(OR(ISBLANK(C171),ISBLANK(D171),ISBLANK(F171),ISBLANK(G171)),"",COUNTIF($B$5:B171,"JAMBUTU"))</f>
        <v/>
      </c>
      <c r="B171" s="8"/>
      <c r="C171" s="8"/>
      <c r="D171" s="8"/>
      <c r="E171" s="13"/>
      <c r="F171" s="12"/>
      <c r="G171" s="11"/>
      <c r="H171" s="12"/>
      <c r="I171" s="15"/>
      <c r="J171" s="10">
        <f t="shared" si="15"/>
        <v>0</v>
      </c>
      <c r="K171" s="10">
        <f t="shared" si="16"/>
        <v>0</v>
      </c>
      <c r="L171" s="9" t="str">
        <f t="shared" si="17"/>
        <v/>
      </c>
      <c r="M171" s="8"/>
      <c r="N171" s="8"/>
      <c r="O171" s="8"/>
      <c r="P171" s="8"/>
      <c r="Q171" s="8"/>
      <c r="R171" s="8"/>
      <c r="S171" s="8"/>
      <c r="T171" s="8"/>
      <c r="U171" s="8"/>
      <c r="V171" s="7"/>
      <c r="W171" s="6" t="str">
        <f t="array" ref="W171">IF(NOT(ISBLANK(D171)),_xludf.XLOOKUP(D171,[2]CODE!$A$4:$A$100,[2]CODE!$D$4:$D$100),"")</f>
        <v/>
      </c>
      <c r="X171" s="5" t="str">
        <f t="array" ref="X171">IF(NOT(AND(ISBLANK(D171),ISBLANK(C171))),_xludf.XLOOKUP(D171,[2]CODE!$A$4:$A$100,[2]CODE!$E$4:$E$100),"")</f>
        <v/>
      </c>
      <c r="Y171" s="5" t="str">
        <f t="shared" si="18"/>
        <v/>
      </c>
      <c r="Z171" s="5" t="str">
        <f t="shared" si="19"/>
        <v/>
      </c>
      <c r="AA171" s="4">
        <f t="shared" si="20"/>
        <v>0</v>
      </c>
      <c r="AC171" s="2"/>
    </row>
    <row r="172" spans="1:29" ht="15.5">
      <c r="A172" s="13" t="str">
        <f>IF(OR(ISBLANK(C172),ISBLANK(D172),ISBLANK(F172),ISBLANK(G172)),"",COUNTIF($B$5:B172,"JAMBUTU"))</f>
        <v/>
      </c>
      <c r="B172" s="8"/>
      <c r="C172" s="8"/>
      <c r="D172" s="8"/>
      <c r="E172" s="13"/>
      <c r="F172" s="12"/>
      <c r="G172" s="11"/>
      <c r="H172" s="12"/>
      <c r="I172" s="15"/>
      <c r="J172" s="10">
        <f t="shared" si="15"/>
        <v>0</v>
      </c>
      <c r="K172" s="10">
        <f t="shared" si="16"/>
        <v>0</v>
      </c>
      <c r="L172" s="9" t="str">
        <f t="shared" si="17"/>
        <v/>
      </c>
      <c r="M172" s="8"/>
      <c r="N172" s="8"/>
      <c r="O172" s="8"/>
      <c r="P172" s="8"/>
      <c r="Q172" s="8"/>
      <c r="R172" s="8"/>
      <c r="S172" s="8"/>
      <c r="T172" s="8"/>
      <c r="U172" s="8"/>
      <c r="V172" s="7"/>
      <c r="W172" s="6" t="str">
        <f t="array" ref="W172">IF(NOT(ISBLANK(D172)),_xludf.XLOOKUP(D172,[2]CODE!$A$4:$A$100,[2]CODE!$D$4:$D$100),"")</f>
        <v/>
      </c>
      <c r="X172" s="5" t="str">
        <f t="array" ref="X172">IF(NOT(AND(ISBLANK(D172),ISBLANK(C172))),_xludf.XLOOKUP(D172,[2]CODE!$A$4:$A$100,[2]CODE!$E$4:$E$100),"")</f>
        <v/>
      </c>
      <c r="Y172" s="5" t="str">
        <f t="shared" si="18"/>
        <v/>
      </c>
      <c r="Z172" s="5" t="str">
        <f t="shared" si="19"/>
        <v/>
      </c>
      <c r="AA172" s="4">
        <f t="shared" si="20"/>
        <v>0</v>
      </c>
      <c r="AC172" s="2"/>
    </row>
    <row r="173" spans="1:29" ht="15.5">
      <c r="A173" s="13" t="str">
        <f>IF(OR(ISBLANK(C173),ISBLANK(D173),ISBLANK(F173),ISBLANK(G173)),"",COUNTIF($B$5:B173,"JAMBUTU"))</f>
        <v/>
      </c>
      <c r="B173" s="8"/>
      <c r="C173" s="8"/>
      <c r="D173" s="8"/>
      <c r="E173" s="13"/>
      <c r="F173" s="12"/>
      <c r="G173" s="15"/>
      <c r="H173" s="12"/>
      <c r="I173" s="15"/>
      <c r="J173" s="10">
        <f t="shared" si="15"/>
        <v>0</v>
      </c>
      <c r="K173" s="10">
        <f t="shared" si="16"/>
        <v>0</v>
      </c>
      <c r="L173" s="9" t="str">
        <f t="shared" si="17"/>
        <v/>
      </c>
      <c r="M173" s="8"/>
      <c r="N173" s="8"/>
      <c r="O173" s="8"/>
      <c r="P173" s="8"/>
      <c r="Q173" s="8"/>
      <c r="R173" s="8"/>
      <c r="S173" s="8"/>
      <c r="T173" s="8"/>
      <c r="U173" s="8"/>
      <c r="V173" s="7"/>
      <c r="W173" s="6" t="str">
        <f t="array" ref="W173">IF(NOT(ISBLANK(D173)),_xludf.XLOOKUP(D173,[2]CODE!$A$4:$A$100,[2]CODE!$D$4:$D$100),"")</f>
        <v/>
      </c>
      <c r="X173" s="5" t="str">
        <f t="array" ref="X173">IF(NOT(AND(ISBLANK(D173),ISBLANK(C173))),_xludf.XLOOKUP(D173,[2]CODE!$A$4:$A$100,[2]CODE!$E$4:$E$100),"")</f>
        <v/>
      </c>
      <c r="Y173" s="5" t="str">
        <f t="shared" si="18"/>
        <v/>
      </c>
      <c r="Z173" s="5" t="str">
        <f t="shared" si="19"/>
        <v/>
      </c>
      <c r="AA173" s="4">
        <f t="shared" si="20"/>
        <v>0</v>
      </c>
      <c r="AC173" s="2"/>
    </row>
    <row r="174" spans="1:29" ht="15.5">
      <c r="A174" s="13" t="str">
        <f>IF(OR(ISBLANK(C174),ISBLANK(D174),ISBLANK(F174),ISBLANK(G174)),"",COUNTIF($B$5:B174,"JAMBUTU"))</f>
        <v/>
      </c>
      <c r="B174" s="8"/>
      <c r="C174" s="8"/>
      <c r="D174" s="8"/>
      <c r="E174" s="13"/>
      <c r="F174" s="12"/>
      <c r="G174" s="11"/>
      <c r="H174" s="12"/>
      <c r="I174" s="15"/>
      <c r="J174" s="10">
        <f t="shared" si="15"/>
        <v>0</v>
      </c>
      <c r="K174" s="10">
        <f t="shared" si="16"/>
        <v>0</v>
      </c>
      <c r="L174" s="9" t="str">
        <f t="shared" si="17"/>
        <v/>
      </c>
      <c r="M174" s="8"/>
      <c r="N174" s="8"/>
      <c r="O174" s="8"/>
      <c r="P174" s="8"/>
      <c r="Q174" s="8"/>
      <c r="R174" s="8"/>
      <c r="S174" s="8"/>
      <c r="T174" s="8"/>
      <c r="U174" s="8"/>
      <c r="V174" s="7"/>
      <c r="W174" s="6" t="str">
        <f t="array" ref="W174">IF(NOT(ISBLANK(D174)),_xludf.XLOOKUP(D174,[2]CODE!$A$4:$A$100,[2]CODE!$D$4:$D$100),"")</f>
        <v/>
      </c>
      <c r="X174" s="5" t="str">
        <f t="array" ref="X174">IF(NOT(AND(ISBLANK(D174),ISBLANK(C174))),_xludf.XLOOKUP(D174,[2]CODE!$A$4:$A$100,[2]CODE!$E$4:$E$100),"")</f>
        <v/>
      </c>
      <c r="Y174" s="5" t="str">
        <f t="shared" si="18"/>
        <v/>
      </c>
      <c r="Z174" s="5" t="str">
        <f t="shared" si="19"/>
        <v/>
      </c>
      <c r="AA174" s="4">
        <f t="shared" si="20"/>
        <v>0</v>
      </c>
      <c r="AC174" s="2"/>
    </row>
    <row r="175" spans="1:29" ht="15.5">
      <c r="A175" s="13" t="str">
        <f>IF(OR(ISBLANK(C175),ISBLANK(D175),ISBLANK(F175),ISBLANK(G175)),"",COUNTIF($B$5:B175,"JAMBUTU"))</f>
        <v/>
      </c>
      <c r="B175" s="8"/>
      <c r="C175" s="8"/>
      <c r="D175" s="8"/>
      <c r="E175" s="13"/>
      <c r="F175" s="12"/>
      <c r="G175" s="11"/>
      <c r="H175" s="12"/>
      <c r="I175" s="11"/>
      <c r="J175" s="10">
        <f t="shared" si="15"/>
        <v>0</v>
      </c>
      <c r="K175" s="10">
        <f t="shared" si="16"/>
        <v>0</v>
      </c>
      <c r="L175" s="9" t="str">
        <f t="shared" si="17"/>
        <v/>
      </c>
      <c r="M175" s="8"/>
      <c r="N175" s="8"/>
      <c r="O175" s="8"/>
      <c r="P175" s="8"/>
      <c r="Q175" s="8"/>
      <c r="R175" s="8"/>
      <c r="S175" s="8"/>
      <c r="T175" s="8"/>
      <c r="U175" s="8"/>
      <c r="V175" s="7"/>
      <c r="W175" s="6" t="str">
        <f t="array" ref="W175">IF(NOT(ISBLANK(D175)),_xludf.XLOOKUP(D175,[2]CODE!$A$4:$A$100,[2]CODE!$D$4:$D$100),"")</f>
        <v/>
      </c>
      <c r="X175" s="5" t="str">
        <f t="array" ref="X175">IF(NOT(AND(ISBLANK(D175),ISBLANK(C175))),_xludf.XLOOKUP(D175,[2]CODE!$A$4:$A$100,[2]CODE!$E$4:$E$100),"")</f>
        <v/>
      </c>
      <c r="Y175" s="5" t="str">
        <f t="shared" si="18"/>
        <v/>
      </c>
      <c r="Z175" s="5" t="str">
        <f t="shared" si="19"/>
        <v/>
      </c>
      <c r="AA175" s="4">
        <f t="shared" si="20"/>
        <v>0</v>
      </c>
      <c r="AC175" s="2"/>
    </row>
    <row r="176" spans="1:29" ht="15.5">
      <c r="A176" s="13" t="str">
        <f>IF(OR(ISBLANK(C176),ISBLANK(D176),ISBLANK(F176),ISBLANK(G176)),"",COUNTIF($B$5:B176,"JAMBUTU"))</f>
        <v/>
      </c>
      <c r="B176" s="8"/>
      <c r="C176" s="8"/>
      <c r="D176" s="8"/>
      <c r="E176" s="13"/>
      <c r="F176" s="12"/>
      <c r="G176" s="11"/>
      <c r="H176" s="12"/>
      <c r="I176" s="11"/>
      <c r="J176" s="10">
        <f t="shared" si="15"/>
        <v>0</v>
      </c>
      <c r="K176" s="10">
        <f t="shared" si="16"/>
        <v>0</v>
      </c>
      <c r="L176" s="9" t="str">
        <f t="shared" si="17"/>
        <v/>
      </c>
      <c r="M176" s="8"/>
      <c r="N176" s="8"/>
      <c r="O176" s="8"/>
      <c r="P176" s="8"/>
      <c r="Q176" s="8"/>
      <c r="R176" s="8"/>
      <c r="S176" s="8"/>
      <c r="T176" s="8"/>
      <c r="U176" s="8"/>
      <c r="V176" s="7"/>
      <c r="W176" s="6" t="str">
        <f t="array" ref="W176">IF(NOT(ISBLANK(D176)),_xludf.XLOOKUP(D176,[2]CODE!$A$4:$A$100,[2]CODE!$D$4:$D$100),"")</f>
        <v/>
      </c>
      <c r="X176" s="5" t="str">
        <f t="array" ref="X176">IF(NOT(AND(ISBLANK(D176),ISBLANK(C176))),_xludf.XLOOKUP(D176,[2]CODE!$A$4:$A$100,[2]CODE!$E$4:$E$100),"")</f>
        <v/>
      </c>
      <c r="Y176" s="5" t="str">
        <f t="shared" si="18"/>
        <v/>
      </c>
      <c r="Z176" s="5" t="str">
        <f t="shared" si="19"/>
        <v/>
      </c>
      <c r="AA176" s="4">
        <f t="shared" si="20"/>
        <v>0</v>
      </c>
      <c r="AC176" s="2"/>
    </row>
    <row r="177" spans="1:29" ht="15.5">
      <c r="A177" s="13" t="str">
        <f>IF(OR(ISBLANK(C177),ISBLANK(D177),ISBLANK(F177),ISBLANK(G177)),"",COUNTIF($B$5:B177,"JAMBUTU"))</f>
        <v/>
      </c>
      <c r="B177" s="8"/>
      <c r="C177" s="8"/>
      <c r="D177" s="8"/>
      <c r="E177" s="13"/>
      <c r="F177" s="12"/>
      <c r="G177" s="11"/>
      <c r="H177" s="12"/>
      <c r="I177" s="11"/>
      <c r="J177" s="10">
        <f t="shared" si="15"/>
        <v>0</v>
      </c>
      <c r="K177" s="10">
        <f t="shared" si="16"/>
        <v>0</v>
      </c>
      <c r="L177" s="9" t="str">
        <f t="shared" si="17"/>
        <v/>
      </c>
      <c r="M177" s="8"/>
      <c r="N177" s="8"/>
      <c r="O177" s="8"/>
      <c r="P177" s="8"/>
      <c r="Q177" s="8"/>
      <c r="R177" s="8"/>
      <c r="S177" s="8"/>
      <c r="T177" s="8"/>
      <c r="U177" s="8"/>
      <c r="V177" s="7"/>
      <c r="W177" s="6" t="str">
        <f t="array" ref="W177">IF(NOT(ISBLANK(D177)),_xludf.XLOOKUP(D177,[2]CODE!$A$4:$A$100,[2]CODE!$D$4:$D$100),"")</f>
        <v/>
      </c>
      <c r="X177" s="5" t="str">
        <f t="array" ref="X177">IF(NOT(AND(ISBLANK(D177),ISBLANK(C177))),_xludf.XLOOKUP(D177,[2]CODE!$A$4:$A$100,[2]CODE!$E$4:$E$100),"")</f>
        <v/>
      </c>
      <c r="Y177" s="5" t="str">
        <f t="shared" si="18"/>
        <v/>
      </c>
      <c r="Z177" s="5" t="str">
        <f t="shared" si="19"/>
        <v/>
      </c>
      <c r="AA177" s="4">
        <f t="shared" si="20"/>
        <v>0</v>
      </c>
      <c r="AC177" s="2"/>
    </row>
    <row r="178" spans="1:29" ht="15.5">
      <c r="A178" s="13" t="str">
        <f>IF(OR(ISBLANK(C178),ISBLANK(D178),ISBLANK(F178),ISBLANK(G178)),"",COUNTIF($B$5:B178,"JAMBUTU"))</f>
        <v/>
      </c>
      <c r="B178" s="8"/>
      <c r="C178" s="8"/>
      <c r="D178" s="8"/>
      <c r="E178" s="13"/>
      <c r="F178" s="12"/>
      <c r="G178" s="11"/>
      <c r="H178" s="12"/>
      <c r="I178" s="11"/>
      <c r="J178" s="10">
        <f t="shared" si="15"/>
        <v>0</v>
      </c>
      <c r="K178" s="10">
        <f t="shared" si="16"/>
        <v>0</v>
      </c>
      <c r="L178" s="9" t="str">
        <f t="shared" si="17"/>
        <v/>
      </c>
      <c r="M178" s="8"/>
      <c r="N178" s="8"/>
      <c r="O178" s="8"/>
      <c r="P178" s="8"/>
      <c r="Q178" s="8"/>
      <c r="R178" s="8"/>
      <c r="S178" s="8"/>
      <c r="T178" s="8"/>
      <c r="U178" s="8"/>
      <c r="V178" s="7"/>
      <c r="W178" s="6" t="str">
        <f t="array" ref="W178">IF(NOT(ISBLANK(D178)),_xludf.XLOOKUP(D178,[2]CODE!$A$4:$A$100,[2]CODE!$D$4:$D$100),"")</f>
        <v/>
      </c>
      <c r="X178" s="5" t="str">
        <f t="array" ref="X178">IF(NOT(AND(ISBLANK(D178),ISBLANK(C178))),_xludf.XLOOKUP(D178,[2]CODE!$A$4:$A$100,[2]CODE!$E$4:$E$100),"")</f>
        <v/>
      </c>
      <c r="Y178" s="5" t="str">
        <f t="shared" si="18"/>
        <v/>
      </c>
      <c r="Z178" s="5" t="str">
        <f t="shared" si="19"/>
        <v/>
      </c>
      <c r="AA178" s="4">
        <f t="shared" si="20"/>
        <v>0</v>
      </c>
      <c r="AC178" s="2"/>
    </row>
    <row r="179" spans="1:29" ht="15.5">
      <c r="A179" s="13" t="str">
        <f>IF(OR(ISBLANK(C179),ISBLANK(D179),ISBLANK(F179),ISBLANK(G179)),"",COUNTIF($B$5:B179,"JAMBUTU"))</f>
        <v/>
      </c>
      <c r="B179" s="8"/>
      <c r="C179" s="8"/>
      <c r="D179" s="8"/>
      <c r="E179" s="13"/>
      <c r="F179" s="12"/>
      <c r="G179" s="11"/>
      <c r="H179" s="12"/>
      <c r="I179" s="11"/>
      <c r="J179" s="10">
        <f t="shared" si="15"/>
        <v>0</v>
      </c>
      <c r="K179" s="10">
        <f t="shared" si="16"/>
        <v>0</v>
      </c>
      <c r="L179" s="9" t="str">
        <f t="shared" si="17"/>
        <v/>
      </c>
      <c r="M179" s="8"/>
      <c r="N179" s="8"/>
      <c r="O179" s="8"/>
      <c r="P179" s="8"/>
      <c r="Q179" s="8"/>
      <c r="R179" s="8"/>
      <c r="S179" s="8"/>
      <c r="T179" s="8"/>
      <c r="U179" s="8"/>
      <c r="V179" s="7"/>
      <c r="W179" s="6" t="str">
        <f t="array" ref="W179">IF(NOT(ISBLANK(D179)),_xludf.XLOOKUP(D179,[2]CODE!$A$4:$A$100,[2]CODE!$D$4:$D$100),"")</f>
        <v/>
      </c>
      <c r="X179" s="5" t="str">
        <f t="array" ref="X179">IF(NOT(AND(ISBLANK(D179),ISBLANK(C179))),_xludf.XLOOKUP(D179,[2]CODE!$A$4:$A$100,[2]CODE!$E$4:$E$100),"")</f>
        <v/>
      </c>
      <c r="Y179" s="5" t="str">
        <f t="shared" si="18"/>
        <v/>
      </c>
      <c r="Z179" s="5" t="str">
        <f t="shared" si="19"/>
        <v/>
      </c>
      <c r="AA179" s="4">
        <f t="shared" si="20"/>
        <v>0</v>
      </c>
      <c r="AC179" s="2"/>
    </row>
    <row r="180" spans="1:29" ht="15.5">
      <c r="A180" s="13" t="str">
        <f>IF(OR(ISBLANK(C180),ISBLANK(D180),ISBLANK(F180),ISBLANK(G180)),"",COUNTIF($B$5:B180,"JAMBUTU"))</f>
        <v/>
      </c>
      <c r="B180" s="8"/>
      <c r="C180" s="8"/>
      <c r="D180" s="8"/>
      <c r="E180" s="13"/>
      <c r="F180" s="12"/>
      <c r="G180" s="11"/>
      <c r="H180" s="12"/>
      <c r="I180" s="15"/>
      <c r="J180" s="10">
        <f t="shared" si="15"/>
        <v>0</v>
      </c>
      <c r="K180" s="10">
        <f t="shared" si="16"/>
        <v>0</v>
      </c>
      <c r="L180" s="9" t="str">
        <f t="shared" si="17"/>
        <v/>
      </c>
      <c r="M180" s="8"/>
      <c r="N180" s="8"/>
      <c r="O180" s="8"/>
      <c r="P180" s="8"/>
      <c r="Q180" s="8"/>
      <c r="R180" s="8"/>
      <c r="S180" s="8"/>
      <c r="T180" s="8"/>
      <c r="U180" s="8"/>
      <c r="V180" s="7"/>
      <c r="W180" s="6" t="str">
        <f t="array" ref="W180">IF(NOT(ISBLANK(D180)),_xludf.XLOOKUP(D180,[2]CODE!$A$4:$A$100,[2]CODE!$D$4:$D$100),"")</f>
        <v/>
      </c>
      <c r="X180" s="5" t="str">
        <f t="array" ref="X180">IF(NOT(AND(ISBLANK(D180),ISBLANK(C180))),_xludf.XLOOKUP(D180,[2]CODE!$A$4:$A$100,[2]CODE!$E$4:$E$100),"")</f>
        <v/>
      </c>
      <c r="Y180" s="5" t="str">
        <f t="shared" si="18"/>
        <v/>
      </c>
      <c r="Z180" s="5" t="str">
        <f t="shared" si="19"/>
        <v/>
      </c>
      <c r="AA180" s="4">
        <f t="shared" si="20"/>
        <v>0</v>
      </c>
      <c r="AC180" s="2"/>
    </row>
    <row r="181" spans="1:29" ht="15.5">
      <c r="A181" s="13" t="str">
        <f>IF(OR(ISBLANK(C181),ISBLANK(D181),ISBLANK(F181),ISBLANK(G181)),"",COUNTIF($B$5:B181,"JAMBUTU"))</f>
        <v/>
      </c>
      <c r="B181" s="8"/>
      <c r="C181" s="8"/>
      <c r="D181" s="8"/>
      <c r="E181" s="20"/>
      <c r="F181" s="12"/>
      <c r="G181" s="11"/>
      <c r="H181" s="12"/>
      <c r="I181" s="15"/>
      <c r="J181" s="10">
        <f t="shared" si="15"/>
        <v>0</v>
      </c>
      <c r="K181" s="10">
        <f t="shared" si="16"/>
        <v>0</v>
      </c>
      <c r="L181" s="9" t="str">
        <f t="shared" si="17"/>
        <v/>
      </c>
      <c r="M181" s="8"/>
      <c r="N181" s="8"/>
      <c r="O181" s="8"/>
      <c r="P181" s="8"/>
      <c r="Q181" s="8"/>
      <c r="R181" s="8"/>
      <c r="S181" s="8"/>
      <c r="T181" s="8"/>
      <c r="U181" s="8"/>
      <c r="V181" s="7"/>
      <c r="W181" s="6" t="str">
        <f t="array" ref="W181">IF(NOT(ISBLANK(D181)),_xludf.XLOOKUP(D181,[2]CODE!$A$4:$A$100,[2]CODE!$D$4:$D$100),"")</f>
        <v/>
      </c>
      <c r="X181" s="5" t="str">
        <f t="array" ref="X181">IF(NOT(AND(ISBLANK(D181),ISBLANK(C181))),_xludf.XLOOKUP(D181,[2]CODE!$A$4:$A$100,[2]CODE!$E$4:$E$100),"")</f>
        <v/>
      </c>
      <c r="Y181" s="5" t="str">
        <f t="shared" si="18"/>
        <v/>
      </c>
      <c r="Z181" s="5" t="str">
        <f t="shared" si="19"/>
        <v/>
      </c>
      <c r="AA181" s="4">
        <f t="shared" si="20"/>
        <v>0</v>
      </c>
      <c r="AC181" s="2"/>
    </row>
    <row r="182" spans="1:29" ht="15.5">
      <c r="A182" s="13" t="str">
        <f>IF(OR(ISBLANK(C182),ISBLANK(D182),ISBLANK(F182),ISBLANK(G182)),"",COUNTIF($B$5:B182,"JAMBUTU"))</f>
        <v/>
      </c>
      <c r="B182" s="8"/>
      <c r="C182" s="8"/>
      <c r="D182" s="8"/>
      <c r="E182" s="20"/>
      <c r="F182" s="12"/>
      <c r="G182" s="11"/>
      <c r="H182" s="12"/>
      <c r="I182" s="11"/>
      <c r="J182" s="10">
        <f t="shared" si="15"/>
        <v>0</v>
      </c>
      <c r="K182" s="10">
        <f t="shared" si="16"/>
        <v>0</v>
      </c>
      <c r="L182" s="9" t="str">
        <f t="shared" si="17"/>
        <v/>
      </c>
      <c r="M182" s="8"/>
      <c r="N182" s="8"/>
      <c r="O182" s="8"/>
      <c r="P182" s="8"/>
      <c r="Q182" s="8"/>
      <c r="R182" s="8"/>
      <c r="S182" s="8"/>
      <c r="T182" s="8"/>
      <c r="U182" s="8"/>
      <c r="V182" s="7"/>
      <c r="W182" s="6" t="str">
        <f t="array" ref="W182">IF(NOT(ISBLANK(D182)),_xludf.XLOOKUP(D182,[2]CODE!$A$4:$A$100,[2]CODE!$D$4:$D$100),"")</f>
        <v/>
      </c>
      <c r="X182" s="5" t="str">
        <f t="array" ref="X182">IF(NOT(AND(ISBLANK(D182),ISBLANK(C182))),_xludf.XLOOKUP(D182,[2]CODE!$A$4:$A$100,[2]CODE!$E$4:$E$100),"")</f>
        <v/>
      </c>
      <c r="Y182" s="5" t="str">
        <f t="shared" si="18"/>
        <v/>
      </c>
      <c r="Z182" s="5" t="str">
        <f t="shared" si="19"/>
        <v/>
      </c>
      <c r="AA182" s="4">
        <f t="shared" si="20"/>
        <v>0</v>
      </c>
      <c r="AC182" s="2"/>
    </row>
    <row r="183" spans="1:29" ht="15.5">
      <c r="A183" s="13" t="str">
        <f>IF(OR(ISBLANK(C183),ISBLANK(D183),ISBLANK(F183),ISBLANK(G183)),"",COUNTIF($B$5:B183,"JAMBUTU"))</f>
        <v/>
      </c>
      <c r="B183" s="8"/>
      <c r="C183" s="8"/>
      <c r="D183" s="8"/>
      <c r="E183" s="20"/>
      <c r="F183" s="12"/>
      <c r="G183" s="11"/>
      <c r="H183" s="12"/>
      <c r="I183" s="15"/>
      <c r="J183" s="10">
        <f t="shared" si="15"/>
        <v>0</v>
      </c>
      <c r="K183" s="10">
        <f t="shared" si="16"/>
        <v>0</v>
      </c>
      <c r="L183" s="9" t="str">
        <f t="shared" si="17"/>
        <v/>
      </c>
      <c r="M183" s="8"/>
      <c r="N183" s="8"/>
      <c r="O183" s="8"/>
      <c r="P183" s="8"/>
      <c r="Q183" s="8"/>
      <c r="R183" s="8"/>
      <c r="S183" s="8"/>
      <c r="T183" s="8"/>
      <c r="U183" s="8"/>
      <c r="V183" s="7"/>
      <c r="W183" s="6" t="str">
        <f t="array" ref="W183">IF(NOT(ISBLANK(D183)),_xludf.XLOOKUP(D183,[2]CODE!$A$4:$A$100,[2]CODE!$D$4:$D$100),"")</f>
        <v/>
      </c>
      <c r="X183" s="5" t="str">
        <f t="array" ref="X183">IF(NOT(AND(ISBLANK(D183),ISBLANK(C183))),_xludf.XLOOKUP(D183,[2]CODE!$A$4:$A$100,[2]CODE!$E$4:$E$100),"")</f>
        <v/>
      </c>
      <c r="Y183" s="5" t="str">
        <f t="shared" si="18"/>
        <v/>
      </c>
      <c r="Z183" s="5" t="str">
        <f t="shared" si="19"/>
        <v/>
      </c>
      <c r="AA183" s="4">
        <f t="shared" si="20"/>
        <v>0</v>
      </c>
      <c r="AC183" s="2"/>
    </row>
    <row r="184" spans="1:29" ht="15.5">
      <c r="A184" s="13" t="str">
        <f>IF(OR(ISBLANK(C184),ISBLANK(D184),ISBLANK(F184),ISBLANK(G184)),"",COUNTIF($B$5:B184,"JAMBUTU"))</f>
        <v/>
      </c>
      <c r="B184" s="8"/>
      <c r="C184" s="8"/>
      <c r="D184" s="8"/>
      <c r="E184" s="13"/>
      <c r="F184" s="12"/>
      <c r="G184" s="11"/>
      <c r="H184" s="12"/>
      <c r="I184" s="15"/>
      <c r="J184" s="10">
        <f t="shared" si="15"/>
        <v>0</v>
      </c>
      <c r="K184" s="10">
        <f t="shared" si="16"/>
        <v>0</v>
      </c>
      <c r="L184" s="9" t="str">
        <f t="shared" si="17"/>
        <v/>
      </c>
      <c r="M184" s="8"/>
      <c r="N184" s="8"/>
      <c r="O184" s="8"/>
      <c r="P184" s="8"/>
      <c r="Q184" s="8"/>
      <c r="R184" s="8"/>
      <c r="S184" s="8"/>
      <c r="T184" s="8"/>
      <c r="U184" s="8"/>
      <c r="V184" s="7"/>
      <c r="W184" s="6" t="str">
        <f t="array" ref="W184">IF(NOT(ISBLANK(D184)),_xludf.XLOOKUP(D184,[2]CODE!$A$4:$A$100,[2]CODE!$D$4:$D$100),"")</f>
        <v/>
      </c>
      <c r="X184" s="5" t="str">
        <f t="array" ref="X184">IF(NOT(AND(ISBLANK(D184),ISBLANK(C184))),_xludf.XLOOKUP(D184,[2]CODE!$A$4:$A$100,[2]CODE!$E$4:$E$100),"")</f>
        <v/>
      </c>
      <c r="Y184" s="5" t="str">
        <f t="shared" si="18"/>
        <v/>
      </c>
      <c r="Z184" s="5" t="str">
        <f t="shared" si="19"/>
        <v/>
      </c>
      <c r="AA184" s="4">
        <f t="shared" si="20"/>
        <v>0</v>
      </c>
      <c r="AC184" s="2"/>
    </row>
    <row r="185" spans="1:29" ht="15.5">
      <c r="A185" s="13" t="str">
        <f>IF(OR(ISBLANK(C185),ISBLANK(D185),ISBLANK(F185),ISBLANK(G185)),"",COUNTIF($B$5:B185,"JAMBUTU"))</f>
        <v/>
      </c>
      <c r="B185" s="8"/>
      <c r="C185" s="8"/>
      <c r="D185" s="8"/>
      <c r="E185" s="20"/>
      <c r="F185" s="12"/>
      <c r="G185" s="11"/>
      <c r="H185" s="12"/>
      <c r="I185" s="11"/>
      <c r="J185" s="10">
        <f t="shared" si="15"/>
        <v>0</v>
      </c>
      <c r="K185" s="10">
        <f t="shared" si="16"/>
        <v>0</v>
      </c>
      <c r="L185" s="9" t="str">
        <f t="shared" si="17"/>
        <v/>
      </c>
      <c r="M185" s="8"/>
      <c r="N185" s="8"/>
      <c r="O185" s="8"/>
      <c r="P185" s="8"/>
      <c r="Q185" s="8"/>
      <c r="R185" s="8"/>
      <c r="S185" s="8"/>
      <c r="T185" s="8"/>
      <c r="U185" s="8"/>
      <c r="V185" s="7"/>
      <c r="W185" s="6" t="str">
        <f t="array" ref="W185">IF(NOT(ISBLANK(D185)),_xludf.XLOOKUP(D185,[2]CODE!$A$4:$A$100,[2]CODE!$D$4:$D$100),"")</f>
        <v/>
      </c>
      <c r="X185" s="5" t="str">
        <f t="array" ref="X185">IF(NOT(AND(ISBLANK(D185),ISBLANK(C185))),_xludf.XLOOKUP(D185,[2]CODE!$A$4:$A$100,[2]CODE!$E$4:$E$100),"")</f>
        <v/>
      </c>
      <c r="Y185" s="5" t="str">
        <f t="shared" si="18"/>
        <v/>
      </c>
      <c r="Z185" s="5" t="str">
        <f t="shared" si="19"/>
        <v/>
      </c>
      <c r="AA185" s="4">
        <f t="shared" si="20"/>
        <v>0</v>
      </c>
      <c r="AC185" s="2"/>
    </row>
    <row r="186" spans="1:29" ht="15.5">
      <c r="A186" s="13" t="str">
        <f>IF(OR(ISBLANK(C186),ISBLANK(D186),ISBLANK(F186),ISBLANK(G186)),"",COUNTIF($B$5:B186,"JAMBUTU"))</f>
        <v/>
      </c>
      <c r="B186" s="8"/>
      <c r="C186" s="8"/>
      <c r="D186" s="8"/>
      <c r="E186" s="13"/>
      <c r="F186" s="12"/>
      <c r="G186" s="11"/>
      <c r="H186" s="12"/>
      <c r="I186" s="11"/>
      <c r="J186" s="10">
        <f t="shared" si="15"/>
        <v>0</v>
      </c>
      <c r="K186" s="10">
        <f t="shared" si="16"/>
        <v>0</v>
      </c>
      <c r="L186" s="9" t="str">
        <f t="shared" si="17"/>
        <v/>
      </c>
      <c r="M186" s="8"/>
      <c r="N186" s="8"/>
      <c r="O186" s="8"/>
      <c r="P186" s="8"/>
      <c r="Q186" s="8"/>
      <c r="R186" s="8"/>
      <c r="S186" s="8"/>
      <c r="T186" s="8"/>
      <c r="U186" s="8"/>
      <c r="V186" s="7"/>
      <c r="W186" s="6" t="str">
        <f t="array" ref="W186">IF(NOT(ISBLANK(D186)),_xludf.XLOOKUP(D186,[2]CODE!$A$4:$A$100,[2]CODE!$D$4:$D$100),"")</f>
        <v/>
      </c>
      <c r="X186" s="5" t="str">
        <f t="array" ref="X186">IF(NOT(AND(ISBLANK(D186),ISBLANK(C186))),_xludf.XLOOKUP(D186,[2]CODE!$A$4:$A$100,[2]CODE!$E$4:$E$100),"")</f>
        <v/>
      </c>
      <c r="Y186" s="5" t="str">
        <f t="shared" si="18"/>
        <v/>
      </c>
      <c r="Z186" s="5" t="str">
        <f t="shared" si="19"/>
        <v/>
      </c>
      <c r="AA186" s="4">
        <f t="shared" si="20"/>
        <v>0</v>
      </c>
      <c r="AC186" s="2"/>
    </row>
    <row r="187" spans="1:29" ht="15.5">
      <c r="A187" s="13" t="str">
        <f>IF(OR(ISBLANK(C187),ISBLANK(D187),ISBLANK(F187),ISBLANK(G187)),"",COUNTIF($B$5:B187,"JAMBUTU"))</f>
        <v/>
      </c>
      <c r="B187" s="8"/>
      <c r="C187" s="8"/>
      <c r="D187" s="8"/>
      <c r="E187" s="13"/>
      <c r="F187" s="12"/>
      <c r="G187" s="11"/>
      <c r="H187" s="12"/>
      <c r="I187" s="11"/>
      <c r="J187" s="10">
        <f t="shared" si="15"/>
        <v>0</v>
      </c>
      <c r="K187" s="10">
        <f t="shared" si="16"/>
        <v>0</v>
      </c>
      <c r="L187" s="9" t="str">
        <f t="shared" si="17"/>
        <v/>
      </c>
      <c r="M187" s="8"/>
      <c r="N187" s="8"/>
      <c r="O187" s="8"/>
      <c r="P187" s="8"/>
      <c r="Q187" s="8"/>
      <c r="R187" s="8"/>
      <c r="S187" s="8"/>
      <c r="T187" s="8"/>
      <c r="U187" s="8"/>
      <c r="V187" s="7"/>
      <c r="W187" s="6" t="str">
        <f t="array" ref="W187">IF(NOT(ISBLANK(D187)),_xludf.XLOOKUP(D187,[2]CODE!$A$4:$A$100,[2]CODE!$D$4:$D$100),"")</f>
        <v/>
      </c>
      <c r="X187" s="5" t="str">
        <f t="array" ref="X187">IF(NOT(AND(ISBLANK(D187),ISBLANK(C187))),_xludf.XLOOKUP(D187,[2]CODE!$A$4:$A$100,[2]CODE!$E$4:$E$100),"")</f>
        <v/>
      </c>
      <c r="Y187" s="5" t="str">
        <f t="shared" si="18"/>
        <v/>
      </c>
      <c r="Z187" s="5" t="str">
        <f t="shared" si="19"/>
        <v/>
      </c>
      <c r="AA187" s="4">
        <f t="shared" si="20"/>
        <v>0</v>
      </c>
      <c r="AC187" s="2"/>
    </row>
    <row r="188" spans="1:29" ht="15.5">
      <c r="A188" s="13" t="str">
        <f>IF(OR(ISBLANK(C188),ISBLANK(D188),ISBLANK(F188),ISBLANK(G188)),"",COUNTIF($B$5:B188,"JAMBUTU"))</f>
        <v/>
      </c>
      <c r="B188" s="8"/>
      <c r="C188" s="8"/>
      <c r="D188" s="8"/>
      <c r="E188" s="13"/>
      <c r="F188" s="12"/>
      <c r="G188" s="11"/>
      <c r="H188" s="12"/>
      <c r="I188" s="11"/>
      <c r="J188" s="10">
        <f t="shared" si="15"/>
        <v>0</v>
      </c>
      <c r="K188" s="10">
        <f t="shared" si="16"/>
        <v>0</v>
      </c>
      <c r="L188" s="9" t="str">
        <f t="shared" si="17"/>
        <v/>
      </c>
      <c r="M188" s="8"/>
      <c r="N188" s="8"/>
      <c r="O188" s="8"/>
      <c r="P188" s="8"/>
      <c r="Q188" s="8"/>
      <c r="R188" s="8"/>
      <c r="S188" s="8"/>
      <c r="T188" s="8"/>
      <c r="U188" s="8"/>
      <c r="V188" s="7"/>
      <c r="W188" s="6" t="str">
        <f t="array" ref="W188">IF(NOT(ISBLANK(D188)),_xludf.XLOOKUP(D188,[2]CODE!$A$4:$A$100,[2]CODE!$D$4:$D$100),"")</f>
        <v/>
      </c>
      <c r="X188" s="5" t="str">
        <f t="array" ref="X188">IF(NOT(AND(ISBLANK(D188),ISBLANK(C188))),_xludf.XLOOKUP(D188,[2]CODE!$A$4:$A$100,[2]CODE!$E$4:$E$100),"")</f>
        <v/>
      </c>
      <c r="Y188" s="5" t="str">
        <f t="shared" si="18"/>
        <v/>
      </c>
      <c r="Z188" s="5" t="str">
        <f t="shared" si="19"/>
        <v/>
      </c>
      <c r="AA188" s="4">
        <f t="shared" si="20"/>
        <v>0</v>
      </c>
      <c r="AC188" s="2"/>
    </row>
    <row r="189" spans="1:29" ht="15.5">
      <c r="A189" s="13" t="str">
        <f>IF(OR(ISBLANK(C189),ISBLANK(D189),ISBLANK(F189),ISBLANK(G189)),"",COUNTIF($B$5:B189,"JAMBUTU"))</f>
        <v/>
      </c>
      <c r="B189" s="8"/>
      <c r="C189" s="8"/>
      <c r="D189" s="8"/>
      <c r="E189" s="13"/>
      <c r="F189" s="12"/>
      <c r="G189" s="11"/>
      <c r="H189" s="12"/>
      <c r="I189" s="11"/>
      <c r="J189" s="10">
        <f t="shared" si="15"/>
        <v>0</v>
      </c>
      <c r="K189" s="10">
        <f t="shared" si="16"/>
        <v>0</v>
      </c>
      <c r="L189" s="9" t="str">
        <f t="shared" si="17"/>
        <v/>
      </c>
      <c r="M189" s="8"/>
      <c r="N189" s="8"/>
      <c r="O189" s="8"/>
      <c r="P189" s="8"/>
      <c r="Q189" s="8"/>
      <c r="R189" s="8"/>
      <c r="S189" s="8"/>
      <c r="T189" s="8"/>
      <c r="U189" s="8"/>
      <c r="V189" s="7"/>
      <c r="W189" s="6" t="str">
        <f t="array" ref="W189">IF(NOT(ISBLANK(D189)),_xludf.XLOOKUP(D189,[2]CODE!$A$4:$A$100,[2]CODE!$D$4:$D$100),"")</f>
        <v/>
      </c>
      <c r="X189" s="5" t="str">
        <f t="array" ref="X189">IF(NOT(AND(ISBLANK(D189),ISBLANK(C189))),_xludf.XLOOKUP(D189,[2]CODE!$A$4:$A$100,[2]CODE!$E$4:$E$100),"")</f>
        <v/>
      </c>
      <c r="Y189" s="5" t="str">
        <f t="shared" si="18"/>
        <v/>
      </c>
      <c r="Z189" s="5" t="str">
        <f t="shared" si="19"/>
        <v/>
      </c>
      <c r="AA189" s="4">
        <f t="shared" si="20"/>
        <v>0</v>
      </c>
      <c r="AC189" s="2"/>
    </row>
    <row r="190" spans="1:29" ht="15.5">
      <c r="A190" s="13" t="str">
        <f>IF(OR(ISBLANK(C190),ISBLANK(D190),ISBLANK(F190),ISBLANK(G190)),"",COUNTIF($B$5:B190,"JAMBUTU"))</f>
        <v/>
      </c>
      <c r="B190" s="8"/>
      <c r="C190" s="8"/>
      <c r="D190" s="8"/>
      <c r="E190" s="13"/>
      <c r="F190" s="12"/>
      <c r="G190" s="11"/>
      <c r="H190" s="12"/>
      <c r="I190" s="11"/>
      <c r="J190" s="10">
        <f t="shared" si="15"/>
        <v>0</v>
      </c>
      <c r="K190" s="10">
        <f t="shared" si="16"/>
        <v>0</v>
      </c>
      <c r="L190" s="9" t="str">
        <f t="shared" si="17"/>
        <v/>
      </c>
      <c r="M190" s="8"/>
      <c r="N190" s="8"/>
      <c r="O190" s="8"/>
      <c r="P190" s="8"/>
      <c r="Q190" s="8"/>
      <c r="R190" s="8"/>
      <c r="S190" s="8"/>
      <c r="T190" s="8"/>
      <c r="U190" s="8"/>
      <c r="V190" s="7"/>
      <c r="W190" s="6" t="str">
        <f t="array" ref="W190">IF(NOT(ISBLANK(D190)),_xludf.XLOOKUP(D190,[2]CODE!$A$4:$A$100,[2]CODE!$D$4:$D$100),"")</f>
        <v/>
      </c>
      <c r="X190" s="5" t="str">
        <f t="array" ref="X190">IF(NOT(AND(ISBLANK(D190),ISBLANK(C190))),_xludf.XLOOKUP(D190,[2]CODE!$A$4:$A$100,[2]CODE!$E$4:$E$100),"")</f>
        <v/>
      </c>
      <c r="Y190" s="5" t="str">
        <f t="shared" si="18"/>
        <v/>
      </c>
      <c r="Z190" s="5" t="str">
        <f t="shared" si="19"/>
        <v/>
      </c>
      <c r="AA190" s="4">
        <f t="shared" si="20"/>
        <v>0</v>
      </c>
      <c r="AC190" s="2"/>
    </row>
    <row r="191" spans="1:29" ht="15.5">
      <c r="A191" s="13" t="str">
        <f>IF(OR(ISBLANK(C191),ISBLANK(D191),ISBLANK(F191),ISBLANK(G191)),"",COUNTIF($B$5:B191,"JAMBUTU"))</f>
        <v/>
      </c>
      <c r="B191" s="8"/>
      <c r="C191" s="8"/>
      <c r="D191" s="8"/>
      <c r="E191" s="13"/>
      <c r="F191" s="12"/>
      <c r="G191" s="11"/>
      <c r="H191" s="12"/>
      <c r="I191" s="11"/>
      <c r="J191" s="10">
        <f t="shared" si="15"/>
        <v>0</v>
      </c>
      <c r="K191" s="10">
        <f t="shared" si="16"/>
        <v>0</v>
      </c>
      <c r="L191" s="9" t="str">
        <f t="shared" si="17"/>
        <v/>
      </c>
      <c r="M191" s="8"/>
      <c r="N191" s="8"/>
      <c r="O191" s="8"/>
      <c r="P191" s="8"/>
      <c r="Q191" s="8"/>
      <c r="R191" s="8"/>
      <c r="S191" s="8"/>
      <c r="T191" s="8"/>
      <c r="U191" s="8"/>
      <c r="V191" s="7"/>
      <c r="W191" s="6" t="str">
        <f t="array" ref="W191">IF(NOT(ISBLANK(D191)),_xludf.XLOOKUP(D191,[2]CODE!$A$4:$A$100,[2]CODE!$D$4:$D$100),"")</f>
        <v/>
      </c>
      <c r="X191" s="5" t="str">
        <f t="array" ref="X191">IF(NOT(AND(ISBLANK(D191),ISBLANK(C191))),_xludf.XLOOKUP(D191,[2]CODE!$A$4:$A$100,[2]CODE!$E$4:$E$100),"")</f>
        <v/>
      </c>
      <c r="Y191" s="5" t="str">
        <f t="shared" si="18"/>
        <v/>
      </c>
      <c r="Z191" s="5" t="str">
        <f t="shared" si="19"/>
        <v/>
      </c>
      <c r="AA191" s="4">
        <f t="shared" si="20"/>
        <v>0</v>
      </c>
      <c r="AC191" s="2"/>
    </row>
    <row r="192" spans="1:29" ht="15.5">
      <c r="A192" s="13" t="str">
        <f>IF(OR(ISBLANK(C192),ISBLANK(D192),ISBLANK(F192),ISBLANK(G192)),"",COUNTIF($B$5:B192,"JAMBUTU"))</f>
        <v/>
      </c>
      <c r="B192" s="8"/>
      <c r="C192" s="8"/>
      <c r="D192" s="8"/>
      <c r="E192" s="13"/>
      <c r="F192" s="12"/>
      <c r="G192" s="11"/>
      <c r="H192" s="12"/>
      <c r="I192" s="11"/>
      <c r="J192" s="10">
        <f t="shared" si="15"/>
        <v>0</v>
      </c>
      <c r="K192" s="10">
        <f t="shared" si="16"/>
        <v>0</v>
      </c>
      <c r="L192" s="9" t="str">
        <f t="shared" si="17"/>
        <v/>
      </c>
      <c r="M192" s="8"/>
      <c r="N192" s="8"/>
      <c r="O192" s="8"/>
      <c r="P192" s="8"/>
      <c r="Q192" s="8"/>
      <c r="R192" s="8"/>
      <c r="S192" s="8"/>
      <c r="T192" s="8"/>
      <c r="U192" s="8"/>
      <c r="V192" s="7"/>
      <c r="W192" s="6" t="str">
        <f t="array" ref="W192">IF(NOT(ISBLANK(D192)),_xludf.XLOOKUP(D192,[2]CODE!$A$4:$A$100,[2]CODE!$D$4:$D$100),"")</f>
        <v/>
      </c>
      <c r="X192" s="5" t="str">
        <f t="array" ref="X192">IF(NOT(AND(ISBLANK(D192),ISBLANK(C192))),_xludf.XLOOKUP(D192,[2]CODE!$A$4:$A$100,[2]CODE!$E$4:$E$100),"")</f>
        <v/>
      </c>
      <c r="Y192" s="5" t="str">
        <f t="shared" si="18"/>
        <v/>
      </c>
      <c r="Z192" s="5" t="str">
        <f t="shared" si="19"/>
        <v/>
      </c>
      <c r="AA192" s="4">
        <f t="shared" si="20"/>
        <v>0</v>
      </c>
      <c r="AC192" s="2"/>
    </row>
    <row r="193" spans="1:29" ht="15.5">
      <c r="A193" s="13" t="str">
        <f>IF(OR(ISBLANK(C193),ISBLANK(D193),ISBLANK(F193),ISBLANK(G193)),"",COUNTIF($B$5:B193,"JAMBUTU"))</f>
        <v/>
      </c>
      <c r="B193" s="8"/>
      <c r="C193" s="8"/>
      <c r="D193" s="8"/>
      <c r="E193" s="13"/>
      <c r="F193" s="12"/>
      <c r="G193" s="11"/>
      <c r="H193" s="12"/>
      <c r="I193" s="11"/>
      <c r="J193" s="10">
        <f t="shared" si="15"/>
        <v>0</v>
      </c>
      <c r="K193" s="10">
        <f t="shared" si="16"/>
        <v>0</v>
      </c>
      <c r="L193" s="9" t="str">
        <f t="shared" si="17"/>
        <v/>
      </c>
      <c r="M193" s="8"/>
      <c r="N193" s="8"/>
      <c r="O193" s="8"/>
      <c r="P193" s="8"/>
      <c r="Q193" s="8"/>
      <c r="R193" s="8"/>
      <c r="S193" s="8"/>
      <c r="T193" s="8"/>
      <c r="U193" s="8"/>
      <c r="V193" s="7"/>
      <c r="W193" s="6" t="str">
        <f t="array" ref="W193">IF(NOT(ISBLANK(D193)),_xludf.XLOOKUP(D193,[2]CODE!$A$4:$A$100,[2]CODE!$D$4:$D$100),"")</f>
        <v/>
      </c>
      <c r="X193" s="5" t="str">
        <f t="array" ref="X193">IF(NOT(AND(ISBLANK(D193),ISBLANK(C193))),_xludf.XLOOKUP(D193,[2]CODE!$A$4:$A$100,[2]CODE!$E$4:$E$100),"")</f>
        <v/>
      </c>
      <c r="Y193" s="5" t="str">
        <f t="shared" si="18"/>
        <v/>
      </c>
      <c r="Z193" s="5" t="str">
        <f t="shared" si="19"/>
        <v/>
      </c>
      <c r="AA193" s="4">
        <f t="shared" si="20"/>
        <v>0</v>
      </c>
      <c r="AC193" s="2"/>
    </row>
    <row r="194" spans="1:29" ht="15.5">
      <c r="A194" s="13" t="str">
        <f>IF(OR(ISBLANK(C194),ISBLANK(D194),ISBLANK(F194),ISBLANK(G194)),"",COUNTIF($B$5:B194,"JAMBUTU"))</f>
        <v/>
      </c>
      <c r="B194" s="8"/>
      <c r="C194" s="8"/>
      <c r="D194" s="8"/>
      <c r="E194" s="13"/>
      <c r="F194" s="12"/>
      <c r="G194" s="11"/>
      <c r="H194" s="12"/>
      <c r="I194" s="11"/>
      <c r="J194" s="10">
        <f t="shared" si="15"/>
        <v>0</v>
      </c>
      <c r="K194" s="10">
        <f t="shared" si="16"/>
        <v>0</v>
      </c>
      <c r="L194" s="9" t="str">
        <f t="shared" si="17"/>
        <v/>
      </c>
      <c r="M194" s="8"/>
      <c r="N194" s="8"/>
      <c r="O194" s="8"/>
      <c r="P194" s="8"/>
      <c r="Q194" s="8"/>
      <c r="R194" s="8"/>
      <c r="S194" s="8"/>
      <c r="T194" s="8"/>
      <c r="U194" s="8"/>
      <c r="V194" s="7"/>
      <c r="W194" s="6" t="str">
        <f t="array" ref="W194">IF(NOT(ISBLANK(D194)),_xludf.XLOOKUP(D194,[2]CODE!$A$4:$A$100,[2]CODE!$D$4:$D$100),"")</f>
        <v/>
      </c>
      <c r="X194" s="5" t="str">
        <f t="array" ref="X194">IF(NOT(AND(ISBLANK(D194),ISBLANK(C194))),_xludf.XLOOKUP(D194,[2]CODE!$A$4:$A$100,[2]CODE!$E$4:$E$100),"")</f>
        <v/>
      </c>
      <c r="Y194" s="5" t="str">
        <f t="shared" si="18"/>
        <v/>
      </c>
      <c r="Z194" s="5" t="str">
        <f t="shared" si="19"/>
        <v/>
      </c>
      <c r="AA194" s="4">
        <f t="shared" si="20"/>
        <v>0</v>
      </c>
      <c r="AC194" s="2"/>
    </row>
    <row r="195" spans="1:29" ht="15.5">
      <c r="A195" s="13" t="str">
        <f>IF(OR(ISBLANK(C195),ISBLANK(D195),ISBLANK(F195),ISBLANK(G195)),"",COUNTIF($B$5:B195,"JAMBUTU"))</f>
        <v/>
      </c>
      <c r="B195" s="8"/>
      <c r="C195" s="8"/>
      <c r="D195" s="8"/>
      <c r="E195" s="13"/>
      <c r="F195" s="12"/>
      <c r="G195" s="11"/>
      <c r="H195" s="12"/>
      <c r="I195" s="11"/>
      <c r="J195" s="10">
        <f t="shared" si="15"/>
        <v>0</v>
      </c>
      <c r="K195" s="10">
        <f t="shared" si="16"/>
        <v>0</v>
      </c>
      <c r="L195" s="9" t="str">
        <f t="shared" si="17"/>
        <v/>
      </c>
      <c r="M195" s="8"/>
      <c r="N195" s="8"/>
      <c r="O195" s="8"/>
      <c r="P195" s="8"/>
      <c r="Q195" s="8"/>
      <c r="R195" s="8"/>
      <c r="S195" s="8"/>
      <c r="T195" s="8"/>
      <c r="U195" s="8"/>
      <c r="V195" s="7"/>
      <c r="W195" s="6" t="str">
        <f t="array" ref="W195">IF(NOT(ISBLANK(D195)),_xludf.XLOOKUP(D195,[2]CODE!$A$4:$A$100,[2]CODE!$D$4:$D$100),"")</f>
        <v/>
      </c>
      <c r="X195" s="5" t="str">
        <f t="array" ref="X195">IF(NOT(AND(ISBLANK(D195),ISBLANK(C195))),_xludf.XLOOKUP(D195,[2]CODE!$A$4:$A$100,[2]CODE!$E$4:$E$100),"")</f>
        <v/>
      </c>
      <c r="Y195" s="5" t="str">
        <f t="shared" si="18"/>
        <v/>
      </c>
      <c r="Z195" s="5" t="str">
        <f t="shared" si="19"/>
        <v/>
      </c>
      <c r="AA195" s="4">
        <f t="shared" si="20"/>
        <v>0</v>
      </c>
      <c r="AC195" s="2"/>
    </row>
    <row r="196" spans="1:29" ht="15.5">
      <c r="A196" s="13" t="str">
        <f>IF(OR(ISBLANK(C196),ISBLANK(D196),ISBLANK(F196),ISBLANK(G196)),"",COUNTIF($B$5:B196,"JAMBUTU"))</f>
        <v/>
      </c>
      <c r="B196" s="8"/>
      <c r="C196" s="8"/>
      <c r="D196" s="8"/>
      <c r="E196" s="13"/>
      <c r="F196" s="12"/>
      <c r="G196" s="11"/>
      <c r="H196" s="12"/>
      <c r="I196" s="11"/>
      <c r="J196" s="10">
        <f t="shared" si="15"/>
        <v>0</v>
      </c>
      <c r="K196" s="10">
        <f t="shared" si="16"/>
        <v>0</v>
      </c>
      <c r="L196" s="9" t="str">
        <f t="shared" si="17"/>
        <v/>
      </c>
      <c r="M196" s="8"/>
      <c r="N196" s="8"/>
      <c r="O196" s="8"/>
      <c r="P196" s="8"/>
      <c r="Q196" s="8"/>
      <c r="R196" s="8"/>
      <c r="S196" s="8"/>
      <c r="T196" s="8"/>
      <c r="U196" s="8"/>
      <c r="V196" s="7"/>
      <c r="W196" s="6" t="str">
        <f t="array" ref="W196">IF(NOT(ISBLANK(D196)),_xludf.XLOOKUP(D196,[2]CODE!$A$4:$A$100,[2]CODE!$D$4:$D$100),"")</f>
        <v/>
      </c>
      <c r="X196" s="5" t="str">
        <f t="array" ref="X196">IF(NOT(AND(ISBLANK(D196),ISBLANK(C196))),_xludf.XLOOKUP(D196,[2]CODE!$A$4:$A$100,[2]CODE!$E$4:$E$100),"")</f>
        <v/>
      </c>
      <c r="Y196" s="5" t="str">
        <f t="shared" si="18"/>
        <v/>
      </c>
      <c r="Z196" s="5" t="str">
        <f t="shared" si="19"/>
        <v/>
      </c>
      <c r="AA196" s="4">
        <f t="shared" si="20"/>
        <v>0</v>
      </c>
      <c r="AC196" s="2"/>
    </row>
    <row r="197" spans="1:29" ht="15.5">
      <c r="A197" s="13" t="str">
        <f>IF(OR(ISBLANK(C197),ISBLANK(D197),ISBLANK(F197),ISBLANK(G197)),"",COUNTIF($B$5:B197,"JAMBUTU"))</f>
        <v/>
      </c>
      <c r="B197" s="8"/>
      <c r="C197" s="8"/>
      <c r="D197" s="8"/>
      <c r="E197" s="13"/>
      <c r="F197" s="12"/>
      <c r="G197" s="11"/>
      <c r="H197" s="12"/>
      <c r="I197" s="11"/>
      <c r="J197" s="10">
        <f t="shared" ref="J197:J260" si="21">DATE(YEAR(F197),MONTH(F197),DAY(F197))+TIME(HOUR(G197),MINUTE(G197), SECOND(G197))</f>
        <v>0</v>
      </c>
      <c r="K197" s="10">
        <f t="shared" ref="K197:K260" si="22">DATE(YEAR(H197),MONTH(H197),DAY(H197))+TIME(HOUR(I197),MINUTE(I197), SECOND(I197))</f>
        <v>0</v>
      </c>
      <c r="L197" s="9" t="str">
        <f t="shared" ref="L197:L260" si="23">IF(ISBLANK(I197),"",IF(J197&gt;K197,(K197+1)-J197,K197-J197))</f>
        <v/>
      </c>
      <c r="M197" s="8"/>
      <c r="N197" s="8"/>
      <c r="O197" s="8"/>
      <c r="P197" s="8"/>
      <c r="Q197" s="8"/>
      <c r="R197" s="8"/>
      <c r="S197" s="8"/>
      <c r="T197" s="8"/>
      <c r="U197" s="8"/>
      <c r="V197" s="7"/>
      <c r="W197" s="6" t="str">
        <f t="array" ref="W197">IF(NOT(ISBLANK(D197)),_xludf.XLOOKUP(D197,[2]CODE!$A$4:$A$100,[2]CODE!$D$4:$D$100),"")</f>
        <v/>
      </c>
      <c r="X197" s="5" t="str">
        <f t="array" ref="X197">IF(NOT(AND(ISBLANK(D197),ISBLANK(C197))),_xludf.XLOOKUP(D197,[2]CODE!$A$4:$A$100,[2]CODE!$E$4:$E$100),"")</f>
        <v/>
      </c>
      <c r="Y197" s="5" t="str">
        <f t="shared" ref="Y197:Y260" si="24">LEFT(C197,4)</f>
        <v/>
      </c>
      <c r="Z197" s="5" t="str">
        <f t="shared" ref="Z197:Z260" si="25">IF(NOT(ISBLANK(C197)), IF(K197&gt;J197,"YES","NO"),"")</f>
        <v/>
      </c>
      <c r="AA197" s="4">
        <f t="shared" ref="AA197:AA260" si="26">IF(AND(F197=H197,Z197="NO"),1+H197,H197)</f>
        <v>0</v>
      </c>
      <c r="AC197" s="2"/>
    </row>
    <row r="198" spans="1:29" ht="15.5">
      <c r="A198" s="13" t="str">
        <f>IF(OR(ISBLANK(C198),ISBLANK(D198),ISBLANK(F198),ISBLANK(G198)),"",COUNTIF($B$5:B198,"JAMBUTU"))</f>
        <v/>
      </c>
      <c r="B198" s="8"/>
      <c r="C198" s="8"/>
      <c r="D198" s="8"/>
      <c r="E198" s="13"/>
      <c r="F198" s="12"/>
      <c r="G198" s="11"/>
      <c r="H198" s="12"/>
      <c r="I198" s="11"/>
      <c r="J198" s="10">
        <f t="shared" si="21"/>
        <v>0</v>
      </c>
      <c r="K198" s="10">
        <f t="shared" si="22"/>
        <v>0</v>
      </c>
      <c r="L198" s="9" t="str">
        <f t="shared" si="23"/>
        <v/>
      </c>
      <c r="M198" s="8"/>
      <c r="N198" s="8"/>
      <c r="O198" s="8"/>
      <c r="P198" s="8"/>
      <c r="Q198" s="8"/>
      <c r="R198" s="8"/>
      <c r="S198" s="8"/>
      <c r="T198" s="8"/>
      <c r="U198" s="8"/>
      <c r="V198" s="7"/>
      <c r="W198" s="6" t="str">
        <f t="array" ref="W198">IF(NOT(ISBLANK(D198)),_xludf.XLOOKUP(D198,[2]CODE!$A$4:$A$100,[2]CODE!$D$4:$D$100),"")</f>
        <v/>
      </c>
      <c r="X198" s="5" t="str">
        <f t="array" ref="X198">IF(NOT(AND(ISBLANK(D198),ISBLANK(C198))),_xludf.XLOOKUP(D198,[2]CODE!$A$4:$A$100,[2]CODE!$E$4:$E$100),"")</f>
        <v/>
      </c>
      <c r="Y198" s="5" t="str">
        <f t="shared" si="24"/>
        <v/>
      </c>
      <c r="Z198" s="5" t="str">
        <f t="shared" si="25"/>
        <v/>
      </c>
      <c r="AA198" s="4">
        <f t="shared" si="26"/>
        <v>0</v>
      </c>
      <c r="AC198" s="2"/>
    </row>
    <row r="199" spans="1:29" ht="15.5">
      <c r="A199" s="13" t="str">
        <f>IF(OR(ISBLANK(C199),ISBLANK(D199),ISBLANK(F199),ISBLANK(G199)),"",COUNTIF($B$5:B199,"JAMBUTU"))</f>
        <v/>
      </c>
      <c r="B199" s="8"/>
      <c r="C199" s="8"/>
      <c r="D199" s="8"/>
      <c r="E199" s="13"/>
      <c r="F199" s="12"/>
      <c r="G199" s="11"/>
      <c r="H199" s="12"/>
      <c r="I199" s="11"/>
      <c r="J199" s="10">
        <f t="shared" si="21"/>
        <v>0</v>
      </c>
      <c r="K199" s="10">
        <f t="shared" si="22"/>
        <v>0</v>
      </c>
      <c r="L199" s="9" t="str">
        <f t="shared" si="23"/>
        <v/>
      </c>
      <c r="M199" s="8"/>
      <c r="N199" s="8"/>
      <c r="O199" s="8"/>
      <c r="P199" s="8"/>
      <c r="Q199" s="8"/>
      <c r="R199" s="8"/>
      <c r="S199" s="8"/>
      <c r="T199" s="8"/>
      <c r="U199" s="8"/>
      <c r="V199" s="7"/>
      <c r="W199" s="6" t="str">
        <f t="array" ref="W199">IF(NOT(ISBLANK(D199)),_xludf.XLOOKUP(D199,[2]CODE!$A$4:$A$100,[2]CODE!$D$4:$D$100),"")</f>
        <v/>
      </c>
      <c r="X199" s="5" t="str">
        <f t="array" ref="X199">IF(NOT(AND(ISBLANK(D199),ISBLANK(C199))),_xludf.XLOOKUP(D199,[2]CODE!$A$4:$A$100,[2]CODE!$E$4:$E$100),"")</f>
        <v/>
      </c>
      <c r="Y199" s="5" t="str">
        <f t="shared" si="24"/>
        <v/>
      </c>
      <c r="Z199" s="5" t="str">
        <f t="shared" si="25"/>
        <v/>
      </c>
      <c r="AA199" s="4">
        <f t="shared" si="26"/>
        <v>0</v>
      </c>
      <c r="AC199" s="2"/>
    </row>
    <row r="200" spans="1:29" ht="15.5">
      <c r="A200" s="13" t="str">
        <f>IF(OR(ISBLANK(C200),ISBLANK(D200),ISBLANK(F200),ISBLANK(G200)),"",COUNTIF($B$5:B200,"JAMBUTU"))</f>
        <v/>
      </c>
      <c r="B200" s="8"/>
      <c r="C200" s="8"/>
      <c r="D200" s="8"/>
      <c r="E200" s="13"/>
      <c r="F200" s="12"/>
      <c r="G200" s="11"/>
      <c r="H200" s="12"/>
      <c r="I200" s="11"/>
      <c r="J200" s="10">
        <f t="shared" si="21"/>
        <v>0</v>
      </c>
      <c r="K200" s="10">
        <f t="shared" si="22"/>
        <v>0</v>
      </c>
      <c r="L200" s="9" t="str">
        <f t="shared" si="23"/>
        <v/>
      </c>
      <c r="M200" s="8"/>
      <c r="N200" s="8"/>
      <c r="O200" s="8"/>
      <c r="P200" s="8"/>
      <c r="Q200" s="8"/>
      <c r="R200" s="8"/>
      <c r="S200" s="8"/>
      <c r="T200" s="8"/>
      <c r="U200" s="8"/>
      <c r="V200" s="7"/>
      <c r="W200" s="6" t="str">
        <f t="array" ref="W200">IF(NOT(ISBLANK(D200)),_xludf.XLOOKUP(D200,[2]CODE!$A$4:$A$100,[2]CODE!$D$4:$D$100),"")</f>
        <v/>
      </c>
      <c r="X200" s="5" t="str">
        <f t="array" ref="X200">IF(NOT(AND(ISBLANK(D200),ISBLANK(C200))),_xludf.XLOOKUP(D200,[2]CODE!$A$4:$A$100,[2]CODE!$E$4:$E$100),"")</f>
        <v/>
      </c>
      <c r="Y200" s="5" t="str">
        <f t="shared" si="24"/>
        <v/>
      </c>
      <c r="Z200" s="5" t="str">
        <f t="shared" si="25"/>
        <v/>
      </c>
      <c r="AA200" s="4">
        <f t="shared" si="26"/>
        <v>0</v>
      </c>
      <c r="AC200" s="2"/>
    </row>
    <row r="201" spans="1:29" ht="15.5">
      <c r="A201" s="13" t="str">
        <f>IF(OR(ISBLANK(C201),ISBLANK(D201),ISBLANK(F201),ISBLANK(G201)),"",COUNTIF($B$5:B201,"JAMBUTU"))</f>
        <v/>
      </c>
      <c r="B201" s="8"/>
      <c r="C201" s="8"/>
      <c r="D201" s="8"/>
      <c r="E201" s="13"/>
      <c r="F201" s="12"/>
      <c r="G201" s="11"/>
      <c r="H201" s="12"/>
      <c r="I201" s="11"/>
      <c r="J201" s="10">
        <f t="shared" si="21"/>
        <v>0</v>
      </c>
      <c r="K201" s="10">
        <f t="shared" si="22"/>
        <v>0</v>
      </c>
      <c r="L201" s="9" t="str">
        <f t="shared" si="23"/>
        <v/>
      </c>
      <c r="M201" s="8"/>
      <c r="N201" s="8"/>
      <c r="O201" s="8"/>
      <c r="P201" s="8"/>
      <c r="Q201" s="8"/>
      <c r="R201" s="8"/>
      <c r="S201" s="8"/>
      <c r="T201" s="8"/>
      <c r="U201" s="8"/>
      <c r="V201" s="7"/>
      <c r="W201" s="6" t="str">
        <f t="array" ref="W201">IF(NOT(ISBLANK(D201)),_xludf.XLOOKUP(D201,[2]CODE!$A$4:$A$100,[2]CODE!$D$4:$D$100),"")</f>
        <v/>
      </c>
      <c r="X201" s="5" t="str">
        <f t="array" ref="X201">IF(NOT(AND(ISBLANK(D201),ISBLANK(C201))),_xludf.XLOOKUP(D201,[2]CODE!$A$4:$A$100,[2]CODE!$E$4:$E$100),"")</f>
        <v/>
      </c>
      <c r="Y201" s="5" t="str">
        <f t="shared" si="24"/>
        <v/>
      </c>
      <c r="Z201" s="5" t="str">
        <f t="shared" si="25"/>
        <v/>
      </c>
      <c r="AA201" s="4">
        <f t="shared" si="26"/>
        <v>0</v>
      </c>
      <c r="AC201" s="2"/>
    </row>
    <row r="202" spans="1:29" ht="15.5">
      <c r="A202" s="13" t="str">
        <f>IF(OR(ISBLANK(C202),ISBLANK(D202),ISBLANK(F202),ISBLANK(G202)),"",COUNTIF($B$5:B202,"JAMBUTU"))</f>
        <v/>
      </c>
      <c r="B202" s="8"/>
      <c r="C202" s="8"/>
      <c r="D202" s="8"/>
      <c r="E202" s="13"/>
      <c r="F202" s="12"/>
      <c r="G202" s="11"/>
      <c r="H202" s="12"/>
      <c r="I202" s="11"/>
      <c r="J202" s="10">
        <f t="shared" si="21"/>
        <v>0</v>
      </c>
      <c r="K202" s="10">
        <f t="shared" si="22"/>
        <v>0</v>
      </c>
      <c r="L202" s="9" t="str">
        <f t="shared" si="23"/>
        <v/>
      </c>
      <c r="M202" s="8"/>
      <c r="N202" s="8"/>
      <c r="O202" s="8"/>
      <c r="P202" s="8"/>
      <c r="Q202" s="8"/>
      <c r="R202" s="8"/>
      <c r="S202" s="8"/>
      <c r="T202" s="8"/>
      <c r="U202" s="8"/>
      <c r="V202" s="7"/>
      <c r="W202" s="6" t="str">
        <f t="array" ref="W202">IF(NOT(ISBLANK(D202)),_xludf.XLOOKUP(D202,[2]CODE!$A$4:$A$100,[2]CODE!$D$4:$D$100),"")</f>
        <v/>
      </c>
      <c r="X202" s="5" t="str">
        <f t="array" ref="X202">IF(NOT(AND(ISBLANK(D202),ISBLANK(C202))),_xludf.XLOOKUP(D202,[2]CODE!$A$4:$A$100,[2]CODE!$E$4:$E$100),"")</f>
        <v/>
      </c>
      <c r="Y202" s="5" t="str">
        <f t="shared" si="24"/>
        <v/>
      </c>
      <c r="Z202" s="5" t="str">
        <f t="shared" si="25"/>
        <v/>
      </c>
      <c r="AA202" s="4">
        <f t="shared" si="26"/>
        <v>0</v>
      </c>
      <c r="AC202" s="2"/>
    </row>
    <row r="203" spans="1:29" ht="15.5">
      <c r="A203" s="13" t="str">
        <f>IF(OR(ISBLANK(C203),ISBLANK(D203),ISBLANK(F203),ISBLANK(G203)),"",COUNTIF($B$5:B203,"JAMBUTU"))</f>
        <v/>
      </c>
      <c r="B203" s="8"/>
      <c r="C203" s="8"/>
      <c r="D203" s="8"/>
      <c r="E203" s="13"/>
      <c r="F203" s="12"/>
      <c r="G203" s="11"/>
      <c r="H203" s="12"/>
      <c r="I203" s="11"/>
      <c r="J203" s="10">
        <f t="shared" si="21"/>
        <v>0</v>
      </c>
      <c r="K203" s="10">
        <f t="shared" si="22"/>
        <v>0</v>
      </c>
      <c r="L203" s="9" t="str">
        <f t="shared" si="23"/>
        <v/>
      </c>
      <c r="M203" s="8"/>
      <c r="N203" s="8"/>
      <c r="O203" s="8"/>
      <c r="P203" s="8"/>
      <c r="Q203" s="8"/>
      <c r="R203" s="8"/>
      <c r="S203" s="8"/>
      <c r="T203" s="8"/>
      <c r="U203" s="8"/>
      <c r="V203" s="7"/>
      <c r="W203" s="6" t="str">
        <f t="array" ref="W203">IF(NOT(ISBLANK(D203)),_xludf.XLOOKUP(D203,[2]CODE!$A$4:$A$100,[2]CODE!$D$4:$D$100),"")</f>
        <v/>
      </c>
      <c r="X203" s="5" t="str">
        <f t="array" ref="X203">IF(NOT(AND(ISBLANK(D203),ISBLANK(C203))),_xludf.XLOOKUP(D203,[2]CODE!$A$4:$A$100,[2]CODE!$E$4:$E$100),"")</f>
        <v/>
      </c>
      <c r="Y203" s="5" t="str">
        <f t="shared" si="24"/>
        <v/>
      </c>
      <c r="Z203" s="5" t="str">
        <f t="shared" si="25"/>
        <v/>
      </c>
      <c r="AA203" s="4">
        <f t="shared" si="26"/>
        <v>0</v>
      </c>
      <c r="AC203" s="2"/>
    </row>
    <row r="204" spans="1:29" ht="15.5">
      <c r="A204" s="13" t="str">
        <f>IF(OR(ISBLANK(C204),ISBLANK(D204),ISBLANK(F204),ISBLANK(G204)),"",COUNTIF($B$5:B204,"JAMBUTU"))</f>
        <v/>
      </c>
      <c r="B204" s="8"/>
      <c r="C204" s="8"/>
      <c r="D204" s="8"/>
      <c r="E204" s="13"/>
      <c r="F204" s="12"/>
      <c r="G204" s="11"/>
      <c r="H204" s="12"/>
      <c r="I204" s="11"/>
      <c r="J204" s="10">
        <f t="shared" si="21"/>
        <v>0</v>
      </c>
      <c r="K204" s="10">
        <f t="shared" si="22"/>
        <v>0</v>
      </c>
      <c r="L204" s="9" t="str">
        <f t="shared" si="23"/>
        <v/>
      </c>
      <c r="M204" s="8"/>
      <c r="N204" s="8"/>
      <c r="O204" s="8"/>
      <c r="P204" s="8"/>
      <c r="Q204" s="8"/>
      <c r="R204" s="8"/>
      <c r="S204" s="8"/>
      <c r="T204" s="8"/>
      <c r="U204" s="8"/>
      <c r="V204" s="7"/>
      <c r="W204" s="6" t="str">
        <f t="array" ref="W204">IF(NOT(ISBLANK(D204)),_xludf.XLOOKUP(D204,[2]CODE!$A$4:$A$100,[2]CODE!$D$4:$D$100),"")</f>
        <v/>
      </c>
      <c r="X204" s="5" t="str">
        <f t="array" ref="X204">IF(NOT(AND(ISBLANK(D204),ISBLANK(C204))),_xludf.XLOOKUP(D204,[2]CODE!$A$4:$A$100,[2]CODE!$E$4:$E$100),"")</f>
        <v/>
      </c>
      <c r="Y204" s="5" t="str">
        <f t="shared" si="24"/>
        <v/>
      </c>
      <c r="Z204" s="5" t="str">
        <f t="shared" si="25"/>
        <v/>
      </c>
      <c r="AA204" s="4">
        <f t="shared" si="26"/>
        <v>0</v>
      </c>
      <c r="AC204" s="2"/>
    </row>
    <row r="205" spans="1:29" ht="15.5">
      <c r="A205" s="13" t="str">
        <f>IF(OR(ISBLANK(C205),ISBLANK(D205),ISBLANK(F205),ISBLANK(G205)),"",COUNTIF($B$5:B205,"JAMBUTU"))</f>
        <v/>
      </c>
      <c r="B205" s="8"/>
      <c r="C205" s="8"/>
      <c r="D205" s="8"/>
      <c r="E205" s="13"/>
      <c r="F205" s="12"/>
      <c r="G205" s="11"/>
      <c r="H205" s="12"/>
      <c r="I205" s="11"/>
      <c r="J205" s="10">
        <f t="shared" si="21"/>
        <v>0</v>
      </c>
      <c r="K205" s="10">
        <f t="shared" si="22"/>
        <v>0</v>
      </c>
      <c r="L205" s="9" t="str">
        <f t="shared" si="23"/>
        <v/>
      </c>
      <c r="M205" s="8"/>
      <c r="N205" s="8"/>
      <c r="O205" s="8"/>
      <c r="P205" s="8"/>
      <c r="Q205" s="8"/>
      <c r="R205" s="8"/>
      <c r="S205" s="8"/>
      <c r="T205" s="8"/>
      <c r="U205" s="8"/>
      <c r="V205" s="7"/>
      <c r="W205" s="6" t="str">
        <f t="array" ref="W205">IF(NOT(ISBLANK(D205)),_xludf.XLOOKUP(D205,[2]CODE!$A$4:$A$100,[2]CODE!$D$4:$D$100),"")</f>
        <v/>
      </c>
      <c r="X205" s="5" t="str">
        <f t="array" ref="X205">IF(NOT(AND(ISBLANK(D205),ISBLANK(C205))),_xludf.XLOOKUP(D205,[2]CODE!$A$4:$A$100,[2]CODE!$E$4:$E$100),"")</f>
        <v/>
      </c>
      <c r="Y205" s="5" t="str">
        <f t="shared" si="24"/>
        <v/>
      </c>
      <c r="Z205" s="5" t="str">
        <f t="shared" si="25"/>
        <v/>
      </c>
      <c r="AA205" s="4">
        <f t="shared" si="26"/>
        <v>0</v>
      </c>
      <c r="AC205" s="2"/>
    </row>
    <row r="206" spans="1:29" ht="15.5">
      <c r="A206" s="13" t="str">
        <f>IF(OR(ISBLANK(C206),ISBLANK(D206),ISBLANK(F206),ISBLANK(G206)),"",COUNTIF($B$5:B206,"JAMBUTU"))</f>
        <v/>
      </c>
      <c r="B206" s="8"/>
      <c r="C206" s="8"/>
      <c r="D206" s="8"/>
      <c r="E206" s="13"/>
      <c r="F206" s="12"/>
      <c r="G206" s="11"/>
      <c r="H206" s="12"/>
      <c r="I206" s="11"/>
      <c r="J206" s="10">
        <f t="shared" si="21"/>
        <v>0</v>
      </c>
      <c r="K206" s="10">
        <f t="shared" si="22"/>
        <v>0</v>
      </c>
      <c r="L206" s="9" t="str">
        <f t="shared" si="23"/>
        <v/>
      </c>
      <c r="M206" s="8"/>
      <c r="N206" s="8"/>
      <c r="O206" s="8"/>
      <c r="P206" s="8"/>
      <c r="Q206" s="8"/>
      <c r="R206" s="8"/>
      <c r="S206" s="8"/>
      <c r="T206" s="8"/>
      <c r="U206" s="8"/>
      <c r="V206" s="7"/>
      <c r="W206" s="6" t="str">
        <f t="array" ref="W206">IF(NOT(ISBLANK(D206)),_xludf.XLOOKUP(D206,[2]CODE!$A$4:$A$100,[2]CODE!$D$4:$D$100),"")</f>
        <v/>
      </c>
      <c r="X206" s="5" t="str">
        <f t="array" ref="X206">IF(NOT(AND(ISBLANK(D206),ISBLANK(C206))),_xludf.XLOOKUP(D206,[2]CODE!$A$4:$A$100,[2]CODE!$E$4:$E$100),"")</f>
        <v/>
      </c>
      <c r="Y206" s="5" t="str">
        <f t="shared" si="24"/>
        <v/>
      </c>
      <c r="Z206" s="5" t="str">
        <f t="shared" si="25"/>
        <v/>
      </c>
      <c r="AA206" s="4">
        <f t="shared" si="26"/>
        <v>0</v>
      </c>
      <c r="AC206" s="2"/>
    </row>
    <row r="207" spans="1:29" ht="15.5">
      <c r="A207" s="13" t="str">
        <f>IF(OR(ISBLANK(C207),ISBLANK(D207),ISBLANK(F207),ISBLANK(G207)),"",COUNTIF($B$5:B207,"JAMBUTU"))</f>
        <v/>
      </c>
      <c r="B207" s="8"/>
      <c r="C207" s="8"/>
      <c r="D207" s="8"/>
      <c r="E207" s="13"/>
      <c r="F207" s="12"/>
      <c r="G207" s="11"/>
      <c r="H207" s="12"/>
      <c r="I207" s="11"/>
      <c r="J207" s="10">
        <f t="shared" si="21"/>
        <v>0</v>
      </c>
      <c r="K207" s="10">
        <f t="shared" si="22"/>
        <v>0</v>
      </c>
      <c r="L207" s="9" t="str">
        <f t="shared" si="23"/>
        <v/>
      </c>
      <c r="M207" s="8"/>
      <c r="N207" s="8"/>
      <c r="O207" s="8"/>
      <c r="P207" s="8"/>
      <c r="Q207" s="8"/>
      <c r="R207" s="8"/>
      <c r="S207" s="8"/>
      <c r="T207" s="8"/>
      <c r="U207" s="8"/>
      <c r="V207" s="7"/>
      <c r="W207" s="6" t="str">
        <f t="array" ref="W207">IF(NOT(ISBLANK(D207)),_xludf.XLOOKUP(D207,[2]CODE!$A$4:$A$100,[2]CODE!$D$4:$D$100),"")</f>
        <v/>
      </c>
      <c r="X207" s="5" t="str">
        <f t="array" ref="X207">IF(NOT(AND(ISBLANK(D207),ISBLANK(C207))),_xludf.XLOOKUP(D207,[2]CODE!$A$4:$A$100,[2]CODE!$E$4:$E$100),"")</f>
        <v/>
      </c>
      <c r="Y207" s="5" t="str">
        <f t="shared" si="24"/>
        <v/>
      </c>
      <c r="Z207" s="5" t="str">
        <f t="shared" si="25"/>
        <v/>
      </c>
      <c r="AA207" s="4">
        <f t="shared" si="26"/>
        <v>0</v>
      </c>
      <c r="AC207" s="2"/>
    </row>
    <row r="208" spans="1:29" ht="15.5">
      <c r="A208" s="13" t="str">
        <f>IF(OR(ISBLANK(C208),ISBLANK(D208),ISBLANK(F208),ISBLANK(G208)),"",COUNTIF($B$5:B208,"JAMBUTU"))</f>
        <v/>
      </c>
      <c r="B208" s="8"/>
      <c r="C208" s="8"/>
      <c r="D208" s="8"/>
      <c r="E208" s="13"/>
      <c r="F208" s="12"/>
      <c r="G208" s="11"/>
      <c r="H208" s="12"/>
      <c r="I208" s="11"/>
      <c r="J208" s="10">
        <f t="shared" si="21"/>
        <v>0</v>
      </c>
      <c r="K208" s="10">
        <f t="shared" si="22"/>
        <v>0</v>
      </c>
      <c r="L208" s="9" t="str">
        <f t="shared" si="23"/>
        <v/>
      </c>
      <c r="M208" s="8"/>
      <c r="N208" s="8"/>
      <c r="O208" s="8"/>
      <c r="P208" s="8"/>
      <c r="Q208" s="8"/>
      <c r="R208" s="8"/>
      <c r="S208" s="8"/>
      <c r="T208" s="8"/>
      <c r="U208" s="8"/>
      <c r="V208" s="7"/>
      <c r="W208" s="6" t="str">
        <f t="array" ref="W208">IF(NOT(ISBLANK(D208)),_xludf.XLOOKUP(D208,[2]CODE!$A$4:$A$100,[2]CODE!$D$4:$D$100),"")</f>
        <v/>
      </c>
      <c r="X208" s="5" t="str">
        <f t="array" ref="X208">IF(NOT(AND(ISBLANK(D208),ISBLANK(C208))),_xludf.XLOOKUP(D208,[2]CODE!$A$4:$A$100,[2]CODE!$E$4:$E$100),"")</f>
        <v/>
      </c>
      <c r="Y208" s="5" t="str">
        <f t="shared" si="24"/>
        <v/>
      </c>
      <c r="Z208" s="5" t="str">
        <f t="shared" si="25"/>
        <v/>
      </c>
      <c r="AA208" s="4">
        <f t="shared" si="26"/>
        <v>0</v>
      </c>
      <c r="AC208" s="2"/>
    </row>
    <row r="209" spans="1:29" ht="15.5">
      <c r="A209" s="13" t="str">
        <f>IF(OR(ISBLANK(C209),ISBLANK(D209),ISBLANK(F209),ISBLANK(G209)),"",COUNTIF($B$5:B209,"JAMBUTU"))</f>
        <v/>
      </c>
      <c r="B209" s="8"/>
      <c r="C209" s="8"/>
      <c r="D209" s="8"/>
      <c r="E209" s="13"/>
      <c r="F209" s="12"/>
      <c r="G209" s="11"/>
      <c r="H209" s="12"/>
      <c r="I209" s="11"/>
      <c r="J209" s="10">
        <f t="shared" si="21"/>
        <v>0</v>
      </c>
      <c r="K209" s="10">
        <f t="shared" si="22"/>
        <v>0</v>
      </c>
      <c r="L209" s="9" t="str">
        <f t="shared" si="23"/>
        <v/>
      </c>
      <c r="M209" s="8"/>
      <c r="N209" s="8"/>
      <c r="O209" s="8"/>
      <c r="P209" s="8"/>
      <c r="Q209" s="8"/>
      <c r="R209" s="8"/>
      <c r="S209" s="8"/>
      <c r="T209" s="8"/>
      <c r="U209" s="8"/>
      <c r="V209" s="7"/>
      <c r="W209" s="6" t="str">
        <f t="array" ref="W209">IF(NOT(ISBLANK(D209)),_xludf.XLOOKUP(D209,[2]CODE!$A$4:$A$100,[2]CODE!$D$4:$D$100),"")</f>
        <v/>
      </c>
      <c r="X209" s="5" t="str">
        <f t="array" ref="X209">IF(NOT(AND(ISBLANK(D209),ISBLANK(C209))),_xludf.XLOOKUP(D209,[2]CODE!$A$4:$A$100,[2]CODE!$E$4:$E$100),"")</f>
        <v/>
      </c>
      <c r="Y209" s="5" t="str">
        <f t="shared" si="24"/>
        <v/>
      </c>
      <c r="Z209" s="5" t="str">
        <f t="shared" si="25"/>
        <v/>
      </c>
      <c r="AA209" s="4">
        <f t="shared" si="26"/>
        <v>0</v>
      </c>
      <c r="AC209" s="2"/>
    </row>
    <row r="210" spans="1:29" ht="15.5">
      <c r="A210" s="13" t="str">
        <f>IF(OR(ISBLANK(C210),ISBLANK(D210),ISBLANK(F210),ISBLANK(G210)),"",COUNTIF($B$5:B210,"JAMBUTU"))</f>
        <v/>
      </c>
      <c r="B210" s="8"/>
      <c r="C210" s="8"/>
      <c r="D210" s="8"/>
      <c r="E210" s="13"/>
      <c r="F210" s="12"/>
      <c r="G210" s="11"/>
      <c r="H210" s="12"/>
      <c r="I210" s="11"/>
      <c r="J210" s="10">
        <f t="shared" si="21"/>
        <v>0</v>
      </c>
      <c r="K210" s="10">
        <f t="shared" si="22"/>
        <v>0</v>
      </c>
      <c r="L210" s="9" t="str">
        <f t="shared" si="23"/>
        <v/>
      </c>
      <c r="M210" s="8"/>
      <c r="N210" s="8"/>
      <c r="O210" s="8"/>
      <c r="P210" s="8"/>
      <c r="Q210" s="8"/>
      <c r="R210" s="8"/>
      <c r="S210" s="8"/>
      <c r="T210" s="8"/>
      <c r="U210" s="8"/>
      <c r="V210" s="7"/>
      <c r="W210" s="6" t="str">
        <f t="array" ref="W210">IF(NOT(ISBLANK(D210)),_xludf.XLOOKUP(D210,[2]CODE!$A$4:$A$100,[2]CODE!$D$4:$D$100),"")</f>
        <v/>
      </c>
      <c r="X210" s="5" t="str">
        <f t="array" ref="X210">IF(NOT(AND(ISBLANK(D210),ISBLANK(C210))),_xludf.XLOOKUP(D210,[2]CODE!$A$4:$A$100,[2]CODE!$E$4:$E$100),"")</f>
        <v/>
      </c>
      <c r="Y210" s="5" t="str">
        <f t="shared" si="24"/>
        <v/>
      </c>
      <c r="Z210" s="5" t="str">
        <f t="shared" si="25"/>
        <v/>
      </c>
      <c r="AA210" s="4">
        <f t="shared" si="26"/>
        <v>0</v>
      </c>
      <c r="AC210" s="2"/>
    </row>
    <row r="211" spans="1:29" ht="15.5">
      <c r="A211" s="13" t="str">
        <f>IF(OR(ISBLANK(C211),ISBLANK(D211),ISBLANK(F211),ISBLANK(G211)),"",COUNTIF($B$5:B211,"JAMBUTU"))</f>
        <v/>
      </c>
      <c r="B211" s="8" t="str">
        <f t="shared" ref="B211:B274" si="27">IF(C211&lt;&gt;"","Jambutu","")</f>
        <v/>
      </c>
      <c r="C211" s="8"/>
      <c r="D211" s="8"/>
      <c r="E211" s="13"/>
      <c r="F211" s="12"/>
      <c r="G211" s="11"/>
      <c r="H211" s="12"/>
      <c r="I211" s="11"/>
      <c r="J211" s="10">
        <f t="shared" si="21"/>
        <v>0</v>
      </c>
      <c r="K211" s="10">
        <f t="shared" si="22"/>
        <v>0</v>
      </c>
      <c r="L211" s="9" t="str">
        <f t="shared" si="23"/>
        <v/>
      </c>
      <c r="M211" s="8"/>
      <c r="N211" s="8"/>
      <c r="O211" s="8"/>
      <c r="P211" s="8"/>
      <c r="Q211" s="8"/>
      <c r="R211" s="8"/>
      <c r="S211" s="8"/>
      <c r="T211" s="8"/>
      <c r="U211" s="8"/>
      <c r="V211" s="7"/>
      <c r="W211" s="6" t="str">
        <f t="array" ref="W211">IF(NOT(ISBLANK(D211)),_xludf.XLOOKUP(D211,[2]CODE!$A$4:$A$100,[2]CODE!$D$4:$D$100),"")</f>
        <v/>
      </c>
      <c r="X211" s="5" t="str">
        <f t="array" ref="X211">IF(NOT(AND(ISBLANK(D211),ISBLANK(C211))),_xludf.XLOOKUP(D211,[2]CODE!$A$4:$A$100,[2]CODE!$E$4:$E$100),"")</f>
        <v/>
      </c>
      <c r="Y211" s="5" t="str">
        <f t="shared" si="24"/>
        <v/>
      </c>
      <c r="Z211" s="5" t="str">
        <f t="shared" si="25"/>
        <v/>
      </c>
      <c r="AA211" s="4">
        <f t="shared" si="26"/>
        <v>0</v>
      </c>
      <c r="AC211" s="2"/>
    </row>
    <row r="212" spans="1:29" ht="15.5">
      <c r="A212" s="13" t="str">
        <f>IF(OR(ISBLANK(C212),ISBLANK(D212),ISBLANK(F212),ISBLANK(G212)),"",COUNTIF($B$5:B212,"JAMBUTU"))</f>
        <v/>
      </c>
      <c r="B212" s="8" t="str">
        <f t="shared" si="27"/>
        <v/>
      </c>
      <c r="C212" s="8"/>
      <c r="D212" s="8"/>
      <c r="E212" s="13"/>
      <c r="F212" s="12"/>
      <c r="G212" s="11"/>
      <c r="H212" s="12"/>
      <c r="I212" s="11"/>
      <c r="J212" s="10">
        <f t="shared" si="21"/>
        <v>0</v>
      </c>
      <c r="K212" s="10">
        <f t="shared" si="22"/>
        <v>0</v>
      </c>
      <c r="L212" s="9" t="str">
        <f t="shared" si="23"/>
        <v/>
      </c>
      <c r="M212" s="8"/>
      <c r="N212" s="8"/>
      <c r="O212" s="8"/>
      <c r="P212" s="8"/>
      <c r="Q212" s="8"/>
      <c r="R212" s="8"/>
      <c r="S212" s="8"/>
      <c r="T212" s="8"/>
      <c r="U212" s="8"/>
      <c r="V212" s="7"/>
      <c r="W212" s="6" t="str">
        <f t="array" ref="W212">IF(NOT(ISBLANK(D212)),_xludf.XLOOKUP(D212,[2]CODE!$A$4:$A$100,[2]CODE!$D$4:$D$100),"")</f>
        <v/>
      </c>
      <c r="X212" s="5" t="str">
        <f t="array" ref="X212">IF(NOT(AND(ISBLANK(D212),ISBLANK(C212))),_xludf.XLOOKUP(D212,[2]CODE!$A$4:$A$100,[2]CODE!$E$4:$E$100),"")</f>
        <v/>
      </c>
      <c r="Y212" s="5" t="str">
        <f t="shared" si="24"/>
        <v/>
      </c>
      <c r="Z212" s="5" t="str">
        <f t="shared" si="25"/>
        <v/>
      </c>
      <c r="AA212" s="4">
        <f t="shared" si="26"/>
        <v>0</v>
      </c>
      <c r="AC212" s="2"/>
    </row>
    <row r="213" spans="1:29" ht="15.5">
      <c r="A213" s="13" t="str">
        <f>IF(OR(ISBLANK(C213),ISBLANK(D213),ISBLANK(F213),ISBLANK(G213)),"",COUNTIF($B$5:B213,"JAMBUTU"))</f>
        <v/>
      </c>
      <c r="B213" s="8" t="str">
        <f t="shared" si="27"/>
        <v/>
      </c>
      <c r="C213" s="8"/>
      <c r="D213" s="8"/>
      <c r="E213" s="13"/>
      <c r="F213" s="12"/>
      <c r="G213" s="11"/>
      <c r="H213" s="12"/>
      <c r="I213" s="11"/>
      <c r="J213" s="10">
        <f t="shared" si="21"/>
        <v>0</v>
      </c>
      <c r="K213" s="10">
        <f t="shared" si="22"/>
        <v>0</v>
      </c>
      <c r="L213" s="9" t="str">
        <f t="shared" si="23"/>
        <v/>
      </c>
      <c r="M213" s="8"/>
      <c r="N213" s="8"/>
      <c r="O213" s="8"/>
      <c r="P213" s="8"/>
      <c r="Q213" s="8"/>
      <c r="R213" s="8"/>
      <c r="S213" s="8"/>
      <c r="T213" s="8"/>
      <c r="U213" s="8"/>
      <c r="V213" s="7"/>
      <c r="W213" s="6" t="str">
        <f t="array" ref="W213">IF(NOT(ISBLANK(D213)),_xludf.XLOOKUP(D213,[2]CODE!$A$4:$A$100,[2]CODE!$D$4:$D$100),"")</f>
        <v/>
      </c>
      <c r="X213" s="5" t="str">
        <f t="array" ref="X213">IF(NOT(AND(ISBLANK(D213),ISBLANK(C213))),_xludf.XLOOKUP(D213,[2]CODE!$A$4:$A$100,[2]CODE!$E$4:$E$100),"")</f>
        <v/>
      </c>
      <c r="Y213" s="5" t="str">
        <f t="shared" si="24"/>
        <v/>
      </c>
      <c r="Z213" s="5" t="str">
        <f t="shared" si="25"/>
        <v/>
      </c>
      <c r="AA213" s="4">
        <f t="shared" si="26"/>
        <v>0</v>
      </c>
      <c r="AC213" s="2"/>
    </row>
    <row r="214" spans="1:29" ht="15.5">
      <c r="A214" s="13" t="str">
        <f>IF(OR(ISBLANK(C214),ISBLANK(D214),ISBLANK(F214),ISBLANK(G214)),"",COUNTIF($B$5:B214,"JAMBUTU"))</f>
        <v/>
      </c>
      <c r="B214" s="8" t="str">
        <f t="shared" si="27"/>
        <v/>
      </c>
      <c r="C214" s="8"/>
      <c r="D214" s="8"/>
      <c r="E214" s="13"/>
      <c r="F214" s="12"/>
      <c r="G214" s="11"/>
      <c r="H214" s="12"/>
      <c r="I214" s="11"/>
      <c r="J214" s="10">
        <f t="shared" si="21"/>
        <v>0</v>
      </c>
      <c r="K214" s="10">
        <f t="shared" si="22"/>
        <v>0</v>
      </c>
      <c r="L214" s="9" t="str">
        <f t="shared" si="23"/>
        <v/>
      </c>
      <c r="M214" s="8"/>
      <c r="N214" s="8"/>
      <c r="O214" s="8"/>
      <c r="P214" s="8"/>
      <c r="Q214" s="8"/>
      <c r="R214" s="8"/>
      <c r="S214" s="8"/>
      <c r="T214" s="8"/>
      <c r="U214" s="8"/>
      <c r="V214" s="7"/>
      <c r="W214" s="6" t="str">
        <f t="array" ref="W214">IF(NOT(ISBLANK(D214)),_xludf.XLOOKUP(D214,[2]CODE!$A$4:$A$100,[2]CODE!$D$4:$D$100),"")</f>
        <v/>
      </c>
      <c r="X214" s="5" t="str">
        <f t="array" ref="X214">IF(NOT(AND(ISBLANK(D214),ISBLANK(C214))),_xludf.XLOOKUP(D214,[2]CODE!$A$4:$A$100,[2]CODE!$E$4:$E$100),"")</f>
        <v/>
      </c>
      <c r="Y214" s="5" t="str">
        <f t="shared" si="24"/>
        <v/>
      </c>
      <c r="Z214" s="5" t="str">
        <f t="shared" si="25"/>
        <v/>
      </c>
      <c r="AA214" s="4">
        <f t="shared" si="26"/>
        <v>0</v>
      </c>
      <c r="AC214" s="2"/>
    </row>
    <row r="215" spans="1:29" ht="15.5">
      <c r="A215" s="13" t="str">
        <f>IF(OR(ISBLANK(C215),ISBLANK(D215),ISBLANK(F215),ISBLANK(G215)),"",COUNTIF($B$5:B215,"JAMBUTU"))</f>
        <v/>
      </c>
      <c r="B215" s="8" t="str">
        <f t="shared" si="27"/>
        <v/>
      </c>
      <c r="C215" s="8"/>
      <c r="D215" s="8"/>
      <c r="E215" s="13"/>
      <c r="F215" s="12"/>
      <c r="G215" s="11"/>
      <c r="H215" s="12"/>
      <c r="I215" s="11"/>
      <c r="J215" s="10">
        <f t="shared" si="21"/>
        <v>0</v>
      </c>
      <c r="K215" s="10">
        <f t="shared" si="22"/>
        <v>0</v>
      </c>
      <c r="L215" s="9" t="str">
        <f t="shared" si="23"/>
        <v/>
      </c>
      <c r="M215" s="8"/>
      <c r="N215" s="8"/>
      <c r="O215" s="8"/>
      <c r="P215" s="8"/>
      <c r="Q215" s="8"/>
      <c r="R215" s="8"/>
      <c r="S215" s="8"/>
      <c r="T215" s="8"/>
      <c r="U215" s="8"/>
      <c r="V215" s="7"/>
      <c r="W215" s="6" t="str">
        <f t="array" ref="W215">IF(NOT(ISBLANK(D215)),_xludf.XLOOKUP(D215,[2]CODE!$A$4:$A$100,[2]CODE!$D$4:$D$100),"")</f>
        <v/>
      </c>
      <c r="X215" s="5" t="str">
        <f t="array" ref="X215">IF(NOT(AND(ISBLANK(D215),ISBLANK(C215))),_xludf.XLOOKUP(D215,[2]CODE!$A$4:$A$100,[2]CODE!$E$4:$E$100),"")</f>
        <v/>
      </c>
      <c r="Y215" s="5" t="str">
        <f t="shared" si="24"/>
        <v/>
      </c>
      <c r="Z215" s="5" t="str">
        <f t="shared" si="25"/>
        <v/>
      </c>
      <c r="AA215" s="4">
        <f t="shared" si="26"/>
        <v>0</v>
      </c>
      <c r="AC215" s="2"/>
    </row>
    <row r="216" spans="1:29" ht="15.5">
      <c r="A216" s="13" t="str">
        <f>IF(OR(ISBLANK(C216),ISBLANK(D216),ISBLANK(F216),ISBLANK(G216)),"",COUNTIF($B$5:B216,"JAMBUTU"))</f>
        <v/>
      </c>
      <c r="B216" s="8" t="str">
        <f t="shared" si="27"/>
        <v/>
      </c>
      <c r="C216" s="8"/>
      <c r="D216" s="8"/>
      <c r="E216" s="13"/>
      <c r="F216" s="12"/>
      <c r="G216" s="11"/>
      <c r="H216" s="12"/>
      <c r="I216" s="11"/>
      <c r="J216" s="10">
        <f t="shared" si="21"/>
        <v>0</v>
      </c>
      <c r="K216" s="10">
        <f t="shared" si="22"/>
        <v>0</v>
      </c>
      <c r="L216" s="9" t="str">
        <f t="shared" si="23"/>
        <v/>
      </c>
      <c r="M216" s="8"/>
      <c r="N216" s="8"/>
      <c r="O216" s="8"/>
      <c r="P216" s="8"/>
      <c r="Q216" s="8"/>
      <c r="R216" s="8"/>
      <c r="S216" s="8"/>
      <c r="T216" s="8"/>
      <c r="U216" s="8"/>
      <c r="V216" s="7"/>
      <c r="W216" s="6" t="str">
        <f t="array" ref="W216">IF(NOT(ISBLANK(D216)),_xludf.XLOOKUP(D216,[2]CODE!$A$4:$A$100,[2]CODE!$D$4:$D$100),"")</f>
        <v/>
      </c>
      <c r="X216" s="5" t="str">
        <f t="array" ref="X216">IF(NOT(AND(ISBLANK(D216),ISBLANK(C216))),_xludf.XLOOKUP(D216,[2]CODE!$A$4:$A$100,[2]CODE!$E$4:$E$100),"")</f>
        <v/>
      </c>
      <c r="Y216" s="5" t="str">
        <f t="shared" si="24"/>
        <v/>
      </c>
      <c r="Z216" s="5" t="str">
        <f t="shared" si="25"/>
        <v/>
      </c>
      <c r="AA216" s="4">
        <f t="shared" si="26"/>
        <v>0</v>
      </c>
      <c r="AC216" s="2"/>
    </row>
    <row r="217" spans="1:29" ht="15.5">
      <c r="A217" s="13" t="str">
        <f>IF(OR(ISBLANK(C217),ISBLANK(D217),ISBLANK(F217),ISBLANK(G217)),"",COUNTIF($B$5:B217,"JAMBUTU"))</f>
        <v/>
      </c>
      <c r="B217" s="8" t="str">
        <f t="shared" si="27"/>
        <v/>
      </c>
      <c r="C217" s="8"/>
      <c r="D217" s="8"/>
      <c r="E217" s="13"/>
      <c r="F217" s="12"/>
      <c r="G217" s="11"/>
      <c r="H217" s="12"/>
      <c r="I217" s="11"/>
      <c r="J217" s="10">
        <f t="shared" si="21"/>
        <v>0</v>
      </c>
      <c r="K217" s="10">
        <f t="shared" si="22"/>
        <v>0</v>
      </c>
      <c r="L217" s="9" t="str">
        <f t="shared" si="23"/>
        <v/>
      </c>
      <c r="M217" s="8"/>
      <c r="N217" s="8"/>
      <c r="O217" s="8"/>
      <c r="P217" s="8"/>
      <c r="Q217" s="8"/>
      <c r="R217" s="8"/>
      <c r="S217" s="8"/>
      <c r="T217" s="8"/>
      <c r="U217" s="8"/>
      <c r="V217" s="7"/>
      <c r="W217" s="6" t="str">
        <f t="array" ref="W217">IF(NOT(ISBLANK(D217)),_xludf.XLOOKUP(D217,[2]CODE!$A$4:$A$100,[2]CODE!$D$4:$D$100),"")</f>
        <v/>
      </c>
      <c r="X217" s="5" t="str">
        <f t="array" ref="X217">IF(NOT(AND(ISBLANK(D217),ISBLANK(C217))),_xludf.XLOOKUP(D217,[2]CODE!$A$4:$A$100,[2]CODE!$E$4:$E$100),"")</f>
        <v/>
      </c>
      <c r="Y217" s="5" t="str">
        <f t="shared" si="24"/>
        <v/>
      </c>
      <c r="Z217" s="5" t="str">
        <f t="shared" si="25"/>
        <v/>
      </c>
      <c r="AA217" s="4">
        <f t="shared" si="26"/>
        <v>0</v>
      </c>
      <c r="AC217" s="2"/>
    </row>
    <row r="218" spans="1:29" ht="15.5">
      <c r="A218" s="13" t="str">
        <f>IF(OR(ISBLANK(C218),ISBLANK(D218),ISBLANK(F218),ISBLANK(G218)),"",COUNTIF($B$5:B218,"JAMBUTU"))</f>
        <v/>
      </c>
      <c r="B218" s="8" t="str">
        <f t="shared" si="27"/>
        <v/>
      </c>
      <c r="C218" s="8"/>
      <c r="D218" s="8"/>
      <c r="E218" s="13"/>
      <c r="F218" s="12"/>
      <c r="G218" s="11"/>
      <c r="H218" s="12"/>
      <c r="I218" s="11"/>
      <c r="J218" s="10">
        <f t="shared" si="21"/>
        <v>0</v>
      </c>
      <c r="K218" s="10">
        <f t="shared" si="22"/>
        <v>0</v>
      </c>
      <c r="L218" s="9" t="str">
        <f t="shared" si="23"/>
        <v/>
      </c>
      <c r="M218" s="8"/>
      <c r="N218" s="8"/>
      <c r="O218" s="8"/>
      <c r="P218" s="8"/>
      <c r="Q218" s="8"/>
      <c r="R218" s="8"/>
      <c r="S218" s="8"/>
      <c r="T218" s="8"/>
      <c r="U218" s="8"/>
      <c r="V218" s="7"/>
      <c r="W218" s="6" t="str">
        <f t="array" ref="W218">IF(NOT(ISBLANK(D218)),_xludf.XLOOKUP(D218,[2]CODE!$A$4:$A$100,[2]CODE!$D$4:$D$100),"")</f>
        <v/>
      </c>
      <c r="X218" s="5" t="str">
        <f t="array" ref="X218">IF(NOT(AND(ISBLANK(D218),ISBLANK(C218))),_xludf.XLOOKUP(D218,[2]CODE!$A$4:$A$100,[2]CODE!$E$4:$E$100),"")</f>
        <v/>
      </c>
      <c r="Y218" s="5" t="str">
        <f t="shared" si="24"/>
        <v/>
      </c>
      <c r="Z218" s="5" t="str">
        <f t="shared" si="25"/>
        <v/>
      </c>
      <c r="AA218" s="4">
        <f t="shared" si="26"/>
        <v>0</v>
      </c>
      <c r="AC218" s="2"/>
    </row>
    <row r="219" spans="1:29" ht="15.5">
      <c r="A219" s="13" t="str">
        <f>IF(OR(ISBLANK(C219),ISBLANK(D219),ISBLANK(F219),ISBLANK(G219)),"",COUNTIF($B$5:B219,"JAMBUTU"))</f>
        <v/>
      </c>
      <c r="B219" s="8" t="str">
        <f t="shared" si="27"/>
        <v/>
      </c>
      <c r="C219" s="8"/>
      <c r="D219" s="8"/>
      <c r="E219" s="13"/>
      <c r="F219" s="12"/>
      <c r="G219" s="11"/>
      <c r="H219" s="12"/>
      <c r="I219" s="11"/>
      <c r="J219" s="10">
        <f t="shared" si="21"/>
        <v>0</v>
      </c>
      <c r="K219" s="10">
        <f t="shared" si="22"/>
        <v>0</v>
      </c>
      <c r="L219" s="9" t="str">
        <f t="shared" si="23"/>
        <v/>
      </c>
      <c r="M219" s="8"/>
      <c r="N219" s="8"/>
      <c r="O219" s="8"/>
      <c r="P219" s="8"/>
      <c r="Q219" s="8"/>
      <c r="R219" s="8"/>
      <c r="S219" s="8"/>
      <c r="T219" s="8"/>
      <c r="U219" s="8"/>
      <c r="V219" s="7"/>
      <c r="W219" s="6" t="str">
        <f t="array" ref="W219">IF(NOT(ISBLANK(D219)),_xludf.XLOOKUP(D219,[2]CODE!$A$4:$A$100,[2]CODE!$D$4:$D$100),"")</f>
        <v/>
      </c>
      <c r="X219" s="5" t="str">
        <f t="array" ref="X219">IF(NOT(AND(ISBLANK(D219),ISBLANK(C219))),_xludf.XLOOKUP(D219,[2]CODE!$A$4:$A$100,[2]CODE!$E$4:$E$100),"")</f>
        <v/>
      </c>
      <c r="Y219" s="5" t="str">
        <f t="shared" si="24"/>
        <v/>
      </c>
      <c r="Z219" s="5" t="str">
        <f t="shared" si="25"/>
        <v/>
      </c>
      <c r="AA219" s="4">
        <f t="shared" si="26"/>
        <v>0</v>
      </c>
      <c r="AC219" s="2"/>
    </row>
    <row r="220" spans="1:29" ht="15.5">
      <c r="A220" s="13" t="str">
        <f>IF(OR(ISBLANK(C220),ISBLANK(D220),ISBLANK(F220),ISBLANK(G220)),"",COUNTIF($B$5:B220,"JAMBUTU"))</f>
        <v/>
      </c>
      <c r="B220" s="8" t="str">
        <f t="shared" si="27"/>
        <v/>
      </c>
      <c r="C220" s="8"/>
      <c r="D220" s="8"/>
      <c r="E220" s="13"/>
      <c r="F220" s="12"/>
      <c r="G220" s="11"/>
      <c r="H220" s="12"/>
      <c r="I220" s="11"/>
      <c r="J220" s="10">
        <f t="shared" si="21"/>
        <v>0</v>
      </c>
      <c r="K220" s="10">
        <f t="shared" si="22"/>
        <v>0</v>
      </c>
      <c r="L220" s="9" t="str">
        <f t="shared" si="23"/>
        <v/>
      </c>
      <c r="M220" s="8"/>
      <c r="N220" s="8"/>
      <c r="O220" s="8"/>
      <c r="P220" s="8"/>
      <c r="Q220" s="8"/>
      <c r="R220" s="8"/>
      <c r="S220" s="8"/>
      <c r="T220" s="8"/>
      <c r="U220" s="8"/>
      <c r="V220" s="7"/>
      <c r="W220" s="6" t="str">
        <f t="array" ref="W220">IF(NOT(ISBLANK(D220)),_xludf.XLOOKUP(D220,[2]CODE!$A$4:$A$100,[2]CODE!$D$4:$D$100),"")</f>
        <v/>
      </c>
      <c r="X220" s="5" t="str">
        <f t="array" ref="X220">IF(NOT(AND(ISBLANK(D220),ISBLANK(C220))),_xludf.XLOOKUP(D220,[2]CODE!$A$4:$A$100,[2]CODE!$E$4:$E$100),"")</f>
        <v/>
      </c>
      <c r="Y220" s="5" t="str">
        <f t="shared" si="24"/>
        <v/>
      </c>
      <c r="Z220" s="5" t="str">
        <f t="shared" si="25"/>
        <v/>
      </c>
      <c r="AA220" s="4">
        <f t="shared" si="26"/>
        <v>0</v>
      </c>
      <c r="AC220" s="2"/>
    </row>
    <row r="221" spans="1:29" ht="15.5">
      <c r="A221" s="13" t="str">
        <f>IF(OR(ISBLANK(C221),ISBLANK(D221),ISBLANK(F221),ISBLANK(G221)),"",COUNTIF($B$5:B221,"JAMBUTU"))</f>
        <v/>
      </c>
      <c r="B221" s="8" t="str">
        <f t="shared" si="27"/>
        <v/>
      </c>
      <c r="C221" s="8"/>
      <c r="D221" s="8"/>
      <c r="E221" s="13"/>
      <c r="F221" s="12"/>
      <c r="G221" s="11"/>
      <c r="H221" s="12"/>
      <c r="I221" s="11"/>
      <c r="J221" s="10">
        <f t="shared" si="21"/>
        <v>0</v>
      </c>
      <c r="K221" s="10">
        <f t="shared" si="22"/>
        <v>0</v>
      </c>
      <c r="L221" s="9" t="str">
        <f t="shared" si="23"/>
        <v/>
      </c>
      <c r="M221" s="8"/>
      <c r="N221" s="8"/>
      <c r="O221" s="8"/>
      <c r="P221" s="8"/>
      <c r="Q221" s="8"/>
      <c r="R221" s="8"/>
      <c r="S221" s="8"/>
      <c r="T221" s="8"/>
      <c r="U221" s="8"/>
      <c r="V221" s="7"/>
      <c r="W221" s="6" t="str">
        <f t="array" ref="W221">IF(NOT(ISBLANK(D221)),_xludf.XLOOKUP(D221,[2]CODE!$A$4:$A$100,[2]CODE!$D$4:$D$100),"")</f>
        <v/>
      </c>
      <c r="X221" s="5" t="str">
        <f t="array" ref="X221">IF(NOT(AND(ISBLANK(D221),ISBLANK(C221))),_xludf.XLOOKUP(D221,[2]CODE!$A$4:$A$100,[2]CODE!$E$4:$E$100),"")</f>
        <v/>
      </c>
      <c r="Y221" s="5" t="str">
        <f t="shared" si="24"/>
        <v/>
      </c>
      <c r="Z221" s="5" t="str">
        <f t="shared" si="25"/>
        <v/>
      </c>
      <c r="AA221" s="4">
        <f t="shared" si="26"/>
        <v>0</v>
      </c>
      <c r="AC221" s="2"/>
    </row>
    <row r="222" spans="1:29" ht="15.5">
      <c r="A222" s="13" t="str">
        <f>IF(OR(ISBLANK(C222),ISBLANK(D222),ISBLANK(F222),ISBLANK(G222)),"",COUNTIF($B$5:B222,"JAMBUTU"))</f>
        <v/>
      </c>
      <c r="B222" s="8" t="str">
        <f t="shared" si="27"/>
        <v/>
      </c>
      <c r="C222" s="8"/>
      <c r="D222" s="8"/>
      <c r="E222" s="13"/>
      <c r="F222" s="12"/>
      <c r="G222" s="11"/>
      <c r="H222" s="12"/>
      <c r="I222" s="11"/>
      <c r="J222" s="10">
        <f t="shared" si="21"/>
        <v>0</v>
      </c>
      <c r="K222" s="10">
        <f t="shared" si="22"/>
        <v>0</v>
      </c>
      <c r="L222" s="9" t="str">
        <f t="shared" si="23"/>
        <v/>
      </c>
      <c r="M222" s="8"/>
      <c r="N222" s="8"/>
      <c r="O222" s="8"/>
      <c r="P222" s="8"/>
      <c r="Q222" s="8"/>
      <c r="R222" s="8"/>
      <c r="S222" s="8"/>
      <c r="T222" s="8"/>
      <c r="U222" s="8"/>
      <c r="V222" s="7"/>
      <c r="W222" s="6" t="str">
        <f t="array" ref="W222">IF(NOT(ISBLANK(D222)),_xludf.XLOOKUP(D222,[2]CODE!$A$4:$A$100,[2]CODE!$D$4:$D$100),"")</f>
        <v/>
      </c>
      <c r="X222" s="5" t="str">
        <f t="array" ref="X222">IF(NOT(AND(ISBLANK(D222),ISBLANK(C222))),_xludf.XLOOKUP(D222,[2]CODE!$A$4:$A$100,[2]CODE!$E$4:$E$100),"")</f>
        <v/>
      </c>
      <c r="Y222" s="5" t="str">
        <f t="shared" si="24"/>
        <v/>
      </c>
      <c r="Z222" s="5" t="str">
        <f t="shared" si="25"/>
        <v/>
      </c>
      <c r="AA222" s="4">
        <f t="shared" si="26"/>
        <v>0</v>
      </c>
      <c r="AC222" s="2"/>
    </row>
    <row r="223" spans="1:29" ht="15.5">
      <c r="A223" s="13" t="str">
        <f>IF(OR(ISBLANK(C223),ISBLANK(D223),ISBLANK(F223),ISBLANK(G223)),"",COUNTIF($B$5:B223,"JAMBUTU"))</f>
        <v/>
      </c>
      <c r="B223" s="8" t="str">
        <f t="shared" si="27"/>
        <v/>
      </c>
      <c r="C223" s="8"/>
      <c r="D223" s="8"/>
      <c r="E223" s="13"/>
      <c r="F223" s="12"/>
      <c r="G223" s="11"/>
      <c r="H223" s="12"/>
      <c r="I223" s="15"/>
      <c r="J223" s="10">
        <f t="shared" si="21"/>
        <v>0</v>
      </c>
      <c r="K223" s="10">
        <f t="shared" si="22"/>
        <v>0</v>
      </c>
      <c r="L223" s="9" t="str">
        <f t="shared" si="23"/>
        <v/>
      </c>
      <c r="M223" s="8"/>
      <c r="N223" s="8"/>
      <c r="O223" s="8"/>
      <c r="P223" s="8"/>
      <c r="Q223" s="8"/>
      <c r="R223" s="8"/>
      <c r="S223" s="8"/>
      <c r="T223" s="8"/>
      <c r="U223" s="8"/>
      <c r="V223" s="7"/>
      <c r="W223" s="6" t="str">
        <f t="array" ref="W223">IF(NOT(ISBLANK(D223)),_xludf.XLOOKUP(D223,[2]CODE!$A$4:$A$100,[2]CODE!$D$4:$D$100),"")</f>
        <v/>
      </c>
      <c r="X223" s="5" t="str">
        <f t="array" ref="X223">IF(NOT(AND(ISBLANK(D223),ISBLANK(C223))),_xludf.XLOOKUP(D223,[2]CODE!$A$4:$A$100,[2]CODE!$E$4:$E$100),"")</f>
        <v/>
      </c>
      <c r="Y223" s="5" t="str">
        <f t="shared" si="24"/>
        <v/>
      </c>
      <c r="Z223" s="5" t="str">
        <f t="shared" si="25"/>
        <v/>
      </c>
      <c r="AA223" s="4">
        <f t="shared" si="26"/>
        <v>0</v>
      </c>
      <c r="AC223" s="2"/>
    </row>
    <row r="224" spans="1:29" ht="15.5">
      <c r="A224" s="13" t="str">
        <f>IF(OR(ISBLANK(C224),ISBLANK(D224),ISBLANK(F224),ISBLANK(G224)),"",COUNTIF($B$5:B224,"JAMBUTU"))</f>
        <v/>
      </c>
      <c r="B224" s="8" t="str">
        <f t="shared" si="27"/>
        <v/>
      </c>
      <c r="C224" s="8"/>
      <c r="D224" s="8"/>
      <c r="E224" s="13"/>
      <c r="F224" s="12"/>
      <c r="G224" s="11"/>
      <c r="H224" s="12"/>
      <c r="I224" s="15"/>
      <c r="J224" s="10">
        <f t="shared" si="21"/>
        <v>0</v>
      </c>
      <c r="K224" s="10">
        <f t="shared" si="22"/>
        <v>0</v>
      </c>
      <c r="L224" s="9" t="str">
        <f t="shared" si="23"/>
        <v/>
      </c>
      <c r="M224" s="8"/>
      <c r="N224" s="8"/>
      <c r="O224" s="8"/>
      <c r="P224" s="8"/>
      <c r="Q224" s="8"/>
      <c r="R224" s="8"/>
      <c r="S224" s="8"/>
      <c r="T224" s="8"/>
      <c r="U224" s="8"/>
      <c r="V224" s="7"/>
      <c r="W224" s="6" t="str">
        <f t="array" ref="W224">IF(NOT(ISBLANK(D224)),_xludf.XLOOKUP(D224,[2]CODE!$A$4:$A$100,[2]CODE!$D$4:$D$100),"")</f>
        <v/>
      </c>
      <c r="X224" s="5" t="str">
        <f t="array" ref="X224">IF(NOT(AND(ISBLANK(D224),ISBLANK(C224))),_xludf.XLOOKUP(D224,[2]CODE!$A$4:$A$100,[2]CODE!$E$4:$E$100),"")</f>
        <v/>
      </c>
      <c r="Y224" s="5" t="str">
        <f t="shared" si="24"/>
        <v/>
      </c>
      <c r="Z224" s="5" t="str">
        <f t="shared" si="25"/>
        <v/>
      </c>
      <c r="AA224" s="4">
        <f t="shared" si="26"/>
        <v>0</v>
      </c>
      <c r="AC224" s="2"/>
    </row>
    <row r="225" spans="1:29" ht="15.5">
      <c r="A225" s="13" t="str">
        <f>IF(OR(ISBLANK(C225),ISBLANK(D225),ISBLANK(F225),ISBLANK(G225)),"",COUNTIF($B$5:B225,"JAMBUTU"))</f>
        <v/>
      </c>
      <c r="B225" s="8" t="str">
        <f t="shared" si="27"/>
        <v/>
      </c>
      <c r="C225" s="8"/>
      <c r="D225" s="8"/>
      <c r="E225" s="13"/>
      <c r="F225" s="12"/>
      <c r="G225" s="11"/>
      <c r="H225" s="12"/>
      <c r="I225" s="11"/>
      <c r="J225" s="10">
        <f t="shared" si="21"/>
        <v>0</v>
      </c>
      <c r="K225" s="10">
        <f t="shared" si="22"/>
        <v>0</v>
      </c>
      <c r="L225" s="9" t="str">
        <f t="shared" si="23"/>
        <v/>
      </c>
      <c r="M225" s="8"/>
      <c r="N225" s="8"/>
      <c r="O225" s="8"/>
      <c r="P225" s="8"/>
      <c r="Q225" s="8"/>
      <c r="R225" s="8"/>
      <c r="S225" s="8"/>
      <c r="T225" s="8"/>
      <c r="U225" s="8"/>
      <c r="V225" s="7"/>
      <c r="W225" s="6" t="str">
        <f t="array" ref="W225">IF(NOT(ISBLANK(D225)),_xludf.XLOOKUP(D225,[2]CODE!$A$4:$A$100,[2]CODE!$D$4:$D$100),"")</f>
        <v/>
      </c>
      <c r="X225" s="5" t="str">
        <f t="array" ref="X225">IF(NOT(AND(ISBLANK(D225),ISBLANK(C225))),_xludf.XLOOKUP(D225,[2]CODE!$A$4:$A$100,[2]CODE!$E$4:$E$100),"")</f>
        <v/>
      </c>
      <c r="Y225" s="5" t="str">
        <f t="shared" si="24"/>
        <v/>
      </c>
      <c r="Z225" s="5" t="str">
        <f t="shared" si="25"/>
        <v/>
      </c>
      <c r="AA225" s="4">
        <f t="shared" si="26"/>
        <v>0</v>
      </c>
      <c r="AC225" s="2"/>
    </row>
    <row r="226" spans="1:29" ht="15.5">
      <c r="A226" s="13" t="str">
        <f>IF(OR(ISBLANK(C226),ISBLANK(D226),ISBLANK(F226),ISBLANK(G226)),"",COUNTIF($B$5:B226,"JAMBUTU"))</f>
        <v/>
      </c>
      <c r="B226" s="8" t="str">
        <f t="shared" si="27"/>
        <v/>
      </c>
      <c r="C226" s="8"/>
      <c r="D226" s="8"/>
      <c r="E226" s="13"/>
      <c r="F226" s="12"/>
      <c r="G226" s="11"/>
      <c r="H226" s="12"/>
      <c r="I226" s="11"/>
      <c r="J226" s="10">
        <f t="shared" si="21"/>
        <v>0</v>
      </c>
      <c r="K226" s="10">
        <f t="shared" si="22"/>
        <v>0</v>
      </c>
      <c r="L226" s="9" t="str">
        <f t="shared" si="23"/>
        <v/>
      </c>
      <c r="M226" s="8"/>
      <c r="N226" s="8"/>
      <c r="O226" s="8"/>
      <c r="P226" s="8"/>
      <c r="Q226" s="8"/>
      <c r="R226" s="8"/>
      <c r="S226" s="8"/>
      <c r="T226" s="8"/>
      <c r="U226" s="8"/>
      <c r="V226" s="7"/>
      <c r="W226" s="6" t="str">
        <f t="array" ref="W226">IF(NOT(ISBLANK(D226)),_xludf.XLOOKUP(D226,[2]CODE!$A$4:$A$100,[2]CODE!$D$4:$D$100),"")</f>
        <v/>
      </c>
      <c r="X226" s="5" t="str">
        <f t="array" ref="X226">IF(NOT(AND(ISBLANK(D226),ISBLANK(C226))),_xludf.XLOOKUP(D226,[2]CODE!$A$4:$A$100,[2]CODE!$E$4:$E$100),"")</f>
        <v/>
      </c>
      <c r="Y226" s="5" t="str">
        <f t="shared" si="24"/>
        <v/>
      </c>
      <c r="Z226" s="5" t="str">
        <f t="shared" si="25"/>
        <v/>
      </c>
      <c r="AA226" s="4">
        <f t="shared" si="26"/>
        <v>0</v>
      </c>
      <c r="AC226" s="2"/>
    </row>
    <row r="227" spans="1:29" ht="15.5">
      <c r="A227" s="13" t="str">
        <f>IF(OR(ISBLANK(C227),ISBLANK(D227),ISBLANK(F227),ISBLANK(G227)),"",COUNTIF($B$5:B227,"JAMBUTU"))</f>
        <v/>
      </c>
      <c r="B227" s="8" t="str">
        <f t="shared" si="27"/>
        <v/>
      </c>
      <c r="C227" s="8"/>
      <c r="D227" s="8"/>
      <c r="E227" s="13"/>
      <c r="F227" s="12"/>
      <c r="G227" s="11"/>
      <c r="H227" s="12"/>
      <c r="I227" s="15"/>
      <c r="J227" s="10">
        <f t="shared" si="21"/>
        <v>0</v>
      </c>
      <c r="K227" s="10">
        <f t="shared" si="22"/>
        <v>0</v>
      </c>
      <c r="L227" s="9" t="str">
        <f t="shared" si="23"/>
        <v/>
      </c>
      <c r="M227" s="8"/>
      <c r="N227" s="8"/>
      <c r="O227" s="8"/>
      <c r="P227" s="8"/>
      <c r="Q227" s="8"/>
      <c r="R227" s="8"/>
      <c r="S227" s="8"/>
      <c r="T227" s="8"/>
      <c r="U227" s="8"/>
      <c r="V227" s="7"/>
      <c r="W227" s="6" t="str">
        <f t="array" ref="W227">IF(NOT(ISBLANK(D227)),_xludf.XLOOKUP(D227,[2]CODE!$A$4:$A$100,[2]CODE!$D$4:$D$100),"")</f>
        <v/>
      </c>
      <c r="X227" s="5" t="str">
        <f t="array" ref="X227">IF(NOT(AND(ISBLANK(D227),ISBLANK(C227))),_xludf.XLOOKUP(D227,[2]CODE!$A$4:$A$100,[2]CODE!$E$4:$E$100),"")</f>
        <v/>
      </c>
      <c r="Y227" s="5" t="str">
        <f t="shared" si="24"/>
        <v/>
      </c>
      <c r="Z227" s="5" t="str">
        <f t="shared" si="25"/>
        <v/>
      </c>
      <c r="AA227" s="4">
        <f t="shared" si="26"/>
        <v>0</v>
      </c>
      <c r="AC227" s="2"/>
    </row>
    <row r="228" spans="1:29" ht="15.5">
      <c r="A228" s="13" t="str">
        <f>IF(OR(ISBLANK(C228),ISBLANK(D228),ISBLANK(F228),ISBLANK(G228)),"",COUNTIF($B$5:B228,"JAMBUTU"))</f>
        <v/>
      </c>
      <c r="B228" s="8" t="str">
        <f t="shared" si="27"/>
        <v/>
      </c>
      <c r="C228" s="8"/>
      <c r="D228" s="8"/>
      <c r="E228" s="13"/>
      <c r="F228" s="12"/>
      <c r="G228" s="11"/>
      <c r="H228" s="12"/>
      <c r="I228" s="15"/>
      <c r="J228" s="10">
        <f t="shared" si="21"/>
        <v>0</v>
      </c>
      <c r="K228" s="10">
        <f t="shared" si="22"/>
        <v>0</v>
      </c>
      <c r="L228" s="9" t="str">
        <f t="shared" si="23"/>
        <v/>
      </c>
      <c r="M228" s="8"/>
      <c r="N228" s="8"/>
      <c r="O228" s="8"/>
      <c r="P228" s="8"/>
      <c r="Q228" s="8"/>
      <c r="R228" s="8"/>
      <c r="S228" s="8"/>
      <c r="T228" s="8"/>
      <c r="U228" s="8"/>
      <c r="V228" s="7"/>
      <c r="W228" s="6" t="str">
        <f t="array" ref="W228">IF(NOT(ISBLANK(D228)),_xludf.XLOOKUP(D228,[2]CODE!$A$4:$A$100,[2]CODE!$D$4:$D$100),"")</f>
        <v/>
      </c>
      <c r="X228" s="5" t="str">
        <f t="array" ref="X228">IF(NOT(AND(ISBLANK(D228),ISBLANK(C228))),_xludf.XLOOKUP(D228,[2]CODE!$A$4:$A$100,[2]CODE!$E$4:$E$100),"")</f>
        <v/>
      </c>
      <c r="Y228" s="5" t="str">
        <f t="shared" si="24"/>
        <v/>
      </c>
      <c r="Z228" s="5" t="str">
        <f t="shared" si="25"/>
        <v/>
      </c>
      <c r="AA228" s="4">
        <f t="shared" si="26"/>
        <v>0</v>
      </c>
      <c r="AC228" s="2"/>
    </row>
    <row r="229" spans="1:29" ht="15.5">
      <c r="A229" s="13" t="str">
        <f>IF(OR(ISBLANK(C229),ISBLANK(D229),ISBLANK(F229),ISBLANK(G229)),"",COUNTIF($B$5:B229,"JAMBUTU"))</f>
        <v/>
      </c>
      <c r="B229" s="8" t="str">
        <f t="shared" si="27"/>
        <v/>
      </c>
      <c r="C229" s="8"/>
      <c r="D229" s="8"/>
      <c r="E229" s="13"/>
      <c r="F229" s="12"/>
      <c r="G229" s="11"/>
      <c r="H229" s="12"/>
      <c r="I229" s="11"/>
      <c r="J229" s="10">
        <f t="shared" si="21"/>
        <v>0</v>
      </c>
      <c r="K229" s="10">
        <f t="shared" si="22"/>
        <v>0</v>
      </c>
      <c r="L229" s="9" t="str">
        <f t="shared" si="23"/>
        <v/>
      </c>
      <c r="M229" s="8"/>
      <c r="N229" s="8"/>
      <c r="O229" s="8"/>
      <c r="P229" s="8"/>
      <c r="Q229" s="8"/>
      <c r="R229" s="8"/>
      <c r="S229" s="8"/>
      <c r="T229" s="8"/>
      <c r="U229" s="8"/>
      <c r="V229" s="7"/>
      <c r="W229" s="6" t="str">
        <f t="array" ref="W229">IF(NOT(ISBLANK(D229)),_xludf.XLOOKUP(D229,[2]CODE!$A$4:$A$100,[2]CODE!$D$4:$D$100),"")</f>
        <v/>
      </c>
      <c r="X229" s="5" t="str">
        <f t="array" ref="X229">IF(NOT(AND(ISBLANK(D229),ISBLANK(C229))),_xludf.XLOOKUP(D229,[2]CODE!$A$4:$A$100,[2]CODE!$E$4:$E$100),"")</f>
        <v/>
      </c>
      <c r="Y229" s="5" t="str">
        <f t="shared" si="24"/>
        <v/>
      </c>
      <c r="Z229" s="5" t="str">
        <f t="shared" si="25"/>
        <v/>
      </c>
      <c r="AA229" s="4">
        <f t="shared" si="26"/>
        <v>0</v>
      </c>
      <c r="AC229" s="2"/>
    </row>
    <row r="230" spans="1:29" ht="15.5">
      <c r="A230" s="13" t="str">
        <f>IF(OR(ISBLANK(C230),ISBLANK(D230),ISBLANK(F230),ISBLANK(G230)),"",COUNTIF($B$5:B230,"JAMBUTU"))</f>
        <v/>
      </c>
      <c r="B230" s="8" t="str">
        <f t="shared" si="27"/>
        <v/>
      </c>
      <c r="C230" s="8"/>
      <c r="D230" s="8"/>
      <c r="E230" s="13"/>
      <c r="F230" s="12"/>
      <c r="G230" s="11"/>
      <c r="H230" s="12"/>
      <c r="I230" s="15"/>
      <c r="J230" s="10">
        <f t="shared" si="21"/>
        <v>0</v>
      </c>
      <c r="K230" s="10">
        <f t="shared" si="22"/>
        <v>0</v>
      </c>
      <c r="L230" s="9" t="str">
        <f t="shared" si="23"/>
        <v/>
      </c>
      <c r="M230" s="8"/>
      <c r="N230" s="8"/>
      <c r="O230" s="8"/>
      <c r="P230" s="8"/>
      <c r="Q230" s="8"/>
      <c r="R230" s="8"/>
      <c r="S230" s="8"/>
      <c r="T230" s="8"/>
      <c r="U230" s="8"/>
      <c r="V230" s="7"/>
      <c r="W230" s="6" t="str">
        <f t="array" ref="W230">IF(NOT(ISBLANK(D230)),_xludf.XLOOKUP(D230,[2]CODE!$A$4:$A$100,[2]CODE!$D$4:$D$100),"")</f>
        <v/>
      </c>
      <c r="X230" s="5" t="str">
        <f t="array" ref="X230">IF(NOT(AND(ISBLANK(D230),ISBLANK(C230))),_xludf.XLOOKUP(D230,[2]CODE!$A$4:$A$100,[2]CODE!$E$4:$E$100),"")</f>
        <v/>
      </c>
      <c r="Y230" s="5" t="str">
        <f t="shared" si="24"/>
        <v/>
      </c>
      <c r="Z230" s="5" t="str">
        <f t="shared" si="25"/>
        <v/>
      </c>
      <c r="AA230" s="4">
        <f t="shared" si="26"/>
        <v>0</v>
      </c>
      <c r="AC230" s="2"/>
    </row>
    <row r="231" spans="1:29" ht="15.5">
      <c r="A231" s="13" t="str">
        <f>IF(OR(ISBLANK(C231),ISBLANK(D231),ISBLANK(F231),ISBLANK(G231)),"",COUNTIF($B$5:B231,"JAMBUTU"))</f>
        <v/>
      </c>
      <c r="B231" s="8" t="str">
        <f t="shared" si="27"/>
        <v/>
      </c>
      <c r="C231" s="8"/>
      <c r="D231" s="8"/>
      <c r="E231" s="13"/>
      <c r="F231" s="12"/>
      <c r="G231" s="11"/>
      <c r="H231" s="12"/>
      <c r="I231" s="15"/>
      <c r="J231" s="10">
        <f t="shared" si="21"/>
        <v>0</v>
      </c>
      <c r="K231" s="10">
        <f t="shared" si="22"/>
        <v>0</v>
      </c>
      <c r="L231" s="9" t="str">
        <f t="shared" si="23"/>
        <v/>
      </c>
      <c r="M231" s="8"/>
      <c r="N231" s="8"/>
      <c r="O231" s="8"/>
      <c r="P231" s="8"/>
      <c r="Q231" s="8"/>
      <c r="R231" s="8"/>
      <c r="S231" s="8"/>
      <c r="T231" s="8"/>
      <c r="U231" s="8"/>
      <c r="V231" s="7"/>
      <c r="W231" s="6" t="str">
        <f t="array" ref="W231">IF(NOT(ISBLANK(D231)),_xludf.XLOOKUP(D231,[2]CODE!$A$4:$A$100,[2]CODE!$D$4:$D$100),"")</f>
        <v/>
      </c>
      <c r="X231" s="5" t="str">
        <f t="array" ref="X231">IF(NOT(AND(ISBLANK(D231),ISBLANK(C231))),_xludf.XLOOKUP(D231,[2]CODE!$A$4:$A$100,[2]CODE!$E$4:$E$100),"")</f>
        <v/>
      </c>
      <c r="Y231" s="5" t="str">
        <f t="shared" si="24"/>
        <v/>
      </c>
      <c r="Z231" s="5" t="str">
        <f t="shared" si="25"/>
        <v/>
      </c>
      <c r="AA231" s="4">
        <f t="shared" si="26"/>
        <v>0</v>
      </c>
      <c r="AC231" s="2"/>
    </row>
    <row r="232" spans="1:29" ht="15.5">
      <c r="A232" s="13" t="str">
        <f>IF(OR(ISBLANK(C232),ISBLANK(D232),ISBLANK(F232),ISBLANK(G232)),"",COUNTIF($B$5:B232,"JAMBUTU"))</f>
        <v/>
      </c>
      <c r="B232" s="8" t="str">
        <f t="shared" si="27"/>
        <v/>
      </c>
      <c r="C232" s="8"/>
      <c r="D232" s="8"/>
      <c r="E232" s="13"/>
      <c r="F232" s="12"/>
      <c r="G232" s="11"/>
      <c r="H232" s="12"/>
      <c r="I232" s="15"/>
      <c r="J232" s="10">
        <f t="shared" si="21"/>
        <v>0</v>
      </c>
      <c r="K232" s="10">
        <f t="shared" si="22"/>
        <v>0</v>
      </c>
      <c r="L232" s="9" t="str">
        <f t="shared" si="23"/>
        <v/>
      </c>
      <c r="M232" s="8"/>
      <c r="N232" s="8"/>
      <c r="O232" s="8"/>
      <c r="P232" s="8"/>
      <c r="Q232" s="8"/>
      <c r="R232" s="8"/>
      <c r="S232" s="8"/>
      <c r="T232" s="8"/>
      <c r="U232" s="8"/>
      <c r="V232" s="7"/>
      <c r="W232" s="6" t="str">
        <f t="array" ref="W232">IF(NOT(ISBLANK(D232)),_xludf.XLOOKUP(D232,[2]CODE!$A$4:$A$100,[2]CODE!$D$4:$D$100),"")</f>
        <v/>
      </c>
      <c r="X232" s="5" t="str">
        <f t="array" ref="X232">IF(NOT(AND(ISBLANK(D232),ISBLANK(C232))),_xludf.XLOOKUP(D232,[2]CODE!$A$4:$A$100,[2]CODE!$E$4:$E$100),"")</f>
        <v/>
      </c>
      <c r="Y232" s="5" t="str">
        <f t="shared" si="24"/>
        <v/>
      </c>
      <c r="Z232" s="5" t="str">
        <f t="shared" si="25"/>
        <v/>
      </c>
      <c r="AA232" s="4">
        <f t="shared" si="26"/>
        <v>0</v>
      </c>
      <c r="AC232" s="2"/>
    </row>
    <row r="233" spans="1:29" ht="15.5">
      <c r="A233" s="13" t="str">
        <f>IF(OR(ISBLANK(C233),ISBLANK(D233),ISBLANK(F233),ISBLANK(G233)),"",COUNTIF($B$5:B233,"JAMBUTU"))</f>
        <v/>
      </c>
      <c r="B233" s="8" t="str">
        <f t="shared" si="27"/>
        <v/>
      </c>
      <c r="C233" s="8"/>
      <c r="D233" s="8"/>
      <c r="E233" s="13"/>
      <c r="F233" s="12"/>
      <c r="G233" s="15"/>
      <c r="H233" s="12"/>
      <c r="I233" s="11"/>
      <c r="J233" s="10">
        <f t="shared" si="21"/>
        <v>0</v>
      </c>
      <c r="K233" s="10">
        <f t="shared" si="22"/>
        <v>0</v>
      </c>
      <c r="L233" s="9" t="str">
        <f t="shared" si="23"/>
        <v/>
      </c>
      <c r="M233" s="8"/>
      <c r="N233" s="8"/>
      <c r="O233" s="8"/>
      <c r="P233" s="8"/>
      <c r="Q233" s="8"/>
      <c r="R233" s="8"/>
      <c r="S233" s="8"/>
      <c r="T233" s="8"/>
      <c r="U233" s="8"/>
      <c r="V233" s="7"/>
      <c r="W233" s="6" t="str">
        <f t="array" ref="W233">IF(NOT(ISBLANK(D233)),_xludf.XLOOKUP(D233,[2]CODE!$A$4:$A$100,[2]CODE!$D$4:$D$100),"")</f>
        <v/>
      </c>
      <c r="X233" s="5" t="str">
        <f t="array" ref="X233">IF(NOT(AND(ISBLANK(D233),ISBLANK(C233))),_xludf.XLOOKUP(D233,[2]CODE!$A$4:$A$100,[2]CODE!$E$4:$E$100),"")</f>
        <v/>
      </c>
      <c r="Y233" s="5" t="str">
        <f t="shared" si="24"/>
        <v/>
      </c>
      <c r="Z233" s="5" t="str">
        <f t="shared" si="25"/>
        <v/>
      </c>
      <c r="AA233" s="4">
        <f t="shared" si="26"/>
        <v>0</v>
      </c>
      <c r="AC233" s="2"/>
    </row>
    <row r="234" spans="1:29" ht="15.5">
      <c r="A234" s="13" t="str">
        <f>IF(OR(ISBLANK(C234),ISBLANK(D234),ISBLANK(F234),ISBLANK(G234)),"",COUNTIF($B$5:B234,"JAMBUTU"))</f>
        <v/>
      </c>
      <c r="B234" s="8" t="str">
        <f t="shared" si="27"/>
        <v/>
      </c>
      <c r="C234" s="8"/>
      <c r="D234" s="8"/>
      <c r="E234" s="13"/>
      <c r="F234" s="12"/>
      <c r="G234" s="11"/>
      <c r="H234" s="12"/>
      <c r="I234" s="15"/>
      <c r="J234" s="10">
        <f t="shared" si="21"/>
        <v>0</v>
      </c>
      <c r="K234" s="10">
        <f t="shared" si="22"/>
        <v>0</v>
      </c>
      <c r="L234" s="9" t="str">
        <f t="shared" si="23"/>
        <v/>
      </c>
      <c r="M234" s="8"/>
      <c r="N234" s="8"/>
      <c r="O234" s="8"/>
      <c r="P234" s="8"/>
      <c r="Q234" s="8"/>
      <c r="R234" s="8"/>
      <c r="S234" s="8"/>
      <c r="T234" s="8"/>
      <c r="U234" s="8"/>
      <c r="V234" s="7"/>
      <c r="W234" s="6" t="str">
        <f t="array" ref="W234">IF(NOT(ISBLANK(D234)),_xludf.XLOOKUP(D234,[2]CODE!$A$4:$A$100,[2]CODE!$D$4:$D$100),"")</f>
        <v/>
      </c>
      <c r="X234" s="5" t="str">
        <f t="array" ref="X234">IF(NOT(AND(ISBLANK(D234),ISBLANK(C234))),_xludf.XLOOKUP(D234,[2]CODE!$A$4:$A$100,[2]CODE!$E$4:$E$100),"")</f>
        <v/>
      </c>
      <c r="Y234" s="5" t="str">
        <f t="shared" si="24"/>
        <v/>
      </c>
      <c r="Z234" s="5" t="str">
        <f t="shared" si="25"/>
        <v/>
      </c>
      <c r="AA234" s="4">
        <f t="shared" si="26"/>
        <v>0</v>
      </c>
      <c r="AC234" s="2"/>
    </row>
    <row r="235" spans="1:29" ht="15.5">
      <c r="A235" s="13" t="str">
        <f>IF(OR(ISBLANK(C235),ISBLANK(D235),ISBLANK(F235),ISBLANK(G235)),"",COUNTIF($B$5:B235,"JAMBUTU"))</f>
        <v/>
      </c>
      <c r="B235" s="8" t="str">
        <f t="shared" si="27"/>
        <v/>
      </c>
      <c r="C235" s="8"/>
      <c r="D235" s="8"/>
      <c r="E235" s="13"/>
      <c r="F235" s="12"/>
      <c r="G235" s="11"/>
      <c r="H235" s="12"/>
      <c r="I235" s="15"/>
      <c r="J235" s="10">
        <f t="shared" si="21"/>
        <v>0</v>
      </c>
      <c r="K235" s="10">
        <f t="shared" si="22"/>
        <v>0</v>
      </c>
      <c r="L235" s="9" t="str">
        <f t="shared" si="23"/>
        <v/>
      </c>
      <c r="M235" s="8"/>
      <c r="N235" s="8"/>
      <c r="O235" s="8"/>
      <c r="P235" s="8"/>
      <c r="Q235" s="8"/>
      <c r="R235" s="8"/>
      <c r="S235" s="8"/>
      <c r="T235" s="8"/>
      <c r="U235" s="8"/>
      <c r="V235" s="7"/>
      <c r="W235" s="6" t="str">
        <f t="array" ref="W235">IF(NOT(ISBLANK(D235)),_xludf.XLOOKUP(D235,[2]CODE!$A$4:$A$100,[2]CODE!$D$4:$D$100),"")</f>
        <v/>
      </c>
      <c r="X235" s="5" t="str">
        <f t="array" ref="X235">IF(NOT(AND(ISBLANK(D235),ISBLANK(C235))),_xludf.XLOOKUP(D235,[2]CODE!$A$4:$A$100,[2]CODE!$E$4:$E$100),"")</f>
        <v/>
      </c>
      <c r="Y235" s="5" t="str">
        <f t="shared" si="24"/>
        <v/>
      </c>
      <c r="Z235" s="5" t="str">
        <f t="shared" si="25"/>
        <v/>
      </c>
      <c r="AA235" s="4">
        <f t="shared" si="26"/>
        <v>0</v>
      </c>
      <c r="AC235" s="2"/>
    </row>
    <row r="236" spans="1:29" ht="15.5">
      <c r="A236" s="13" t="str">
        <f>IF(OR(ISBLANK(C236),ISBLANK(D236),ISBLANK(F236),ISBLANK(G236)),"",COUNTIF($B$5:B236,"JAMBUTU"))</f>
        <v/>
      </c>
      <c r="B236" s="8" t="str">
        <f t="shared" si="27"/>
        <v/>
      </c>
      <c r="C236" s="8"/>
      <c r="D236" s="8"/>
      <c r="E236" s="13"/>
      <c r="F236" s="12"/>
      <c r="G236" s="11"/>
      <c r="H236" s="12"/>
      <c r="I236" s="11"/>
      <c r="J236" s="10">
        <f t="shared" si="21"/>
        <v>0</v>
      </c>
      <c r="K236" s="10">
        <f t="shared" si="22"/>
        <v>0</v>
      </c>
      <c r="L236" s="9" t="str">
        <f t="shared" si="23"/>
        <v/>
      </c>
      <c r="M236" s="8"/>
      <c r="N236" s="8"/>
      <c r="O236" s="8"/>
      <c r="P236" s="8"/>
      <c r="Q236" s="8"/>
      <c r="R236" s="8"/>
      <c r="S236" s="8"/>
      <c r="T236" s="8"/>
      <c r="U236" s="8"/>
      <c r="V236" s="7"/>
      <c r="W236" s="6" t="str">
        <f t="array" ref="W236">IF(NOT(ISBLANK(D236)),_xludf.XLOOKUP(D236,[2]CODE!$A$4:$A$100,[2]CODE!$D$4:$D$100),"")</f>
        <v/>
      </c>
      <c r="X236" s="5" t="str">
        <f t="array" ref="X236">IF(NOT(AND(ISBLANK(D236),ISBLANK(C236))),_xludf.XLOOKUP(D236,[2]CODE!$A$4:$A$100,[2]CODE!$E$4:$E$100),"")</f>
        <v/>
      </c>
      <c r="Y236" s="5" t="str">
        <f t="shared" si="24"/>
        <v/>
      </c>
      <c r="Z236" s="5" t="str">
        <f t="shared" si="25"/>
        <v/>
      </c>
      <c r="AA236" s="4">
        <f t="shared" si="26"/>
        <v>0</v>
      </c>
      <c r="AC236" s="2"/>
    </row>
    <row r="237" spans="1:29" ht="15.5">
      <c r="A237" s="13" t="str">
        <f>IF(OR(ISBLANK(C237),ISBLANK(D237),ISBLANK(F237),ISBLANK(G237)),"",COUNTIF($B$5:B237,"JAMBUTU"))</f>
        <v/>
      </c>
      <c r="B237" s="8" t="str">
        <f t="shared" si="27"/>
        <v/>
      </c>
      <c r="C237" s="8"/>
      <c r="D237" s="8"/>
      <c r="E237" s="13"/>
      <c r="F237" s="12"/>
      <c r="G237" s="11"/>
      <c r="H237" s="12"/>
      <c r="I237" s="11"/>
      <c r="J237" s="10">
        <f t="shared" si="21"/>
        <v>0</v>
      </c>
      <c r="K237" s="10">
        <f t="shared" si="22"/>
        <v>0</v>
      </c>
      <c r="L237" s="9" t="str">
        <f t="shared" si="23"/>
        <v/>
      </c>
      <c r="M237" s="8"/>
      <c r="N237" s="8"/>
      <c r="O237" s="8"/>
      <c r="P237" s="8"/>
      <c r="Q237" s="8"/>
      <c r="R237" s="8"/>
      <c r="S237" s="8"/>
      <c r="T237" s="8"/>
      <c r="U237" s="8"/>
      <c r="V237" s="7"/>
      <c r="W237" s="6" t="str">
        <f t="array" ref="W237">IF(NOT(ISBLANK(D237)),_xludf.XLOOKUP(D237,[2]CODE!$A$4:$A$100,[2]CODE!$D$4:$D$100),"")</f>
        <v/>
      </c>
      <c r="X237" s="5" t="str">
        <f t="array" ref="X237">IF(NOT(AND(ISBLANK(D237),ISBLANK(C237))),_xludf.XLOOKUP(D237,[2]CODE!$A$4:$A$100,[2]CODE!$E$4:$E$100),"")</f>
        <v/>
      </c>
      <c r="Y237" s="5" t="str">
        <f t="shared" si="24"/>
        <v/>
      </c>
      <c r="Z237" s="5" t="str">
        <f t="shared" si="25"/>
        <v/>
      </c>
      <c r="AA237" s="4">
        <f t="shared" si="26"/>
        <v>0</v>
      </c>
      <c r="AC237" s="2"/>
    </row>
    <row r="238" spans="1:29" ht="15.5">
      <c r="A238" s="13" t="str">
        <f>IF(OR(ISBLANK(C238),ISBLANK(D238),ISBLANK(F238),ISBLANK(G238)),"",COUNTIF($B$5:B238,"JAMBUTU"))</f>
        <v/>
      </c>
      <c r="B238" s="8" t="str">
        <f t="shared" si="27"/>
        <v/>
      </c>
      <c r="C238" s="8"/>
      <c r="D238" s="8"/>
      <c r="E238" s="13"/>
      <c r="F238" s="12"/>
      <c r="G238" s="11"/>
      <c r="H238" s="12"/>
      <c r="I238" s="11"/>
      <c r="J238" s="10">
        <f t="shared" si="21"/>
        <v>0</v>
      </c>
      <c r="K238" s="10">
        <f t="shared" si="22"/>
        <v>0</v>
      </c>
      <c r="L238" s="9" t="str">
        <f t="shared" si="23"/>
        <v/>
      </c>
      <c r="M238" s="8"/>
      <c r="N238" s="8"/>
      <c r="O238" s="8"/>
      <c r="P238" s="8"/>
      <c r="Q238" s="8"/>
      <c r="R238" s="8"/>
      <c r="S238" s="8"/>
      <c r="T238" s="8"/>
      <c r="U238" s="8"/>
      <c r="V238" s="7"/>
      <c r="W238" s="6" t="str">
        <f t="array" ref="W238">IF(NOT(ISBLANK(D238)),_xludf.XLOOKUP(D238,[2]CODE!$A$4:$A$100,[2]CODE!$D$4:$D$100),"")</f>
        <v/>
      </c>
      <c r="X238" s="5" t="str">
        <f t="array" ref="X238">IF(NOT(AND(ISBLANK(D238),ISBLANK(C238))),_xludf.XLOOKUP(D238,[2]CODE!$A$4:$A$100,[2]CODE!$E$4:$E$100),"")</f>
        <v/>
      </c>
      <c r="Y238" s="5" t="str">
        <f t="shared" si="24"/>
        <v/>
      </c>
      <c r="Z238" s="5" t="str">
        <f t="shared" si="25"/>
        <v/>
      </c>
      <c r="AA238" s="4">
        <f t="shared" si="26"/>
        <v>0</v>
      </c>
      <c r="AC238" s="2"/>
    </row>
    <row r="239" spans="1:29" ht="15.5">
      <c r="A239" s="13" t="str">
        <f>IF(OR(ISBLANK(C239),ISBLANK(D239),ISBLANK(F239),ISBLANK(G239)),"",COUNTIF($B$5:B239,"JAMBUTU"))</f>
        <v/>
      </c>
      <c r="B239" s="8" t="str">
        <f t="shared" si="27"/>
        <v/>
      </c>
      <c r="C239" s="8"/>
      <c r="D239" s="8"/>
      <c r="E239" s="13"/>
      <c r="F239" s="12"/>
      <c r="G239" s="11"/>
      <c r="H239" s="12"/>
      <c r="I239" s="11"/>
      <c r="J239" s="10">
        <f t="shared" si="21"/>
        <v>0</v>
      </c>
      <c r="K239" s="10">
        <f t="shared" si="22"/>
        <v>0</v>
      </c>
      <c r="L239" s="9" t="str">
        <f t="shared" si="23"/>
        <v/>
      </c>
      <c r="M239" s="8"/>
      <c r="N239" s="8"/>
      <c r="O239" s="8"/>
      <c r="P239" s="8"/>
      <c r="Q239" s="8"/>
      <c r="R239" s="8"/>
      <c r="S239" s="8"/>
      <c r="T239" s="8"/>
      <c r="U239" s="8"/>
      <c r="V239" s="7"/>
      <c r="W239" s="6" t="str">
        <f t="array" ref="W239">IF(NOT(ISBLANK(D239)),_xludf.XLOOKUP(D239,[2]CODE!$A$4:$A$100,[2]CODE!$D$4:$D$100),"")</f>
        <v/>
      </c>
      <c r="X239" s="5" t="str">
        <f t="array" ref="X239">IF(NOT(AND(ISBLANK(D239),ISBLANK(C239))),_xludf.XLOOKUP(D239,[2]CODE!$A$4:$A$100,[2]CODE!$E$4:$E$100),"")</f>
        <v/>
      </c>
      <c r="Y239" s="5" t="str">
        <f t="shared" si="24"/>
        <v/>
      </c>
      <c r="Z239" s="5" t="str">
        <f t="shared" si="25"/>
        <v/>
      </c>
      <c r="AA239" s="4">
        <f t="shared" si="26"/>
        <v>0</v>
      </c>
      <c r="AC239" s="2"/>
    </row>
    <row r="240" spans="1:29" ht="15.5">
      <c r="A240" s="13" t="str">
        <f>IF(OR(ISBLANK(C240),ISBLANK(D240),ISBLANK(F240),ISBLANK(G240)),"",COUNTIF($B$5:B240,"JAMBUTU"))</f>
        <v/>
      </c>
      <c r="B240" s="8" t="str">
        <f t="shared" si="27"/>
        <v/>
      </c>
      <c r="C240" s="8"/>
      <c r="D240" s="8"/>
      <c r="E240" s="13"/>
      <c r="F240" s="12"/>
      <c r="G240" s="11"/>
      <c r="H240" s="12"/>
      <c r="I240" s="11"/>
      <c r="J240" s="10">
        <f t="shared" si="21"/>
        <v>0</v>
      </c>
      <c r="K240" s="10">
        <f t="shared" si="22"/>
        <v>0</v>
      </c>
      <c r="L240" s="9" t="str">
        <f t="shared" si="23"/>
        <v/>
      </c>
      <c r="M240" s="8"/>
      <c r="N240" s="8"/>
      <c r="O240" s="8"/>
      <c r="P240" s="8"/>
      <c r="Q240" s="8"/>
      <c r="R240" s="8"/>
      <c r="S240" s="8"/>
      <c r="T240" s="8"/>
      <c r="U240" s="8"/>
      <c r="V240" s="7"/>
      <c r="W240" s="6" t="str">
        <f t="array" ref="W240">IF(NOT(ISBLANK(D240)),_xludf.XLOOKUP(D240,[2]CODE!$A$4:$A$100,[2]CODE!$D$4:$D$100),"")</f>
        <v/>
      </c>
      <c r="X240" s="5" t="str">
        <f t="array" ref="X240">IF(NOT(AND(ISBLANK(D240),ISBLANK(C240))),_xludf.XLOOKUP(D240,[2]CODE!$A$4:$A$100,[2]CODE!$E$4:$E$100),"")</f>
        <v/>
      </c>
      <c r="Y240" s="5" t="str">
        <f t="shared" si="24"/>
        <v/>
      </c>
      <c r="Z240" s="5" t="str">
        <f t="shared" si="25"/>
        <v/>
      </c>
      <c r="AA240" s="4">
        <f t="shared" si="26"/>
        <v>0</v>
      </c>
      <c r="AC240" s="2"/>
    </row>
    <row r="241" spans="1:29" ht="15.5">
      <c r="A241" s="13" t="str">
        <f>IF(OR(ISBLANK(C241),ISBLANK(D241),ISBLANK(F241),ISBLANK(G241)),"",COUNTIF($B$5:B241,"JAMBUTU"))</f>
        <v/>
      </c>
      <c r="B241" s="8" t="str">
        <f t="shared" si="27"/>
        <v/>
      </c>
      <c r="C241" s="8"/>
      <c r="D241" s="8"/>
      <c r="E241" s="13"/>
      <c r="F241" s="12"/>
      <c r="G241" s="11"/>
      <c r="H241" s="12"/>
      <c r="I241" s="11"/>
      <c r="J241" s="10">
        <f t="shared" si="21"/>
        <v>0</v>
      </c>
      <c r="K241" s="10">
        <f t="shared" si="22"/>
        <v>0</v>
      </c>
      <c r="L241" s="9" t="str">
        <f t="shared" si="23"/>
        <v/>
      </c>
      <c r="M241" s="8"/>
      <c r="N241" s="8"/>
      <c r="O241" s="8"/>
      <c r="P241" s="8"/>
      <c r="Q241" s="8"/>
      <c r="R241" s="8"/>
      <c r="S241" s="8"/>
      <c r="T241" s="8"/>
      <c r="U241" s="8"/>
      <c r="V241" s="7"/>
      <c r="W241" s="6" t="str">
        <f t="array" ref="W241">IF(NOT(ISBLANK(D241)),_xludf.XLOOKUP(D241,[2]CODE!$A$4:$A$100,[2]CODE!$D$4:$D$100),"")</f>
        <v/>
      </c>
      <c r="X241" s="5" t="str">
        <f t="array" ref="X241">IF(NOT(AND(ISBLANK(D241),ISBLANK(C241))),_xludf.XLOOKUP(D241,[2]CODE!$A$4:$A$100,[2]CODE!$E$4:$E$100),"")</f>
        <v/>
      </c>
      <c r="Y241" s="5" t="str">
        <f t="shared" si="24"/>
        <v/>
      </c>
      <c r="Z241" s="5" t="str">
        <f t="shared" si="25"/>
        <v/>
      </c>
      <c r="AA241" s="4">
        <f t="shared" si="26"/>
        <v>0</v>
      </c>
      <c r="AC241" s="2"/>
    </row>
    <row r="242" spans="1:29" ht="15.5">
      <c r="A242" s="13" t="str">
        <f>IF(OR(ISBLANK(C242),ISBLANK(D242),ISBLANK(F242),ISBLANK(G242)),"",COUNTIF($B$5:B242,"JAMBUTU"))</f>
        <v/>
      </c>
      <c r="B242" s="8" t="str">
        <f t="shared" si="27"/>
        <v/>
      </c>
      <c r="C242" s="8"/>
      <c r="D242" s="8"/>
      <c r="E242" s="13"/>
      <c r="F242" s="12"/>
      <c r="G242" s="11"/>
      <c r="H242" s="12"/>
      <c r="I242" s="11"/>
      <c r="J242" s="10">
        <f t="shared" si="21"/>
        <v>0</v>
      </c>
      <c r="K242" s="10">
        <f t="shared" si="22"/>
        <v>0</v>
      </c>
      <c r="L242" s="9" t="str">
        <f t="shared" si="23"/>
        <v/>
      </c>
      <c r="M242" s="8"/>
      <c r="N242" s="8"/>
      <c r="O242" s="8"/>
      <c r="P242" s="8"/>
      <c r="Q242" s="8"/>
      <c r="R242" s="8"/>
      <c r="S242" s="8"/>
      <c r="T242" s="8"/>
      <c r="U242" s="8"/>
      <c r="V242" s="7"/>
      <c r="W242" s="6" t="str">
        <f t="array" ref="W242">IF(NOT(ISBLANK(D242)),_xludf.XLOOKUP(D242,[2]CODE!$A$4:$A$100,[2]CODE!$D$4:$D$100),"")</f>
        <v/>
      </c>
      <c r="X242" s="5" t="str">
        <f t="array" ref="X242">IF(NOT(AND(ISBLANK(D242),ISBLANK(C242))),_xludf.XLOOKUP(D242,[2]CODE!$A$4:$A$100,[2]CODE!$E$4:$E$100),"")</f>
        <v/>
      </c>
      <c r="Y242" s="5" t="str">
        <f t="shared" si="24"/>
        <v/>
      </c>
      <c r="Z242" s="5" t="str">
        <f t="shared" si="25"/>
        <v/>
      </c>
      <c r="AA242" s="4">
        <f t="shared" si="26"/>
        <v>0</v>
      </c>
      <c r="AC242" s="2"/>
    </row>
    <row r="243" spans="1:29" ht="15.5">
      <c r="A243" s="13" t="str">
        <f>IF(OR(ISBLANK(C243),ISBLANK(D243),ISBLANK(F243),ISBLANK(G243)),"",COUNTIF($B$5:B243,"JAMBUTU"))</f>
        <v/>
      </c>
      <c r="B243" s="8" t="str">
        <f t="shared" si="27"/>
        <v/>
      </c>
      <c r="C243" s="8"/>
      <c r="D243" s="8"/>
      <c r="E243" s="13"/>
      <c r="F243" s="12"/>
      <c r="G243" s="11"/>
      <c r="H243" s="12"/>
      <c r="I243" s="11"/>
      <c r="J243" s="10">
        <f t="shared" si="21"/>
        <v>0</v>
      </c>
      <c r="K243" s="10">
        <f t="shared" si="22"/>
        <v>0</v>
      </c>
      <c r="L243" s="9" t="str">
        <f t="shared" si="23"/>
        <v/>
      </c>
      <c r="M243" s="8"/>
      <c r="N243" s="8"/>
      <c r="O243" s="8"/>
      <c r="P243" s="8"/>
      <c r="Q243" s="8"/>
      <c r="R243" s="8"/>
      <c r="S243" s="8"/>
      <c r="T243" s="8"/>
      <c r="U243" s="8"/>
      <c r="V243" s="7"/>
      <c r="W243" s="6" t="str">
        <f t="array" ref="W243">IF(NOT(ISBLANK(D243)),_xludf.XLOOKUP(D243,[2]CODE!$A$4:$A$100,[2]CODE!$D$4:$D$100),"")</f>
        <v/>
      </c>
      <c r="X243" s="5" t="str">
        <f t="array" ref="X243">IF(NOT(AND(ISBLANK(D243),ISBLANK(C243))),_xludf.XLOOKUP(D243,[2]CODE!$A$4:$A$100,[2]CODE!$E$4:$E$100),"")</f>
        <v/>
      </c>
      <c r="Y243" s="5" t="str">
        <f t="shared" si="24"/>
        <v/>
      </c>
      <c r="Z243" s="5" t="str">
        <f t="shared" si="25"/>
        <v/>
      </c>
      <c r="AA243" s="4">
        <f t="shared" si="26"/>
        <v>0</v>
      </c>
      <c r="AC243" s="2"/>
    </row>
    <row r="244" spans="1:29" ht="15.5">
      <c r="A244" s="13" t="str">
        <f>IF(OR(ISBLANK(C244),ISBLANK(D244),ISBLANK(F244),ISBLANK(G244)),"",COUNTIF($B$5:B244,"JAMBUTU"))</f>
        <v/>
      </c>
      <c r="B244" s="8" t="str">
        <f t="shared" si="27"/>
        <v/>
      </c>
      <c r="C244" s="8"/>
      <c r="D244" s="8"/>
      <c r="E244" s="13"/>
      <c r="F244" s="12"/>
      <c r="G244" s="11"/>
      <c r="H244" s="12"/>
      <c r="I244" s="11"/>
      <c r="J244" s="10">
        <f t="shared" si="21"/>
        <v>0</v>
      </c>
      <c r="K244" s="10">
        <f t="shared" si="22"/>
        <v>0</v>
      </c>
      <c r="L244" s="9" t="str">
        <f t="shared" si="23"/>
        <v/>
      </c>
      <c r="M244" s="8"/>
      <c r="N244" s="8"/>
      <c r="O244" s="8"/>
      <c r="P244" s="8"/>
      <c r="Q244" s="8"/>
      <c r="R244" s="8"/>
      <c r="S244" s="8"/>
      <c r="T244" s="8"/>
      <c r="U244" s="8"/>
      <c r="V244" s="7"/>
      <c r="W244" s="6" t="str">
        <f t="array" ref="W244">IF(NOT(ISBLANK(D244)),_xludf.XLOOKUP(D244,[2]CODE!$A$4:$A$100,[2]CODE!$D$4:$D$100),"")</f>
        <v/>
      </c>
      <c r="X244" s="5" t="str">
        <f t="array" ref="X244">IF(NOT(AND(ISBLANK(D244),ISBLANK(C244))),_xludf.XLOOKUP(D244,[2]CODE!$A$4:$A$100,[2]CODE!$E$4:$E$100),"")</f>
        <v/>
      </c>
      <c r="Y244" s="5" t="str">
        <f t="shared" si="24"/>
        <v/>
      </c>
      <c r="Z244" s="5" t="str">
        <f t="shared" si="25"/>
        <v/>
      </c>
      <c r="AA244" s="4">
        <f t="shared" si="26"/>
        <v>0</v>
      </c>
      <c r="AC244" s="2"/>
    </row>
    <row r="245" spans="1:29" ht="15.5">
      <c r="A245" s="13" t="str">
        <f>IF(OR(ISBLANK(C245),ISBLANK(D245),ISBLANK(F245),ISBLANK(G245)),"",COUNTIF($B$5:B245,"JAMBUTU"))</f>
        <v/>
      </c>
      <c r="B245" s="8" t="str">
        <f t="shared" si="27"/>
        <v/>
      </c>
      <c r="C245" s="8"/>
      <c r="D245" s="8"/>
      <c r="E245" s="13"/>
      <c r="F245" s="12"/>
      <c r="G245" s="11"/>
      <c r="H245" s="12"/>
      <c r="I245" s="11"/>
      <c r="J245" s="10">
        <f t="shared" si="21"/>
        <v>0</v>
      </c>
      <c r="K245" s="10">
        <f t="shared" si="22"/>
        <v>0</v>
      </c>
      <c r="L245" s="9" t="str">
        <f t="shared" si="23"/>
        <v/>
      </c>
      <c r="M245" s="8"/>
      <c r="N245" s="8"/>
      <c r="O245" s="8"/>
      <c r="P245" s="8"/>
      <c r="Q245" s="8"/>
      <c r="R245" s="8"/>
      <c r="S245" s="8"/>
      <c r="T245" s="8"/>
      <c r="U245" s="8"/>
      <c r="V245" s="7"/>
      <c r="W245" s="6" t="str">
        <f t="array" ref="W245">IF(NOT(ISBLANK(D245)),_xludf.XLOOKUP(D245,[2]CODE!$A$4:$A$100,[2]CODE!$D$4:$D$100),"")</f>
        <v/>
      </c>
      <c r="X245" s="5" t="str">
        <f t="array" ref="X245">IF(NOT(AND(ISBLANK(D245),ISBLANK(C245))),_xludf.XLOOKUP(D245,[2]CODE!$A$4:$A$100,[2]CODE!$E$4:$E$100),"")</f>
        <v/>
      </c>
      <c r="Y245" s="5" t="str">
        <f t="shared" si="24"/>
        <v/>
      </c>
      <c r="Z245" s="5" t="str">
        <f t="shared" si="25"/>
        <v/>
      </c>
      <c r="AA245" s="4">
        <f t="shared" si="26"/>
        <v>0</v>
      </c>
      <c r="AC245" s="2"/>
    </row>
    <row r="246" spans="1:29" ht="15.5">
      <c r="A246" s="13" t="str">
        <f>IF(OR(ISBLANK(C246),ISBLANK(D246),ISBLANK(F246),ISBLANK(G246)),"",COUNTIF($B$5:B246,"JAMBUTU"))</f>
        <v/>
      </c>
      <c r="B246" s="8" t="str">
        <f t="shared" si="27"/>
        <v/>
      </c>
      <c r="C246" s="8"/>
      <c r="D246" s="8"/>
      <c r="E246" s="13"/>
      <c r="F246" s="12"/>
      <c r="G246" s="11"/>
      <c r="H246" s="12"/>
      <c r="I246" s="11"/>
      <c r="J246" s="10">
        <f t="shared" si="21"/>
        <v>0</v>
      </c>
      <c r="K246" s="10">
        <f t="shared" si="22"/>
        <v>0</v>
      </c>
      <c r="L246" s="9" t="str">
        <f t="shared" si="23"/>
        <v/>
      </c>
      <c r="M246" s="8"/>
      <c r="N246" s="8"/>
      <c r="O246" s="8"/>
      <c r="P246" s="8"/>
      <c r="Q246" s="8"/>
      <c r="R246" s="8"/>
      <c r="S246" s="8"/>
      <c r="T246" s="8"/>
      <c r="U246" s="8"/>
      <c r="V246" s="7"/>
      <c r="W246" s="6" t="str">
        <f t="array" ref="W246">IF(NOT(ISBLANK(D246)),_xludf.XLOOKUP(D246,[2]CODE!$A$4:$A$100,[2]CODE!$D$4:$D$100),"")</f>
        <v/>
      </c>
      <c r="X246" s="5" t="str">
        <f t="array" ref="X246">IF(NOT(AND(ISBLANK(D246),ISBLANK(C246))),_xludf.XLOOKUP(D246,[2]CODE!$A$4:$A$100,[2]CODE!$E$4:$E$100),"")</f>
        <v/>
      </c>
      <c r="Y246" s="5" t="str">
        <f t="shared" si="24"/>
        <v/>
      </c>
      <c r="Z246" s="5" t="str">
        <f t="shared" si="25"/>
        <v/>
      </c>
      <c r="AA246" s="4">
        <f t="shared" si="26"/>
        <v>0</v>
      </c>
      <c r="AC246" s="2"/>
    </row>
    <row r="247" spans="1:29" ht="15.5">
      <c r="A247" s="13" t="str">
        <f>IF(OR(ISBLANK(C247),ISBLANK(D247),ISBLANK(F247),ISBLANK(G247)),"",COUNTIF($B$5:B247,"JAMBUTU"))</f>
        <v/>
      </c>
      <c r="B247" s="8" t="str">
        <f t="shared" si="27"/>
        <v/>
      </c>
      <c r="C247" s="8"/>
      <c r="D247" s="8"/>
      <c r="E247" s="13"/>
      <c r="F247" s="12"/>
      <c r="G247" s="11"/>
      <c r="H247" s="12"/>
      <c r="I247" s="11"/>
      <c r="J247" s="10">
        <f t="shared" si="21"/>
        <v>0</v>
      </c>
      <c r="K247" s="10">
        <f t="shared" si="22"/>
        <v>0</v>
      </c>
      <c r="L247" s="9" t="str">
        <f t="shared" si="23"/>
        <v/>
      </c>
      <c r="M247" s="8"/>
      <c r="N247" s="8"/>
      <c r="O247" s="8"/>
      <c r="P247" s="8"/>
      <c r="Q247" s="8"/>
      <c r="R247" s="8"/>
      <c r="S247" s="8"/>
      <c r="T247" s="8"/>
      <c r="U247" s="8"/>
      <c r="V247" s="7"/>
      <c r="W247" s="6" t="str">
        <f t="array" ref="W247">IF(NOT(ISBLANK(D247)),_xludf.XLOOKUP(D247,[2]CODE!$A$4:$A$100,[2]CODE!$D$4:$D$100),"")</f>
        <v/>
      </c>
      <c r="X247" s="5" t="str">
        <f t="array" ref="X247">IF(NOT(AND(ISBLANK(D247),ISBLANK(C247))),_xludf.XLOOKUP(D247,[2]CODE!$A$4:$A$100,[2]CODE!$E$4:$E$100),"")</f>
        <v/>
      </c>
      <c r="Y247" s="5" t="str">
        <f t="shared" si="24"/>
        <v/>
      </c>
      <c r="Z247" s="5" t="str">
        <f t="shared" si="25"/>
        <v/>
      </c>
      <c r="AA247" s="4">
        <f t="shared" si="26"/>
        <v>0</v>
      </c>
      <c r="AC247" s="2"/>
    </row>
    <row r="248" spans="1:29" ht="15.5">
      <c r="A248" s="13" t="str">
        <f>IF(OR(ISBLANK(C248),ISBLANK(D248),ISBLANK(F248),ISBLANK(G248)),"",COUNTIF($B$5:B248,"JAMBUTU"))</f>
        <v/>
      </c>
      <c r="B248" s="8" t="str">
        <f t="shared" si="27"/>
        <v/>
      </c>
      <c r="C248" s="8"/>
      <c r="D248" s="8"/>
      <c r="E248" s="13"/>
      <c r="F248" s="12"/>
      <c r="G248" s="11"/>
      <c r="H248" s="12"/>
      <c r="I248" s="11"/>
      <c r="J248" s="10">
        <f t="shared" si="21"/>
        <v>0</v>
      </c>
      <c r="K248" s="10">
        <f t="shared" si="22"/>
        <v>0</v>
      </c>
      <c r="L248" s="9" t="str">
        <f t="shared" si="23"/>
        <v/>
      </c>
      <c r="M248" s="8"/>
      <c r="N248" s="8"/>
      <c r="O248" s="8"/>
      <c r="P248" s="8"/>
      <c r="Q248" s="8"/>
      <c r="R248" s="8"/>
      <c r="S248" s="8"/>
      <c r="T248" s="8"/>
      <c r="U248" s="8"/>
      <c r="V248" s="7"/>
      <c r="W248" s="6" t="str">
        <f t="array" ref="W248">IF(NOT(ISBLANK(D248)),_xludf.XLOOKUP(D248,[2]CODE!$A$4:$A$100,[2]CODE!$D$4:$D$100),"")</f>
        <v/>
      </c>
      <c r="X248" s="5" t="str">
        <f t="array" ref="X248">IF(NOT(AND(ISBLANK(D248),ISBLANK(C248))),_xludf.XLOOKUP(D248,[2]CODE!$A$4:$A$100,[2]CODE!$E$4:$E$100),"")</f>
        <v/>
      </c>
      <c r="Y248" s="5" t="str">
        <f t="shared" si="24"/>
        <v/>
      </c>
      <c r="Z248" s="5" t="str">
        <f t="shared" si="25"/>
        <v/>
      </c>
      <c r="AA248" s="4">
        <f t="shared" si="26"/>
        <v>0</v>
      </c>
      <c r="AC248" s="2"/>
    </row>
    <row r="249" spans="1:29" ht="15.5">
      <c r="A249" s="13" t="str">
        <f>IF(OR(ISBLANK(C249),ISBLANK(D249),ISBLANK(F249),ISBLANK(G249)),"",COUNTIF($B$5:B249,"JAMBUTU"))</f>
        <v/>
      </c>
      <c r="B249" s="8" t="str">
        <f t="shared" si="27"/>
        <v/>
      </c>
      <c r="C249" s="8"/>
      <c r="D249" s="8"/>
      <c r="E249" s="13"/>
      <c r="F249" s="12"/>
      <c r="G249" s="11"/>
      <c r="H249" s="12"/>
      <c r="I249" s="11"/>
      <c r="J249" s="10">
        <f t="shared" si="21"/>
        <v>0</v>
      </c>
      <c r="K249" s="10">
        <f t="shared" si="22"/>
        <v>0</v>
      </c>
      <c r="L249" s="9" t="str">
        <f t="shared" si="23"/>
        <v/>
      </c>
      <c r="M249" s="8"/>
      <c r="N249" s="8"/>
      <c r="O249" s="8"/>
      <c r="P249" s="8"/>
      <c r="Q249" s="8"/>
      <c r="R249" s="8"/>
      <c r="S249" s="8"/>
      <c r="T249" s="8"/>
      <c r="U249" s="8"/>
      <c r="V249" s="7"/>
      <c r="W249" s="6" t="str">
        <f t="array" ref="W249">IF(NOT(ISBLANK(D249)),_xludf.XLOOKUP(D249,[2]CODE!$A$4:$A$100,[2]CODE!$D$4:$D$100),"")</f>
        <v/>
      </c>
      <c r="X249" s="5" t="str">
        <f t="array" ref="X249">IF(NOT(AND(ISBLANK(D249),ISBLANK(C249))),_xludf.XLOOKUP(D249,[2]CODE!$A$4:$A$100,[2]CODE!$E$4:$E$100),"")</f>
        <v/>
      </c>
      <c r="Y249" s="5" t="str">
        <f t="shared" si="24"/>
        <v/>
      </c>
      <c r="Z249" s="5" t="str">
        <f t="shared" si="25"/>
        <v/>
      </c>
      <c r="AA249" s="4">
        <f t="shared" si="26"/>
        <v>0</v>
      </c>
      <c r="AC249" s="2"/>
    </row>
    <row r="250" spans="1:29" ht="15.5">
      <c r="A250" s="13" t="str">
        <f>IF(OR(ISBLANK(C250),ISBLANK(D250),ISBLANK(F250),ISBLANK(G250)),"",COUNTIF($B$5:B250,"JAMBUTU"))</f>
        <v/>
      </c>
      <c r="B250" s="8" t="str">
        <f t="shared" si="27"/>
        <v/>
      </c>
      <c r="C250" s="8"/>
      <c r="D250" s="8"/>
      <c r="E250" s="13"/>
      <c r="F250" s="12"/>
      <c r="G250" s="11"/>
      <c r="H250" s="12"/>
      <c r="I250" s="11"/>
      <c r="J250" s="10">
        <f t="shared" si="21"/>
        <v>0</v>
      </c>
      <c r="K250" s="10">
        <f t="shared" si="22"/>
        <v>0</v>
      </c>
      <c r="L250" s="9" t="str">
        <f t="shared" si="23"/>
        <v/>
      </c>
      <c r="M250" s="8"/>
      <c r="N250" s="8"/>
      <c r="O250" s="8"/>
      <c r="P250" s="8"/>
      <c r="Q250" s="8"/>
      <c r="R250" s="8"/>
      <c r="S250" s="8"/>
      <c r="T250" s="8"/>
      <c r="U250" s="8"/>
      <c r="V250" s="7"/>
      <c r="W250" s="6" t="str">
        <f t="array" ref="W250">IF(NOT(ISBLANK(D250)),_xludf.XLOOKUP(D250,[2]CODE!$A$4:$A$100,[2]CODE!$D$4:$D$100),"")</f>
        <v/>
      </c>
      <c r="X250" s="5" t="str">
        <f t="array" ref="X250">IF(NOT(AND(ISBLANK(D250),ISBLANK(C250))),_xludf.XLOOKUP(D250,[2]CODE!$A$4:$A$100,[2]CODE!$E$4:$E$100),"")</f>
        <v/>
      </c>
      <c r="Y250" s="5" t="str">
        <f t="shared" si="24"/>
        <v/>
      </c>
      <c r="Z250" s="5" t="str">
        <f t="shared" si="25"/>
        <v/>
      </c>
      <c r="AA250" s="4">
        <f t="shared" si="26"/>
        <v>0</v>
      </c>
      <c r="AC250" s="2"/>
    </row>
    <row r="251" spans="1:29" ht="15.5">
      <c r="A251" s="13" t="str">
        <f>IF(OR(ISBLANK(C251),ISBLANK(D251),ISBLANK(F251),ISBLANK(G251)),"",COUNTIF($B$5:B251,"JAMBUTU"))</f>
        <v/>
      </c>
      <c r="B251" s="8" t="str">
        <f t="shared" si="27"/>
        <v/>
      </c>
      <c r="C251" s="8"/>
      <c r="D251" s="8"/>
      <c r="E251" s="13"/>
      <c r="F251" s="12"/>
      <c r="G251" s="11"/>
      <c r="H251" s="12"/>
      <c r="I251" s="11"/>
      <c r="J251" s="10">
        <f t="shared" si="21"/>
        <v>0</v>
      </c>
      <c r="K251" s="10">
        <f t="shared" si="22"/>
        <v>0</v>
      </c>
      <c r="L251" s="9" t="str">
        <f t="shared" si="23"/>
        <v/>
      </c>
      <c r="M251" s="8"/>
      <c r="N251" s="8"/>
      <c r="O251" s="8"/>
      <c r="P251" s="8"/>
      <c r="Q251" s="8"/>
      <c r="R251" s="8"/>
      <c r="S251" s="8"/>
      <c r="T251" s="8"/>
      <c r="U251" s="8"/>
      <c r="V251" s="7"/>
      <c r="W251" s="6" t="str">
        <f t="array" ref="W251">IF(NOT(ISBLANK(D251)),_xludf.XLOOKUP(D251,[2]CODE!$A$4:$A$100,[2]CODE!$D$4:$D$100),"")</f>
        <v/>
      </c>
      <c r="X251" s="5" t="str">
        <f t="array" ref="X251">IF(NOT(AND(ISBLANK(D251),ISBLANK(C251))),_xludf.XLOOKUP(D251,[2]CODE!$A$4:$A$100,[2]CODE!$E$4:$E$100),"")</f>
        <v/>
      </c>
      <c r="Y251" s="5" t="str">
        <f t="shared" si="24"/>
        <v/>
      </c>
      <c r="Z251" s="5" t="str">
        <f t="shared" si="25"/>
        <v/>
      </c>
      <c r="AA251" s="4">
        <f t="shared" si="26"/>
        <v>0</v>
      </c>
      <c r="AC251" s="2"/>
    </row>
    <row r="252" spans="1:29" ht="15.5">
      <c r="A252" s="13" t="str">
        <f>IF(OR(ISBLANK(C252),ISBLANK(D252),ISBLANK(F252),ISBLANK(G252)),"",COUNTIF($B$5:B252,"JAMBUTU"))</f>
        <v/>
      </c>
      <c r="B252" s="8" t="str">
        <f t="shared" si="27"/>
        <v/>
      </c>
      <c r="C252" s="8"/>
      <c r="D252" s="8"/>
      <c r="E252" s="13"/>
      <c r="F252" s="12"/>
      <c r="G252" s="11"/>
      <c r="H252" s="12"/>
      <c r="I252" s="11"/>
      <c r="J252" s="10">
        <f t="shared" si="21"/>
        <v>0</v>
      </c>
      <c r="K252" s="10">
        <f t="shared" si="22"/>
        <v>0</v>
      </c>
      <c r="L252" s="9" t="str">
        <f t="shared" si="23"/>
        <v/>
      </c>
      <c r="M252" s="8"/>
      <c r="N252" s="8"/>
      <c r="O252" s="8"/>
      <c r="P252" s="8"/>
      <c r="Q252" s="8"/>
      <c r="R252" s="8"/>
      <c r="S252" s="8"/>
      <c r="T252" s="8"/>
      <c r="U252" s="8"/>
      <c r="V252" s="7"/>
      <c r="W252" s="6" t="str">
        <f t="array" ref="W252">IF(NOT(ISBLANK(D252)),_xludf.XLOOKUP(D252,[2]CODE!$A$4:$A$100,[2]CODE!$D$4:$D$100),"")</f>
        <v/>
      </c>
      <c r="X252" s="5" t="str">
        <f t="array" ref="X252">IF(NOT(AND(ISBLANK(D252),ISBLANK(C252))),_xludf.XLOOKUP(D252,[2]CODE!$A$4:$A$100,[2]CODE!$E$4:$E$100),"")</f>
        <v/>
      </c>
      <c r="Y252" s="5" t="str">
        <f t="shared" si="24"/>
        <v/>
      </c>
      <c r="Z252" s="5" t="str">
        <f t="shared" si="25"/>
        <v/>
      </c>
      <c r="AA252" s="4">
        <f t="shared" si="26"/>
        <v>0</v>
      </c>
      <c r="AC252" s="2"/>
    </row>
    <row r="253" spans="1:29" ht="15.5">
      <c r="A253" s="13" t="str">
        <f>IF(OR(ISBLANK(C253),ISBLANK(D253),ISBLANK(F253),ISBLANK(G253)),"",COUNTIF($B$5:B253,"JAMBUTU"))</f>
        <v/>
      </c>
      <c r="B253" s="8" t="str">
        <f t="shared" si="27"/>
        <v/>
      </c>
      <c r="C253" s="8"/>
      <c r="D253" s="8"/>
      <c r="E253" s="13"/>
      <c r="F253" s="12"/>
      <c r="G253" s="11"/>
      <c r="H253" s="12"/>
      <c r="I253" s="11"/>
      <c r="J253" s="10">
        <f t="shared" si="21"/>
        <v>0</v>
      </c>
      <c r="K253" s="10">
        <f t="shared" si="22"/>
        <v>0</v>
      </c>
      <c r="L253" s="9" t="str">
        <f t="shared" si="23"/>
        <v/>
      </c>
      <c r="M253" s="8"/>
      <c r="N253" s="8"/>
      <c r="O253" s="8"/>
      <c r="P253" s="8"/>
      <c r="Q253" s="8"/>
      <c r="R253" s="8"/>
      <c r="S253" s="8"/>
      <c r="T253" s="8"/>
      <c r="U253" s="8"/>
      <c r="V253" s="7"/>
      <c r="W253" s="6" t="str">
        <f t="array" ref="W253">IF(NOT(ISBLANK(D253)),_xludf.XLOOKUP(D253,[2]CODE!$A$4:$A$100,[2]CODE!$D$4:$D$100),"")</f>
        <v/>
      </c>
      <c r="X253" s="5" t="str">
        <f t="array" ref="X253">IF(NOT(AND(ISBLANK(D253),ISBLANK(C253))),_xludf.XLOOKUP(D253,[2]CODE!$A$4:$A$100,[2]CODE!$E$4:$E$100),"")</f>
        <v/>
      </c>
      <c r="Y253" s="5" t="str">
        <f t="shared" si="24"/>
        <v/>
      </c>
      <c r="Z253" s="5" t="str">
        <f t="shared" si="25"/>
        <v/>
      </c>
      <c r="AA253" s="4">
        <f t="shared" si="26"/>
        <v>0</v>
      </c>
      <c r="AC253" s="2"/>
    </row>
    <row r="254" spans="1:29" ht="15.5">
      <c r="A254" s="13" t="str">
        <f>IF(OR(ISBLANK(C254),ISBLANK(D254),ISBLANK(F254),ISBLANK(G254)),"",COUNTIF($B$5:B254,"JAMBUTU"))</f>
        <v/>
      </c>
      <c r="B254" s="8" t="str">
        <f t="shared" si="27"/>
        <v/>
      </c>
      <c r="C254" s="8"/>
      <c r="D254" s="8"/>
      <c r="E254" s="13"/>
      <c r="F254" s="12"/>
      <c r="G254" s="11"/>
      <c r="H254" s="12"/>
      <c r="I254" s="11"/>
      <c r="J254" s="10">
        <f t="shared" si="21"/>
        <v>0</v>
      </c>
      <c r="K254" s="10">
        <f t="shared" si="22"/>
        <v>0</v>
      </c>
      <c r="L254" s="9" t="str">
        <f t="shared" si="23"/>
        <v/>
      </c>
      <c r="M254" s="8"/>
      <c r="N254" s="8"/>
      <c r="O254" s="8"/>
      <c r="P254" s="8"/>
      <c r="Q254" s="8"/>
      <c r="R254" s="8"/>
      <c r="S254" s="8"/>
      <c r="T254" s="8"/>
      <c r="U254" s="8"/>
      <c r="V254" s="7"/>
      <c r="W254" s="6" t="str">
        <f t="array" ref="W254">IF(NOT(ISBLANK(D254)),_xludf.XLOOKUP(D254,[2]CODE!$A$4:$A$100,[2]CODE!$D$4:$D$100),"")</f>
        <v/>
      </c>
      <c r="X254" s="5" t="str">
        <f t="array" ref="X254">IF(NOT(AND(ISBLANK(D254),ISBLANK(C254))),_xludf.XLOOKUP(D254,[2]CODE!$A$4:$A$100,[2]CODE!$E$4:$E$100),"")</f>
        <v/>
      </c>
      <c r="Y254" s="5" t="str">
        <f t="shared" si="24"/>
        <v/>
      </c>
      <c r="Z254" s="5" t="str">
        <f t="shared" si="25"/>
        <v/>
      </c>
      <c r="AA254" s="4">
        <f t="shared" si="26"/>
        <v>0</v>
      </c>
      <c r="AC254" s="2"/>
    </row>
    <row r="255" spans="1:29" ht="15.5">
      <c r="A255" s="13" t="str">
        <f>IF(OR(ISBLANK(C255),ISBLANK(D255),ISBLANK(F255),ISBLANK(G255)),"",COUNTIF($B$5:B255,"JAMBUTU"))</f>
        <v/>
      </c>
      <c r="B255" s="8" t="str">
        <f t="shared" si="27"/>
        <v/>
      </c>
      <c r="C255" s="8"/>
      <c r="D255" s="8"/>
      <c r="E255" s="13"/>
      <c r="F255" s="12"/>
      <c r="G255" s="11"/>
      <c r="H255" s="12"/>
      <c r="I255" s="11"/>
      <c r="J255" s="10">
        <f t="shared" si="21"/>
        <v>0</v>
      </c>
      <c r="K255" s="10">
        <f t="shared" si="22"/>
        <v>0</v>
      </c>
      <c r="L255" s="9" t="str">
        <f t="shared" si="23"/>
        <v/>
      </c>
      <c r="M255" s="8"/>
      <c r="N255" s="8"/>
      <c r="O255" s="8"/>
      <c r="P255" s="8"/>
      <c r="Q255" s="8"/>
      <c r="R255" s="8"/>
      <c r="S255" s="8"/>
      <c r="T255" s="8"/>
      <c r="U255" s="8"/>
      <c r="V255" s="7"/>
      <c r="W255" s="6" t="str">
        <f t="array" ref="W255">IF(NOT(ISBLANK(D255)),_xludf.XLOOKUP(D255,[2]CODE!$A$4:$A$100,[2]CODE!$D$4:$D$100),"")</f>
        <v/>
      </c>
      <c r="X255" s="5" t="str">
        <f t="array" ref="X255">IF(NOT(AND(ISBLANK(D255),ISBLANK(C255))),_xludf.XLOOKUP(D255,[2]CODE!$A$4:$A$100,[2]CODE!$E$4:$E$100),"")</f>
        <v/>
      </c>
      <c r="Y255" s="5" t="str">
        <f t="shared" si="24"/>
        <v/>
      </c>
      <c r="Z255" s="5" t="str">
        <f t="shared" si="25"/>
        <v/>
      </c>
      <c r="AA255" s="4">
        <f t="shared" si="26"/>
        <v>0</v>
      </c>
      <c r="AC255" s="2"/>
    </row>
    <row r="256" spans="1:29" ht="15.5">
      <c r="A256" s="13" t="str">
        <f>IF(OR(ISBLANK(C256),ISBLANK(D256),ISBLANK(F256),ISBLANK(G256)),"",COUNTIF($B$5:B256,"JAMBUTU"))</f>
        <v/>
      </c>
      <c r="B256" s="8" t="str">
        <f t="shared" si="27"/>
        <v/>
      </c>
      <c r="C256" s="8"/>
      <c r="D256" s="8"/>
      <c r="E256" s="13"/>
      <c r="F256" s="12"/>
      <c r="G256" s="11"/>
      <c r="H256" s="12"/>
      <c r="I256" s="11"/>
      <c r="J256" s="10">
        <f t="shared" si="21"/>
        <v>0</v>
      </c>
      <c r="K256" s="10">
        <f t="shared" si="22"/>
        <v>0</v>
      </c>
      <c r="L256" s="9" t="str">
        <f t="shared" si="23"/>
        <v/>
      </c>
      <c r="M256" s="8"/>
      <c r="N256" s="8"/>
      <c r="O256" s="8"/>
      <c r="P256" s="8"/>
      <c r="Q256" s="8"/>
      <c r="R256" s="8"/>
      <c r="S256" s="8"/>
      <c r="T256" s="8"/>
      <c r="U256" s="8"/>
      <c r="V256" s="7"/>
      <c r="W256" s="6" t="str">
        <f t="array" ref="W256">IF(NOT(ISBLANK(D256)),_xludf.XLOOKUP(D256,[2]CODE!$A$4:$A$100,[2]CODE!$D$4:$D$100),"")</f>
        <v/>
      </c>
      <c r="X256" s="5" t="str">
        <f t="array" ref="X256">IF(NOT(AND(ISBLANK(D256),ISBLANK(C256))),_xludf.XLOOKUP(D256,[2]CODE!$A$4:$A$100,[2]CODE!$E$4:$E$100),"")</f>
        <v/>
      </c>
      <c r="Y256" s="5" t="str">
        <f t="shared" si="24"/>
        <v/>
      </c>
      <c r="Z256" s="5" t="str">
        <f t="shared" si="25"/>
        <v/>
      </c>
      <c r="AA256" s="4">
        <f t="shared" si="26"/>
        <v>0</v>
      </c>
      <c r="AC256" s="2"/>
    </row>
    <row r="257" spans="1:29" ht="15.5">
      <c r="A257" s="13" t="str">
        <f>IF(OR(ISBLANK(C257),ISBLANK(D257),ISBLANK(F257),ISBLANK(G257)),"",COUNTIF($B$5:B257,"JAMBUTU"))</f>
        <v/>
      </c>
      <c r="B257" s="8" t="str">
        <f t="shared" si="27"/>
        <v/>
      </c>
      <c r="C257" s="8"/>
      <c r="D257" s="8"/>
      <c r="E257" s="13"/>
      <c r="F257" s="12"/>
      <c r="G257" s="11"/>
      <c r="H257" s="12"/>
      <c r="I257" s="11"/>
      <c r="J257" s="10">
        <f t="shared" si="21"/>
        <v>0</v>
      </c>
      <c r="K257" s="10">
        <f t="shared" si="22"/>
        <v>0</v>
      </c>
      <c r="L257" s="9" t="str">
        <f t="shared" si="23"/>
        <v/>
      </c>
      <c r="M257" s="8"/>
      <c r="N257" s="8"/>
      <c r="O257" s="8"/>
      <c r="P257" s="8"/>
      <c r="Q257" s="8"/>
      <c r="R257" s="8"/>
      <c r="S257" s="8"/>
      <c r="T257" s="8"/>
      <c r="U257" s="8"/>
      <c r="V257" s="7"/>
      <c r="W257" s="6" t="str">
        <f t="array" ref="W257">IF(NOT(ISBLANK(D257)),_xludf.XLOOKUP(D257,[2]CODE!$A$4:$A$100,[2]CODE!$D$4:$D$100),"")</f>
        <v/>
      </c>
      <c r="X257" s="5" t="str">
        <f t="array" ref="X257">IF(NOT(AND(ISBLANK(D257),ISBLANK(C257))),_xludf.XLOOKUP(D257,[2]CODE!$A$4:$A$100,[2]CODE!$E$4:$E$100),"")</f>
        <v/>
      </c>
      <c r="Y257" s="5" t="str">
        <f t="shared" si="24"/>
        <v/>
      </c>
      <c r="Z257" s="5" t="str">
        <f t="shared" si="25"/>
        <v/>
      </c>
      <c r="AA257" s="4">
        <f t="shared" si="26"/>
        <v>0</v>
      </c>
      <c r="AC257" s="2"/>
    </row>
    <row r="258" spans="1:29" ht="15.5">
      <c r="A258" s="13" t="str">
        <f>IF(OR(ISBLANK(C258),ISBLANK(D258),ISBLANK(F258),ISBLANK(G258)),"",COUNTIF($B$5:B258,"JAMBUTU"))</f>
        <v/>
      </c>
      <c r="B258" s="8" t="str">
        <f t="shared" si="27"/>
        <v/>
      </c>
      <c r="C258" s="8"/>
      <c r="D258" s="8"/>
      <c r="E258" s="13"/>
      <c r="F258" s="12"/>
      <c r="G258" s="11"/>
      <c r="H258" s="12"/>
      <c r="I258" s="11"/>
      <c r="J258" s="10">
        <f t="shared" si="21"/>
        <v>0</v>
      </c>
      <c r="K258" s="10">
        <f t="shared" si="22"/>
        <v>0</v>
      </c>
      <c r="L258" s="9" t="str">
        <f t="shared" si="23"/>
        <v/>
      </c>
      <c r="M258" s="8"/>
      <c r="N258" s="8"/>
      <c r="O258" s="8"/>
      <c r="P258" s="8"/>
      <c r="Q258" s="8"/>
      <c r="R258" s="8"/>
      <c r="S258" s="8"/>
      <c r="T258" s="8"/>
      <c r="U258" s="8"/>
      <c r="V258" s="7"/>
      <c r="W258" s="6" t="str">
        <f t="array" ref="W258">IF(NOT(ISBLANK(D258)),_xludf.XLOOKUP(D258,[2]CODE!$A$4:$A$100,[2]CODE!$D$4:$D$100),"")</f>
        <v/>
      </c>
      <c r="X258" s="5" t="str">
        <f t="array" ref="X258">IF(NOT(AND(ISBLANK(D258),ISBLANK(C258))),_xludf.XLOOKUP(D258,[2]CODE!$A$4:$A$100,[2]CODE!$E$4:$E$100),"")</f>
        <v/>
      </c>
      <c r="Y258" s="5" t="str">
        <f t="shared" si="24"/>
        <v/>
      </c>
      <c r="Z258" s="5" t="str">
        <f t="shared" si="25"/>
        <v/>
      </c>
      <c r="AA258" s="4">
        <f t="shared" si="26"/>
        <v>0</v>
      </c>
      <c r="AC258" s="2"/>
    </row>
    <row r="259" spans="1:29" ht="15.5">
      <c r="A259" s="13" t="str">
        <f>IF(OR(ISBLANK(C259),ISBLANK(D259),ISBLANK(F259),ISBLANK(G259)),"",COUNTIF($B$5:B259,"JAMBUTU"))</f>
        <v/>
      </c>
      <c r="B259" s="8" t="str">
        <f t="shared" si="27"/>
        <v/>
      </c>
      <c r="C259" s="8"/>
      <c r="D259" s="8"/>
      <c r="E259" s="13"/>
      <c r="F259" s="12"/>
      <c r="G259" s="11"/>
      <c r="H259" s="12"/>
      <c r="I259" s="11"/>
      <c r="J259" s="10">
        <f t="shared" si="21"/>
        <v>0</v>
      </c>
      <c r="K259" s="10">
        <f t="shared" si="22"/>
        <v>0</v>
      </c>
      <c r="L259" s="9" t="str">
        <f t="shared" si="23"/>
        <v/>
      </c>
      <c r="M259" s="8"/>
      <c r="N259" s="8"/>
      <c r="O259" s="8"/>
      <c r="P259" s="8"/>
      <c r="Q259" s="8"/>
      <c r="R259" s="8"/>
      <c r="S259" s="8"/>
      <c r="T259" s="8"/>
      <c r="U259" s="8"/>
      <c r="V259" s="7"/>
      <c r="W259" s="6" t="str">
        <f t="array" ref="W259">IF(NOT(ISBLANK(D259)),_xludf.XLOOKUP(D259,[2]CODE!$A$4:$A$100,[2]CODE!$D$4:$D$100),"")</f>
        <v/>
      </c>
      <c r="X259" s="5" t="str">
        <f t="array" ref="X259">IF(NOT(AND(ISBLANK(D259),ISBLANK(C259))),_xludf.XLOOKUP(D259,[2]CODE!$A$4:$A$100,[2]CODE!$E$4:$E$100),"")</f>
        <v/>
      </c>
      <c r="Y259" s="5" t="str">
        <f t="shared" si="24"/>
        <v/>
      </c>
      <c r="Z259" s="5" t="str">
        <f t="shared" si="25"/>
        <v/>
      </c>
      <c r="AA259" s="4">
        <f t="shared" si="26"/>
        <v>0</v>
      </c>
      <c r="AC259" s="2"/>
    </row>
    <row r="260" spans="1:29" ht="15.5">
      <c r="A260" s="13" t="str">
        <f>IF(OR(ISBLANK(C260),ISBLANK(D260),ISBLANK(F260),ISBLANK(G260)),"",COUNTIF($B$5:B260,"JAMBUTU"))</f>
        <v/>
      </c>
      <c r="B260" s="8" t="str">
        <f t="shared" si="27"/>
        <v/>
      </c>
      <c r="C260" s="8"/>
      <c r="D260" s="8"/>
      <c r="E260" s="13"/>
      <c r="F260" s="12"/>
      <c r="G260" s="11"/>
      <c r="H260" s="12"/>
      <c r="I260" s="11"/>
      <c r="J260" s="10">
        <f t="shared" si="21"/>
        <v>0</v>
      </c>
      <c r="K260" s="10">
        <f t="shared" si="22"/>
        <v>0</v>
      </c>
      <c r="L260" s="9" t="str">
        <f t="shared" si="23"/>
        <v/>
      </c>
      <c r="M260" s="8"/>
      <c r="N260" s="8"/>
      <c r="O260" s="8"/>
      <c r="P260" s="8"/>
      <c r="Q260" s="8"/>
      <c r="R260" s="8"/>
      <c r="S260" s="8"/>
      <c r="T260" s="8"/>
      <c r="U260" s="8"/>
      <c r="V260" s="7"/>
      <c r="W260" s="6" t="str">
        <f t="array" ref="W260">IF(NOT(ISBLANK(D260)),_xludf.XLOOKUP(D260,[2]CODE!$A$4:$A$100,[2]CODE!$D$4:$D$100),"")</f>
        <v/>
      </c>
      <c r="X260" s="5" t="str">
        <f t="array" ref="X260">IF(NOT(AND(ISBLANK(D260),ISBLANK(C260))),_xludf.XLOOKUP(D260,[2]CODE!$A$4:$A$100,[2]CODE!$E$4:$E$100),"")</f>
        <v/>
      </c>
      <c r="Y260" s="5" t="str">
        <f t="shared" si="24"/>
        <v/>
      </c>
      <c r="Z260" s="5" t="str">
        <f t="shared" si="25"/>
        <v/>
      </c>
      <c r="AA260" s="4">
        <f t="shared" si="26"/>
        <v>0</v>
      </c>
      <c r="AC260" s="2"/>
    </row>
    <row r="261" spans="1:29" ht="15.5">
      <c r="A261" s="13" t="str">
        <f>IF(OR(ISBLANK(C261),ISBLANK(D261),ISBLANK(F261),ISBLANK(G261)),"",COUNTIF($B$5:B261,"JAMBUTU"))</f>
        <v/>
      </c>
      <c r="B261" s="8" t="str">
        <f t="shared" si="27"/>
        <v/>
      </c>
      <c r="C261" s="8"/>
      <c r="D261" s="8"/>
      <c r="E261" s="13"/>
      <c r="F261" s="12"/>
      <c r="G261" s="11"/>
      <c r="H261" s="12"/>
      <c r="I261" s="11"/>
      <c r="J261" s="10">
        <f t="shared" ref="J261:J324" si="28">DATE(YEAR(F261),MONTH(F261),DAY(F261))+TIME(HOUR(G261),MINUTE(G261), SECOND(G261))</f>
        <v>0</v>
      </c>
      <c r="K261" s="10">
        <f t="shared" ref="K261:K324" si="29">DATE(YEAR(H261),MONTH(H261),DAY(H261))+TIME(HOUR(I261),MINUTE(I261), SECOND(I261))</f>
        <v>0</v>
      </c>
      <c r="L261" s="9" t="str">
        <f t="shared" ref="L261:L324" si="30">IF(ISBLANK(I261),"",IF(J261&gt;K261,(K261+1)-J261,K261-J261))</f>
        <v/>
      </c>
      <c r="M261" s="8"/>
      <c r="N261" s="8"/>
      <c r="O261" s="8"/>
      <c r="P261" s="8"/>
      <c r="Q261" s="8"/>
      <c r="R261" s="8"/>
      <c r="S261" s="8"/>
      <c r="T261" s="8"/>
      <c r="U261" s="8"/>
      <c r="V261" s="7"/>
      <c r="W261" s="6" t="str">
        <f t="array" ref="W261">IF(NOT(ISBLANK(D261)),_xludf.XLOOKUP(D261,[2]CODE!$A$4:$A$100,[2]CODE!$D$4:$D$100),"")</f>
        <v/>
      </c>
      <c r="X261" s="5" t="str">
        <f t="array" ref="X261">IF(NOT(AND(ISBLANK(D261),ISBLANK(C261))),_xludf.XLOOKUP(D261,[2]CODE!$A$4:$A$100,[2]CODE!$E$4:$E$100),"")</f>
        <v/>
      </c>
      <c r="Y261" s="5" t="str">
        <f t="shared" ref="Y261:Y324" si="31">LEFT(C261,4)</f>
        <v/>
      </c>
      <c r="Z261" s="5" t="str">
        <f t="shared" ref="Z261:Z324" si="32">IF(NOT(ISBLANK(C261)), IF(K261&gt;J261,"YES","NO"),"")</f>
        <v/>
      </c>
      <c r="AA261" s="4">
        <f t="shared" ref="AA261:AA324" si="33">IF(AND(F261=H261,Z261="NO"),1+H261,H261)</f>
        <v>0</v>
      </c>
      <c r="AC261" s="2"/>
    </row>
    <row r="262" spans="1:29" ht="15.5">
      <c r="A262" s="13" t="str">
        <f>IF(OR(ISBLANK(C262),ISBLANK(D262),ISBLANK(F262),ISBLANK(G262)),"",COUNTIF($B$5:B262,"JAMBUTU"))</f>
        <v/>
      </c>
      <c r="B262" s="8" t="str">
        <f t="shared" si="27"/>
        <v/>
      </c>
      <c r="C262" s="8"/>
      <c r="D262" s="8"/>
      <c r="E262" s="13"/>
      <c r="F262" s="12"/>
      <c r="G262" s="11"/>
      <c r="H262" s="12"/>
      <c r="I262" s="11"/>
      <c r="J262" s="10">
        <f t="shared" si="28"/>
        <v>0</v>
      </c>
      <c r="K262" s="10">
        <f t="shared" si="29"/>
        <v>0</v>
      </c>
      <c r="L262" s="9" t="str">
        <f t="shared" si="30"/>
        <v/>
      </c>
      <c r="M262" s="8"/>
      <c r="N262" s="8"/>
      <c r="O262" s="8"/>
      <c r="P262" s="8"/>
      <c r="Q262" s="8"/>
      <c r="R262" s="8"/>
      <c r="S262" s="8"/>
      <c r="T262" s="8"/>
      <c r="U262" s="8"/>
      <c r="V262" s="7"/>
      <c r="W262" s="6" t="str">
        <f t="array" ref="W262">IF(NOT(ISBLANK(D262)),_xludf.XLOOKUP(D262,[2]CODE!$A$4:$A$100,[2]CODE!$D$4:$D$100),"")</f>
        <v/>
      </c>
      <c r="X262" s="5" t="str">
        <f t="array" ref="X262">IF(NOT(AND(ISBLANK(D262),ISBLANK(C262))),_xludf.XLOOKUP(D262,[2]CODE!$A$4:$A$100,[2]CODE!$E$4:$E$100),"")</f>
        <v/>
      </c>
      <c r="Y262" s="5" t="str">
        <f t="shared" si="31"/>
        <v/>
      </c>
      <c r="Z262" s="5" t="str">
        <f t="shared" si="32"/>
        <v/>
      </c>
      <c r="AA262" s="4">
        <f t="shared" si="33"/>
        <v>0</v>
      </c>
      <c r="AC262" s="2"/>
    </row>
    <row r="263" spans="1:29" ht="15.5">
      <c r="A263" s="13" t="str">
        <f>IF(OR(ISBLANK(C263),ISBLANK(D263),ISBLANK(F263),ISBLANK(G263)),"",COUNTIF($B$5:B263,"JAMBUTU"))</f>
        <v/>
      </c>
      <c r="B263" s="8" t="str">
        <f t="shared" si="27"/>
        <v/>
      </c>
      <c r="C263" s="8"/>
      <c r="D263" s="8"/>
      <c r="E263" s="13"/>
      <c r="F263" s="12"/>
      <c r="G263" s="11"/>
      <c r="H263" s="12"/>
      <c r="I263" s="11"/>
      <c r="J263" s="10">
        <f t="shared" si="28"/>
        <v>0</v>
      </c>
      <c r="K263" s="10">
        <f t="shared" si="29"/>
        <v>0</v>
      </c>
      <c r="L263" s="9" t="str">
        <f t="shared" si="30"/>
        <v/>
      </c>
      <c r="M263" s="8"/>
      <c r="N263" s="8"/>
      <c r="O263" s="8"/>
      <c r="P263" s="8"/>
      <c r="Q263" s="8"/>
      <c r="R263" s="8"/>
      <c r="S263" s="8"/>
      <c r="T263" s="8"/>
      <c r="U263" s="8"/>
      <c r="V263" s="7"/>
      <c r="W263" s="6" t="str">
        <f t="array" ref="W263">IF(NOT(ISBLANK(D263)),_xludf.XLOOKUP(D263,[2]CODE!$A$4:$A$100,[2]CODE!$D$4:$D$100),"")</f>
        <v/>
      </c>
      <c r="X263" s="5" t="str">
        <f t="array" ref="X263">IF(NOT(AND(ISBLANK(D263),ISBLANK(C263))),_xludf.XLOOKUP(D263,[2]CODE!$A$4:$A$100,[2]CODE!$E$4:$E$100),"")</f>
        <v/>
      </c>
      <c r="Y263" s="5" t="str">
        <f t="shared" si="31"/>
        <v/>
      </c>
      <c r="Z263" s="5" t="str">
        <f t="shared" si="32"/>
        <v/>
      </c>
      <c r="AA263" s="4">
        <f t="shared" si="33"/>
        <v>0</v>
      </c>
      <c r="AC263" s="2"/>
    </row>
    <row r="264" spans="1:29" ht="15.5">
      <c r="A264" s="13" t="str">
        <f>IF(OR(ISBLANK(C264),ISBLANK(D264),ISBLANK(F264),ISBLANK(G264)),"",COUNTIF($B$5:B264,"JAMBUTU"))</f>
        <v/>
      </c>
      <c r="B264" s="8" t="str">
        <f t="shared" si="27"/>
        <v/>
      </c>
      <c r="C264" s="8"/>
      <c r="D264" s="8"/>
      <c r="E264" s="13"/>
      <c r="F264" s="12"/>
      <c r="G264" s="11"/>
      <c r="H264" s="12"/>
      <c r="I264" s="11"/>
      <c r="J264" s="10">
        <f t="shared" si="28"/>
        <v>0</v>
      </c>
      <c r="K264" s="10">
        <f t="shared" si="29"/>
        <v>0</v>
      </c>
      <c r="L264" s="9" t="str">
        <f t="shared" si="30"/>
        <v/>
      </c>
      <c r="M264" s="8"/>
      <c r="N264" s="8"/>
      <c r="O264" s="8"/>
      <c r="P264" s="8"/>
      <c r="Q264" s="8"/>
      <c r="R264" s="8"/>
      <c r="S264" s="8"/>
      <c r="T264" s="8"/>
      <c r="U264" s="8"/>
      <c r="V264" s="7"/>
      <c r="W264" s="6" t="str">
        <f t="array" ref="W264">IF(NOT(ISBLANK(D264)),_xludf.XLOOKUP(D264,[2]CODE!$A$4:$A$100,[2]CODE!$D$4:$D$100),"")</f>
        <v/>
      </c>
      <c r="X264" s="5" t="str">
        <f t="array" ref="X264">IF(NOT(AND(ISBLANK(D264),ISBLANK(C264))),_xludf.XLOOKUP(D264,[2]CODE!$A$4:$A$100,[2]CODE!$E$4:$E$100),"")</f>
        <v/>
      </c>
      <c r="Y264" s="5" t="str">
        <f t="shared" si="31"/>
        <v/>
      </c>
      <c r="Z264" s="5" t="str">
        <f t="shared" si="32"/>
        <v/>
      </c>
      <c r="AA264" s="4">
        <f t="shared" si="33"/>
        <v>0</v>
      </c>
      <c r="AC264" s="2"/>
    </row>
    <row r="265" spans="1:29" ht="15.5">
      <c r="A265" s="13" t="str">
        <f>IF(OR(ISBLANK(C265),ISBLANK(D265),ISBLANK(F265),ISBLANK(G265)),"",COUNTIF($B$5:B265,"JAMBUTU"))</f>
        <v/>
      </c>
      <c r="B265" s="8" t="str">
        <f t="shared" si="27"/>
        <v/>
      </c>
      <c r="C265" s="8"/>
      <c r="D265" s="8"/>
      <c r="E265" s="13"/>
      <c r="F265" s="12"/>
      <c r="G265" s="11"/>
      <c r="H265" s="12"/>
      <c r="I265" s="11"/>
      <c r="J265" s="10">
        <f t="shared" si="28"/>
        <v>0</v>
      </c>
      <c r="K265" s="10">
        <f t="shared" si="29"/>
        <v>0</v>
      </c>
      <c r="L265" s="9" t="str">
        <f t="shared" si="30"/>
        <v/>
      </c>
      <c r="M265" s="8"/>
      <c r="N265" s="8"/>
      <c r="O265" s="8"/>
      <c r="P265" s="8"/>
      <c r="Q265" s="8"/>
      <c r="R265" s="8"/>
      <c r="S265" s="8"/>
      <c r="T265" s="8"/>
      <c r="U265" s="8"/>
      <c r="V265" s="7"/>
      <c r="W265" s="6" t="str">
        <f t="array" ref="W265">IF(NOT(ISBLANK(D265)),_xludf.XLOOKUP(D265,[2]CODE!$A$4:$A$100,[2]CODE!$D$4:$D$100),"")</f>
        <v/>
      </c>
      <c r="X265" s="5" t="str">
        <f t="array" ref="X265">IF(NOT(AND(ISBLANK(D265),ISBLANK(C265))),_xludf.XLOOKUP(D265,[2]CODE!$A$4:$A$100,[2]CODE!$E$4:$E$100),"")</f>
        <v/>
      </c>
      <c r="Y265" s="5" t="str">
        <f t="shared" si="31"/>
        <v/>
      </c>
      <c r="Z265" s="5" t="str">
        <f t="shared" si="32"/>
        <v/>
      </c>
      <c r="AA265" s="4">
        <f t="shared" si="33"/>
        <v>0</v>
      </c>
      <c r="AC265" s="2"/>
    </row>
    <row r="266" spans="1:29" ht="15.5">
      <c r="A266" s="13" t="str">
        <f>IF(OR(ISBLANK(C266),ISBLANK(D266),ISBLANK(F266),ISBLANK(G266)),"",COUNTIF($B$5:B266,"JAMBUTU"))</f>
        <v/>
      </c>
      <c r="B266" s="8" t="str">
        <f t="shared" si="27"/>
        <v/>
      </c>
      <c r="C266" s="8"/>
      <c r="D266" s="8"/>
      <c r="E266" s="13"/>
      <c r="F266" s="12"/>
      <c r="G266" s="11"/>
      <c r="H266" s="12"/>
      <c r="I266" s="11"/>
      <c r="J266" s="10">
        <f t="shared" si="28"/>
        <v>0</v>
      </c>
      <c r="K266" s="10">
        <f t="shared" si="29"/>
        <v>0</v>
      </c>
      <c r="L266" s="9" t="str">
        <f t="shared" si="30"/>
        <v/>
      </c>
      <c r="M266" s="8"/>
      <c r="N266" s="8"/>
      <c r="O266" s="8"/>
      <c r="P266" s="8"/>
      <c r="Q266" s="8"/>
      <c r="R266" s="8"/>
      <c r="S266" s="8"/>
      <c r="T266" s="8"/>
      <c r="U266" s="8"/>
      <c r="V266" s="7"/>
      <c r="W266" s="6" t="str">
        <f t="array" ref="W266">IF(NOT(ISBLANK(D266)),_xludf.XLOOKUP(D266,[2]CODE!$A$4:$A$100,[2]CODE!$D$4:$D$100),"")</f>
        <v/>
      </c>
      <c r="X266" s="5" t="str">
        <f t="array" ref="X266">IF(NOT(AND(ISBLANK(D266),ISBLANK(C266))),_xludf.XLOOKUP(D266,[2]CODE!$A$4:$A$100,[2]CODE!$E$4:$E$100),"")</f>
        <v/>
      </c>
      <c r="Y266" s="5" t="str">
        <f t="shared" si="31"/>
        <v/>
      </c>
      <c r="Z266" s="5" t="str">
        <f t="shared" si="32"/>
        <v/>
      </c>
      <c r="AA266" s="4">
        <f t="shared" si="33"/>
        <v>0</v>
      </c>
      <c r="AC266" s="2"/>
    </row>
    <row r="267" spans="1:29" ht="15.5">
      <c r="A267" s="13" t="str">
        <f>IF(OR(ISBLANK(C267),ISBLANK(D267),ISBLANK(F267),ISBLANK(G267)),"",COUNTIF($B$5:B267,"JAMBUTU"))</f>
        <v/>
      </c>
      <c r="B267" s="8" t="str">
        <f t="shared" si="27"/>
        <v/>
      </c>
      <c r="C267" s="8"/>
      <c r="D267" s="8"/>
      <c r="E267" s="13"/>
      <c r="F267" s="12"/>
      <c r="G267" s="11"/>
      <c r="H267" s="12"/>
      <c r="I267" s="11"/>
      <c r="J267" s="10">
        <f t="shared" si="28"/>
        <v>0</v>
      </c>
      <c r="K267" s="10">
        <f t="shared" si="29"/>
        <v>0</v>
      </c>
      <c r="L267" s="9" t="str">
        <f t="shared" si="30"/>
        <v/>
      </c>
      <c r="M267" s="8"/>
      <c r="N267" s="8"/>
      <c r="O267" s="8"/>
      <c r="P267" s="8"/>
      <c r="Q267" s="8"/>
      <c r="R267" s="8"/>
      <c r="S267" s="8"/>
      <c r="T267" s="8"/>
      <c r="U267" s="8"/>
      <c r="V267" s="7"/>
      <c r="W267" s="6" t="str">
        <f t="array" ref="W267">IF(NOT(ISBLANK(D267)),_xludf.XLOOKUP(D267,[2]CODE!$A$4:$A$100,[2]CODE!$D$4:$D$100),"")</f>
        <v/>
      </c>
      <c r="X267" s="5" t="str">
        <f t="array" ref="X267">IF(NOT(AND(ISBLANK(D267),ISBLANK(C267))),_xludf.XLOOKUP(D267,[2]CODE!$A$4:$A$100,[2]CODE!$E$4:$E$100),"")</f>
        <v/>
      </c>
      <c r="Y267" s="5" t="str">
        <f t="shared" si="31"/>
        <v/>
      </c>
      <c r="Z267" s="5" t="str">
        <f t="shared" si="32"/>
        <v/>
      </c>
      <c r="AA267" s="4">
        <f t="shared" si="33"/>
        <v>0</v>
      </c>
      <c r="AC267" s="2"/>
    </row>
    <row r="268" spans="1:29" ht="15.5">
      <c r="A268" s="13" t="str">
        <f>IF(OR(ISBLANK(C268),ISBLANK(D268),ISBLANK(F268),ISBLANK(G268)),"",COUNTIF($B$5:B268,"JAMBUTU"))</f>
        <v/>
      </c>
      <c r="B268" s="8" t="str">
        <f t="shared" si="27"/>
        <v/>
      </c>
      <c r="C268" s="8"/>
      <c r="D268" s="8"/>
      <c r="E268" s="13"/>
      <c r="F268" s="12"/>
      <c r="G268" s="11"/>
      <c r="H268" s="12"/>
      <c r="I268" s="11"/>
      <c r="J268" s="10">
        <f t="shared" si="28"/>
        <v>0</v>
      </c>
      <c r="K268" s="10">
        <f t="shared" si="29"/>
        <v>0</v>
      </c>
      <c r="L268" s="9" t="str">
        <f t="shared" si="30"/>
        <v/>
      </c>
      <c r="M268" s="8"/>
      <c r="N268" s="8"/>
      <c r="O268" s="8"/>
      <c r="P268" s="8"/>
      <c r="Q268" s="8"/>
      <c r="R268" s="8"/>
      <c r="S268" s="8"/>
      <c r="T268" s="8"/>
      <c r="U268" s="8"/>
      <c r="V268" s="7"/>
      <c r="W268" s="6" t="str">
        <f t="array" ref="W268">IF(NOT(ISBLANK(D268)),_xludf.XLOOKUP(D268,[2]CODE!$A$4:$A$100,[2]CODE!$D$4:$D$100),"")</f>
        <v/>
      </c>
      <c r="X268" s="5" t="str">
        <f t="array" ref="X268">IF(NOT(AND(ISBLANK(D268),ISBLANK(C268))),_xludf.XLOOKUP(D268,[2]CODE!$A$4:$A$100,[2]CODE!$E$4:$E$100),"")</f>
        <v/>
      </c>
      <c r="Y268" s="5" t="str">
        <f t="shared" si="31"/>
        <v/>
      </c>
      <c r="Z268" s="5" t="str">
        <f t="shared" si="32"/>
        <v/>
      </c>
      <c r="AA268" s="4">
        <f t="shared" si="33"/>
        <v>0</v>
      </c>
      <c r="AC268" s="2"/>
    </row>
    <row r="269" spans="1:29" ht="15.5">
      <c r="A269" s="13" t="str">
        <f>IF(OR(ISBLANK(C269),ISBLANK(D269),ISBLANK(F269),ISBLANK(G269)),"",COUNTIF($B$5:B269,"JAMBUTU"))</f>
        <v/>
      </c>
      <c r="B269" s="8" t="str">
        <f t="shared" si="27"/>
        <v/>
      </c>
      <c r="C269" s="8"/>
      <c r="D269" s="8"/>
      <c r="E269" s="13"/>
      <c r="F269" s="12"/>
      <c r="G269" s="11"/>
      <c r="H269" s="12"/>
      <c r="I269" s="11"/>
      <c r="J269" s="10">
        <f t="shared" si="28"/>
        <v>0</v>
      </c>
      <c r="K269" s="10">
        <f t="shared" si="29"/>
        <v>0</v>
      </c>
      <c r="L269" s="9" t="str">
        <f t="shared" si="30"/>
        <v/>
      </c>
      <c r="M269" s="8"/>
      <c r="N269" s="8"/>
      <c r="O269" s="8"/>
      <c r="P269" s="8"/>
      <c r="Q269" s="8"/>
      <c r="R269" s="8"/>
      <c r="S269" s="8"/>
      <c r="T269" s="8"/>
      <c r="U269" s="8"/>
      <c r="V269" s="7"/>
      <c r="W269" s="6" t="str">
        <f t="array" ref="W269">IF(NOT(ISBLANK(D269)),_xludf.XLOOKUP(D269,[2]CODE!$A$4:$A$100,[2]CODE!$D$4:$D$100),"")</f>
        <v/>
      </c>
      <c r="X269" s="5" t="str">
        <f t="array" ref="X269">IF(NOT(AND(ISBLANK(D269),ISBLANK(C269))),_xludf.XLOOKUP(D269,[2]CODE!$A$4:$A$100,[2]CODE!$E$4:$E$100),"")</f>
        <v/>
      </c>
      <c r="Y269" s="5" t="str">
        <f t="shared" si="31"/>
        <v/>
      </c>
      <c r="Z269" s="5" t="str">
        <f t="shared" si="32"/>
        <v/>
      </c>
      <c r="AA269" s="4">
        <f t="shared" si="33"/>
        <v>0</v>
      </c>
      <c r="AC269" s="2"/>
    </row>
    <row r="270" spans="1:29" ht="15.5">
      <c r="A270" s="13" t="str">
        <f>IF(OR(ISBLANK(C270),ISBLANK(D270),ISBLANK(F270),ISBLANK(G270)),"",COUNTIF($B$5:B270,"JAMBUTU"))</f>
        <v/>
      </c>
      <c r="B270" s="8" t="str">
        <f t="shared" si="27"/>
        <v/>
      </c>
      <c r="C270" s="8"/>
      <c r="D270" s="8"/>
      <c r="E270" s="13"/>
      <c r="F270" s="12"/>
      <c r="G270" s="11"/>
      <c r="H270" s="12"/>
      <c r="I270" s="11"/>
      <c r="J270" s="10">
        <f t="shared" si="28"/>
        <v>0</v>
      </c>
      <c r="K270" s="10">
        <f t="shared" si="29"/>
        <v>0</v>
      </c>
      <c r="L270" s="9" t="str">
        <f t="shared" si="30"/>
        <v/>
      </c>
      <c r="M270" s="8"/>
      <c r="N270" s="8"/>
      <c r="O270" s="8"/>
      <c r="P270" s="8"/>
      <c r="Q270" s="8"/>
      <c r="R270" s="8"/>
      <c r="S270" s="8"/>
      <c r="T270" s="8"/>
      <c r="U270" s="8"/>
      <c r="V270" s="7"/>
      <c r="W270" s="6" t="str">
        <f t="array" ref="W270">IF(NOT(ISBLANK(D270)),_xludf.XLOOKUP(D270,[2]CODE!$A$4:$A$100,[2]CODE!$D$4:$D$100),"")</f>
        <v/>
      </c>
      <c r="X270" s="5" t="str">
        <f t="array" ref="X270">IF(NOT(AND(ISBLANK(D270),ISBLANK(C270))),_xludf.XLOOKUP(D270,[2]CODE!$A$4:$A$100,[2]CODE!$E$4:$E$100),"")</f>
        <v/>
      </c>
      <c r="Y270" s="5" t="str">
        <f t="shared" si="31"/>
        <v/>
      </c>
      <c r="Z270" s="5" t="str">
        <f t="shared" si="32"/>
        <v/>
      </c>
      <c r="AA270" s="4">
        <f t="shared" si="33"/>
        <v>0</v>
      </c>
      <c r="AC270" s="2"/>
    </row>
    <row r="271" spans="1:29" ht="15.5">
      <c r="A271" s="13" t="str">
        <f>IF(OR(ISBLANK(C271),ISBLANK(D271),ISBLANK(F271),ISBLANK(G271)),"",COUNTIF($B$5:B271,"JAMBUTU"))</f>
        <v/>
      </c>
      <c r="B271" s="8" t="str">
        <f t="shared" si="27"/>
        <v/>
      </c>
      <c r="C271" s="8"/>
      <c r="D271" s="8"/>
      <c r="E271" s="13"/>
      <c r="F271" s="12"/>
      <c r="G271" s="11"/>
      <c r="H271" s="12"/>
      <c r="I271" s="11"/>
      <c r="J271" s="10">
        <f t="shared" si="28"/>
        <v>0</v>
      </c>
      <c r="K271" s="10">
        <f t="shared" si="29"/>
        <v>0</v>
      </c>
      <c r="L271" s="9" t="str">
        <f t="shared" si="30"/>
        <v/>
      </c>
      <c r="M271" s="8"/>
      <c r="N271" s="8"/>
      <c r="O271" s="8"/>
      <c r="P271" s="8"/>
      <c r="Q271" s="8"/>
      <c r="R271" s="8"/>
      <c r="S271" s="16"/>
      <c r="T271" s="8"/>
      <c r="U271" s="8"/>
      <c r="V271" s="7"/>
      <c r="W271" s="6" t="str">
        <f t="array" ref="W271">IF(NOT(ISBLANK(D271)),_xludf.XLOOKUP(D271,[2]CODE!$A$4:$A$100,[2]CODE!$D$4:$D$100),"")</f>
        <v/>
      </c>
      <c r="X271" s="5" t="str">
        <f t="array" ref="X271">IF(NOT(AND(ISBLANK(D271),ISBLANK(C271))),_xludf.XLOOKUP(D271,[2]CODE!$A$4:$A$100,[2]CODE!$E$4:$E$100),"")</f>
        <v/>
      </c>
      <c r="Y271" s="5" t="str">
        <f t="shared" si="31"/>
        <v/>
      </c>
      <c r="Z271" s="5" t="str">
        <f t="shared" si="32"/>
        <v/>
      </c>
      <c r="AA271" s="4">
        <f t="shared" si="33"/>
        <v>0</v>
      </c>
      <c r="AC271" s="2"/>
    </row>
    <row r="272" spans="1:29" ht="15.5">
      <c r="A272" s="13" t="str">
        <f>IF(OR(ISBLANK(C272),ISBLANK(D272),ISBLANK(F272),ISBLANK(G272)),"",COUNTIF($B$5:B272,"JAMBUTU"))</f>
        <v/>
      </c>
      <c r="B272" s="8" t="str">
        <f t="shared" si="27"/>
        <v/>
      </c>
      <c r="C272" s="8"/>
      <c r="D272" s="8"/>
      <c r="E272" s="13"/>
      <c r="F272" s="12"/>
      <c r="G272" s="11"/>
      <c r="H272" s="12"/>
      <c r="I272" s="11"/>
      <c r="J272" s="10">
        <f t="shared" si="28"/>
        <v>0</v>
      </c>
      <c r="K272" s="10">
        <f t="shared" si="29"/>
        <v>0</v>
      </c>
      <c r="L272" s="9" t="str">
        <f t="shared" si="30"/>
        <v/>
      </c>
      <c r="M272" s="8"/>
      <c r="N272" s="8"/>
      <c r="O272" s="8"/>
      <c r="P272" s="8"/>
      <c r="Q272" s="8"/>
      <c r="R272" s="8"/>
      <c r="S272" s="8"/>
      <c r="T272" s="8"/>
      <c r="U272" s="8"/>
      <c r="V272" s="7"/>
      <c r="W272" s="6" t="str">
        <f t="array" ref="W272">IF(NOT(ISBLANK(D272)),_xludf.XLOOKUP(D272,[2]CODE!$A$4:$A$100,[2]CODE!$D$4:$D$100),"")</f>
        <v/>
      </c>
      <c r="X272" s="5" t="str">
        <f t="array" ref="X272">IF(NOT(AND(ISBLANK(D272),ISBLANK(C272))),_xludf.XLOOKUP(D272,[2]CODE!$A$4:$A$100,[2]CODE!$E$4:$E$100),"")</f>
        <v/>
      </c>
      <c r="Y272" s="5" t="str">
        <f t="shared" si="31"/>
        <v/>
      </c>
      <c r="Z272" s="5" t="str">
        <f t="shared" si="32"/>
        <v/>
      </c>
      <c r="AA272" s="4">
        <f t="shared" si="33"/>
        <v>0</v>
      </c>
      <c r="AC272" s="2"/>
    </row>
    <row r="273" spans="1:29" ht="15.5">
      <c r="A273" s="13" t="str">
        <f>IF(OR(ISBLANK(C273),ISBLANK(D273),ISBLANK(F273),ISBLANK(G273)),"",COUNTIF($B$5:B273,"JAMBUTU"))</f>
        <v/>
      </c>
      <c r="B273" s="8" t="str">
        <f t="shared" si="27"/>
        <v/>
      </c>
      <c r="C273" s="8"/>
      <c r="D273" s="8"/>
      <c r="E273" s="13"/>
      <c r="F273" s="12"/>
      <c r="G273" s="11"/>
      <c r="H273" s="12"/>
      <c r="I273" s="11"/>
      <c r="J273" s="10">
        <f t="shared" si="28"/>
        <v>0</v>
      </c>
      <c r="K273" s="10">
        <f t="shared" si="29"/>
        <v>0</v>
      </c>
      <c r="L273" s="9" t="str">
        <f t="shared" si="30"/>
        <v/>
      </c>
      <c r="M273" s="8"/>
      <c r="N273" s="8"/>
      <c r="O273" s="8"/>
      <c r="P273" s="8"/>
      <c r="Q273" s="8"/>
      <c r="R273" s="8"/>
      <c r="S273" s="8"/>
      <c r="T273" s="8"/>
      <c r="U273" s="8"/>
      <c r="V273" s="7"/>
      <c r="W273" s="6" t="str">
        <f t="array" ref="W273">IF(NOT(ISBLANK(D273)),_xludf.XLOOKUP(D273,[2]CODE!$A$4:$A$100,[2]CODE!$D$4:$D$100),"")</f>
        <v/>
      </c>
      <c r="X273" s="5" t="str">
        <f t="array" ref="X273">IF(NOT(AND(ISBLANK(D273),ISBLANK(C273))),_xludf.XLOOKUP(D273,[2]CODE!$A$4:$A$100,[2]CODE!$E$4:$E$100),"")</f>
        <v/>
      </c>
      <c r="Y273" s="5" t="str">
        <f t="shared" si="31"/>
        <v/>
      </c>
      <c r="Z273" s="5" t="str">
        <f t="shared" si="32"/>
        <v/>
      </c>
      <c r="AA273" s="4">
        <f t="shared" si="33"/>
        <v>0</v>
      </c>
      <c r="AC273" s="2"/>
    </row>
    <row r="274" spans="1:29" ht="15.5">
      <c r="A274" s="13" t="str">
        <f>IF(OR(ISBLANK(C274),ISBLANK(D274),ISBLANK(F274),ISBLANK(G274)),"",COUNTIF($B$5:B274,"JAMBUTU"))</f>
        <v/>
      </c>
      <c r="B274" s="8" t="str">
        <f t="shared" si="27"/>
        <v/>
      </c>
      <c r="C274" s="8"/>
      <c r="D274" s="8"/>
      <c r="E274" s="13"/>
      <c r="F274" s="12"/>
      <c r="G274" s="11"/>
      <c r="H274" s="12"/>
      <c r="I274" s="11"/>
      <c r="J274" s="10">
        <f t="shared" si="28"/>
        <v>0</v>
      </c>
      <c r="K274" s="10">
        <f t="shared" si="29"/>
        <v>0</v>
      </c>
      <c r="L274" s="9" t="str">
        <f t="shared" si="30"/>
        <v/>
      </c>
      <c r="M274" s="8"/>
      <c r="N274" s="8"/>
      <c r="O274" s="8"/>
      <c r="P274" s="8"/>
      <c r="Q274" s="8"/>
      <c r="R274" s="8"/>
      <c r="S274" s="8"/>
      <c r="T274" s="8"/>
      <c r="U274" s="8"/>
      <c r="V274" s="7"/>
      <c r="W274" s="6" t="str">
        <f t="array" ref="W274">IF(NOT(ISBLANK(D274)),_xludf.XLOOKUP(D274,[2]CODE!$A$4:$A$100,[2]CODE!$D$4:$D$100),"")</f>
        <v/>
      </c>
      <c r="X274" s="5" t="str">
        <f t="array" ref="X274">IF(NOT(AND(ISBLANK(D274),ISBLANK(C274))),_xludf.XLOOKUP(D274,[2]CODE!$A$4:$A$100,[2]CODE!$E$4:$E$100),"")</f>
        <v/>
      </c>
      <c r="Y274" s="5" t="str">
        <f t="shared" si="31"/>
        <v/>
      </c>
      <c r="Z274" s="5" t="str">
        <f t="shared" si="32"/>
        <v/>
      </c>
      <c r="AA274" s="4">
        <f t="shared" si="33"/>
        <v>0</v>
      </c>
      <c r="AC274" s="2"/>
    </row>
    <row r="275" spans="1:29" ht="15.5">
      <c r="A275" s="13" t="str">
        <f>IF(OR(ISBLANK(C275),ISBLANK(D275),ISBLANK(F275),ISBLANK(G275)),"",COUNTIF($B$5:B275,"JAMBUTU"))</f>
        <v/>
      </c>
      <c r="B275" s="8" t="str">
        <f t="shared" ref="B275:B338" si="34">IF(C275&lt;&gt;"","Jambutu","")</f>
        <v/>
      </c>
      <c r="C275" s="8"/>
      <c r="D275" s="8"/>
      <c r="E275" s="13"/>
      <c r="F275" s="12"/>
      <c r="G275" s="11"/>
      <c r="H275" s="12"/>
      <c r="I275" s="11"/>
      <c r="J275" s="10">
        <f t="shared" si="28"/>
        <v>0</v>
      </c>
      <c r="K275" s="10">
        <f t="shared" si="29"/>
        <v>0</v>
      </c>
      <c r="L275" s="9" t="str">
        <f t="shared" si="30"/>
        <v/>
      </c>
      <c r="M275" s="8"/>
      <c r="N275" s="8"/>
      <c r="O275" s="8"/>
      <c r="P275" s="8"/>
      <c r="Q275" s="8"/>
      <c r="R275" s="8"/>
      <c r="S275" s="8"/>
      <c r="T275" s="8"/>
      <c r="U275" s="8"/>
      <c r="V275" s="7"/>
      <c r="W275" s="6" t="str">
        <f t="array" ref="W275">IF(NOT(ISBLANK(D275)),_xludf.XLOOKUP(D275,[2]CODE!$A$4:$A$100,[2]CODE!$D$4:$D$100),"")</f>
        <v/>
      </c>
      <c r="X275" s="5" t="str">
        <f t="array" ref="X275">IF(NOT(AND(ISBLANK(D275),ISBLANK(C275))),_xludf.XLOOKUP(D275,[2]CODE!$A$4:$A$100,[2]CODE!$E$4:$E$100),"")</f>
        <v/>
      </c>
      <c r="Y275" s="5" t="str">
        <f t="shared" si="31"/>
        <v/>
      </c>
      <c r="Z275" s="5" t="str">
        <f t="shared" si="32"/>
        <v/>
      </c>
      <c r="AA275" s="4">
        <f t="shared" si="33"/>
        <v>0</v>
      </c>
      <c r="AC275" s="2"/>
    </row>
    <row r="276" spans="1:29" ht="15.5">
      <c r="A276" s="13" t="str">
        <f>IF(OR(ISBLANK(C276),ISBLANK(D276),ISBLANK(F276),ISBLANK(G276)),"",COUNTIF($B$5:B276,"JAMBUTU"))</f>
        <v/>
      </c>
      <c r="B276" s="8" t="str">
        <f t="shared" si="34"/>
        <v/>
      </c>
      <c r="C276" s="8"/>
      <c r="D276" s="8"/>
      <c r="E276" s="13"/>
      <c r="F276" s="12"/>
      <c r="G276" s="11"/>
      <c r="H276" s="12"/>
      <c r="I276" s="11"/>
      <c r="J276" s="10">
        <f t="shared" si="28"/>
        <v>0</v>
      </c>
      <c r="K276" s="10">
        <f t="shared" si="29"/>
        <v>0</v>
      </c>
      <c r="L276" s="9" t="str">
        <f t="shared" si="30"/>
        <v/>
      </c>
      <c r="M276" s="8"/>
      <c r="N276" s="8"/>
      <c r="O276" s="8"/>
      <c r="P276" s="8"/>
      <c r="Q276" s="8"/>
      <c r="R276" s="8"/>
      <c r="S276" s="8"/>
      <c r="T276" s="8"/>
      <c r="U276" s="8"/>
      <c r="V276" s="7"/>
      <c r="W276" s="6" t="str">
        <f t="array" ref="W276">IF(NOT(ISBLANK(D276)),_xludf.XLOOKUP(D276,[2]CODE!$A$4:$A$100,[2]CODE!$D$4:$D$100),"")</f>
        <v/>
      </c>
      <c r="X276" s="5" t="str">
        <f t="array" ref="X276">IF(NOT(AND(ISBLANK(D276),ISBLANK(C276))),_xludf.XLOOKUP(D276,[2]CODE!$A$4:$A$100,[2]CODE!$E$4:$E$100),"")</f>
        <v/>
      </c>
      <c r="Y276" s="5" t="str">
        <f t="shared" si="31"/>
        <v/>
      </c>
      <c r="Z276" s="5" t="str">
        <f t="shared" si="32"/>
        <v/>
      </c>
      <c r="AA276" s="4">
        <f t="shared" si="33"/>
        <v>0</v>
      </c>
      <c r="AC276" s="2"/>
    </row>
    <row r="277" spans="1:29" ht="15.5">
      <c r="A277" s="13" t="str">
        <f>IF(OR(ISBLANK(C277),ISBLANK(D277),ISBLANK(F277),ISBLANK(G277)),"",COUNTIF($B$5:B277,"JAMBUTU"))</f>
        <v/>
      </c>
      <c r="B277" s="8" t="str">
        <f t="shared" si="34"/>
        <v/>
      </c>
      <c r="C277" s="8"/>
      <c r="D277" s="8"/>
      <c r="E277" s="13"/>
      <c r="F277" s="12"/>
      <c r="G277" s="11"/>
      <c r="H277" s="12"/>
      <c r="I277" s="11"/>
      <c r="J277" s="10">
        <f t="shared" si="28"/>
        <v>0</v>
      </c>
      <c r="K277" s="10">
        <f t="shared" si="29"/>
        <v>0</v>
      </c>
      <c r="L277" s="9" t="str">
        <f t="shared" si="30"/>
        <v/>
      </c>
      <c r="M277" s="8"/>
      <c r="N277" s="8"/>
      <c r="O277" s="8"/>
      <c r="P277" s="8"/>
      <c r="Q277" s="8"/>
      <c r="R277" s="8"/>
      <c r="S277" s="8"/>
      <c r="T277" s="8"/>
      <c r="U277" s="8"/>
      <c r="V277" s="7"/>
      <c r="W277" s="6" t="str">
        <f t="array" ref="W277">IF(NOT(ISBLANK(D277)),_xludf.XLOOKUP(D277,[2]CODE!$A$4:$A$100,[2]CODE!$D$4:$D$100),"")</f>
        <v/>
      </c>
      <c r="X277" s="5" t="str">
        <f t="array" ref="X277">IF(NOT(AND(ISBLANK(D277),ISBLANK(C277))),_xludf.XLOOKUP(D277,[2]CODE!$A$4:$A$100,[2]CODE!$E$4:$E$100),"")</f>
        <v/>
      </c>
      <c r="Y277" s="5" t="str">
        <f t="shared" si="31"/>
        <v/>
      </c>
      <c r="Z277" s="5" t="str">
        <f t="shared" si="32"/>
        <v/>
      </c>
      <c r="AA277" s="4">
        <f t="shared" si="33"/>
        <v>0</v>
      </c>
      <c r="AC277" s="2"/>
    </row>
    <row r="278" spans="1:29" ht="15.5">
      <c r="A278" s="13" t="str">
        <f>IF(OR(ISBLANK(C278),ISBLANK(D278),ISBLANK(F278),ISBLANK(G278)),"",COUNTIF($B$5:B278,"JAMBUTU"))</f>
        <v/>
      </c>
      <c r="B278" s="8" t="str">
        <f t="shared" si="34"/>
        <v/>
      </c>
      <c r="C278" s="8"/>
      <c r="D278" s="8"/>
      <c r="E278" s="13"/>
      <c r="F278" s="12"/>
      <c r="G278" s="11"/>
      <c r="H278" s="12"/>
      <c r="I278" s="11"/>
      <c r="J278" s="10">
        <f t="shared" si="28"/>
        <v>0</v>
      </c>
      <c r="K278" s="10">
        <f t="shared" si="29"/>
        <v>0</v>
      </c>
      <c r="L278" s="9" t="str">
        <f t="shared" si="30"/>
        <v/>
      </c>
      <c r="M278" s="8"/>
      <c r="N278" s="8"/>
      <c r="O278" s="8"/>
      <c r="P278" s="8"/>
      <c r="Q278" s="8"/>
      <c r="R278" s="8"/>
      <c r="S278" s="8"/>
      <c r="T278" s="8"/>
      <c r="U278" s="8"/>
      <c r="V278" s="7"/>
      <c r="W278" s="6" t="str">
        <f t="array" ref="W278">IF(NOT(ISBLANK(D278)),_xludf.XLOOKUP(D278,[2]CODE!$A$4:$A$100,[2]CODE!$D$4:$D$100),"")</f>
        <v/>
      </c>
      <c r="X278" s="5" t="str">
        <f t="array" ref="X278">IF(NOT(AND(ISBLANK(D278),ISBLANK(C278))),_xludf.XLOOKUP(D278,[2]CODE!$A$4:$A$100,[2]CODE!$E$4:$E$100),"")</f>
        <v/>
      </c>
      <c r="Y278" s="5" t="str">
        <f t="shared" si="31"/>
        <v/>
      </c>
      <c r="Z278" s="5" t="str">
        <f t="shared" si="32"/>
        <v/>
      </c>
      <c r="AA278" s="4">
        <f t="shared" si="33"/>
        <v>0</v>
      </c>
      <c r="AC278" s="2"/>
    </row>
    <row r="279" spans="1:29" ht="15.5">
      <c r="A279" s="13" t="str">
        <f>IF(OR(ISBLANK(C279),ISBLANK(D279),ISBLANK(F279),ISBLANK(G279)),"",COUNTIF($B$5:B279,"JAMBUTU"))</f>
        <v/>
      </c>
      <c r="B279" s="8" t="str">
        <f t="shared" si="34"/>
        <v/>
      </c>
      <c r="C279" s="8"/>
      <c r="D279" s="8"/>
      <c r="E279" s="13"/>
      <c r="F279" s="12"/>
      <c r="G279" s="11"/>
      <c r="H279" s="12"/>
      <c r="I279" s="11"/>
      <c r="J279" s="10">
        <f t="shared" si="28"/>
        <v>0</v>
      </c>
      <c r="K279" s="10">
        <f t="shared" si="29"/>
        <v>0</v>
      </c>
      <c r="L279" s="9" t="str">
        <f t="shared" si="30"/>
        <v/>
      </c>
      <c r="M279" s="8"/>
      <c r="N279" s="8"/>
      <c r="O279" s="8"/>
      <c r="P279" s="8"/>
      <c r="Q279" s="8"/>
      <c r="R279" s="8"/>
      <c r="S279" s="8"/>
      <c r="T279" s="8"/>
      <c r="U279" s="8"/>
      <c r="V279" s="7"/>
      <c r="W279" s="6" t="str">
        <f t="array" ref="W279">IF(NOT(ISBLANK(D279)),_xludf.XLOOKUP(D279,[2]CODE!$A$4:$A$100,[2]CODE!$D$4:$D$100),"")</f>
        <v/>
      </c>
      <c r="X279" s="5" t="str">
        <f t="array" ref="X279">IF(NOT(AND(ISBLANK(D279),ISBLANK(C279))),_xludf.XLOOKUP(D279,[2]CODE!$A$4:$A$100,[2]CODE!$E$4:$E$100),"")</f>
        <v/>
      </c>
      <c r="Y279" s="5" t="str">
        <f t="shared" si="31"/>
        <v/>
      </c>
      <c r="Z279" s="5" t="str">
        <f t="shared" si="32"/>
        <v/>
      </c>
      <c r="AA279" s="4">
        <f t="shared" si="33"/>
        <v>0</v>
      </c>
      <c r="AC279" s="2"/>
    </row>
    <row r="280" spans="1:29" ht="15.5">
      <c r="A280" s="13" t="str">
        <f>IF(OR(ISBLANK(C280),ISBLANK(D280),ISBLANK(F280),ISBLANK(G280)),"",COUNTIF($B$5:B280,"JAMBUTU"))</f>
        <v/>
      </c>
      <c r="B280" s="8" t="str">
        <f t="shared" si="34"/>
        <v/>
      </c>
      <c r="C280" s="8"/>
      <c r="D280" s="8"/>
      <c r="E280" s="13"/>
      <c r="F280" s="12"/>
      <c r="G280" s="11"/>
      <c r="H280" s="12"/>
      <c r="I280" s="11"/>
      <c r="J280" s="10">
        <f t="shared" si="28"/>
        <v>0</v>
      </c>
      <c r="K280" s="10">
        <f t="shared" si="29"/>
        <v>0</v>
      </c>
      <c r="L280" s="9" t="str">
        <f t="shared" si="30"/>
        <v/>
      </c>
      <c r="M280" s="8"/>
      <c r="N280" s="8"/>
      <c r="O280" s="8"/>
      <c r="P280" s="8"/>
      <c r="Q280" s="8"/>
      <c r="R280" s="8"/>
      <c r="S280" s="8"/>
      <c r="T280" s="8"/>
      <c r="U280" s="8"/>
      <c r="V280" s="7"/>
      <c r="W280" s="6" t="str">
        <f t="array" ref="W280">IF(NOT(ISBLANK(D280)),_xludf.XLOOKUP(D280,[2]CODE!$A$4:$A$100,[2]CODE!$D$4:$D$100),"")</f>
        <v/>
      </c>
      <c r="X280" s="5" t="str">
        <f t="array" ref="X280">IF(NOT(AND(ISBLANK(D280),ISBLANK(C280))),_xludf.XLOOKUP(D280,[2]CODE!$A$4:$A$100,[2]CODE!$E$4:$E$100),"")</f>
        <v/>
      </c>
      <c r="Y280" s="5" t="str">
        <f t="shared" si="31"/>
        <v/>
      </c>
      <c r="Z280" s="5" t="str">
        <f t="shared" si="32"/>
        <v/>
      </c>
      <c r="AA280" s="4">
        <f t="shared" si="33"/>
        <v>0</v>
      </c>
      <c r="AC280" s="2"/>
    </row>
    <row r="281" spans="1:29" ht="15.5">
      <c r="A281" s="13" t="str">
        <f>IF(OR(ISBLANK(C281),ISBLANK(D281),ISBLANK(F281),ISBLANK(G281)),"",COUNTIF($B$5:B281,"JAMBUTU"))</f>
        <v/>
      </c>
      <c r="B281" s="8" t="str">
        <f t="shared" si="34"/>
        <v/>
      </c>
      <c r="C281" s="8"/>
      <c r="D281" s="8"/>
      <c r="E281" s="13"/>
      <c r="F281" s="12"/>
      <c r="G281" s="11"/>
      <c r="H281" s="12"/>
      <c r="I281" s="11"/>
      <c r="J281" s="10">
        <f t="shared" si="28"/>
        <v>0</v>
      </c>
      <c r="K281" s="10">
        <f t="shared" si="29"/>
        <v>0</v>
      </c>
      <c r="L281" s="9" t="str">
        <f t="shared" si="30"/>
        <v/>
      </c>
      <c r="M281" s="8"/>
      <c r="N281" s="8"/>
      <c r="O281" s="8"/>
      <c r="P281" s="8"/>
      <c r="Q281" s="8"/>
      <c r="R281" s="8"/>
      <c r="S281" s="8"/>
      <c r="T281" s="8"/>
      <c r="U281" s="8"/>
      <c r="V281" s="7"/>
      <c r="W281" s="6" t="str">
        <f t="array" ref="W281">IF(NOT(ISBLANK(D281)),_xludf.XLOOKUP(D281,[2]CODE!$A$4:$A$100,[2]CODE!$D$4:$D$100),"")</f>
        <v/>
      </c>
      <c r="X281" s="5" t="str">
        <f t="array" ref="X281">IF(NOT(AND(ISBLANK(D281),ISBLANK(C281))),_xludf.XLOOKUP(D281,[2]CODE!$A$4:$A$100,[2]CODE!$E$4:$E$100),"")</f>
        <v/>
      </c>
      <c r="Y281" s="5" t="str">
        <f t="shared" si="31"/>
        <v/>
      </c>
      <c r="Z281" s="5" t="str">
        <f t="shared" si="32"/>
        <v/>
      </c>
      <c r="AA281" s="4">
        <f t="shared" si="33"/>
        <v>0</v>
      </c>
      <c r="AC281" s="2"/>
    </row>
    <row r="282" spans="1:29" ht="15.5">
      <c r="A282" s="13" t="str">
        <f>IF(OR(ISBLANK(C282),ISBLANK(D282),ISBLANK(F282),ISBLANK(G282)),"",COUNTIF($B$5:B282,"JAMBUTU"))</f>
        <v/>
      </c>
      <c r="B282" s="8" t="str">
        <f t="shared" si="34"/>
        <v/>
      </c>
      <c r="C282" s="8"/>
      <c r="D282" s="8"/>
      <c r="E282" s="13"/>
      <c r="F282" s="12"/>
      <c r="G282" s="11"/>
      <c r="H282" s="12"/>
      <c r="I282" s="11"/>
      <c r="J282" s="10">
        <f t="shared" si="28"/>
        <v>0</v>
      </c>
      <c r="K282" s="10">
        <f t="shared" si="29"/>
        <v>0</v>
      </c>
      <c r="L282" s="9" t="str">
        <f t="shared" si="30"/>
        <v/>
      </c>
      <c r="M282" s="8"/>
      <c r="N282" s="8"/>
      <c r="O282" s="8"/>
      <c r="P282" s="8"/>
      <c r="Q282" s="8"/>
      <c r="R282" s="8"/>
      <c r="S282" s="8"/>
      <c r="T282" s="8"/>
      <c r="U282" s="8"/>
      <c r="V282" s="7"/>
      <c r="W282" s="6" t="str">
        <f t="array" ref="W282">IF(NOT(ISBLANK(D282)),_xludf.XLOOKUP(D282,[2]CODE!$A$4:$A$100,[2]CODE!$D$4:$D$100),"")</f>
        <v/>
      </c>
      <c r="X282" s="5" t="str">
        <f t="array" ref="X282">IF(NOT(AND(ISBLANK(D282),ISBLANK(C282))),_xludf.XLOOKUP(D282,[2]CODE!$A$4:$A$100,[2]CODE!$E$4:$E$100),"")</f>
        <v/>
      </c>
      <c r="Y282" s="5" t="str">
        <f t="shared" si="31"/>
        <v/>
      </c>
      <c r="Z282" s="5" t="str">
        <f t="shared" si="32"/>
        <v/>
      </c>
      <c r="AA282" s="4">
        <f t="shared" si="33"/>
        <v>0</v>
      </c>
      <c r="AC282" s="2"/>
    </row>
    <row r="283" spans="1:29" ht="15.5">
      <c r="A283" s="13" t="str">
        <f>IF(OR(ISBLANK(C283),ISBLANK(D283),ISBLANK(F283),ISBLANK(G283)),"",COUNTIF($B$5:B283,"JAMBUTU"))</f>
        <v/>
      </c>
      <c r="B283" s="8" t="str">
        <f t="shared" si="34"/>
        <v/>
      </c>
      <c r="C283" s="8"/>
      <c r="D283" s="8"/>
      <c r="E283" s="13"/>
      <c r="F283" s="12"/>
      <c r="G283" s="11"/>
      <c r="H283" s="12"/>
      <c r="I283" s="11"/>
      <c r="J283" s="10">
        <f t="shared" si="28"/>
        <v>0</v>
      </c>
      <c r="K283" s="10">
        <f t="shared" si="29"/>
        <v>0</v>
      </c>
      <c r="L283" s="9" t="str">
        <f t="shared" si="30"/>
        <v/>
      </c>
      <c r="M283" s="8"/>
      <c r="N283" s="8"/>
      <c r="O283" s="8"/>
      <c r="P283" s="8"/>
      <c r="Q283" s="8"/>
      <c r="R283" s="8"/>
      <c r="S283" s="8"/>
      <c r="T283" s="8"/>
      <c r="U283" s="8"/>
      <c r="V283" s="7"/>
      <c r="W283" s="6" t="str">
        <f t="array" ref="W283">IF(NOT(ISBLANK(D283)),_xludf.XLOOKUP(D283,[2]CODE!$A$4:$A$100,[2]CODE!$D$4:$D$100),"")</f>
        <v/>
      </c>
      <c r="X283" s="5" t="str">
        <f t="array" ref="X283">IF(NOT(AND(ISBLANK(D283),ISBLANK(C283))),_xludf.XLOOKUP(D283,[2]CODE!$A$4:$A$100,[2]CODE!$E$4:$E$100),"")</f>
        <v/>
      </c>
      <c r="Y283" s="5" t="str">
        <f t="shared" si="31"/>
        <v/>
      </c>
      <c r="Z283" s="5" t="str">
        <f t="shared" si="32"/>
        <v/>
      </c>
      <c r="AA283" s="4">
        <f t="shared" si="33"/>
        <v>0</v>
      </c>
      <c r="AC283" s="2"/>
    </row>
    <row r="284" spans="1:29" ht="15.5">
      <c r="A284" s="13" t="str">
        <f>IF(OR(ISBLANK(C284),ISBLANK(D284),ISBLANK(F284),ISBLANK(G284)),"",COUNTIF($B$5:B284,"JAMBUTU"))</f>
        <v/>
      </c>
      <c r="B284" s="8" t="str">
        <f t="shared" si="34"/>
        <v/>
      </c>
      <c r="C284" s="8"/>
      <c r="D284" s="8"/>
      <c r="E284" s="13"/>
      <c r="F284" s="12"/>
      <c r="G284" s="11"/>
      <c r="H284" s="12"/>
      <c r="I284" s="11"/>
      <c r="J284" s="10">
        <f t="shared" si="28"/>
        <v>0</v>
      </c>
      <c r="K284" s="10">
        <f t="shared" si="29"/>
        <v>0</v>
      </c>
      <c r="L284" s="9" t="str">
        <f t="shared" si="30"/>
        <v/>
      </c>
      <c r="M284" s="8"/>
      <c r="N284" s="8"/>
      <c r="O284" s="8"/>
      <c r="P284" s="8"/>
      <c r="Q284" s="8"/>
      <c r="R284" s="8"/>
      <c r="S284" s="8"/>
      <c r="T284" s="8"/>
      <c r="U284" s="8"/>
      <c r="V284" s="7"/>
      <c r="W284" s="6" t="str">
        <f t="array" ref="W284">IF(NOT(ISBLANK(D284)),_xludf.XLOOKUP(D284,[2]CODE!$A$4:$A$100,[2]CODE!$D$4:$D$100),"")</f>
        <v/>
      </c>
      <c r="X284" s="5" t="str">
        <f t="array" ref="X284">IF(NOT(AND(ISBLANK(D284),ISBLANK(C284))),_xludf.XLOOKUP(D284,[2]CODE!$A$4:$A$100,[2]CODE!$E$4:$E$100),"")</f>
        <v/>
      </c>
      <c r="Y284" s="5" t="str">
        <f t="shared" si="31"/>
        <v/>
      </c>
      <c r="Z284" s="5" t="str">
        <f t="shared" si="32"/>
        <v/>
      </c>
      <c r="AA284" s="4">
        <f t="shared" si="33"/>
        <v>0</v>
      </c>
      <c r="AC284" s="2"/>
    </row>
    <row r="285" spans="1:29" ht="15.5">
      <c r="A285" s="13" t="str">
        <f>IF(OR(ISBLANK(C285),ISBLANK(D285),ISBLANK(F285),ISBLANK(G285)),"",COUNTIF($B$5:B285,"JAMBUTU"))</f>
        <v/>
      </c>
      <c r="B285" s="8" t="str">
        <f t="shared" si="34"/>
        <v/>
      </c>
      <c r="C285" s="8"/>
      <c r="D285" s="8"/>
      <c r="E285" s="13"/>
      <c r="F285" s="12"/>
      <c r="G285" s="11"/>
      <c r="H285" s="12"/>
      <c r="I285" s="11"/>
      <c r="J285" s="10">
        <f t="shared" si="28"/>
        <v>0</v>
      </c>
      <c r="K285" s="10">
        <f t="shared" si="29"/>
        <v>0</v>
      </c>
      <c r="L285" s="9" t="str">
        <f t="shared" si="30"/>
        <v/>
      </c>
      <c r="M285" s="8"/>
      <c r="N285" s="8"/>
      <c r="O285" s="8"/>
      <c r="P285" s="8"/>
      <c r="Q285" s="8"/>
      <c r="R285" s="8"/>
      <c r="S285" s="8"/>
      <c r="T285" s="8"/>
      <c r="U285" s="8"/>
      <c r="V285" s="7"/>
      <c r="W285" s="6" t="str">
        <f t="array" ref="W285">IF(NOT(ISBLANK(D285)),_xludf.XLOOKUP(D285,[2]CODE!$A$4:$A$100,[2]CODE!$D$4:$D$100),"")</f>
        <v/>
      </c>
      <c r="X285" s="5" t="str">
        <f t="array" ref="X285">IF(NOT(AND(ISBLANK(D285),ISBLANK(C285))),_xludf.XLOOKUP(D285,[2]CODE!$A$4:$A$100,[2]CODE!$E$4:$E$100),"")</f>
        <v/>
      </c>
      <c r="Y285" s="5" t="str">
        <f t="shared" si="31"/>
        <v/>
      </c>
      <c r="Z285" s="5" t="str">
        <f t="shared" si="32"/>
        <v/>
      </c>
      <c r="AA285" s="4">
        <f t="shared" si="33"/>
        <v>0</v>
      </c>
      <c r="AC285" s="2"/>
    </row>
    <row r="286" spans="1:29" ht="15.5">
      <c r="A286" s="13" t="str">
        <f>IF(OR(ISBLANK(C286),ISBLANK(D286),ISBLANK(F286),ISBLANK(G286)),"",COUNTIF($B$5:B286,"JAMBUTU"))</f>
        <v/>
      </c>
      <c r="B286" s="8" t="str">
        <f t="shared" si="34"/>
        <v/>
      </c>
      <c r="C286" s="8"/>
      <c r="D286" s="8"/>
      <c r="E286" s="13"/>
      <c r="F286" s="12"/>
      <c r="G286" s="11"/>
      <c r="H286" s="12"/>
      <c r="I286" s="11"/>
      <c r="J286" s="10">
        <f t="shared" si="28"/>
        <v>0</v>
      </c>
      <c r="K286" s="10">
        <f t="shared" si="29"/>
        <v>0</v>
      </c>
      <c r="L286" s="9" t="str">
        <f t="shared" si="30"/>
        <v/>
      </c>
      <c r="M286" s="8"/>
      <c r="N286" s="8"/>
      <c r="O286" s="8"/>
      <c r="P286" s="8"/>
      <c r="Q286" s="8"/>
      <c r="R286" s="8"/>
      <c r="S286" s="8"/>
      <c r="T286" s="8"/>
      <c r="U286" s="8"/>
      <c r="V286" s="7"/>
      <c r="W286" s="6" t="str">
        <f t="array" ref="W286">IF(NOT(ISBLANK(D286)),_xludf.XLOOKUP(D286,[2]CODE!$A$4:$A$100,[2]CODE!$D$4:$D$100),"")</f>
        <v/>
      </c>
      <c r="X286" s="5" t="str">
        <f t="array" ref="X286">IF(NOT(AND(ISBLANK(D286),ISBLANK(C286))),_xludf.XLOOKUP(D286,[2]CODE!$A$4:$A$100,[2]CODE!$E$4:$E$100),"")</f>
        <v/>
      </c>
      <c r="Y286" s="5" t="str">
        <f t="shared" si="31"/>
        <v/>
      </c>
      <c r="Z286" s="5" t="str">
        <f t="shared" si="32"/>
        <v/>
      </c>
      <c r="AA286" s="4">
        <f t="shared" si="33"/>
        <v>0</v>
      </c>
      <c r="AC286" s="2"/>
    </row>
    <row r="287" spans="1:29" ht="15.5">
      <c r="A287" s="13" t="str">
        <f>IF(OR(ISBLANK(C287),ISBLANK(D287),ISBLANK(F287),ISBLANK(G287)),"",COUNTIF($B$5:B287,"JAMBUTU"))</f>
        <v/>
      </c>
      <c r="B287" s="8" t="str">
        <f t="shared" si="34"/>
        <v/>
      </c>
      <c r="C287" s="8"/>
      <c r="D287" s="8"/>
      <c r="E287" s="13"/>
      <c r="F287" s="12"/>
      <c r="G287" s="11"/>
      <c r="H287" s="12"/>
      <c r="I287" s="11"/>
      <c r="J287" s="10">
        <f t="shared" si="28"/>
        <v>0</v>
      </c>
      <c r="K287" s="10">
        <f t="shared" si="29"/>
        <v>0</v>
      </c>
      <c r="L287" s="9" t="str">
        <f t="shared" si="30"/>
        <v/>
      </c>
      <c r="M287" s="8"/>
      <c r="N287" s="8"/>
      <c r="O287" s="8"/>
      <c r="P287" s="8"/>
      <c r="Q287" s="8"/>
      <c r="R287" s="8"/>
      <c r="S287" s="8"/>
      <c r="T287" s="8"/>
      <c r="U287" s="8"/>
      <c r="V287" s="7"/>
      <c r="W287" s="6" t="str">
        <f t="array" ref="W287">IF(NOT(ISBLANK(D287)),_xludf.XLOOKUP(D287,[2]CODE!$A$4:$A$100,[2]CODE!$D$4:$D$100),"")</f>
        <v/>
      </c>
      <c r="X287" s="5" t="str">
        <f t="array" ref="X287">IF(NOT(AND(ISBLANK(D287),ISBLANK(C287))),_xludf.XLOOKUP(D287,[2]CODE!$A$4:$A$100,[2]CODE!$E$4:$E$100),"")</f>
        <v/>
      </c>
      <c r="Y287" s="5" t="str">
        <f t="shared" si="31"/>
        <v/>
      </c>
      <c r="Z287" s="5" t="str">
        <f t="shared" si="32"/>
        <v/>
      </c>
      <c r="AA287" s="4">
        <f t="shared" si="33"/>
        <v>0</v>
      </c>
      <c r="AC287" s="2"/>
    </row>
    <row r="288" spans="1:29" ht="15.5">
      <c r="A288" s="13" t="str">
        <f>IF(OR(ISBLANK(C288),ISBLANK(D288),ISBLANK(F288),ISBLANK(G288)),"",COUNTIF($B$5:B288,"JAMBUTU"))</f>
        <v/>
      </c>
      <c r="B288" s="8" t="str">
        <f t="shared" si="34"/>
        <v/>
      </c>
      <c r="C288" s="8"/>
      <c r="D288" s="8"/>
      <c r="E288" s="13"/>
      <c r="F288" s="12"/>
      <c r="G288" s="11"/>
      <c r="H288" s="12"/>
      <c r="I288" s="11"/>
      <c r="J288" s="10">
        <f t="shared" si="28"/>
        <v>0</v>
      </c>
      <c r="K288" s="10">
        <f t="shared" si="29"/>
        <v>0</v>
      </c>
      <c r="L288" s="9" t="str">
        <f t="shared" si="30"/>
        <v/>
      </c>
      <c r="M288" s="8"/>
      <c r="N288" s="8"/>
      <c r="O288" s="8"/>
      <c r="P288" s="8"/>
      <c r="Q288" s="8"/>
      <c r="R288" s="8"/>
      <c r="S288" s="8"/>
      <c r="T288" s="8"/>
      <c r="U288" s="8"/>
      <c r="V288" s="7"/>
      <c r="W288" s="6" t="str">
        <f t="array" ref="W288">IF(NOT(ISBLANK(D288)),_xludf.XLOOKUP(D288,[2]CODE!$A$4:$A$100,[2]CODE!$D$4:$D$100),"")</f>
        <v/>
      </c>
      <c r="X288" s="5" t="str">
        <f t="array" ref="X288">IF(NOT(AND(ISBLANK(D288),ISBLANK(C288))),_xludf.XLOOKUP(D288,[2]CODE!$A$4:$A$100,[2]CODE!$E$4:$E$100),"")</f>
        <v/>
      </c>
      <c r="Y288" s="5" t="str">
        <f t="shared" si="31"/>
        <v/>
      </c>
      <c r="Z288" s="5" t="str">
        <f t="shared" si="32"/>
        <v/>
      </c>
      <c r="AA288" s="4">
        <f t="shared" si="33"/>
        <v>0</v>
      </c>
      <c r="AC288" s="2"/>
    </row>
    <row r="289" spans="1:29" ht="15.5">
      <c r="A289" s="13" t="str">
        <f>IF(OR(ISBLANK(C289),ISBLANK(D289),ISBLANK(F289),ISBLANK(G289)),"",COUNTIF($B$5:B289,"JAMBUTU"))</f>
        <v/>
      </c>
      <c r="B289" s="8" t="str">
        <f t="shared" si="34"/>
        <v/>
      </c>
      <c r="C289" s="8"/>
      <c r="D289" s="8"/>
      <c r="E289" s="13"/>
      <c r="F289" s="12"/>
      <c r="G289" s="11"/>
      <c r="H289" s="12"/>
      <c r="I289" s="11"/>
      <c r="J289" s="10">
        <f t="shared" si="28"/>
        <v>0</v>
      </c>
      <c r="K289" s="10">
        <f t="shared" si="29"/>
        <v>0</v>
      </c>
      <c r="L289" s="9" t="str">
        <f t="shared" si="30"/>
        <v/>
      </c>
      <c r="M289" s="8"/>
      <c r="N289" s="8"/>
      <c r="O289" s="8"/>
      <c r="P289" s="8"/>
      <c r="Q289" s="8"/>
      <c r="R289" s="8"/>
      <c r="S289" s="8"/>
      <c r="T289" s="8"/>
      <c r="U289" s="8"/>
      <c r="V289" s="7"/>
      <c r="W289" s="6" t="str">
        <f t="array" ref="W289">IF(NOT(ISBLANK(D289)),_xludf.XLOOKUP(D289,[2]CODE!$A$4:$A$100,[2]CODE!$D$4:$D$100),"")</f>
        <v/>
      </c>
      <c r="X289" s="5" t="str">
        <f t="array" ref="X289">IF(NOT(AND(ISBLANK(D289),ISBLANK(C289))),_xludf.XLOOKUP(D289,[2]CODE!$A$4:$A$100,[2]CODE!$E$4:$E$100),"")</f>
        <v/>
      </c>
      <c r="Y289" s="5" t="str">
        <f t="shared" si="31"/>
        <v/>
      </c>
      <c r="Z289" s="5" t="str">
        <f t="shared" si="32"/>
        <v/>
      </c>
      <c r="AA289" s="4">
        <f t="shared" si="33"/>
        <v>0</v>
      </c>
      <c r="AC289" s="2"/>
    </row>
    <row r="290" spans="1:29" ht="15.5">
      <c r="A290" s="13" t="str">
        <f>IF(OR(ISBLANK(C290),ISBLANK(D290),ISBLANK(F290),ISBLANK(G290)),"",COUNTIF($B$5:B290,"JAMBUTU"))</f>
        <v/>
      </c>
      <c r="B290" s="8" t="str">
        <f t="shared" si="34"/>
        <v/>
      </c>
      <c r="C290" s="8"/>
      <c r="D290" s="8"/>
      <c r="E290" s="13"/>
      <c r="F290" s="12"/>
      <c r="G290" s="11"/>
      <c r="H290" s="12"/>
      <c r="I290" s="11"/>
      <c r="J290" s="10">
        <f t="shared" si="28"/>
        <v>0</v>
      </c>
      <c r="K290" s="10">
        <f t="shared" si="29"/>
        <v>0</v>
      </c>
      <c r="L290" s="9" t="str">
        <f t="shared" si="30"/>
        <v/>
      </c>
      <c r="M290" s="8"/>
      <c r="N290" s="8"/>
      <c r="O290" s="8"/>
      <c r="P290" s="8"/>
      <c r="Q290" s="8"/>
      <c r="R290" s="8"/>
      <c r="S290" s="8"/>
      <c r="T290" s="8"/>
      <c r="U290" s="8"/>
      <c r="V290" s="7"/>
      <c r="W290" s="6" t="str">
        <f t="array" ref="W290">IF(NOT(ISBLANK(D290)),_xludf.XLOOKUP(D290,[2]CODE!$A$4:$A$100,[2]CODE!$D$4:$D$100),"")</f>
        <v/>
      </c>
      <c r="X290" s="5" t="str">
        <f t="array" ref="X290">IF(NOT(AND(ISBLANK(D290),ISBLANK(C290))),_xludf.XLOOKUP(D290,[2]CODE!$A$4:$A$100,[2]CODE!$E$4:$E$100),"")</f>
        <v/>
      </c>
      <c r="Y290" s="5" t="str">
        <f t="shared" si="31"/>
        <v/>
      </c>
      <c r="Z290" s="5" t="str">
        <f t="shared" si="32"/>
        <v/>
      </c>
      <c r="AA290" s="4">
        <f t="shared" si="33"/>
        <v>0</v>
      </c>
      <c r="AC290" s="2"/>
    </row>
    <row r="291" spans="1:29" ht="15.5">
      <c r="A291" s="13" t="str">
        <f>IF(OR(ISBLANK(C291),ISBLANK(D291),ISBLANK(F291),ISBLANK(G291)),"",COUNTIF($B$5:B291,"JAMBUTU"))</f>
        <v/>
      </c>
      <c r="B291" s="8" t="str">
        <f t="shared" si="34"/>
        <v/>
      </c>
      <c r="C291" s="8"/>
      <c r="D291" s="8"/>
      <c r="E291" s="13"/>
      <c r="F291" s="12"/>
      <c r="G291" s="11"/>
      <c r="H291" s="12"/>
      <c r="I291" s="11"/>
      <c r="J291" s="10">
        <f t="shared" si="28"/>
        <v>0</v>
      </c>
      <c r="K291" s="10">
        <f t="shared" si="29"/>
        <v>0</v>
      </c>
      <c r="L291" s="9" t="str">
        <f t="shared" si="30"/>
        <v/>
      </c>
      <c r="M291" s="8"/>
      <c r="N291" s="8"/>
      <c r="O291" s="8"/>
      <c r="P291" s="8"/>
      <c r="Q291" s="8"/>
      <c r="R291" s="8"/>
      <c r="S291" s="8"/>
      <c r="T291" s="8"/>
      <c r="U291" s="8"/>
      <c r="V291" s="7"/>
      <c r="W291" s="6" t="str">
        <f t="array" ref="W291">IF(NOT(ISBLANK(D291)),_xludf.XLOOKUP(D291,[2]CODE!$A$4:$A$100,[2]CODE!$D$4:$D$100),"")</f>
        <v/>
      </c>
      <c r="X291" s="5" t="str">
        <f t="array" ref="X291">IF(NOT(AND(ISBLANK(D291),ISBLANK(C291))),_xludf.XLOOKUP(D291,[2]CODE!$A$4:$A$100,[2]CODE!$E$4:$E$100),"")</f>
        <v/>
      </c>
      <c r="Y291" s="5" t="str">
        <f t="shared" si="31"/>
        <v/>
      </c>
      <c r="Z291" s="5" t="str">
        <f t="shared" si="32"/>
        <v/>
      </c>
      <c r="AA291" s="4">
        <f t="shared" si="33"/>
        <v>0</v>
      </c>
      <c r="AC291" s="2"/>
    </row>
    <row r="292" spans="1:29" ht="15.5">
      <c r="A292" s="13" t="str">
        <f>IF(OR(ISBLANK(C292),ISBLANK(D292),ISBLANK(F292),ISBLANK(G292)),"",COUNTIF($B$5:B292,"JAMBUTU"))</f>
        <v/>
      </c>
      <c r="B292" s="8" t="str">
        <f t="shared" si="34"/>
        <v/>
      </c>
      <c r="C292" s="8"/>
      <c r="D292" s="8"/>
      <c r="E292" s="13"/>
      <c r="F292" s="12"/>
      <c r="G292" s="11"/>
      <c r="H292" s="12"/>
      <c r="I292" s="11"/>
      <c r="J292" s="10">
        <f t="shared" si="28"/>
        <v>0</v>
      </c>
      <c r="K292" s="10">
        <f t="shared" si="29"/>
        <v>0</v>
      </c>
      <c r="L292" s="9" t="str">
        <f t="shared" si="30"/>
        <v/>
      </c>
      <c r="M292" s="8"/>
      <c r="N292" s="8"/>
      <c r="O292" s="8"/>
      <c r="P292" s="8"/>
      <c r="Q292" s="8"/>
      <c r="R292" s="8"/>
      <c r="S292" s="8"/>
      <c r="T292" s="8"/>
      <c r="U292" s="8"/>
      <c r="V292" s="7"/>
      <c r="W292" s="6" t="str">
        <f t="array" ref="W292">IF(NOT(ISBLANK(D292)),_xludf.XLOOKUP(D292,[2]CODE!$A$4:$A$100,[2]CODE!$D$4:$D$100),"")</f>
        <v/>
      </c>
      <c r="X292" s="5" t="str">
        <f t="array" ref="X292">IF(NOT(AND(ISBLANK(D292),ISBLANK(C292))),_xludf.XLOOKUP(D292,[2]CODE!$A$4:$A$100,[2]CODE!$E$4:$E$100),"")</f>
        <v/>
      </c>
      <c r="Y292" s="5" t="str">
        <f t="shared" si="31"/>
        <v/>
      </c>
      <c r="Z292" s="5" t="str">
        <f t="shared" si="32"/>
        <v/>
      </c>
      <c r="AA292" s="4">
        <f t="shared" si="33"/>
        <v>0</v>
      </c>
      <c r="AC292" s="2"/>
    </row>
    <row r="293" spans="1:29" ht="15.5">
      <c r="A293" s="13" t="str">
        <f>IF(OR(ISBLANK(C293),ISBLANK(D293),ISBLANK(F293),ISBLANK(G293)),"",COUNTIF($B$5:B293,"JAMBUTU"))</f>
        <v/>
      </c>
      <c r="B293" s="8" t="str">
        <f t="shared" si="34"/>
        <v/>
      </c>
      <c r="C293" s="8"/>
      <c r="D293" s="8"/>
      <c r="E293" s="13"/>
      <c r="F293" s="12"/>
      <c r="G293" s="11"/>
      <c r="H293" s="12"/>
      <c r="I293" s="11"/>
      <c r="J293" s="10">
        <f t="shared" si="28"/>
        <v>0</v>
      </c>
      <c r="K293" s="10">
        <f t="shared" si="29"/>
        <v>0</v>
      </c>
      <c r="L293" s="9" t="str">
        <f t="shared" si="30"/>
        <v/>
      </c>
      <c r="M293" s="8"/>
      <c r="N293" s="8"/>
      <c r="O293" s="8"/>
      <c r="P293" s="8"/>
      <c r="Q293" s="8"/>
      <c r="R293" s="8"/>
      <c r="S293" s="8"/>
      <c r="T293" s="8"/>
      <c r="U293" s="8"/>
      <c r="V293" s="7"/>
      <c r="W293" s="6" t="str">
        <f t="array" ref="W293">IF(NOT(ISBLANK(D293)),_xludf.XLOOKUP(D293,[2]CODE!$A$4:$A$100,[2]CODE!$D$4:$D$100),"")</f>
        <v/>
      </c>
      <c r="X293" s="5" t="str">
        <f t="array" ref="X293">IF(NOT(AND(ISBLANK(D293),ISBLANK(C293))),_xludf.XLOOKUP(D293,[2]CODE!$A$4:$A$100,[2]CODE!$E$4:$E$100),"")</f>
        <v/>
      </c>
      <c r="Y293" s="5" t="str">
        <f t="shared" si="31"/>
        <v/>
      </c>
      <c r="Z293" s="5" t="str">
        <f t="shared" si="32"/>
        <v/>
      </c>
      <c r="AA293" s="4">
        <f t="shared" si="33"/>
        <v>0</v>
      </c>
      <c r="AC293" s="2"/>
    </row>
    <row r="294" spans="1:29" ht="15.5">
      <c r="A294" s="13" t="str">
        <f>IF(OR(ISBLANK(C294),ISBLANK(D294),ISBLANK(F294),ISBLANK(G294)),"",COUNTIF($B$5:B294,"JAMBUTU"))</f>
        <v/>
      </c>
      <c r="B294" s="8" t="str">
        <f t="shared" si="34"/>
        <v/>
      </c>
      <c r="C294" s="8"/>
      <c r="D294" s="8"/>
      <c r="E294" s="13"/>
      <c r="F294" s="12"/>
      <c r="G294" s="11"/>
      <c r="H294" s="12"/>
      <c r="I294" s="11"/>
      <c r="J294" s="10">
        <f t="shared" si="28"/>
        <v>0</v>
      </c>
      <c r="K294" s="10">
        <f t="shared" si="29"/>
        <v>0</v>
      </c>
      <c r="L294" s="9" t="str">
        <f t="shared" si="30"/>
        <v/>
      </c>
      <c r="M294" s="8"/>
      <c r="N294" s="8"/>
      <c r="O294" s="8"/>
      <c r="P294" s="8"/>
      <c r="Q294" s="8"/>
      <c r="R294" s="8"/>
      <c r="S294" s="8"/>
      <c r="T294" s="8"/>
      <c r="U294" s="8"/>
      <c r="V294" s="7"/>
      <c r="W294" s="6" t="str">
        <f t="array" ref="W294">IF(NOT(ISBLANK(D294)),_xludf.XLOOKUP(D294,[2]CODE!$A$4:$A$100,[2]CODE!$D$4:$D$100),"")</f>
        <v/>
      </c>
      <c r="X294" s="5" t="str">
        <f t="array" ref="X294">IF(NOT(AND(ISBLANK(D294),ISBLANK(C294))),_xludf.XLOOKUP(D294,[2]CODE!$A$4:$A$100,[2]CODE!$E$4:$E$100),"")</f>
        <v/>
      </c>
      <c r="Y294" s="5" t="str">
        <f t="shared" si="31"/>
        <v/>
      </c>
      <c r="Z294" s="5" t="str">
        <f t="shared" si="32"/>
        <v/>
      </c>
      <c r="AA294" s="4">
        <f t="shared" si="33"/>
        <v>0</v>
      </c>
      <c r="AC294" s="2"/>
    </row>
    <row r="295" spans="1:29" ht="15.5">
      <c r="A295" s="13" t="str">
        <f>IF(OR(ISBLANK(C295),ISBLANK(D295),ISBLANK(F295),ISBLANK(G295)),"",COUNTIF($B$5:B295,"JAMBUTU"))</f>
        <v/>
      </c>
      <c r="B295" s="8" t="str">
        <f t="shared" si="34"/>
        <v/>
      </c>
      <c r="C295" s="8"/>
      <c r="D295" s="8"/>
      <c r="E295" s="13"/>
      <c r="F295" s="12"/>
      <c r="G295" s="11"/>
      <c r="H295" s="12"/>
      <c r="I295" s="11"/>
      <c r="J295" s="10">
        <f t="shared" si="28"/>
        <v>0</v>
      </c>
      <c r="K295" s="10">
        <f t="shared" si="29"/>
        <v>0</v>
      </c>
      <c r="L295" s="9" t="str">
        <f t="shared" si="30"/>
        <v/>
      </c>
      <c r="M295" s="8"/>
      <c r="N295" s="8"/>
      <c r="O295" s="8"/>
      <c r="P295" s="8"/>
      <c r="Q295" s="8"/>
      <c r="R295" s="8"/>
      <c r="S295" s="8"/>
      <c r="T295" s="8"/>
      <c r="U295" s="8"/>
      <c r="V295" s="7"/>
      <c r="W295" s="6" t="str">
        <f t="array" ref="W295">IF(NOT(ISBLANK(D295)),_xludf.XLOOKUP(D295,[2]CODE!$A$4:$A$100,[2]CODE!$D$4:$D$100),"")</f>
        <v/>
      </c>
      <c r="X295" s="5" t="str">
        <f t="array" ref="X295">IF(NOT(AND(ISBLANK(D295),ISBLANK(C295))),_xludf.XLOOKUP(D295,[2]CODE!$A$4:$A$100,[2]CODE!$E$4:$E$100),"")</f>
        <v/>
      </c>
      <c r="Y295" s="5" t="str">
        <f t="shared" si="31"/>
        <v/>
      </c>
      <c r="Z295" s="5" t="str">
        <f t="shared" si="32"/>
        <v/>
      </c>
      <c r="AA295" s="4">
        <f t="shared" si="33"/>
        <v>0</v>
      </c>
      <c r="AC295" s="2"/>
    </row>
    <row r="296" spans="1:29" ht="15.5">
      <c r="A296" s="13" t="str">
        <f>IF(OR(ISBLANK(C296),ISBLANK(D296),ISBLANK(F296),ISBLANK(G296)),"",COUNTIF($B$5:B296,"JAMBUTU"))</f>
        <v/>
      </c>
      <c r="B296" s="8" t="str">
        <f t="shared" si="34"/>
        <v/>
      </c>
      <c r="C296" s="8"/>
      <c r="D296" s="8"/>
      <c r="E296" s="13"/>
      <c r="F296" s="12"/>
      <c r="G296" s="11"/>
      <c r="H296" s="12"/>
      <c r="I296" s="11"/>
      <c r="J296" s="10">
        <f t="shared" si="28"/>
        <v>0</v>
      </c>
      <c r="K296" s="10">
        <f t="shared" si="29"/>
        <v>0</v>
      </c>
      <c r="L296" s="9" t="str">
        <f t="shared" si="30"/>
        <v/>
      </c>
      <c r="M296" s="8"/>
      <c r="N296" s="8"/>
      <c r="O296" s="8"/>
      <c r="P296" s="8"/>
      <c r="Q296" s="8"/>
      <c r="R296" s="8"/>
      <c r="S296" s="8"/>
      <c r="T296" s="8"/>
      <c r="U296" s="8"/>
      <c r="V296" s="7"/>
      <c r="W296" s="6" t="str">
        <f t="array" ref="W296">IF(NOT(ISBLANK(D296)),_xludf.XLOOKUP(D296,[2]CODE!$A$4:$A$100,[2]CODE!$D$4:$D$100),"")</f>
        <v/>
      </c>
      <c r="X296" s="5" t="str">
        <f t="array" ref="X296">IF(NOT(AND(ISBLANK(D296),ISBLANK(C296))),_xludf.XLOOKUP(D296,[2]CODE!$A$4:$A$100,[2]CODE!$E$4:$E$100),"")</f>
        <v/>
      </c>
      <c r="Y296" s="5" t="str">
        <f t="shared" si="31"/>
        <v/>
      </c>
      <c r="Z296" s="5" t="str">
        <f t="shared" si="32"/>
        <v/>
      </c>
      <c r="AA296" s="4">
        <f t="shared" si="33"/>
        <v>0</v>
      </c>
      <c r="AC296" s="2"/>
    </row>
    <row r="297" spans="1:29" ht="15.5">
      <c r="A297" s="13" t="str">
        <f>IF(OR(ISBLANK(C297),ISBLANK(D297),ISBLANK(F297),ISBLANK(G297)),"",COUNTIF($B$5:B297,"JAMBUTU"))</f>
        <v/>
      </c>
      <c r="B297" s="8" t="str">
        <f t="shared" si="34"/>
        <v/>
      </c>
      <c r="C297" s="8"/>
      <c r="D297" s="8"/>
      <c r="E297" s="13"/>
      <c r="F297" s="12"/>
      <c r="G297" s="11"/>
      <c r="H297" s="12"/>
      <c r="I297" s="11"/>
      <c r="J297" s="10">
        <f t="shared" si="28"/>
        <v>0</v>
      </c>
      <c r="K297" s="10">
        <f t="shared" si="29"/>
        <v>0</v>
      </c>
      <c r="L297" s="9" t="str">
        <f t="shared" si="30"/>
        <v/>
      </c>
      <c r="M297" s="8"/>
      <c r="N297" s="8"/>
      <c r="O297" s="8"/>
      <c r="P297" s="8"/>
      <c r="Q297" s="8"/>
      <c r="R297" s="8"/>
      <c r="S297" s="8"/>
      <c r="T297" s="8"/>
      <c r="U297" s="8"/>
      <c r="V297" s="7"/>
      <c r="W297" s="6" t="str">
        <f t="array" ref="W297">IF(NOT(ISBLANK(D297)),_xludf.XLOOKUP(D297,[2]CODE!$A$4:$A$100,[2]CODE!$D$4:$D$100),"")</f>
        <v/>
      </c>
      <c r="X297" s="5" t="str">
        <f t="array" ref="X297">IF(NOT(AND(ISBLANK(D297),ISBLANK(C297))),_xludf.XLOOKUP(D297,[2]CODE!$A$4:$A$100,[2]CODE!$E$4:$E$100),"")</f>
        <v/>
      </c>
      <c r="Y297" s="5" t="str">
        <f t="shared" si="31"/>
        <v/>
      </c>
      <c r="Z297" s="5" t="str">
        <f t="shared" si="32"/>
        <v/>
      </c>
      <c r="AA297" s="4">
        <f t="shared" si="33"/>
        <v>0</v>
      </c>
      <c r="AC297" s="2"/>
    </row>
    <row r="298" spans="1:29" ht="15.5">
      <c r="A298" s="13" t="str">
        <f>IF(OR(ISBLANK(C298),ISBLANK(D298),ISBLANK(F298),ISBLANK(G298)),"",COUNTIF($B$5:B298,"JAMBUTU"))</f>
        <v/>
      </c>
      <c r="B298" s="8" t="str">
        <f t="shared" si="34"/>
        <v/>
      </c>
      <c r="C298" s="8"/>
      <c r="D298" s="8"/>
      <c r="E298" s="13"/>
      <c r="F298" s="12"/>
      <c r="G298" s="11"/>
      <c r="H298" s="12"/>
      <c r="I298" s="11"/>
      <c r="J298" s="10">
        <f t="shared" si="28"/>
        <v>0</v>
      </c>
      <c r="K298" s="10">
        <f t="shared" si="29"/>
        <v>0</v>
      </c>
      <c r="L298" s="9" t="str">
        <f t="shared" si="30"/>
        <v/>
      </c>
      <c r="M298" s="8"/>
      <c r="N298" s="8"/>
      <c r="O298" s="8"/>
      <c r="P298" s="8"/>
      <c r="Q298" s="8"/>
      <c r="R298" s="8"/>
      <c r="S298" s="8"/>
      <c r="T298" s="8"/>
      <c r="U298" s="8"/>
      <c r="V298" s="7"/>
      <c r="W298" s="6" t="str">
        <f t="array" ref="W298">IF(NOT(ISBLANK(D298)),_xludf.XLOOKUP(D298,[2]CODE!$A$4:$A$100,[2]CODE!$D$4:$D$100),"")</f>
        <v/>
      </c>
      <c r="X298" s="5" t="str">
        <f t="array" ref="X298">IF(NOT(AND(ISBLANK(D298),ISBLANK(C298))),_xludf.XLOOKUP(D298,[2]CODE!$A$4:$A$100,[2]CODE!$E$4:$E$100),"")</f>
        <v/>
      </c>
      <c r="Y298" s="5" t="str">
        <f t="shared" si="31"/>
        <v/>
      </c>
      <c r="Z298" s="5" t="str">
        <f t="shared" si="32"/>
        <v/>
      </c>
      <c r="AA298" s="4">
        <f t="shared" si="33"/>
        <v>0</v>
      </c>
      <c r="AC298" s="2"/>
    </row>
    <row r="299" spans="1:29" ht="15.5">
      <c r="A299" s="13" t="str">
        <f>IF(OR(ISBLANK(C299),ISBLANK(D299),ISBLANK(F299),ISBLANK(G299)),"",COUNTIF($B$5:B299,"JAMBUTU"))</f>
        <v/>
      </c>
      <c r="B299" s="8" t="str">
        <f t="shared" si="34"/>
        <v/>
      </c>
      <c r="C299" s="8"/>
      <c r="D299" s="8"/>
      <c r="E299" s="13"/>
      <c r="F299" s="12"/>
      <c r="G299" s="11"/>
      <c r="H299" s="12"/>
      <c r="I299" s="11"/>
      <c r="J299" s="10">
        <f t="shared" si="28"/>
        <v>0</v>
      </c>
      <c r="K299" s="10">
        <f t="shared" si="29"/>
        <v>0</v>
      </c>
      <c r="L299" s="9" t="str">
        <f t="shared" si="30"/>
        <v/>
      </c>
      <c r="M299" s="8"/>
      <c r="N299" s="8"/>
      <c r="O299" s="8"/>
      <c r="P299" s="8"/>
      <c r="Q299" s="8"/>
      <c r="R299" s="8"/>
      <c r="S299" s="8"/>
      <c r="T299" s="8"/>
      <c r="U299" s="8"/>
      <c r="V299" s="7"/>
      <c r="W299" s="6" t="str">
        <f t="array" ref="W299">IF(NOT(ISBLANK(D299)),_xludf.XLOOKUP(D299,[2]CODE!$A$4:$A$100,[2]CODE!$D$4:$D$100),"")</f>
        <v/>
      </c>
      <c r="X299" s="5" t="str">
        <f t="array" ref="X299">IF(NOT(AND(ISBLANK(D299),ISBLANK(C299))),_xludf.XLOOKUP(D299,[2]CODE!$A$4:$A$100,[2]CODE!$E$4:$E$100),"")</f>
        <v/>
      </c>
      <c r="Y299" s="5" t="str">
        <f t="shared" si="31"/>
        <v/>
      </c>
      <c r="Z299" s="5" t="str">
        <f t="shared" si="32"/>
        <v/>
      </c>
      <c r="AA299" s="4">
        <f t="shared" si="33"/>
        <v>0</v>
      </c>
      <c r="AC299" s="2"/>
    </row>
    <row r="300" spans="1:29" ht="15.5">
      <c r="A300" s="13" t="str">
        <f>IF(OR(ISBLANK(C300),ISBLANK(D300),ISBLANK(F300),ISBLANK(G300)),"",COUNTIF($B$5:B300,"JAMBUTU"))</f>
        <v/>
      </c>
      <c r="B300" s="8" t="str">
        <f t="shared" si="34"/>
        <v/>
      </c>
      <c r="C300" s="8"/>
      <c r="D300" s="8"/>
      <c r="E300" s="13"/>
      <c r="F300" s="12"/>
      <c r="G300" s="11"/>
      <c r="H300" s="12"/>
      <c r="I300" s="11"/>
      <c r="J300" s="10">
        <f t="shared" si="28"/>
        <v>0</v>
      </c>
      <c r="K300" s="10">
        <f t="shared" si="29"/>
        <v>0</v>
      </c>
      <c r="L300" s="9" t="str">
        <f t="shared" si="30"/>
        <v/>
      </c>
      <c r="M300" s="8"/>
      <c r="N300" s="8"/>
      <c r="O300" s="8"/>
      <c r="P300" s="8"/>
      <c r="Q300" s="8"/>
      <c r="R300" s="8"/>
      <c r="S300" s="8"/>
      <c r="T300" s="8"/>
      <c r="U300" s="8"/>
      <c r="V300" s="7"/>
      <c r="W300" s="6" t="str">
        <f t="array" ref="W300">IF(NOT(ISBLANK(D300)),_xludf.XLOOKUP(D300,[2]CODE!$A$4:$A$100,[2]CODE!$D$4:$D$100),"")</f>
        <v/>
      </c>
      <c r="X300" s="5" t="str">
        <f t="array" ref="X300">IF(NOT(AND(ISBLANK(D300),ISBLANK(C300))),_xludf.XLOOKUP(D300,[2]CODE!$A$4:$A$100,[2]CODE!$E$4:$E$100),"")</f>
        <v/>
      </c>
      <c r="Y300" s="5" t="str">
        <f t="shared" si="31"/>
        <v/>
      </c>
      <c r="Z300" s="5" t="str">
        <f t="shared" si="32"/>
        <v/>
      </c>
      <c r="AA300" s="4">
        <f t="shared" si="33"/>
        <v>0</v>
      </c>
      <c r="AC300" s="2"/>
    </row>
    <row r="301" spans="1:29" ht="15.5">
      <c r="A301" s="13" t="str">
        <f>IF(OR(ISBLANK(C301),ISBLANK(D301),ISBLANK(F301),ISBLANK(G301)),"",COUNTIF($B$5:B301,"JAMBUTU"))</f>
        <v/>
      </c>
      <c r="B301" s="8" t="str">
        <f t="shared" si="34"/>
        <v/>
      </c>
      <c r="C301" s="8"/>
      <c r="D301" s="8"/>
      <c r="E301" s="13"/>
      <c r="F301" s="12"/>
      <c r="G301" s="11"/>
      <c r="H301" s="12"/>
      <c r="I301" s="11"/>
      <c r="J301" s="10">
        <f t="shared" si="28"/>
        <v>0</v>
      </c>
      <c r="K301" s="10">
        <f t="shared" si="29"/>
        <v>0</v>
      </c>
      <c r="L301" s="9" t="str">
        <f t="shared" si="30"/>
        <v/>
      </c>
      <c r="M301" s="8"/>
      <c r="N301" s="8"/>
      <c r="O301" s="8"/>
      <c r="P301" s="8"/>
      <c r="Q301" s="8"/>
      <c r="R301" s="8"/>
      <c r="S301" s="8"/>
      <c r="T301" s="8"/>
      <c r="U301" s="8"/>
      <c r="V301" s="7"/>
      <c r="W301" s="6" t="str">
        <f t="array" ref="W301">IF(NOT(ISBLANK(D301)),_xludf.XLOOKUP(D301,[2]CODE!$A$4:$A$100,[2]CODE!$D$4:$D$100),"")</f>
        <v/>
      </c>
      <c r="X301" s="5" t="str">
        <f t="array" ref="X301">IF(NOT(AND(ISBLANK(D301),ISBLANK(C301))),_xludf.XLOOKUP(D301,[2]CODE!$A$4:$A$100,[2]CODE!$E$4:$E$100),"")</f>
        <v/>
      </c>
      <c r="Y301" s="5" t="str">
        <f t="shared" si="31"/>
        <v/>
      </c>
      <c r="Z301" s="5" t="str">
        <f t="shared" si="32"/>
        <v/>
      </c>
      <c r="AA301" s="4">
        <f t="shared" si="33"/>
        <v>0</v>
      </c>
      <c r="AC301" s="2"/>
    </row>
    <row r="302" spans="1:29" ht="15.5">
      <c r="A302" s="13" t="str">
        <f>IF(OR(ISBLANK(C302),ISBLANK(D302),ISBLANK(F302),ISBLANK(G302)),"",COUNTIF($B$5:B302,"JAMBUTU"))</f>
        <v/>
      </c>
      <c r="B302" s="8" t="str">
        <f t="shared" si="34"/>
        <v/>
      </c>
      <c r="C302" s="8"/>
      <c r="D302" s="8"/>
      <c r="E302" s="13"/>
      <c r="F302" s="12"/>
      <c r="G302" s="11"/>
      <c r="H302" s="12"/>
      <c r="I302" s="11"/>
      <c r="J302" s="10">
        <f t="shared" si="28"/>
        <v>0</v>
      </c>
      <c r="K302" s="10">
        <f t="shared" si="29"/>
        <v>0</v>
      </c>
      <c r="L302" s="9" t="str">
        <f t="shared" si="30"/>
        <v/>
      </c>
      <c r="M302" s="8"/>
      <c r="N302" s="8"/>
      <c r="O302" s="8"/>
      <c r="P302" s="8"/>
      <c r="Q302" s="8"/>
      <c r="R302" s="8"/>
      <c r="S302" s="8"/>
      <c r="T302" s="8"/>
      <c r="U302" s="8"/>
      <c r="V302" s="7"/>
      <c r="W302" s="6" t="str">
        <f t="array" ref="W302">IF(NOT(ISBLANK(D302)),_xludf.XLOOKUP(D302,[2]CODE!$A$4:$A$100,[2]CODE!$D$4:$D$100),"")</f>
        <v/>
      </c>
      <c r="X302" s="5" t="str">
        <f t="array" ref="X302">IF(NOT(AND(ISBLANK(D302),ISBLANK(C302))),_xludf.XLOOKUP(D302,[2]CODE!$A$4:$A$100,[2]CODE!$E$4:$E$100),"")</f>
        <v/>
      </c>
      <c r="Y302" s="5" t="str">
        <f t="shared" si="31"/>
        <v/>
      </c>
      <c r="Z302" s="5" t="str">
        <f t="shared" si="32"/>
        <v/>
      </c>
      <c r="AA302" s="4">
        <f t="shared" si="33"/>
        <v>0</v>
      </c>
      <c r="AC302" s="2"/>
    </row>
    <row r="303" spans="1:29" ht="15.5">
      <c r="A303" s="13" t="str">
        <f>IF(OR(ISBLANK(C303),ISBLANK(D303),ISBLANK(F303),ISBLANK(G303)),"",COUNTIF($B$5:B303,"JAMBUTU"))</f>
        <v/>
      </c>
      <c r="B303" s="8" t="str">
        <f t="shared" si="34"/>
        <v/>
      </c>
      <c r="C303" s="8"/>
      <c r="D303" s="8"/>
      <c r="E303" s="13"/>
      <c r="F303" s="12"/>
      <c r="G303" s="11"/>
      <c r="H303" s="12"/>
      <c r="I303" s="11"/>
      <c r="J303" s="10">
        <f t="shared" si="28"/>
        <v>0</v>
      </c>
      <c r="K303" s="10">
        <f t="shared" si="29"/>
        <v>0</v>
      </c>
      <c r="L303" s="9" t="str">
        <f t="shared" si="30"/>
        <v/>
      </c>
      <c r="M303" s="8"/>
      <c r="N303" s="8"/>
      <c r="O303" s="8"/>
      <c r="P303" s="8"/>
      <c r="Q303" s="8"/>
      <c r="R303" s="8"/>
      <c r="S303" s="8"/>
      <c r="T303" s="8"/>
      <c r="U303" s="8"/>
      <c r="V303" s="7"/>
      <c r="W303" s="6" t="str">
        <f t="array" ref="W303">IF(NOT(ISBLANK(D303)),_xludf.XLOOKUP(D303,[2]CODE!$A$4:$A$100,[2]CODE!$D$4:$D$100),"")</f>
        <v/>
      </c>
      <c r="X303" s="5" t="str">
        <f t="array" ref="X303">IF(NOT(AND(ISBLANK(D303),ISBLANK(C303))),_xludf.XLOOKUP(D303,[2]CODE!$A$4:$A$100,[2]CODE!$E$4:$E$100),"")</f>
        <v/>
      </c>
      <c r="Y303" s="5" t="str">
        <f t="shared" si="31"/>
        <v/>
      </c>
      <c r="Z303" s="5" t="str">
        <f t="shared" si="32"/>
        <v/>
      </c>
      <c r="AA303" s="4">
        <f t="shared" si="33"/>
        <v>0</v>
      </c>
      <c r="AC303" s="2"/>
    </row>
    <row r="304" spans="1:29" ht="15.5">
      <c r="A304" s="13" t="str">
        <f>IF(OR(ISBLANK(C304),ISBLANK(D304),ISBLANK(F304),ISBLANK(G304)),"",COUNTIF($B$5:B304,"JAMBUTU"))</f>
        <v/>
      </c>
      <c r="B304" s="8" t="str">
        <f t="shared" si="34"/>
        <v/>
      </c>
      <c r="C304" s="8"/>
      <c r="D304" s="8"/>
      <c r="E304" s="13"/>
      <c r="F304" s="12"/>
      <c r="G304" s="11"/>
      <c r="H304" s="12"/>
      <c r="I304" s="11"/>
      <c r="J304" s="10">
        <f t="shared" si="28"/>
        <v>0</v>
      </c>
      <c r="K304" s="10">
        <f t="shared" si="29"/>
        <v>0</v>
      </c>
      <c r="L304" s="9" t="str">
        <f t="shared" si="30"/>
        <v/>
      </c>
      <c r="M304" s="8"/>
      <c r="N304" s="8"/>
      <c r="O304" s="8"/>
      <c r="P304" s="8"/>
      <c r="Q304" s="8"/>
      <c r="R304" s="8"/>
      <c r="S304" s="8"/>
      <c r="T304" s="8"/>
      <c r="U304" s="8"/>
      <c r="V304" s="7"/>
      <c r="W304" s="6" t="str">
        <f t="array" ref="W304">IF(NOT(ISBLANK(D304)),_xludf.XLOOKUP(D304,[2]CODE!$A$4:$A$100,[2]CODE!$D$4:$D$100),"")</f>
        <v/>
      </c>
      <c r="X304" s="5" t="str">
        <f t="array" ref="X304">IF(NOT(AND(ISBLANK(D304),ISBLANK(C304))),_xludf.XLOOKUP(D304,[2]CODE!$A$4:$A$100,[2]CODE!$E$4:$E$100),"")</f>
        <v/>
      </c>
      <c r="Y304" s="5" t="str">
        <f t="shared" si="31"/>
        <v/>
      </c>
      <c r="Z304" s="5" t="str">
        <f t="shared" si="32"/>
        <v/>
      </c>
      <c r="AA304" s="4">
        <f t="shared" si="33"/>
        <v>0</v>
      </c>
      <c r="AC304" s="2"/>
    </row>
    <row r="305" spans="1:29" ht="15.5">
      <c r="A305" s="13" t="str">
        <f>IF(OR(ISBLANK(C305),ISBLANK(D305),ISBLANK(F305),ISBLANK(G305)),"",COUNTIF($B$5:B305,"JAMBUTU"))</f>
        <v/>
      </c>
      <c r="B305" s="8" t="str">
        <f t="shared" si="34"/>
        <v/>
      </c>
      <c r="C305" s="8"/>
      <c r="D305" s="8"/>
      <c r="E305" s="13"/>
      <c r="F305" s="12"/>
      <c r="G305" s="11"/>
      <c r="H305" s="12"/>
      <c r="I305" s="11"/>
      <c r="J305" s="10">
        <f t="shared" si="28"/>
        <v>0</v>
      </c>
      <c r="K305" s="10">
        <f t="shared" si="29"/>
        <v>0</v>
      </c>
      <c r="L305" s="9" t="str">
        <f t="shared" si="30"/>
        <v/>
      </c>
      <c r="M305" s="8"/>
      <c r="N305" s="8"/>
      <c r="O305" s="8"/>
      <c r="P305" s="8"/>
      <c r="Q305" s="8"/>
      <c r="R305" s="8"/>
      <c r="S305" s="8"/>
      <c r="T305" s="8"/>
      <c r="U305" s="8"/>
      <c r="V305" s="7"/>
      <c r="W305" s="6" t="str">
        <f t="array" ref="W305">IF(NOT(ISBLANK(D305)),_xludf.XLOOKUP(D305,[2]CODE!$A$4:$A$100,[2]CODE!$D$4:$D$100),"")</f>
        <v/>
      </c>
      <c r="X305" s="5" t="str">
        <f t="array" ref="X305">IF(NOT(AND(ISBLANK(D305),ISBLANK(C305))),_xludf.XLOOKUP(D305,[2]CODE!$A$4:$A$100,[2]CODE!$E$4:$E$100),"")</f>
        <v/>
      </c>
      <c r="Y305" s="5" t="str">
        <f t="shared" si="31"/>
        <v/>
      </c>
      <c r="Z305" s="5" t="str">
        <f t="shared" si="32"/>
        <v/>
      </c>
      <c r="AA305" s="4">
        <f t="shared" si="33"/>
        <v>0</v>
      </c>
      <c r="AC305" s="2"/>
    </row>
    <row r="306" spans="1:29" ht="15.5">
      <c r="A306" s="13" t="str">
        <f>IF(OR(ISBLANK(C306),ISBLANK(D306),ISBLANK(F306),ISBLANK(G306)),"",COUNTIF($B$5:B306,"JAMBUTU"))</f>
        <v/>
      </c>
      <c r="B306" s="8" t="str">
        <f t="shared" si="34"/>
        <v/>
      </c>
      <c r="C306" s="8"/>
      <c r="D306" s="8"/>
      <c r="E306" s="13"/>
      <c r="F306" s="12"/>
      <c r="G306" s="11"/>
      <c r="H306" s="12"/>
      <c r="I306" s="15"/>
      <c r="J306" s="10">
        <f t="shared" si="28"/>
        <v>0</v>
      </c>
      <c r="K306" s="10">
        <f t="shared" si="29"/>
        <v>0</v>
      </c>
      <c r="L306" s="9" t="str">
        <f t="shared" si="30"/>
        <v/>
      </c>
      <c r="M306" s="8"/>
      <c r="N306" s="8"/>
      <c r="O306" s="8"/>
      <c r="P306" s="8"/>
      <c r="Q306" s="8"/>
      <c r="R306" s="8"/>
      <c r="S306" s="8"/>
      <c r="T306" s="8"/>
      <c r="U306" s="8"/>
      <c r="V306" s="7"/>
      <c r="W306" s="6" t="str">
        <f t="array" ref="W306">IF(NOT(ISBLANK(D306)),_xludf.XLOOKUP(D306,[2]CODE!$A$4:$A$100,[2]CODE!$D$4:$D$100),"")</f>
        <v/>
      </c>
      <c r="X306" s="5" t="str">
        <f t="array" ref="X306">IF(NOT(AND(ISBLANK(D306),ISBLANK(C306))),_xludf.XLOOKUP(D306,[2]CODE!$A$4:$A$100,[2]CODE!$E$4:$E$100),"")</f>
        <v/>
      </c>
      <c r="Y306" s="5" t="str">
        <f t="shared" si="31"/>
        <v/>
      </c>
      <c r="Z306" s="5" t="str">
        <f t="shared" si="32"/>
        <v/>
      </c>
      <c r="AA306" s="4">
        <f t="shared" si="33"/>
        <v>0</v>
      </c>
      <c r="AC306" s="2"/>
    </row>
    <row r="307" spans="1:29" ht="15.5">
      <c r="A307" s="13" t="str">
        <f>IF(OR(ISBLANK(C307),ISBLANK(D307),ISBLANK(F307),ISBLANK(G307)),"",COUNTIF($B$5:B307,"JAMBUTU"))</f>
        <v/>
      </c>
      <c r="B307" s="8" t="str">
        <f t="shared" si="34"/>
        <v/>
      </c>
      <c r="C307" s="8"/>
      <c r="D307" s="8"/>
      <c r="E307" s="13"/>
      <c r="F307" s="12"/>
      <c r="G307" s="11"/>
      <c r="H307" s="12"/>
      <c r="I307" s="11"/>
      <c r="J307" s="10">
        <f t="shared" si="28"/>
        <v>0</v>
      </c>
      <c r="K307" s="10">
        <f t="shared" si="29"/>
        <v>0</v>
      </c>
      <c r="L307" s="9" t="str">
        <f t="shared" si="30"/>
        <v/>
      </c>
      <c r="M307" s="8"/>
      <c r="N307" s="8"/>
      <c r="O307" s="8"/>
      <c r="P307" s="8"/>
      <c r="Q307" s="8"/>
      <c r="R307" s="8"/>
      <c r="S307" s="8"/>
      <c r="T307" s="8"/>
      <c r="U307" s="8"/>
      <c r="V307" s="7"/>
      <c r="W307" s="6" t="str">
        <f t="array" ref="W307">IF(NOT(ISBLANK(D307)),_xludf.XLOOKUP(D307,[2]CODE!$A$4:$A$100,[2]CODE!$D$4:$D$100),"")</f>
        <v/>
      </c>
      <c r="X307" s="5" t="str">
        <f t="array" ref="X307">IF(NOT(AND(ISBLANK(D307),ISBLANK(C307))),_xludf.XLOOKUP(D307,[2]CODE!$A$4:$A$100,[2]CODE!$E$4:$E$100),"")</f>
        <v/>
      </c>
      <c r="Y307" s="5" t="str">
        <f t="shared" si="31"/>
        <v/>
      </c>
      <c r="Z307" s="5" t="str">
        <f t="shared" si="32"/>
        <v/>
      </c>
      <c r="AA307" s="4">
        <f t="shared" si="33"/>
        <v>0</v>
      </c>
      <c r="AC307" s="2"/>
    </row>
    <row r="308" spans="1:29" ht="15.5">
      <c r="A308" s="13" t="str">
        <f>IF(OR(ISBLANK(C308),ISBLANK(D308),ISBLANK(F308),ISBLANK(G308)),"",COUNTIF($B$5:B308,"JAMBUTU"))</f>
        <v/>
      </c>
      <c r="B308" s="8" t="str">
        <f t="shared" si="34"/>
        <v/>
      </c>
      <c r="C308" s="8"/>
      <c r="D308" s="8"/>
      <c r="E308" s="13"/>
      <c r="F308" s="12"/>
      <c r="G308" s="11"/>
      <c r="H308" s="12"/>
      <c r="I308" s="11"/>
      <c r="J308" s="10">
        <f t="shared" si="28"/>
        <v>0</v>
      </c>
      <c r="K308" s="10">
        <f t="shared" si="29"/>
        <v>0</v>
      </c>
      <c r="L308" s="9" t="str">
        <f t="shared" si="30"/>
        <v/>
      </c>
      <c r="M308" s="8"/>
      <c r="N308" s="8"/>
      <c r="O308" s="8"/>
      <c r="P308" s="8"/>
      <c r="Q308" s="8"/>
      <c r="R308" s="8"/>
      <c r="S308" s="8"/>
      <c r="T308" s="8"/>
      <c r="U308" s="8"/>
      <c r="V308" s="7"/>
      <c r="W308" s="6" t="str">
        <f t="array" ref="W308">IF(NOT(ISBLANK(D308)),_xludf.XLOOKUP(D308,[2]CODE!$A$4:$A$100,[2]CODE!$D$4:$D$100),"")</f>
        <v/>
      </c>
      <c r="X308" s="5" t="str">
        <f t="array" ref="X308">IF(NOT(AND(ISBLANK(D308),ISBLANK(C308))),_xludf.XLOOKUP(D308,[2]CODE!$A$4:$A$100,[2]CODE!$E$4:$E$100),"")</f>
        <v/>
      </c>
      <c r="Y308" s="5" t="str">
        <f t="shared" si="31"/>
        <v/>
      </c>
      <c r="Z308" s="5" t="str">
        <f t="shared" si="32"/>
        <v/>
      </c>
      <c r="AA308" s="4">
        <f t="shared" si="33"/>
        <v>0</v>
      </c>
      <c r="AC308" s="2"/>
    </row>
    <row r="309" spans="1:29" ht="15.5">
      <c r="A309" s="13" t="str">
        <f>IF(OR(ISBLANK(C309),ISBLANK(D309),ISBLANK(F309),ISBLANK(G309)),"",COUNTIF($B$5:B309,"JAMBUTU"))</f>
        <v/>
      </c>
      <c r="B309" s="8" t="str">
        <f t="shared" si="34"/>
        <v/>
      </c>
      <c r="C309" s="8"/>
      <c r="D309" s="8"/>
      <c r="E309" s="13"/>
      <c r="F309" s="12"/>
      <c r="G309" s="11"/>
      <c r="H309" s="12"/>
      <c r="I309" s="15"/>
      <c r="J309" s="10">
        <f t="shared" si="28"/>
        <v>0</v>
      </c>
      <c r="K309" s="10">
        <f t="shared" si="29"/>
        <v>0</v>
      </c>
      <c r="L309" s="9" t="str">
        <f t="shared" si="30"/>
        <v/>
      </c>
      <c r="M309" s="8"/>
      <c r="N309" s="8"/>
      <c r="O309" s="8"/>
      <c r="P309" s="8"/>
      <c r="Q309" s="8"/>
      <c r="R309" s="8"/>
      <c r="S309" s="8"/>
      <c r="T309" s="8"/>
      <c r="U309" s="8"/>
      <c r="V309" s="7"/>
      <c r="W309" s="6" t="str">
        <f t="array" ref="W309">IF(NOT(ISBLANK(D309)),_xludf.XLOOKUP(D309,[2]CODE!$A$4:$A$100,[2]CODE!$D$4:$D$100),"")</f>
        <v/>
      </c>
      <c r="X309" s="5" t="str">
        <f t="array" ref="X309">IF(NOT(AND(ISBLANK(D309),ISBLANK(C309))),_xludf.XLOOKUP(D309,[2]CODE!$A$4:$A$100,[2]CODE!$E$4:$E$100),"")</f>
        <v/>
      </c>
      <c r="Y309" s="5" t="str">
        <f t="shared" si="31"/>
        <v/>
      </c>
      <c r="Z309" s="5" t="str">
        <f t="shared" si="32"/>
        <v/>
      </c>
      <c r="AA309" s="4">
        <f t="shared" si="33"/>
        <v>0</v>
      </c>
      <c r="AC309" s="2"/>
    </row>
    <row r="310" spans="1:29" ht="15.5">
      <c r="A310" s="13" t="str">
        <f>IF(OR(ISBLANK(C310),ISBLANK(D310),ISBLANK(F310),ISBLANK(G310)),"",COUNTIF($B$5:B310,"JAMBUTU"))</f>
        <v/>
      </c>
      <c r="B310" s="8" t="str">
        <f t="shared" si="34"/>
        <v/>
      </c>
      <c r="C310" s="8"/>
      <c r="D310" s="8"/>
      <c r="E310" s="13"/>
      <c r="F310" s="12"/>
      <c r="G310" s="11"/>
      <c r="H310" s="12"/>
      <c r="I310" s="11"/>
      <c r="J310" s="10">
        <f t="shared" si="28"/>
        <v>0</v>
      </c>
      <c r="K310" s="10">
        <f t="shared" si="29"/>
        <v>0</v>
      </c>
      <c r="L310" s="9" t="str">
        <f t="shared" si="30"/>
        <v/>
      </c>
      <c r="M310" s="8"/>
      <c r="N310" s="8"/>
      <c r="O310" s="8"/>
      <c r="P310" s="8"/>
      <c r="Q310" s="8"/>
      <c r="R310" s="8"/>
      <c r="S310" s="8"/>
      <c r="T310" s="8"/>
      <c r="U310" s="8"/>
      <c r="V310" s="7"/>
      <c r="W310" s="6" t="str">
        <f t="array" ref="W310">IF(NOT(ISBLANK(D310)),_xludf.XLOOKUP(D310,[2]CODE!$A$4:$A$100,[2]CODE!$D$4:$D$100),"")</f>
        <v/>
      </c>
      <c r="X310" s="5" t="str">
        <f t="array" ref="X310">IF(NOT(AND(ISBLANK(D310),ISBLANK(C310))),_xludf.XLOOKUP(D310,[2]CODE!$A$4:$A$100,[2]CODE!$E$4:$E$100),"")</f>
        <v/>
      </c>
      <c r="Y310" s="5" t="str">
        <f t="shared" si="31"/>
        <v/>
      </c>
      <c r="Z310" s="5" t="str">
        <f t="shared" si="32"/>
        <v/>
      </c>
      <c r="AA310" s="4">
        <f t="shared" si="33"/>
        <v>0</v>
      </c>
      <c r="AC310" s="2"/>
    </row>
    <row r="311" spans="1:29" ht="15.5">
      <c r="A311" s="13" t="str">
        <f>IF(OR(ISBLANK(C311),ISBLANK(D311),ISBLANK(F311),ISBLANK(G311)),"",COUNTIF($B$5:B311,"JAMBUTU"))</f>
        <v/>
      </c>
      <c r="B311" s="8" t="str">
        <f t="shared" si="34"/>
        <v/>
      </c>
      <c r="C311" s="8"/>
      <c r="D311" s="8"/>
      <c r="E311" s="13"/>
      <c r="F311" s="12"/>
      <c r="G311" s="11"/>
      <c r="H311" s="12"/>
      <c r="I311" s="11"/>
      <c r="J311" s="10">
        <f t="shared" si="28"/>
        <v>0</v>
      </c>
      <c r="K311" s="10">
        <f t="shared" si="29"/>
        <v>0</v>
      </c>
      <c r="L311" s="9" t="str">
        <f t="shared" si="30"/>
        <v/>
      </c>
      <c r="M311" s="8"/>
      <c r="N311" s="8"/>
      <c r="O311" s="8"/>
      <c r="P311" s="8"/>
      <c r="Q311" s="8"/>
      <c r="R311" s="8"/>
      <c r="S311" s="8"/>
      <c r="T311" s="8"/>
      <c r="U311" s="8"/>
      <c r="V311" s="7"/>
      <c r="W311" s="6" t="str">
        <f t="array" ref="W311">IF(NOT(ISBLANK(D311)),_xludf.XLOOKUP(D311,[2]CODE!$A$4:$A$100,[2]CODE!$D$4:$D$100),"")</f>
        <v/>
      </c>
      <c r="X311" s="5" t="str">
        <f t="array" ref="X311">IF(NOT(AND(ISBLANK(D311),ISBLANK(C311))),_xludf.XLOOKUP(D311,[2]CODE!$A$4:$A$100,[2]CODE!$E$4:$E$100),"")</f>
        <v/>
      </c>
      <c r="Y311" s="5" t="str">
        <f t="shared" si="31"/>
        <v/>
      </c>
      <c r="Z311" s="5" t="str">
        <f t="shared" si="32"/>
        <v/>
      </c>
      <c r="AA311" s="4">
        <f t="shared" si="33"/>
        <v>0</v>
      </c>
      <c r="AC311" s="2"/>
    </row>
    <row r="312" spans="1:29" ht="15.5">
      <c r="A312" s="13" t="str">
        <f>IF(OR(ISBLANK(C312),ISBLANK(D312),ISBLANK(F312),ISBLANK(G312)),"",COUNTIF($B$5:B312,"JAMBUTU"))</f>
        <v/>
      </c>
      <c r="B312" s="8" t="str">
        <f t="shared" si="34"/>
        <v/>
      </c>
      <c r="C312" s="8"/>
      <c r="D312" s="8"/>
      <c r="E312" s="13"/>
      <c r="F312" s="12"/>
      <c r="G312" s="11"/>
      <c r="H312" s="12"/>
      <c r="I312" s="11"/>
      <c r="J312" s="10">
        <f t="shared" si="28"/>
        <v>0</v>
      </c>
      <c r="K312" s="10">
        <f t="shared" si="29"/>
        <v>0</v>
      </c>
      <c r="L312" s="9" t="str">
        <f t="shared" si="30"/>
        <v/>
      </c>
      <c r="M312" s="8"/>
      <c r="N312" s="8"/>
      <c r="O312" s="8"/>
      <c r="P312" s="8"/>
      <c r="Q312" s="8"/>
      <c r="R312" s="8"/>
      <c r="S312" s="8"/>
      <c r="T312" s="8"/>
      <c r="U312" s="8"/>
      <c r="V312" s="7"/>
      <c r="W312" s="6" t="str">
        <f t="array" ref="W312">IF(NOT(ISBLANK(D312)),_xludf.XLOOKUP(D312,[2]CODE!$A$4:$A$100,[2]CODE!$D$4:$D$100),"")</f>
        <v/>
      </c>
      <c r="X312" s="5" t="str">
        <f t="array" ref="X312">IF(NOT(AND(ISBLANK(D312),ISBLANK(C312))),_xludf.XLOOKUP(D312,[2]CODE!$A$4:$A$100,[2]CODE!$E$4:$E$100),"")</f>
        <v/>
      </c>
      <c r="Y312" s="5" t="str">
        <f t="shared" si="31"/>
        <v/>
      </c>
      <c r="Z312" s="5" t="str">
        <f t="shared" si="32"/>
        <v/>
      </c>
      <c r="AA312" s="4">
        <f t="shared" si="33"/>
        <v>0</v>
      </c>
      <c r="AC312" s="2"/>
    </row>
    <row r="313" spans="1:29" ht="15.5">
      <c r="A313" s="13" t="str">
        <f>IF(OR(ISBLANK(C313),ISBLANK(D313),ISBLANK(F313),ISBLANK(G313)),"",COUNTIF($B$5:B313,"JAMBUTU"))</f>
        <v/>
      </c>
      <c r="B313" s="8" t="str">
        <f t="shared" si="34"/>
        <v/>
      </c>
      <c r="C313" s="8"/>
      <c r="D313" s="8"/>
      <c r="E313" s="13"/>
      <c r="F313" s="12"/>
      <c r="G313" s="11"/>
      <c r="H313" s="12"/>
      <c r="I313" s="15"/>
      <c r="J313" s="10">
        <f t="shared" si="28"/>
        <v>0</v>
      </c>
      <c r="K313" s="10">
        <f t="shared" si="29"/>
        <v>0</v>
      </c>
      <c r="L313" s="9" t="str">
        <f t="shared" si="30"/>
        <v/>
      </c>
      <c r="M313" s="8"/>
      <c r="N313" s="8"/>
      <c r="O313" s="8"/>
      <c r="P313" s="8"/>
      <c r="Q313" s="8"/>
      <c r="R313" s="8"/>
      <c r="S313" s="8"/>
      <c r="T313" s="8"/>
      <c r="U313" s="8"/>
      <c r="V313" s="7"/>
      <c r="W313" s="6" t="str">
        <f t="array" ref="W313">IF(NOT(ISBLANK(D313)),_xludf.XLOOKUP(D313,[2]CODE!$A$4:$A$100,[2]CODE!$D$4:$D$100),"")</f>
        <v/>
      </c>
      <c r="X313" s="5" t="str">
        <f t="array" ref="X313">IF(NOT(AND(ISBLANK(D313),ISBLANK(C313))),_xludf.XLOOKUP(D313,[2]CODE!$A$4:$A$100,[2]CODE!$E$4:$E$100),"")</f>
        <v/>
      </c>
      <c r="Y313" s="5" t="str">
        <f t="shared" si="31"/>
        <v/>
      </c>
      <c r="Z313" s="5" t="str">
        <f t="shared" si="32"/>
        <v/>
      </c>
      <c r="AA313" s="4">
        <f t="shared" si="33"/>
        <v>0</v>
      </c>
      <c r="AC313" s="2"/>
    </row>
    <row r="314" spans="1:29" ht="15.5">
      <c r="A314" s="13" t="str">
        <f>IF(OR(ISBLANK(C314),ISBLANK(D314),ISBLANK(F314),ISBLANK(G314)),"",COUNTIF($B$5:B314,"JAMBUTU"))</f>
        <v/>
      </c>
      <c r="B314" s="8" t="str">
        <f t="shared" si="34"/>
        <v/>
      </c>
      <c r="C314" s="8"/>
      <c r="D314" s="8"/>
      <c r="E314" s="13"/>
      <c r="F314" s="12"/>
      <c r="G314" s="11"/>
      <c r="H314" s="12"/>
      <c r="I314" s="11"/>
      <c r="J314" s="10">
        <f t="shared" si="28"/>
        <v>0</v>
      </c>
      <c r="K314" s="10">
        <f t="shared" si="29"/>
        <v>0</v>
      </c>
      <c r="L314" s="9" t="str">
        <f t="shared" si="30"/>
        <v/>
      </c>
      <c r="M314" s="8"/>
      <c r="N314" s="8"/>
      <c r="O314" s="8"/>
      <c r="P314" s="8"/>
      <c r="Q314" s="8"/>
      <c r="R314" s="8"/>
      <c r="S314" s="8"/>
      <c r="T314" s="8"/>
      <c r="U314" s="8"/>
      <c r="V314" s="7"/>
      <c r="W314" s="6" t="str">
        <f t="array" ref="W314">IF(NOT(ISBLANK(D314)),_xludf.XLOOKUP(D314,[2]CODE!$A$4:$A$100,[2]CODE!$D$4:$D$100),"")</f>
        <v/>
      </c>
      <c r="X314" s="5" t="str">
        <f t="array" ref="X314">IF(NOT(AND(ISBLANK(D314),ISBLANK(C314))),_xludf.XLOOKUP(D314,[2]CODE!$A$4:$A$100,[2]CODE!$E$4:$E$100),"")</f>
        <v/>
      </c>
      <c r="Y314" s="5" t="str">
        <f t="shared" si="31"/>
        <v/>
      </c>
      <c r="Z314" s="5" t="str">
        <f t="shared" si="32"/>
        <v/>
      </c>
      <c r="AA314" s="4">
        <f t="shared" si="33"/>
        <v>0</v>
      </c>
      <c r="AC314" s="2"/>
    </row>
    <row r="315" spans="1:29" ht="15.5">
      <c r="A315" s="13" t="str">
        <f>IF(OR(ISBLANK(C315),ISBLANK(D315),ISBLANK(F315),ISBLANK(G315)),"",COUNTIF($B$5:B315,"JAMBUTU"))</f>
        <v/>
      </c>
      <c r="B315" s="8" t="str">
        <f t="shared" si="34"/>
        <v/>
      </c>
      <c r="C315" s="8"/>
      <c r="D315" s="8"/>
      <c r="E315" s="13"/>
      <c r="F315" s="12"/>
      <c r="G315" s="11"/>
      <c r="H315" s="12"/>
      <c r="I315" s="11"/>
      <c r="J315" s="10">
        <f t="shared" si="28"/>
        <v>0</v>
      </c>
      <c r="K315" s="10">
        <f t="shared" si="29"/>
        <v>0</v>
      </c>
      <c r="L315" s="9" t="str">
        <f t="shared" si="30"/>
        <v/>
      </c>
      <c r="M315" s="8"/>
      <c r="N315" s="8"/>
      <c r="O315" s="8"/>
      <c r="P315" s="8"/>
      <c r="Q315" s="8"/>
      <c r="R315" s="8"/>
      <c r="S315" s="8"/>
      <c r="T315" s="8"/>
      <c r="U315" s="8"/>
      <c r="V315" s="7"/>
      <c r="W315" s="6" t="str">
        <f t="array" ref="W315">IF(NOT(ISBLANK(D315)),_xludf.XLOOKUP(D315,[2]CODE!$A$4:$A$100,[2]CODE!$D$4:$D$100),"")</f>
        <v/>
      </c>
      <c r="X315" s="5" t="str">
        <f t="array" ref="X315">IF(NOT(AND(ISBLANK(D315),ISBLANK(C315))),_xludf.XLOOKUP(D315,[2]CODE!$A$4:$A$100,[2]CODE!$E$4:$E$100),"")</f>
        <v/>
      </c>
      <c r="Y315" s="5" t="str">
        <f t="shared" si="31"/>
        <v/>
      </c>
      <c r="Z315" s="5" t="str">
        <f t="shared" si="32"/>
        <v/>
      </c>
      <c r="AA315" s="4">
        <f t="shared" si="33"/>
        <v>0</v>
      </c>
      <c r="AC315" s="2"/>
    </row>
    <row r="316" spans="1:29" ht="15.5">
      <c r="A316" s="13" t="str">
        <f>IF(OR(ISBLANK(C316),ISBLANK(D316),ISBLANK(F316),ISBLANK(G316)),"",COUNTIF($B$5:B316,"JAMBUTU"))</f>
        <v/>
      </c>
      <c r="B316" s="8" t="str">
        <f t="shared" si="34"/>
        <v/>
      </c>
      <c r="C316" s="8"/>
      <c r="D316" s="8"/>
      <c r="E316" s="13"/>
      <c r="F316" s="12"/>
      <c r="G316" s="11"/>
      <c r="H316" s="12"/>
      <c r="I316" s="15"/>
      <c r="J316" s="10">
        <f t="shared" si="28"/>
        <v>0</v>
      </c>
      <c r="K316" s="10">
        <f t="shared" si="29"/>
        <v>0</v>
      </c>
      <c r="L316" s="9" t="str">
        <f t="shared" si="30"/>
        <v/>
      </c>
      <c r="M316" s="8"/>
      <c r="N316" s="8"/>
      <c r="O316" s="8"/>
      <c r="P316" s="8"/>
      <c r="Q316" s="8"/>
      <c r="R316" s="8"/>
      <c r="S316" s="8"/>
      <c r="T316" s="8"/>
      <c r="U316" s="8"/>
      <c r="V316" s="7"/>
      <c r="W316" s="6" t="str">
        <f t="array" ref="W316">IF(NOT(ISBLANK(D316)),_xludf.XLOOKUP(D316,[2]CODE!$A$4:$A$100,[2]CODE!$D$4:$D$100),"")</f>
        <v/>
      </c>
      <c r="X316" s="5" t="str">
        <f t="array" ref="X316">IF(NOT(AND(ISBLANK(D316),ISBLANK(C316))),_xludf.XLOOKUP(D316,[2]CODE!$A$4:$A$100,[2]CODE!$E$4:$E$100),"")</f>
        <v/>
      </c>
      <c r="Y316" s="5" t="str">
        <f t="shared" si="31"/>
        <v/>
      </c>
      <c r="Z316" s="5" t="str">
        <f t="shared" si="32"/>
        <v/>
      </c>
      <c r="AA316" s="4">
        <f t="shared" si="33"/>
        <v>0</v>
      </c>
      <c r="AC316" s="2"/>
    </row>
    <row r="317" spans="1:29" ht="15.5">
      <c r="A317" s="13" t="str">
        <f>IF(OR(ISBLANK(C317),ISBLANK(D317),ISBLANK(F317),ISBLANK(G317)),"",COUNTIF($B$5:B317,"JAMBUTU"))</f>
        <v/>
      </c>
      <c r="B317" s="8" t="str">
        <f t="shared" si="34"/>
        <v/>
      </c>
      <c r="C317" s="8"/>
      <c r="D317" s="8"/>
      <c r="E317" s="13"/>
      <c r="F317" s="12"/>
      <c r="G317" s="15"/>
      <c r="H317" s="12"/>
      <c r="I317" s="15"/>
      <c r="J317" s="10">
        <f t="shared" si="28"/>
        <v>0</v>
      </c>
      <c r="K317" s="10">
        <f t="shared" si="29"/>
        <v>0</v>
      </c>
      <c r="L317" s="9" t="str">
        <f t="shared" si="30"/>
        <v/>
      </c>
      <c r="M317" s="8"/>
      <c r="N317" s="8"/>
      <c r="O317" s="8"/>
      <c r="P317" s="8"/>
      <c r="Q317" s="8"/>
      <c r="R317" s="8"/>
      <c r="S317" s="8"/>
      <c r="T317" s="8"/>
      <c r="U317" s="8"/>
      <c r="V317" s="7"/>
      <c r="W317" s="6" t="str">
        <f t="array" ref="W317">IF(NOT(ISBLANK(D317)),_xludf.XLOOKUP(D317,[2]CODE!$A$4:$A$100,[2]CODE!$D$4:$D$100),"")</f>
        <v/>
      </c>
      <c r="X317" s="5" t="str">
        <f t="array" ref="X317">IF(NOT(AND(ISBLANK(D317),ISBLANK(C317))),_xludf.XLOOKUP(D317,[2]CODE!$A$4:$A$100,[2]CODE!$E$4:$E$100),"")</f>
        <v/>
      </c>
      <c r="Y317" s="5" t="str">
        <f t="shared" si="31"/>
        <v/>
      </c>
      <c r="Z317" s="5" t="str">
        <f t="shared" si="32"/>
        <v/>
      </c>
      <c r="AA317" s="4">
        <f t="shared" si="33"/>
        <v>0</v>
      </c>
      <c r="AC317" s="2"/>
    </row>
    <row r="318" spans="1:29" ht="15.5">
      <c r="A318" s="13" t="str">
        <f>IF(OR(ISBLANK(C318),ISBLANK(D318),ISBLANK(F318),ISBLANK(G318)),"",COUNTIF($B$5:B318,"JAMBUTU"))</f>
        <v/>
      </c>
      <c r="B318" s="8" t="str">
        <f t="shared" si="34"/>
        <v/>
      </c>
      <c r="C318" s="8"/>
      <c r="D318" s="8"/>
      <c r="E318" s="13"/>
      <c r="F318" s="12"/>
      <c r="G318" s="11"/>
      <c r="H318" s="12"/>
      <c r="I318" s="15"/>
      <c r="J318" s="10">
        <f t="shared" si="28"/>
        <v>0</v>
      </c>
      <c r="K318" s="10">
        <f t="shared" si="29"/>
        <v>0</v>
      </c>
      <c r="L318" s="9" t="str">
        <f t="shared" si="30"/>
        <v/>
      </c>
      <c r="M318" s="8"/>
      <c r="N318" s="8"/>
      <c r="O318" s="8"/>
      <c r="P318" s="8"/>
      <c r="Q318" s="8"/>
      <c r="R318" s="8"/>
      <c r="S318" s="8"/>
      <c r="T318" s="8"/>
      <c r="U318" s="8"/>
      <c r="V318" s="7"/>
      <c r="W318" s="6" t="str">
        <f t="array" ref="W318">IF(NOT(ISBLANK(D318)),_xludf.XLOOKUP(D318,[2]CODE!$A$4:$A$100,[2]CODE!$D$4:$D$100),"")</f>
        <v/>
      </c>
      <c r="X318" s="5" t="str">
        <f t="array" ref="X318">IF(NOT(AND(ISBLANK(D318),ISBLANK(C318))),_xludf.XLOOKUP(D318,[2]CODE!$A$4:$A$100,[2]CODE!$E$4:$E$100),"")</f>
        <v/>
      </c>
      <c r="Y318" s="5" t="str">
        <f t="shared" si="31"/>
        <v/>
      </c>
      <c r="Z318" s="5" t="str">
        <f t="shared" si="32"/>
        <v/>
      </c>
      <c r="AA318" s="4">
        <f t="shared" si="33"/>
        <v>0</v>
      </c>
      <c r="AC318" s="2"/>
    </row>
    <row r="319" spans="1:29" ht="15.5">
      <c r="A319" s="13" t="str">
        <f>IF(OR(ISBLANK(C319),ISBLANK(D319),ISBLANK(F319),ISBLANK(G319)),"",COUNTIF($B$5:B319,"JAMBUTU"))</f>
        <v/>
      </c>
      <c r="B319" s="8" t="str">
        <f t="shared" si="34"/>
        <v/>
      </c>
      <c r="C319" s="8"/>
      <c r="D319" s="8"/>
      <c r="E319" s="13"/>
      <c r="F319" s="12"/>
      <c r="G319" s="11"/>
      <c r="H319" s="12"/>
      <c r="I319" s="15"/>
      <c r="J319" s="10">
        <f t="shared" si="28"/>
        <v>0</v>
      </c>
      <c r="K319" s="10">
        <f t="shared" si="29"/>
        <v>0</v>
      </c>
      <c r="L319" s="9" t="str">
        <f t="shared" si="30"/>
        <v/>
      </c>
      <c r="M319" s="8"/>
      <c r="N319" s="8"/>
      <c r="O319" s="8"/>
      <c r="P319" s="8"/>
      <c r="Q319" s="8"/>
      <c r="R319" s="8"/>
      <c r="S319" s="8"/>
      <c r="T319" s="8"/>
      <c r="U319" s="8"/>
      <c r="V319" s="7"/>
      <c r="W319" s="6" t="str">
        <f t="array" ref="W319">IF(NOT(ISBLANK(D319)),_xludf.XLOOKUP(D319,[2]CODE!$A$4:$A$100,[2]CODE!$D$4:$D$100),"")</f>
        <v/>
      </c>
      <c r="X319" s="5" t="str">
        <f t="array" ref="X319">IF(NOT(AND(ISBLANK(D319),ISBLANK(C319))),_xludf.XLOOKUP(D319,[2]CODE!$A$4:$A$100,[2]CODE!$E$4:$E$100),"")</f>
        <v/>
      </c>
      <c r="Y319" s="5" t="str">
        <f t="shared" si="31"/>
        <v/>
      </c>
      <c r="Z319" s="5" t="str">
        <f t="shared" si="32"/>
        <v/>
      </c>
      <c r="AA319" s="4">
        <f t="shared" si="33"/>
        <v>0</v>
      </c>
      <c r="AC319" s="2"/>
    </row>
    <row r="320" spans="1:29" ht="15.5">
      <c r="A320" s="13" t="str">
        <f>IF(OR(ISBLANK(C320),ISBLANK(D320),ISBLANK(F320),ISBLANK(G320)),"",COUNTIF($B$5:B320,"JAMBUTU"))</f>
        <v/>
      </c>
      <c r="B320" s="8" t="str">
        <f t="shared" si="34"/>
        <v/>
      </c>
      <c r="C320" s="8"/>
      <c r="D320" s="8"/>
      <c r="E320" s="13"/>
      <c r="F320" s="12"/>
      <c r="G320" s="11"/>
      <c r="H320" s="12"/>
      <c r="I320" s="15"/>
      <c r="J320" s="10">
        <f t="shared" si="28"/>
        <v>0</v>
      </c>
      <c r="K320" s="10">
        <f t="shared" si="29"/>
        <v>0</v>
      </c>
      <c r="L320" s="9" t="str">
        <f t="shared" si="30"/>
        <v/>
      </c>
      <c r="M320" s="8"/>
      <c r="N320" s="8"/>
      <c r="O320" s="8"/>
      <c r="P320" s="8"/>
      <c r="Q320" s="8"/>
      <c r="R320" s="8"/>
      <c r="S320" s="8"/>
      <c r="T320" s="8"/>
      <c r="U320" s="8"/>
      <c r="V320" s="7"/>
      <c r="W320" s="6" t="str">
        <f t="array" ref="W320">IF(NOT(ISBLANK(D320)),_xludf.XLOOKUP(D320,[2]CODE!$A$4:$A$100,[2]CODE!$D$4:$D$100),"")</f>
        <v/>
      </c>
      <c r="X320" s="5" t="str">
        <f t="array" ref="X320">IF(NOT(AND(ISBLANK(D320),ISBLANK(C320))),_xludf.XLOOKUP(D320,[2]CODE!$A$4:$A$100,[2]CODE!$E$4:$E$100),"")</f>
        <v/>
      </c>
      <c r="Y320" s="5" t="str">
        <f t="shared" si="31"/>
        <v/>
      </c>
      <c r="Z320" s="5" t="str">
        <f t="shared" si="32"/>
        <v/>
      </c>
      <c r="AA320" s="4">
        <f t="shared" si="33"/>
        <v>0</v>
      </c>
      <c r="AC320" s="2"/>
    </row>
    <row r="321" spans="1:29" ht="15.5">
      <c r="A321" s="13" t="str">
        <f>IF(OR(ISBLANK(C321),ISBLANK(D321),ISBLANK(F321),ISBLANK(G321)),"",COUNTIF($B$5:B321,"JAMBUTU"))</f>
        <v/>
      </c>
      <c r="B321" s="8" t="str">
        <f t="shared" si="34"/>
        <v/>
      </c>
      <c r="C321" s="8"/>
      <c r="D321" s="8"/>
      <c r="E321" s="13"/>
      <c r="F321" s="12"/>
      <c r="G321" s="11"/>
      <c r="H321" s="12"/>
      <c r="I321" s="15"/>
      <c r="J321" s="10">
        <f t="shared" si="28"/>
        <v>0</v>
      </c>
      <c r="K321" s="10">
        <f t="shared" si="29"/>
        <v>0</v>
      </c>
      <c r="L321" s="9" t="str">
        <f t="shared" si="30"/>
        <v/>
      </c>
      <c r="M321" s="8"/>
      <c r="N321" s="8"/>
      <c r="O321" s="8"/>
      <c r="P321" s="8"/>
      <c r="Q321" s="8"/>
      <c r="R321" s="8"/>
      <c r="S321" s="8"/>
      <c r="T321" s="8"/>
      <c r="U321" s="8"/>
      <c r="V321" s="7"/>
      <c r="W321" s="6" t="str">
        <f t="array" ref="W321">IF(NOT(ISBLANK(D321)),_xludf.XLOOKUP(D321,[2]CODE!$A$4:$A$100,[2]CODE!$D$4:$D$100),"")</f>
        <v/>
      </c>
      <c r="X321" s="5" t="str">
        <f t="array" ref="X321">IF(NOT(AND(ISBLANK(D321),ISBLANK(C321))),_xludf.XLOOKUP(D321,[2]CODE!$A$4:$A$100,[2]CODE!$E$4:$E$100),"")</f>
        <v/>
      </c>
      <c r="Y321" s="5" t="str">
        <f t="shared" si="31"/>
        <v/>
      </c>
      <c r="Z321" s="5" t="str">
        <f t="shared" si="32"/>
        <v/>
      </c>
      <c r="AA321" s="4">
        <f t="shared" si="33"/>
        <v>0</v>
      </c>
      <c r="AC321" s="2"/>
    </row>
    <row r="322" spans="1:29" ht="15.5">
      <c r="A322" s="13" t="str">
        <f>IF(OR(ISBLANK(C322),ISBLANK(D322),ISBLANK(F322),ISBLANK(G322)),"",COUNTIF($B$5:B322,"JAMBUTU"))</f>
        <v/>
      </c>
      <c r="B322" s="8" t="str">
        <f t="shared" si="34"/>
        <v/>
      </c>
      <c r="C322" s="8"/>
      <c r="D322" s="8"/>
      <c r="E322" s="13"/>
      <c r="F322" s="12"/>
      <c r="G322" s="11"/>
      <c r="H322" s="12"/>
      <c r="I322" s="15"/>
      <c r="J322" s="10">
        <f t="shared" si="28"/>
        <v>0</v>
      </c>
      <c r="K322" s="10">
        <f t="shared" si="29"/>
        <v>0</v>
      </c>
      <c r="L322" s="9" t="str">
        <f t="shared" si="30"/>
        <v/>
      </c>
      <c r="M322" s="8"/>
      <c r="N322" s="8"/>
      <c r="O322" s="8"/>
      <c r="P322" s="8"/>
      <c r="Q322" s="8"/>
      <c r="R322" s="8"/>
      <c r="S322" s="8"/>
      <c r="T322" s="8"/>
      <c r="U322" s="8"/>
      <c r="V322" s="7"/>
      <c r="W322" s="6" t="str">
        <f t="array" ref="W322">IF(NOT(ISBLANK(D322)),_xludf.XLOOKUP(D322,[2]CODE!$A$4:$A$100,[2]CODE!$D$4:$D$100),"")</f>
        <v/>
      </c>
      <c r="X322" s="5" t="str">
        <f t="array" ref="X322">IF(NOT(AND(ISBLANK(D322),ISBLANK(C322))),_xludf.XLOOKUP(D322,[2]CODE!$A$4:$A$100,[2]CODE!$E$4:$E$100),"")</f>
        <v/>
      </c>
      <c r="Y322" s="5" t="str">
        <f t="shared" si="31"/>
        <v/>
      </c>
      <c r="Z322" s="5" t="str">
        <f t="shared" si="32"/>
        <v/>
      </c>
      <c r="AA322" s="4">
        <f t="shared" si="33"/>
        <v>0</v>
      </c>
      <c r="AC322" s="2"/>
    </row>
    <row r="323" spans="1:29" ht="15.5">
      <c r="A323" s="13" t="str">
        <f>IF(OR(ISBLANK(C323),ISBLANK(D323),ISBLANK(F323),ISBLANK(G323)),"",COUNTIF($B$5:B323,"JAMBUTU"))</f>
        <v/>
      </c>
      <c r="B323" s="8" t="str">
        <f t="shared" si="34"/>
        <v/>
      </c>
      <c r="C323" s="8"/>
      <c r="D323" s="8"/>
      <c r="E323" s="13"/>
      <c r="F323" s="12"/>
      <c r="G323" s="11"/>
      <c r="H323" s="12"/>
      <c r="I323" s="11"/>
      <c r="J323" s="10">
        <f t="shared" si="28"/>
        <v>0</v>
      </c>
      <c r="K323" s="10">
        <f t="shared" si="29"/>
        <v>0</v>
      </c>
      <c r="L323" s="9" t="str">
        <f t="shared" si="30"/>
        <v/>
      </c>
      <c r="M323" s="8"/>
      <c r="N323" s="8"/>
      <c r="O323" s="8"/>
      <c r="P323" s="8"/>
      <c r="Q323" s="8"/>
      <c r="R323" s="8"/>
      <c r="S323" s="8"/>
      <c r="T323" s="8"/>
      <c r="U323" s="8"/>
      <c r="V323" s="7"/>
      <c r="W323" s="6" t="str">
        <f t="array" ref="W323">IF(NOT(ISBLANK(D323)),_xludf.XLOOKUP(D323,[2]CODE!$A$4:$A$100,[2]CODE!$D$4:$D$100),"")</f>
        <v/>
      </c>
      <c r="X323" s="5" t="str">
        <f t="array" ref="X323">IF(NOT(AND(ISBLANK(D323),ISBLANK(C323))),_xludf.XLOOKUP(D323,[2]CODE!$A$4:$A$100,[2]CODE!$E$4:$E$100),"")</f>
        <v/>
      </c>
      <c r="Y323" s="5" t="str">
        <f t="shared" si="31"/>
        <v/>
      </c>
      <c r="Z323" s="5" t="str">
        <f t="shared" si="32"/>
        <v/>
      </c>
      <c r="AA323" s="4">
        <f t="shared" si="33"/>
        <v>0</v>
      </c>
      <c r="AC323" s="2"/>
    </row>
    <row r="324" spans="1:29" ht="15.5">
      <c r="A324" s="13" t="str">
        <f>IF(OR(ISBLANK(C324),ISBLANK(D324),ISBLANK(F324),ISBLANK(G324)),"",COUNTIF($B$5:B324,"JAMBUTU"))</f>
        <v/>
      </c>
      <c r="B324" s="8" t="str">
        <f t="shared" si="34"/>
        <v/>
      </c>
      <c r="C324" s="8"/>
      <c r="D324" s="8"/>
      <c r="E324" s="13"/>
      <c r="F324" s="12"/>
      <c r="G324" s="11"/>
      <c r="H324" s="12"/>
      <c r="I324" s="11"/>
      <c r="J324" s="10">
        <f t="shared" si="28"/>
        <v>0</v>
      </c>
      <c r="K324" s="10">
        <f t="shared" si="29"/>
        <v>0</v>
      </c>
      <c r="L324" s="9" t="str">
        <f t="shared" si="30"/>
        <v/>
      </c>
      <c r="M324" s="8"/>
      <c r="N324" s="8"/>
      <c r="O324" s="8"/>
      <c r="P324" s="8"/>
      <c r="Q324" s="8"/>
      <c r="R324" s="8"/>
      <c r="S324" s="8"/>
      <c r="T324" s="8"/>
      <c r="U324" s="8"/>
      <c r="V324" s="7"/>
      <c r="W324" s="6" t="str">
        <f t="array" ref="W324">IF(NOT(ISBLANK(D324)),_xludf.XLOOKUP(D324,[2]CODE!$A$4:$A$100,[2]CODE!$D$4:$D$100),"")</f>
        <v/>
      </c>
      <c r="X324" s="5" t="str">
        <f t="array" ref="X324">IF(NOT(AND(ISBLANK(D324),ISBLANK(C324))),_xludf.XLOOKUP(D324,[2]CODE!$A$4:$A$100,[2]CODE!$E$4:$E$100),"")</f>
        <v/>
      </c>
      <c r="Y324" s="5" t="str">
        <f t="shared" si="31"/>
        <v/>
      </c>
      <c r="Z324" s="5" t="str">
        <f t="shared" si="32"/>
        <v/>
      </c>
      <c r="AA324" s="4">
        <f t="shared" si="33"/>
        <v>0</v>
      </c>
      <c r="AC324" s="2"/>
    </row>
    <row r="325" spans="1:29" ht="15.5">
      <c r="A325" s="13" t="str">
        <f>IF(OR(ISBLANK(C325),ISBLANK(D325),ISBLANK(F325),ISBLANK(G325)),"",COUNTIF($B$5:B325,"JAMBUTU"))</f>
        <v/>
      </c>
      <c r="B325" s="8" t="str">
        <f t="shared" si="34"/>
        <v/>
      </c>
      <c r="C325" s="8"/>
      <c r="D325" s="8"/>
      <c r="E325" s="13"/>
      <c r="F325" s="12"/>
      <c r="G325" s="15"/>
      <c r="H325" s="12"/>
      <c r="I325" s="15"/>
      <c r="J325" s="10">
        <f t="shared" ref="J325:J388" si="35">DATE(YEAR(F325),MONTH(F325),DAY(F325))+TIME(HOUR(G325),MINUTE(G325), SECOND(G325))</f>
        <v>0</v>
      </c>
      <c r="K325" s="10">
        <f t="shared" ref="K325:K388" si="36">DATE(YEAR(H325),MONTH(H325),DAY(H325))+TIME(HOUR(I325),MINUTE(I325), SECOND(I325))</f>
        <v>0</v>
      </c>
      <c r="L325" s="9" t="str">
        <f t="shared" ref="L325:L388" si="37">IF(ISBLANK(I325),"",IF(J325&gt;K325,(K325+1)-J325,K325-J325))</f>
        <v/>
      </c>
      <c r="M325" s="8"/>
      <c r="N325" s="8"/>
      <c r="O325" s="8"/>
      <c r="P325" s="8"/>
      <c r="Q325" s="8"/>
      <c r="R325" s="8"/>
      <c r="S325" s="8"/>
      <c r="T325" s="8"/>
      <c r="U325" s="8"/>
      <c r="V325" s="7"/>
      <c r="W325" s="6" t="str">
        <f t="array" ref="W325">IF(NOT(ISBLANK(D325)),_xludf.XLOOKUP(D325,[2]CODE!$A$4:$A$100,[2]CODE!$D$4:$D$100),"")</f>
        <v/>
      </c>
      <c r="X325" s="5" t="str">
        <f t="array" ref="X325">IF(NOT(AND(ISBLANK(D325),ISBLANK(C325))),_xludf.XLOOKUP(D325,[2]CODE!$A$4:$A$100,[2]CODE!$E$4:$E$100),"")</f>
        <v/>
      </c>
      <c r="Y325" s="5" t="str">
        <f t="shared" ref="Y325:Y388" si="38">LEFT(C325,4)</f>
        <v/>
      </c>
      <c r="Z325" s="5" t="str">
        <f t="shared" ref="Z325:Z388" si="39">IF(NOT(ISBLANK(C325)), IF(K325&gt;J325,"YES","NO"),"")</f>
        <v/>
      </c>
      <c r="AA325" s="4">
        <f t="shared" ref="AA325:AA388" si="40">IF(AND(F325=H325,Z325="NO"),1+H325,H325)</f>
        <v>0</v>
      </c>
      <c r="AC325" s="2"/>
    </row>
    <row r="326" spans="1:29" ht="15.5">
      <c r="A326" s="13" t="str">
        <f>IF(OR(ISBLANK(C326),ISBLANK(D326),ISBLANK(F326),ISBLANK(G326)),"",COUNTIF($B$5:B326,"JAMBUTU"))</f>
        <v/>
      </c>
      <c r="B326" s="8" t="str">
        <f t="shared" si="34"/>
        <v/>
      </c>
      <c r="C326" s="8"/>
      <c r="D326" s="8"/>
      <c r="E326" s="13"/>
      <c r="F326" s="12"/>
      <c r="G326" s="15"/>
      <c r="H326" s="12"/>
      <c r="I326" s="15"/>
      <c r="J326" s="10">
        <f t="shared" si="35"/>
        <v>0</v>
      </c>
      <c r="K326" s="10">
        <f t="shared" si="36"/>
        <v>0</v>
      </c>
      <c r="L326" s="9" t="str">
        <f t="shared" si="37"/>
        <v/>
      </c>
      <c r="M326" s="8"/>
      <c r="N326" s="8"/>
      <c r="O326" s="8"/>
      <c r="P326" s="8"/>
      <c r="Q326" s="8"/>
      <c r="R326" s="8"/>
      <c r="S326" s="8"/>
      <c r="T326" s="8"/>
      <c r="U326" s="8"/>
      <c r="V326" s="7"/>
      <c r="W326" s="6" t="str">
        <f t="array" ref="W326">IF(NOT(ISBLANK(D326)),_xludf.XLOOKUP(D326,[2]CODE!$A$4:$A$100,[2]CODE!$D$4:$D$100),"")</f>
        <v/>
      </c>
      <c r="X326" s="5" t="str">
        <f t="array" ref="X326">IF(NOT(AND(ISBLANK(D326),ISBLANK(C326))),_xludf.XLOOKUP(D326,[2]CODE!$A$4:$A$100,[2]CODE!$E$4:$E$100),"")</f>
        <v/>
      </c>
      <c r="Y326" s="5" t="str">
        <f t="shared" si="38"/>
        <v/>
      </c>
      <c r="Z326" s="5" t="str">
        <f t="shared" si="39"/>
        <v/>
      </c>
      <c r="AA326" s="4">
        <f t="shared" si="40"/>
        <v>0</v>
      </c>
      <c r="AC326" s="2"/>
    </row>
    <row r="327" spans="1:29" ht="15.5">
      <c r="A327" s="13" t="str">
        <f>IF(OR(ISBLANK(C327),ISBLANK(D327),ISBLANK(F327),ISBLANK(G327)),"",COUNTIF($B$5:B327,"JAMBUTU"))</f>
        <v/>
      </c>
      <c r="B327" s="8" t="str">
        <f t="shared" si="34"/>
        <v/>
      </c>
      <c r="C327" s="8"/>
      <c r="D327" s="8"/>
      <c r="E327" s="13"/>
      <c r="F327" s="12"/>
      <c r="G327" s="11"/>
      <c r="H327" s="12"/>
      <c r="I327" s="15"/>
      <c r="J327" s="10">
        <f t="shared" si="35"/>
        <v>0</v>
      </c>
      <c r="K327" s="10">
        <f t="shared" si="36"/>
        <v>0</v>
      </c>
      <c r="L327" s="9" t="str">
        <f t="shared" si="37"/>
        <v/>
      </c>
      <c r="M327" s="8"/>
      <c r="N327" s="8"/>
      <c r="O327" s="8"/>
      <c r="P327" s="8"/>
      <c r="Q327" s="8"/>
      <c r="R327" s="8"/>
      <c r="S327" s="8"/>
      <c r="T327" s="8"/>
      <c r="U327" s="8"/>
      <c r="V327" s="7"/>
      <c r="W327" s="6" t="str">
        <f t="array" ref="W327">IF(NOT(ISBLANK(D327)),_xludf.XLOOKUP(D327,[2]CODE!$A$4:$A$100,[2]CODE!$D$4:$D$100),"")</f>
        <v/>
      </c>
      <c r="X327" s="5" t="str">
        <f t="array" ref="X327">IF(NOT(AND(ISBLANK(D327),ISBLANK(C327))),_xludf.XLOOKUP(D327,[2]CODE!$A$4:$A$100,[2]CODE!$E$4:$E$100),"")</f>
        <v/>
      </c>
      <c r="Y327" s="5" t="str">
        <f t="shared" si="38"/>
        <v/>
      </c>
      <c r="Z327" s="5" t="str">
        <f t="shared" si="39"/>
        <v/>
      </c>
      <c r="AA327" s="4">
        <f t="shared" si="40"/>
        <v>0</v>
      </c>
      <c r="AC327" s="2"/>
    </row>
    <row r="328" spans="1:29" ht="15.5">
      <c r="A328" s="13" t="str">
        <f>IF(OR(ISBLANK(C328),ISBLANK(D328),ISBLANK(F328),ISBLANK(G328)),"",COUNTIF($B$5:B328,"JAMBUTU"))</f>
        <v/>
      </c>
      <c r="B328" s="8" t="str">
        <f t="shared" si="34"/>
        <v/>
      </c>
      <c r="C328" s="8"/>
      <c r="D328" s="8"/>
      <c r="E328" s="13"/>
      <c r="F328" s="12"/>
      <c r="G328" s="11"/>
      <c r="H328" s="12"/>
      <c r="I328" s="15"/>
      <c r="J328" s="10">
        <f t="shared" si="35"/>
        <v>0</v>
      </c>
      <c r="K328" s="10">
        <f t="shared" si="36"/>
        <v>0</v>
      </c>
      <c r="L328" s="9" t="str">
        <f t="shared" si="37"/>
        <v/>
      </c>
      <c r="M328" s="8"/>
      <c r="N328" s="8"/>
      <c r="O328" s="8"/>
      <c r="P328" s="8"/>
      <c r="Q328" s="8"/>
      <c r="R328" s="8"/>
      <c r="S328" s="8"/>
      <c r="T328" s="8"/>
      <c r="U328" s="8"/>
      <c r="V328" s="7"/>
      <c r="W328" s="6" t="str">
        <f t="array" ref="W328">IF(NOT(ISBLANK(D328)),_xludf.XLOOKUP(D328,[2]CODE!$A$4:$A$100,[2]CODE!$D$4:$D$100),"")</f>
        <v/>
      </c>
      <c r="X328" s="5" t="str">
        <f t="array" ref="X328">IF(NOT(AND(ISBLANK(D328),ISBLANK(C328))),_xludf.XLOOKUP(D328,[2]CODE!$A$4:$A$100,[2]CODE!$E$4:$E$100),"")</f>
        <v/>
      </c>
      <c r="Y328" s="5" t="str">
        <f t="shared" si="38"/>
        <v/>
      </c>
      <c r="Z328" s="5" t="str">
        <f t="shared" si="39"/>
        <v/>
      </c>
      <c r="AA328" s="4">
        <f t="shared" si="40"/>
        <v>0</v>
      </c>
      <c r="AC328" s="2"/>
    </row>
    <row r="329" spans="1:29" ht="15.5">
      <c r="A329" s="13" t="str">
        <f>IF(OR(ISBLANK(C329),ISBLANK(D329),ISBLANK(F329),ISBLANK(G329)),"",COUNTIF($B$5:B329,"JAMBUTU"))</f>
        <v/>
      </c>
      <c r="B329" s="8" t="str">
        <f t="shared" si="34"/>
        <v/>
      </c>
      <c r="C329" s="8"/>
      <c r="D329" s="8"/>
      <c r="E329" s="13"/>
      <c r="F329" s="12"/>
      <c r="G329" s="11"/>
      <c r="H329" s="12"/>
      <c r="I329" s="15"/>
      <c r="J329" s="10">
        <f t="shared" si="35"/>
        <v>0</v>
      </c>
      <c r="K329" s="10">
        <f t="shared" si="36"/>
        <v>0</v>
      </c>
      <c r="L329" s="9" t="str">
        <f t="shared" si="37"/>
        <v/>
      </c>
      <c r="M329" s="8"/>
      <c r="N329" s="8"/>
      <c r="O329" s="8"/>
      <c r="P329" s="8"/>
      <c r="Q329" s="8"/>
      <c r="R329" s="8"/>
      <c r="S329" s="8"/>
      <c r="T329" s="8"/>
      <c r="U329" s="8"/>
      <c r="V329" s="7"/>
      <c r="W329" s="6" t="str">
        <f t="array" ref="W329">IF(NOT(ISBLANK(D329)),_xludf.XLOOKUP(D329,[2]CODE!$A$4:$A$100,[2]CODE!$D$4:$D$100),"")</f>
        <v/>
      </c>
      <c r="X329" s="5" t="str">
        <f t="array" ref="X329">IF(NOT(AND(ISBLANK(D329),ISBLANK(C329))),_xludf.XLOOKUP(D329,[2]CODE!$A$4:$A$100,[2]CODE!$E$4:$E$100),"")</f>
        <v/>
      </c>
      <c r="Y329" s="5" t="str">
        <f t="shared" si="38"/>
        <v/>
      </c>
      <c r="Z329" s="5" t="str">
        <f t="shared" si="39"/>
        <v/>
      </c>
      <c r="AA329" s="4">
        <f t="shared" si="40"/>
        <v>0</v>
      </c>
      <c r="AC329" s="2"/>
    </row>
    <row r="330" spans="1:29" ht="15.5">
      <c r="A330" s="13" t="str">
        <f>IF(OR(ISBLANK(C330),ISBLANK(D330),ISBLANK(F330),ISBLANK(G330)),"",COUNTIF($B$5:B330,"JAMBUTU"))</f>
        <v/>
      </c>
      <c r="B330" s="8" t="str">
        <f t="shared" si="34"/>
        <v/>
      </c>
      <c r="C330" s="8"/>
      <c r="D330" s="8"/>
      <c r="E330" s="13"/>
      <c r="F330" s="12"/>
      <c r="G330" s="11"/>
      <c r="H330" s="12"/>
      <c r="I330" s="15"/>
      <c r="J330" s="10">
        <f t="shared" si="35"/>
        <v>0</v>
      </c>
      <c r="K330" s="10">
        <f t="shared" si="36"/>
        <v>0</v>
      </c>
      <c r="L330" s="9" t="str">
        <f t="shared" si="37"/>
        <v/>
      </c>
      <c r="M330" s="8"/>
      <c r="N330" s="8"/>
      <c r="O330" s="8"/>
      <c r="P330" s="8"/>
      <c r="Q330" s="8"/>
      <c r="R330" s="8"/>
      <c r="S330" s="8"/>
      <c r="T330" s="8"/>
      <c r="U330" s="8"/>
      <c r="V330" s="7"/>
      <c r="W330" s="6" t="str">
        <f t="array" ref="W330">IF(NOT(ISBLANK(D330)),_xludf.XLOOKUP(D330,[2]CODE!$A$4:$A$100,[2]CODE!$D$4:$D$100),"")</f>
        <v/>
      </c>
      <c r="X330" s="5" t="str">
        <f t="array" ref="X330">IF(NOT(AND(ISBLANK(D330),ISBLANK(C330))),_xludf.XLOOKUP(D330,[2]CODE!$A$4:$A$100,[2]CODE!$E$4:$E$100),"")</f>
        <v/>
      </c>
      <c r="Y330" s="5" t="str">
        <f t="shared" si="38"/>
        <v/>
      </c>
      <c r="Z330" s="5" t="str">
        <f t="shared" si="39"/>
        <v/>
      </c>
      <c r="AA330" s="4">
        <f t="shared" si="40"/>
        <v>0</v>
      </c>
      <c r="AC330" s="2"/>
    </row>
    <row r="331" spans="1:29" ht="15.5">
      <c r="A331" s="13" t="str">
        <f>IF(OR(ISBLANK(C331),ISBLANK(D331),ISBLANK(F331),ISBLANK(G331)),"",COUNTIF($B$5:B331,"JAMBUTU"))</f>
        <v/>
      </c>
      <c r="B331" s="8" t="str">
        <f t="shared" si="34"/>
        <v/>
      </c>
      <c r="C331" s="8"/>
      <c r="D331" s="8"/>
      <c r="E331" s="13"/>
      <c r="F331" s="12"/>
      <c r="G331" s="11"/>
      <c r="H331" s="12"/>
      <c r="I331" s="15"/>
      <c r="J331" s="10">
        <f t="shared" si="35"/>
        <v>0</v>
      </c>
      <c r="K331" s="10">
        <f t="shared" si="36"/>
        <v>0</v>
      </c>
      <c r="L331" s="9" t="str">
        <f t="shared" si="37"/>
        <v/>
      </c>
      <c r="M331" s="8"/>
      <c r="N331" s="8"/>
      <c r="O331" s="8"/>
      <c r="P331" s="8"/>
      <c r="Q331" s="8"/>
      <c r="R331" s="8"/>
      <c r="S331" s="8"/>
      <c r="T331" s="8"/>
      <c r="U331" s="8"/>
      <c r="V331" s="7"/>
      <c r="W331" s="6" t="str">
        <f t="array" ref="W331">IF(NOT(ISBLANK(D331)),_xludf.XLOOKUP(D331,[2]CODE!$A$4:$A$100,[2]CODE!$D$4:$D$100),"")</f>
        <v/>
      </c>
      <c r="X331" s="5" t="str">
        <f t="array" ref="X331">IF(NOT(AND(ISBLANK(D331),ISBLANK(C331))),_xludf.XLOOKUP(D331,[2]CODE!$A$4:$A$100,[2]CODE!$E$4:$E$100),"")</f>
        <v/>
      </c>
      <c r="Y331" s="5" t="str">
        <f t="shared" si="38"/>
        <v/>
      </c>
      <c r="Z331" s="5" t="str">
        <f t="shared" si="39"/>
        <v/>
      </c>
      <c r="AA331" s="4">
        <f t="shared" si="40"/>
        <v>0</v>
      </c>
      <c r="AC331" s="2"/>
    </row>
    <row r="332" spans="1:29" ht="15.5">
      <c r="A332" s="13" t="str">
        <f>IF(OR(ISBLANK(C332),ISBLANK(D332),ISBLANK(F332),ISBLANK(G332)),"",COUNTIF($B$5:B332,"JAMBUTU"))</f>
        <v/>
      </c>
      <c r="B332" s="8" t="str">
        <f t="shared" si="34"/>
        <v/>
      </c>
      <c r="C332" s="8"/>
      <c r="D332" s="8"/>
      <c r="E332" s="13"/>
      <c r="F332" s="12"/>
      <c r="G332" s="11"/>
      <c r="H332" s="12"/>
      <c r="I332" s="15"/>
      <c r="J332" s="10">
        <f t="shared" si="35"/>
        <v>0</v>
      </c>
      <c r="K332" s="10">
        <f t="shared" si="36"/>
        <v>0</v>
      </c>
      <c r="L332" s="9" t="str">
        <f t="shared" si="37"/>
        <v/>
      </c>
      <c r="M332" s="8"/>
      <c r="N332" s="8"/>
      <c r="O332" s="8"/>
      <c r="P332" s="8"/>
      <c r="Q332" s="8"/>
      <c r="R332" s="8"/>
      <c r="S332" s="8"/>
      <c r="T332" s="8"/>
      <c r="U332" s="8"/>
      <c r="V332" s="7"/>
      <c r="W332" s="6" t="str">
        <f t="array" ref="W332">IF(NOT(ISBLANK(D332)),_xludf.XLOOKUP(D332,[2]CODE!$A$4:$A$100,[2]CODE!$D$4:$D$100),"")</f>
        <v/>
      </c>
      <c r="X332" s="5" t="str">
        <f t="array" ref="X332">IF(NOT(AND(ISBLANK(D332),ISBLANK(C332))),_xludf.XLOOKUP(D332,[2]CODE!$A$4:$A$100,[2]CODE!$E$4:$E$100),"")</f>
        <v/>
      </c>
      <c r="Y332" s="5" t="str">
        <f t="shared" si="38"/>
        <v/>
      </c>
      <c r="Z332" s="5" t="str">
        <f t="shared" si="39"/>
        <v/>
      </c>
      <c r="AA332" s="4">
        <f t="shared" si="40"/>
        <v>0</v>
      </c>
      <c r="AC332" s="2"/>
    </row>
    <row r="333" spans="1:29" ht="15.5">
      <c r="A333" s="13" t="str">
        <f>IF(OR(ISBLANK(C333),ISBLANK(D333),ISBLANK(F333),ISBLANK(G333)),"",COUNTIF($B$5:B333,"JAMBUTU"))</f>
        <v/>
      </c>
      <c r="B333" s="8" t="str">
        <f t="shared" si="34"/>
        <v/>
      </c>
      <c r="C333" s="8"/>
      <c r="D333" s="8"/>
      <c r="E333" s="13"/>
      <c r="F333" s="12"/>
      <c r="G333" s="11"/>
      <c r="H333" s="12"/>
      <c r="I333" s="15"/>
      <c r="J333" s="10">
        <f t="shared" si="35"/>
        <v>0</v>
      </c>
      <c r="K333" s="10">
        <f t="shared" si="36"/>
        <v>0</v>
      </c>
      <c r="L333" s="9" t="str">
        <f t="shared" si="37"/>
        <v/>
      </c>
      <c r="M333" s="8"/>
      <c r="N333" s="8"/>
      <c r="O333" s="8"/>
      <c r="P333" s="8"/>
      <c r="Q333" s="8"/>
      <c r="R333" s="8"/>
      <c r="S333" s="8"/>
      <c r="T333" s="8"/>
      <c r="U333" s="8"/>
      <c r="V333" s="7"/>
      <c r="W333" s="6" t="str">
        <f t="array" ref="W333">IF(NOT(ISBLANK(D333)),_xludf.XLOOKUP(D333,[2]CODE!$A$4:$A$100,[2]CODE!$D$4:$D$100),"")</f>
        <v/>
      </c>
      <c r="X333" s="5" t="str">
        <f t="array" ref="X333">IF(NOT(AND(ISBLANK(D333),ISBLANK(C333))),_xludf.XLOOKUP(D333,[2]CODE!$A$4:$A$100,[2]CODE!$E$4:$E$100),"")</f>
        <v/>
      </c>
      <c r="Y333" s="5" t="str">
        <f t="shared" si="38"/>
        <v/>
      </c>
      <c r="Z333" s="5" t="str">
        <f t="shared" si="39"/>
        <v/>
      </c>
      <c r="AA333" s="4">
        <f t="shared" si="40"/>
        <v>0</v>
      </c>
      <c r="AC333" s="2"/>
    </row>
    <row r="334" spans="1:29" ht="15.5">
      <c r="A334" s="13" t="str">
        <f>IF(OR(ISBLANK(C334),ISBLANK(D334),ISBLANK(F334),ISBLANK(G334)),"",COUNTIF($B$5:B334,"JAMBUTU"))</f>
        <v/>
      </c>
      <c r="B334" s="8" t="str">
        <f t="shared" si="34"/>
        <v/>
      </c>
      <c r="C334" s="8"/>
      <c r="D334" s="8"/>
      <c r="E334" s="13"/>
      <c r="F334" s="12"/>
      <c r="G334" s="11"/>
      <c r="H334" s="12"/>
      <c r="I334" s="15"/>
      <c r="J334" s="10">
        <f t="shared" si="35"/>
        <v>0</v>
      </c>
      <c r="K334" s="10">
        <f t="shared" si="36"/>
        <v>0</v>
      </c>
      <c r="L334" s="9" t="str">
        <f t="shared" si="37"/>
        <v/>
      </c>
      <c r="M334" s="8"/>
      <c r="N334" s="8"/>
      <c r="O334" s="8"/>
      <c r="P334" s="8"/>
      <c r="Q334" s="8"/>
      <c r="R334" s="8"/>
      <c r="S334" s="8"/>
      <c r="T334" s="8"/>
      <c r="U334" s="8"/>
      <c r="V334" s="7"/>
      <c r="W334" s="6" t="str">
        <f t="array" ref="W334">IF(NOT(ISBLANK(D334)),_xludf.XLOOKUP(D334,[2]CODE!$A$4:$A$100,[2]CODE!$D$4:$D$100),"")</f>
        <v/>
      </c>
      <c r="X334" s="5" t="str">
        <f t="array" ref="X334">IF(NOT(AND(ISBLANK(D334),ISBLANK(C334))),_xludf.XLOOKUP(D334,[2]CODE!$A$4:$A$100,[2]CODE!$E$4:$E$100),"")</f>
        <v/>
      </c>
      <c r="Y334" s="5" t="str">
        <f t="shared" si="38"/>
        <v/>
      </c>
      <c r="Z334" s="5" t="str">
        <f t="shared" si="39"/>
        <v/>
      </c>
      <c r="AA334" s="4">
        <f t="shared" si="40"/>
        <v>0</v>
      </c>
      <c r="AC334" s="2"/>
    </row>
    <row r="335" spans="1:29" ht="15.5">
      <c r="A335" s="13" t="str">
        <f>IF(OR(ISBLANK(C335),ISBLANK(D335),ISBLANK(F335),ISBLANK(G335)),"",COUNTIF($B$5:B335,"JAMBUTU"))</f>
        <v/>
      </c>
      <c r="B335" s="8" t="str">
        <f t="shared" si="34"/>
        <v/>
      </c>
      <c r="C335" s="8"/>
      <c r="D335" s="8"/>
      <c r="E335" s="13"/>
      <c r="F335" s="12"/>
      <c r="G335" s="11"/>
      <c r="H335" s="12"/>
      <c r="I335" s="11"/>
      <c r="J335" s="10">
        <f t="shared" si="35"/>
        <v>0</v>
      </c>
      <c r="K335" s="10">
        <f t="shared" si="36"/>
        <v>0</v>
      </c>
      <c r="L335" s="9" t="str">
        <f t="shared" si="37"/>
        <v/>
      </c>
      <c r="M335" s="8"/>
      <c r="N335" s="8"/>
      <c r="O335" s="8"/>
      <c r="P335" s="8"/>
      <c r="Q335" s="8"/>
      <c r="R335" s="8"/>
      <c r="S335" s="8"/>
      <c r="T335" s="8"/>
      <c r="U335" s="8"/>
      <c r="V335" s="7"/>
      <c r="W335" s="6" t="str">
        <f t="array" ref="W335">IF(NOT(ISBLANK(D335)),_xludf.XLOOKUP(D335,[2]CODE!$A$4:$A$100,[2]CODE!$D$4:$D$100),"")</f>
        <v/>
      </c>
      <c r="X335" s="5" t="str">
        <f t="array" ref="X335">IF(NOT(AND(ISBLANK(D335),ISBLANK(C335))),_xludf.XLOOKUP(D335,[2]CODE!$A$4:$A$100,[2]CODE!$E$4:$E$100),"")</f>
        <v/>
      </c>
      <c r="Y335" s="5" t="str">
        <f t="shared" si="38"/>
        <v/>
      </c>
      <c r="Z335" s="5" t="str">
        <f t="shared" si="39"/>
        <v/>
      </c>
      <c r="AA335" s="4">
        <f t="shared" si="40"/>
        <v>0</v>
      </c>
      <c r="AC335" s="2"/>
    </row>
    <row r="336" spans="1:29" ht="15.5">
      <c r="A336" s="13" t="str">
        <f>IF(OR(ISBLANK(C336),ISBLANK(D336),ISBLANK(F336),ISBLANK(G336)),"",COUNTIF($B$5:B336,"JAMBUTU"))</f>
        <v/>
      </c>
      <c r="B336" s="8" t="str">
        <f t="shared" si="34"/>
        <v/>
      </c>
      <c r="C336" s="8"/>
      <c r="D336" s="8"/>
      <c r="E336" s="13"/>
      <c r="F336" s="12"/>
      <c r="G336" s="11"/>
      <c r="H336" s="12"/>
      <c r="I336" s="11"/>
      <c r="J336" s="10">
        <f t="shared" si="35"/>
        <v>0</v>
      </c>
      <c r="K336" s="10">
        <f t="shared" si="36"/>
        <v>0</v>
      </c>
      <c r="L336" s="9" t="str">
        <f t="shared" si="37"/>
        <v/>
      </c>
      <c r="M336" s="8"/>
      <c r="N336" s="8"/>
      <c r="O336" s="8"/>
      <c r="P336" s="8"/>
      <c r="Q336" s="8"/>
      <c r="R336" s="8"/>
      <c r="S336" s="8"/>
      <c r="T336" s="8"/>
      <c r="U336" s="8"/>
      <c r="V336" s="7"/>
      <c r="W336" s="6" t="str">
        <f t="array" ref="W336">IF(NOT(ISBLANK(D336)),_xludf.XLOOKUP(D336,[2]CODE!$A$4:$A$100,[2]CODE!$D$4:$D$100),"")</f>
        <v/>
      </c>
      <c r="X336" s="5" t="str">
        <f t="array" ref="X336">IF(NOT(AND(ISBLANK(D336),ISBLANK(C336))),_xludf.XLOOKUP(D336,[2]CODE!$A$4:$A$100,[2]CODE!$E$4:$E$100),"")</f>
        <v/>
      </c>
      <c r="Y336" s="5" t="str">
        <f t="shared" si="38"/>
        <v/>
      </c>
      <c r="Z336" s="5" t="str">
        <f t="shared" si="39"/>
        <v/>
      </c>
      <c r="AA336" s="4">
        <f t="shared" si="40"/>
        <v>0</v>
      </c>
      <c r="AC336" s="2"/>
    </row>
    <row r="337" spans="1:29" ht="15.5">
      <c r="A337" s="13" t="str">
        <f>IF(OR(ISBLANK(C337),ISBLANK(D337),ISBLANK(F337),ISBLANK(G337)),"",COUNTIF($B$5:B337,"JAMBUTU"))</f>
        <v/>
      </c>
      <c r="B337" s="8" t="str">
        <f t="shared" si="34"/>
        <v/>
      </c>
      <c r="C337" s="8"/>
      <c r="D337" s="8"/>
      <c r="E337" s="13"/>
      <c r="F337" s="12"/>
      <c r="G337" s="11"/>
      <c r="H337" s="12"/>
      <c r="I337" s="11"/>
      <c r="J337" s="10">
        <f t="shared" si="35"/>
        <v>0</v>
      </c>
      <c r="K337" s="10">
        <f t="shared" si="36"/>
        <v>0</v>
      </c>
      <c r="L337" s="9" t="str">
        <f t="shared" si="37"/>
        <v/>
      </c>
      <c r="M337" s="8"/>
      <c r="N337" s="8"/>
      <c r="O337" s="8"/>
      <c r="P337" s="8"/>
      <c r="Q337" s="8"/>
      <c r="R337" s="8"/>
      <c r="S337" s="8"/>
      <c r="T337" s="8"/>
      <c r="U337" s="8"/>
      <c r="V337" s="7"/>
      <c r="W337" s="6" t="str">
        <f t="array" ref="W337">IF(NOT(ISBLANK(D337)),_xludf.XLOOKUP(D337,[2]CODE!$A$4:$A$100,[2]CODE!$D$4:$D$100),"")</f>
        <v/>
      </c>
      <c r="X337" s="5" t="str">
        <f t="array" ref="X337">IF(NOT(AND(ISBLANK(D337),ISBLANK(C337))),_xludf.XLOOKUP(D337,[2]CODE!$A$4:$A$100,[2]CODE!$E$4:$E$100),"")</f>
        <v/>
      </c>
      <c r="Y337" s="5" t="str">
        <f t="shared" si="38"/>
        <v/>
      </c>
      <c r="Z337" s="5" t="str">
        <f t="shared" si="39"/>
        <v/>
      </c>
      <c r="AA337" s="4">
        <f t="shared" si="40"/>
        <v>0</v>
      </c>
      <c r="AC337" s="2"/>
    </row>
    <row r="338" spans="1:29" ht="15.5">
      <c r="A338" s="13" t="str">
        <f>IF(OR(ISBLANK(C338),ISBLANK(D338),ISBLANK(F338),ISBLANK(G338)),"",COUNTIF($B$5:B338,"JAMBUTU"))</f>
        <v/>
      </c>
      <c r="B338" s="8" t="str">
        <f t="shared" si="34"/>
        <v/>
      </c>
      <c r="C338" s="8"/>
      <c r="D338" s="8"/>
      <c r="E338" s="13"/>
      <c r="F338" s="12"/>
      <c r="G338" s="11"/>
      <c r="H338" s="12"/>
      <c r="I338" s="11"/>
      <c r="J338" s="10">
        <f t="shared" si="35"/>
        <v>0</v>
      </c>
      <c r="K338" s="10">
        <f t="shared" si="36"/>
        <v>0</v>
      </c>
      <c r="L338" s="9" t="str">
        <f t="shared" si="37"/>
        <v/>
      </c>
      <c r="M338" s="8"/>
      <c r="N338" s="8"/>
      <c r="O338" s="8"/>
      <c r="P338" s="8"/>
      <c r="Q338" s="8"/>
      <c r="R338" s="8"/>
      <c r="S338" s="8"/>
      <c r="T338" s="8"/>
      <c r="U338" s="8"/>
      <c r="V338" s="7"/>
      <c r="W338" s="6" t="str">
        <f t="array" ref="W338">IF(NOT(ISBLANK(D338)),_xludf.XLOOKUP(D338,[2]CODE!$A$4:$A$100,[2]CODE!$D$4:$D$100),"")</f>
        <v/>
      </c>
      <c r="X338" s="5" t="str">
        <f t="array" ref="X338">IF(NOT(AND(ISBLANK(D338),ISBLANK(C338))),_xludf.XLOOKUP(D338,[2]CODE!$A$4:$A$100,[2]CODE!$E$4:$E$100),"")</f>
        <v/>
      </c>
      <c r="Y338" s="5" t="str">
        <f t="shared" si="38"/>
        <v/>
      </c>
      <c r="Z338" s="5" t="str">
        <f t="shared" si="39"/>
        <v/>
      </c>
      <c r="AA338" s="4">
        <f t="shared" si="40"/>
        <v>0</v>
      </c>
      <c r="AC338" s="2"/>
    </row>
    <row r="339" spans="1:29" ht="15.5">
      <c r="A339" s="13" t="str">
        <f>IF(OR(ISBLANK(C339),ISBLANK(D339),ISBLANK(F339),ISBLANK(G339)),"",COUNTIF($B$5:B339,"JAMBUTU"))</f>
        <v/>
      </c>
      <c r="B339" s="8" t="str">
        <f t="shared" ref="B339:B402" si="41">IF(C339&lt;&gt;"","Jambutu","")</f>
        <v/>
      </c>
      <c r="C339" s="8"/>
      <c r="D339" s="8"/>
      <c r="E339" s="13"/>
      <c r="F339" s="12"/>
      <c r="G339" s="11"/>
      <c r="H339" s="12"/>
      <c r="I339" s="11"/>
      <c r="J339" s="10">
        <f t="shared" si="35"/>
        <v>0</v>
      </c>
      <c r="K339" s="10">
        <f t="shared" si="36"/>
        <v>0</v>
      </c>
      <c r="L339" s="9" t="str">
        <f t="shared" si="37"/>
        <v/>
      </c>
      <c r="M339" s="8"/>
      <c r="N339" s="8"/>
      <c r="O339" s="8"/>
      <c r="P339" s="8"/>
      <c r="Q339" s="8"/>
      <c r="R339" s="8"/>
      <c r="S339" s="8"/>
      <c r="T339" s="8"/>
      <c r="U339" s="8"/>
      <c r="V339" s="7"/>
      <c r="W339" s="6" t="str">
        <f t="array" ref="W339">IF(NOT(ISBLANK(D339)),_xludf.XLOOKUP(D339,[2]CODE!$A$4:$A$100,[2]CODE!$D$4:$D$100),"")</f>
        <v/>
      </c>
      <c r="X339" s="5" t="str">
        <f t="array" ref="X339">IF(NOT(AND(ISBLANK(D339),ISBLANK(C339))),_xludf.XLOOKUP(D339,[2]CODE!$A$4:$A$100,[2]CODE!$E$4:$E$100),"")</f>
        <v/>
      </c>
      <c r="Y339" s="5" t="str">
        <f t="shared" si="38"/>
        <v/>
      </c>
      <c r="Z339" s="5" t="str">
        <f t="shared" si="39"/>
        <v/>
      </c>
      <c r="AA339" s="4">
        <f t="shared" si="40"/>
        <v>0</v>
      </c>
      <c r="AC339" s="2"/>
    </row>
    <row r="340" spans="1:29" ht="15.5">
      <c r="A340" s="13" t="str">
        <f>IF(OR(ISBLANK(C340),ISBLANK(D340),ISBLANK(F340),ISBLANK(G340)),"",COUNTIF($B$5:B340,"JAMBUTU"))</f>
        <v/>
      </c>
      <c r="B340" s="8" t="str">
        <f t="shared" si="41"/>
        <v/>
      </c>
      <c r="C340" s="8"/>
      <c r="D340" s="8"/>
      <c r="E340" s="13"/>
      <c r="F340" s="12"/>
      <c r="G340" s="11"/>
      <c r="H340" s="12"/>
      <c r="I340" s="11"/>
      <c r="J340" s="10">
        <f t="shared" si="35"/>
        <v>0</v>
      </c>
      <c r="K340" s="10">
        <f t="shared" si="36"/>
        <v>0</v>
      </c>
      <c r="L340" s="9" t="str">
        <f t="shared" si="37"/>
        <v/>
      </c>
      <c r="M340" s="8"/>
      <c r="N340" s="8"/>
      <c r="O340" s="8"/>
      <c r="P340" s="8"/>
      <c r="Q340" s="8"/>
      <c r="R340" s="8"/>
      <c r="S340" s="8"/>
      <c r="T340" s="8"/>
      <c r="U340" s="8"/>
      <c r="V340" s="7"/>
      <c r="W340" s="6" t="str">
        <f t="array" ref="W340">IF(NOT(ISBLANK(D340)),_xludf.XLOOKUP(D340,[2]CODE!$A$4:$A$100,[2]CODE!$D$4:$D$100),"")</f>
        <v/>
      </c>
      <c r="X340" s="5" t="str">
        <f t="array" ref="X340">IF(NOT(AND(ISBLANK(D340),ISBLANK(C340))),_xludf.XLOOKUP(D340,[2]CODE!$A$4:$A$100,[2]CODE!$E$4:$E$100),"")</f>
        <v/>
      </c>
      <c r="Y340" s="5" t="str">
        <f t="shared" si="38"/>
        <v/>
      </c>
      <c r="Z340" s="5" t="str">
        <f t="shared" si="39"/>
        <v/>
      </c>
      <c r="AA340" s="4">
        <f t="shared" si="40"/>
        <v>0</v>
      </c>
      <c r="AC340" s="2"/>
    </row>
    <row r="341" spans="1:29" ht="15.5">
      <c r="A341" s="13" t="str">
        <f>IF(OR(ISBLANK(C341),ISBLANK(D341),ISBLANK(F341),ISBLANK(G341)),"",COUNTIF($B$5:B341,"JAMBUTU"))</f>
        <v/>
      </c>
      <c r="B341" s="8" t="str">
        <f t="shared" si="41"/>
        <v/>
      </c>
      <c r="C341" s="8"/>
      <c r="D341" s="8"/>
      <c r="E341" s="13"/>
      <c r="F341" s="12"/>
      <c r="G341" s="11"/>
      <c r="H341" s="12"/>
      <c r="I341" s="11"/>
      <c r="J341" s="10">
        <f t="shared" si="35"/>
        <v>0</v>
      </c>
      <c r="K341" s="10">
        <f t="shared" si="36"/>
        <v>0</v>
      </c>
      <c r="L341" s="9" t="str">
        <f t="shared" si="37"/>
        <v/>
      </c>
      <c r="M341" s="8"/>
      <c r="N341" s="8"/>
      <c r="O341" s="8"/>
      <c r="P341" s="8"/>
      <c r="Q341" s="8"/>
      <c r="R341" s="8"/>
      <c r="S341" s="8"/>
      <c r="T341" s="8"/>
      <c r="U341" s="8"/>
      <c r="V341" s="7"/>
      <c r="W341" s="6" t="str">
        <f t="array" ref="W341">IF(NOT(ISBLANK(D341)),_xludf.XLOOKUP(D341,[2]CODE!$A$4:$A$100,[2]CODE!$D$4:$D$100),"")</f>
        <v/>
      </c>
      <c r="X341" s="5" t="str">
        <f t="array" ref="X341">IF(NOT(AND(ISBLANK(D341),ISBLANK(C341))),_xludf.XLOOKUP(D341,[2]CODE!$A$4:$A$100,[2]CODE!$E$4:$E$100),"")</f>
        <v/>
      </c>
      <c r="Y341" s="5" t="str">
        <f t="shared" si="38"/>
        <v/>
      </c>
      <c r="Z341" s="5" t="str">
        <f t="shared" si="39"/>
        <v/>
      </c>
      <c r="AA341" s="4">
        <f t="shared" si="40"/>
        <v>0</v>
      </c>
      <c r="AC341" s="2"/>
    </row>
    <row r="342" spans="1:29" ht="15.5">
      <c r="A342" s="13" t="str">
        <f>IF(OR(ISBLANK(C342),ISBLANK(D342),ISBLANK(F342),ISBLANK(G342)),"",COUNTIF($B$5:B342,"JAMBUTU"))</f>
        <v/>
      </c>
      <c r="B342" s="8" t="str">
        <f t="shared" si="41"/>
        <v/>
      </c>
      <c r="C342" s="8"/>
      <c r="D342" s="8"/>
      <c r="E342" s="13"/>
      <c r="F342" s="12"/>
      <c r="G342" s="11"/>
      <c r="H342" s="12"/>
      <c r="I342" s="11"/>
      <c r="J342" s="10">
        <f t="shared" si="35"/>
        <v>0</v>
      </c>
      <c r="K342" s="10">
        <f t="shared" si="36"/>
        <v>0</v>
      </c>
      <c r="L342" s="9" t="str">
        <f t="shared" si="37"/>
        <v/>
      </c>
      <c r="M342" s="8"/>
      <c r="N342" s="8"/>
      <c r="O342" s="8"/>
      <c r="P342" s="8"/>
      <c r="Q342" s="8"/>
      <c r="R342" s="8"/>
      <c r="S342" s="8"/>
      <c r="T342" s="8"/>
      <c r="U342" s="8"/>
      <c r="V342" s="7"/>
      <c r="W342" s="6" t="str">
        <f t="array" ref="W342">IF(NOT(ISBLANK(D342)),_xludf.XLOOKUP(D342,[2]CODE!$A$4:$A$100,[2]CODE!$D$4:$D$100),"")</f>
        <v/>
      </c>
      <c r="X342" s="5" t="str">
        <f t="array" ref="X342">IF(NOT(AND(ISBLANK(D342),ISBLANK(C342))),_xludf.XLOOKUP(D342,[2]CODE!$A$4:$A$100,[2]CODE!$E$4:$E$100),"")</f>
        <v/>
      </c>
      <c r="Y342" s="5" t="str">
        <f t="shared" si="38"/>
        <v/>
      </c>
      <c r="Z342" s="5" t="str">
        <f t="shared" si="39"/>
        <v/>
      </c>
      <c r="AA342" s="4">
        <f t="shared" si="40"/>
        <v>0</v>
      </c>
      <c r="AC342" s="2"/>
    </row>
    <row r="343" spans="1:29" ht="15.5">
      <c r="A343" s="13" t="str">
        <f>IF(OR(ISBLANK(C343),ISBLANK(D343),ISBLANK(F343),ISBLANK(G343)),"",COUNTIF($B$5:B343,"JAMBUTU"))</f>
        <v/>
      </c>
      <c r="B343" s="8" t="str">
        <f t="shared" si="41"/>
        <v/>
      </c>
      <c r="C343" s="8"/>
      <c r="D343" s="8"/>
      <c r="E343" s="13"/>
      <c r="F343" s="12"/>
      <c r="G343" s="11"/>
      <c r="H343" s="12"/>
      <c r="I343" s="11"/>
      <c r="J343" s="10">
        <f t="shared" si="35"/>
        <v>0</v>
      </c>
      <c r="K343" s="10">
        <f t="shared" si="36"/>
        <v>0</v>
      </c>
      <c r="L343" s="9" t="str">
        <f t="shared" si="37"/>
        <v/>
      </c>
      <c r="M343" s="8"/>
      <c r="N343" s="8"/>
      <c r="O343" s="8"/>
      <c r="P343" s="8"/>
      <c r="Q343" s="8"/>
      <c r="R343" s="8"/>
      <c r="S343" s="8"/>
      <c r="T343" s="8"/>
      <c r="U343" s="8"/>
      <c r="V343" s="7"/>
      <c r="W343" s="6" t="str">
        <f t="array" ref="W343">IF(NOT(ISBLANK(D343)),_xludf.XLOOKUP(D343,[2]CODE!$A$4:$A$100,[2]CODE!$D$4:$D$100),"")</f>
        <v/>
      </c>
      <c r="X343" s="5" t="str">
        <f t="array" ref="X343">IF(NOT(AND(ISBLANK(D343),ISBLANK(C343))),_xludf.XLOOKUP(D343,[2]CODE!$A$4:$A$100,[2]CODE!$E$4:$E$100),"")</f>
        <v/>
      </c>
      <c r="Y343" s="5" t="str">
        <f t="shared" si="38"/>
        <v/>
      </c>
      <c r="Z343" s="5" t="str">
        <f t="shared" si="39"/>
        <v/>
      </c>
      <c r="AA343" s="4">
        <f t="shared" si="40"/>
        <v>0</v>
      </c>
      <c r="AC343" s="2"/>
    </row>
    <row r="344" spans="1:29" ht="15.5">
      <c r="A344" s="13" t="str">
        <f>IF(OR(ISBLANK(C344),ISBLANK(D344),ISBLANK(F344),ISBLANK(G344)),"",COUNTIF($B$5:B344,"JAMBUTU"))</f>
        <v/>
      </c>
      <c r="B344" s="8" t="str">
        <f t="shared" si="41"/>
        <v/>
      </c>
      <c r="C344" s="8"/>
      <c r="D344" s="8"/>
      <c r="E344" s="13"/>
      <c r="F344" s="12"/>
      <c r="G344" s="11"/>
      <c r="H344" s="12"/>
      <c r="I344" s="11"/>
      <c r="J344" s="10">
        <f t="shared" si="35"/>
        <v>0</v>
      </c>
      <c r="K344" s="10">
        <f t="shared" si="36"/>
        <v>0</v>
      </c>
      <c r="L344" s="9" t="str">
        <f t="shared" si="37"/>
        <v/>
      </c>
      <c r="M344" s="8"/>
      <c r="N344" s="8"/>
      <c r="O344" s="8"/>
      <c r="P344" s="8"/>
      <c r="Q344" s="8"/>
      <c r="R344" s="8"/>
      <c r="S344" s="8"/>
      <c r="T344" s="8"/>
      <c r="U344" s="8"/>
      <c r="V344" s="7"/>
      <c r="W344" s="6" t="str">
        <f t="array" ref="W344">IF(NOT(ISBLANK(D344)),_xludf.XLOOKUP(D344,[2]CODE!$A$4:$A$100,[2]CODE!$D$4:$D$100),"")</f>
        <v/>
      </c>
      <c r="X344" s="5" t="str">
        <f t="array" ref="X344">IF(NOT(AND(ISBLANK(D344),ISBLANK(C344))),_xludf.XLOOKUP(D344,[2]CODE!$A$4:$A$100,[2]CODE!$E$4:$E$100),"")</f>
        <v/>
      </c>
      <c r="Y344" s="5" t="str">
        <f t="shared" si="38"/>
        <v/>
      </c>
      <c r="Z344" s="5" t="str">
        <f t="shared" si="39"/>
        <v/>
      </c>
      <c r="AA344" s="4">
        <f t="shared" si="40"/>
        <v>0</v>
      </c>
      <c r="AC344" s="2"/>
    </row>
    <row r="345" spans="1:29" ht="15.5">
      <c r="A345" s="13" t="str">
        <f>IF(OR(ISBLANK(C345),ISBLANK(D345),ISBLANK(F345),ISBLANK(G345)),"",COUNTIF($B$5:B345,"JAMBUTU"))</f>
        <v/>
      </c>
      <c r="B345" s="8" t="str">
        <f t="shared" si="41"/>
        <v/>
      </c>
      <c r="C345" s="8"/>
      <c r="D345" s="8"/>
      <c r="E345" s="13"/>
      <c r="F345" s="12"/>
      <c r="G345" s="11"/>
      <c r="H345" s="12"/>
      <c r="I345" s="11"/>
      <c r="J345" s="10">
        <f t="shared" si="35"/>
        <v>0</v>
      </c>
      <c r="K345" s="10">
        <f t="shared" si="36"/>
        <v>0</v>
      </c>
      <c r="L345" s="9" t="str">
        <f t="shared" si="37"/>
        <v/>
      </c>
      <c r="M345" s="8"/>
      <c r="N345" s="8"/>
      <c r="O345" s="8"/>
      <c r="P345" s="8"/>
      <c r="Q345" s="8"/>
      <c r="R345" s="8"/>
      <c r="S345" s="8"/>
      <c r="T345" s="8"/>
      <c r="U345" s="8"/>
      <c r="V345" s="7"/>
      <c r="W345" s="6" t="str">
        <f t="array" ref="W345">IF(NOT(ISBLANK(D345)),_xludf.XLOOKUP(D345,[2]CODE!$A$4:$A$100,[2]CODE!$D$4:$D$100),"")</f>
        <v/>
      </c>
      <c r="X345" s="5" t="str">
        <f t="array" ref="X345">IF(NOT(AND(ISBLANK(D345),ISBLANK(C345))),_xludf.XLOOKUP(D345,[2]CODE!$A$4:$A$100,[2]CODE!$E$4:$E$100),"")</f>
        <v/>
      </c>
      <c r="Y345" s="5" t="str">
        <f t="shared" si="38"/>
        <v/>
      </c>
      <c r="Z345" s="5" t="str">
        <f t="shared" si="39"/>
        <v/>
      </c>
      <c r="AA345" s="4">
        <f t="shared" si="40"/>
        <v>0</v>
      </c>
      <c r="AC345" s="2"/>
    </row>
    <row r="346" spans="1:29" ht="15.5">
      <c r="A346" s="13" t="str">
        <f>IF(OR(ISBLANK(C346),ISBLANK(D346),ISBLANK(F346),ISBLANK(G346)),"",COUNTIF($B$5:B346,"JAMBUTU"))</f>
        <v/>
      </c>
      <c r="B346" s="8" t="str">
        <f t="shared" si="41"/>
        <v/>
      </c>
      <c r="C346" s="8"/>
      <c r="D346" s="8"/>
      <c r="E346" s="13"/>
      <c r="F346" s="12"/>
      <c r="G346" s="11"/>
      <c r="H346" s="12"/>
      <c r="I346" s="11"/>
      <c r="J346" s="10">
        <f t="shared" si="35"/>
        <v>0</v>
      </c>
      <c r="K346" s="10">
        <f t="shared" si="36"/>
        <v>0</v>
      </c>
      <c r="L346" s="9" t="str">
        <f t="shared" si="37"/>
        <v/>
      </c>
      <c r="M346" s="8"/>
      <c r="N346" s="8"/>
      <c r="O346" s="8"/>
      <c r="P346" s="8"/>
      <c r="Q346" s="8"/>
      <c r="R346" s="8"/>
      <c r="S346" s="8"/>
      <c r="T346" s="8"/>
      <c r="U346" s="8"/>
      <c r="V346" s="7"/>
      <c r="W346" s="6" t="str">
        <f t="array" ref="W346">IF(NOT(ISBLANK(D346)),_xludf.XLOOKUP(D346,[2]CODE!$A$4:$A$100,[2]CODE!$D$4:$D$100),"")</f>
        <v/>
      </c>
      <c r="X346" s="5" t="str">
        <f t="array" ref="X346">IF(NOT(AND(ISBLANK(D346),ISBLANK(C346))),_xludf.XLOOKUP(D346,[2]CODE!$A$4:$A$100,[2]CODE!$E$4:$E$100),"")</f>
        <v/>
      </c>
      <c r="Y346" s="5" t="str">
        <f t="shared" si="38"/>
        <v/>
      </c>
      <c r="Z346" s="5" t="str">
        <f t="shared" si="39"/>
        <v/>
      </c>
      <c r="AA346" s="4">
        <f t="shared" si="40"/>
        <v>0</v>
      </c>
      <c r="AC346" s="2"/>
    </row>
    <row r="347" spans="1:29" ht="15.5">
      <c r="A347" s="13" t="str">
        <f>IF(OR(ISBLANK(C347),ISBLANK(D347),ISBLANK(F347),ISBLANK(G347)),"",COUNTIF($B$5:B347,"JAMBUTU"))</f>
        <v/>
      </c>
      <c r="B347" s="8" t="str">
        <f t="shared" si="41"/>
        <v/>
      </c>
      <c r="C347" s="8"/>
      <c r="D347" s="8"/>
      <c r="E347" s="13"/>
      <c r="F347" s="12"/>
      <c r="G347" s="11"/>
      <c r="H347" s="12"/>
      <c r="I347" s="11"/>
      <c r="J347" s="10">
        <f t="shared" si="35"/>
        <v>0</v>
      </c>
      <c r="K347" s="10">
        <f t="shared" si="36"/>
        <v>0</v>
      </c>
      <c r="L347" s="9" t="str">
        <f t="shared" si="37"/>
        <v/>
      </c>
      <c r="M347" s="8"/>
      <c r="N347" s="8"/>
      <c r="O347" s="8"/>
      <c r="P347" s="8"/>
      <c r="Q347" s="8"/>
      <c r="R347" s="8"/>
      <c r="S347" s="8"/>
      <c r="T347" s="8"/>
      <c r="U347" s="8"/>
      <c r="V347" s="7"/>
      <c r="W347" s="6" t="str">
        <f t="array" ref="W347">IF(NOT(ISBLANK(D347)),_xludf.XLOOKUP(D347,[2]CODE!$A$4:$A$100,[2]CODE!$D$4:$D$100),"")</f>
        <v/>
      </c>
      <c r="X347" s="5" t="str">
        <f t="array" ref="X347">IF(NOT(AND(ISBLANK(D347),ISBLANK(C347))),_xludf.XLOOKUP(D347,[2]CODE!$A$4:$A$100,[2]CODE!$E$4:$E$100),"")</f>
        <v/>
      </c>
      <c r="Y347" s="5" t="str">
        <f t="shared" si="38"/>
        <v/>
      </c>
      <c r="Z347" s="5" t="str">
        <f t="shared" si="39"/>
        <v/>
      </c>
      <c r="AA347" s="4">
        <f t="shared" si="40"/>
        <v>0</v>
      </c>
      <c r="AC347" s="2"/>
    </row>
    <row r="348" spans="1:29" ht="15.5">
      <c r="A348" s="13" t="str">
        <f>IF(OR(ISBLANK(C348),ISBLANK(D348),ISBLANK(F348),ISBLANK(G348)),"",COUNTIF($B$5:B348,"JAMBUTU"))</f>
        <v/>
      </c>
      <c r="B348" s="8" t="str">
        <f t="shared" si="41"/>
        <v/>
      </c>
      <c r="C348" s="8"/>
      <c r="D348" s="8"/>
      <c r="E348" s="13"/>
      <c r="F348" s="12"/>
      <c r="G348" s="11"/>
      <c r="H348" s="12"/>
      <c r="I348" s="11"/>
      <c r="J348" s="10">
        <f t="shared" si="35"/>
        <v>0</v>
      </c>
      <c r="K348" s="10">
        <f t="shared" si="36"/>
        <v>0</v>
      </c>
      <c r="L348" s="9" t="str">
        <f t="shared" si="37"/>
        <v/>
      </c>
      <c r="M348" s="8"/>
      <c r="N348" s="8"/>
      <c r="O348" s="8"/>
      <c r="P348" s="8"/>
      <c r="Q348" s="8"/>
      <c r="R348" s="8"/>
      <c r="S348" s="8"/>
      <c r="T348" s="8"/>
      <c r="U348" s="8"/>
      <c r="V348" s="7"/>
      <c r="W348" s="6" t="str">
        <f t="array" ref="W348">IF(NOT(ISBLANK(D348)),_xludf.XLOOKUP(D348,[2]CODE!$A$4:$A$100,[2]CODE!$D$4:$D$100),"")</f>
        <v/>
      </c>
      <c r="X348" s="5" t="str">
        <f t="array" ref="X348">IF(NOT(AND(ISBLANK(D348),ISBLANK(C348))),_xludf.XLOOKUP(D348,[2]CODE!$A$4:$A$100,[2]CODE!$E$4:$E$100),"")</f>
        <v/>
      </c>
      <c r="Y348" s="5" t="str">
        <f t="shared" si="38"/>
        <v/>
      </c>
      <c r="Z348" s="5" t="str">
        <f t="shared" si="39"/>
        <v/>
      </c>
      <c r="AA348" s="4">
        <f t="shared" si="40"/>
        <v>0</v>
      </c>
      <c r="AC348" s="2"/>
    </row>
    <row r="349" spans="1:29" ht="15.5">
      <c r="A349" s="13" t="str">
        <f>IF(OR(ISBLANK(C349),ISBLANK(D349),ISBLANK(F349),ISBLANK(G349)),"",COUNTIF($B$5:B349,"JAMBUTU"))</f>
        <v/>
      </c>
      <c r="B349" s="8" t="str">
        <f t="shared" si="41"/>
        <v/>
      </c>
      <c r="C349" s="8"/>
      <c r="D349" s="8"/>
      <c r="E349" s="13"/>
      <c r="F349" s="12"/>
      <c r="G349" s="11"/>
      <c r="H349" s="12"/>
      <c r="I349" s="11"/>
      <c r="J349" s="10">
        <f t="shared" si="35"/>
        <v>0</v>
      </c>
      <c r="K349" s="10">
        <f t="shared" si="36"/>
        <v>0</v>
      </c>
      <c r="L349" s="9" t="str">
        <f t="shared" si="37"/>
        <v/>
      </c>
      <c r="M349" s="8"/>
      <c r="N349" s="8"/>
      <c r="O349" s="8"/>
      <c r="P349" s="8"/>
      <c r="Q349" s="8"/>
      <c r="R349" s="8"/>
      <c r="S349" s="8"/>
      <c r="T349" s="8"/>
      <c r="U349" s="8"/>
      <c r="V349" s="7"/>
      <c r="W349" s="6" t="str">
        <f t="array" ref="W349">IF(NOT(ISBLANK(D349)),_xludf.XLOOKUP(D349,[2]CODE!$A$4:$A$100,[2]CODE!$D$4:$D$100),"")</f>
        <v/>
      </c>
      <c r="X349" s="5" t="str">
        <f t="array" ref="X349">IF(NOT(AND(ISBLANK(D349),ISBLANK(C349))),_xludf.XLOOKUP(D349,[2]CODE!$A$4:$A$100,[2]CODE!$E$4:$E$100),"")</f>
        <v/>
      </c>
      <c r="Y349" s="5" t="str">
        <f t="shared" si="38"/>
        <v/>
      </c>
      <c r="Z349" s="5" t="str">
        <f t="shared" si="39"/>
        <v/>
      </c>
      <c r="AA349" s="4">
        <f t="shared" si="40"/>
        <v>0</v>
      </c>
      <c r="AC349" s="2"/>
    </row>
    <row r="350" spans="1:29" ht="15.5">
      <c r="A350" s="13" t="str">
        <f>IF(OR(ISBLANK(C350),ISBLANK(D350),ISBLANK(F350),ISBLANK(G350)),"",COUNTIF($B$5:B350,"JAMBUTU"))</f>
        <v/>
      </c>
      <c r="B350" s="8" t="str">
        <f t="shared" si="41"/>
        <v/>
      </c>
      <c r="C350" s="8"/>
      <c r="D350" s="8"/>
      <c r="E350" s="13"/>
      <c r="F350" s="12"/>
      <c r="G350" s="11"/>
      <c r="H350" s="12"/>
      <c r="I350" s="11"/>
      <c r="J350" s="10">
        <f t="shared" si="35"/>
        <v>0</v>
      </c>
      <c r="K350" s="10">
        <f t="shared" si="36"/>
        <v>0</v>
      </c>
      <c r="L350" s="9" t="str">
        <f t="shared" si="37"/>
        <v/>
      </c>
      <c r="M350" s="8"/>
      <c r="N350" s="8"/>
      <c r="O350" s="8"/>
      <c r="P350" s="8"/>
      <c r="Q350" s="8"/>
      <c r="R350" s="8"/>
      <c r="S350" s="8"/>
      <c r="T350" s="8"/>
      <c r="U350" s="8"/>
      <c r="V350" s="7"/>
      <c r="W350" s="6" t="str">
        <f t="array" ref="W350">IF(NOT(ISBLANK(D350)),_xludf.XLOOKUP(D350,[2]CODE!$A$4:$A$100,[2]CODE!$D$4:$D$100),"")</f>
        <v/>
      </c>
      <c r="X350" s="5" t="str">
        <f t="array" ref="X350">IF(NOT(AND(ISBLANK(D350),ISBLANK(C350))),_xludf.XLOOKUP(D350,[2]CODE!$A$4:$A$100,[2]CODE!$E$4:$E$100),"")</f>
        <v/>
      </c>
      <c r="Y350" s="5" t="str">
        <f t="shared" si="38"/>
        <v/>
      </c>
      <c r="Z350" s="5" t="str">
        <f t="shared" si="39"/>
        <v/>
      </c>
      <c r="AA350" s="4">
        <f t="shared" si="40"/>
        <v>0</v>
      </c>
      <c r="AC350" s="2"/>
    </row>
    <row r="351" spans="1:29" ht="15.5">
      <c r="A351" s="13" t="str">
        <f>IF(OR(ISBLANK(C351),ISBLANK(D351),ISBLANK(F351),ISBLANK(G351)),"",COUNTIF($B$5:B351,"JAMBUTU"))</f>
        <v/>
      </c>
      <c r="B351" s="8" t="str">
        <f t="shared" si="41"/>
        <v/>
      </c>
      <c r="C351" s="8"/>
      <c r="D351" s="8"/>
      <c r="E351" s="13"/>
      <c r="F351" s="12"/>
      <c r="G351" s="11"/>
      <c r="H351" s="12"/>
      <c r="I351" s="11"/>
      <c r="J351" s="10">
        <f t="shared" si="35"/>
        <v>0</v>
      </c>
      <c r="K351" s="10">
        <f t="shared" si="36"/>
        <v>0</v>
      </c>
      <c r="L351" s="9" t="str">
        <f t="shared" si="37"/>
        <v/>
      </c>
      <c r="M351" s="8"/>
      <c r="N351" s="8"/>
      <c r="O351" s="8"/>
      <c r="P351" s="8"/>
      <c r="Q351" s="8"/>
      <c r="R351" s="8"/>
      <c r="S351" s="8"/>
      <c r="T351" s="8"/>
      <c r="U351" s="8"/>
      <c r="V351" s="7"/>
      <c r="W351" s="6" t="str">
        <f t="array" ref="W351">IF(NOT(ISBLANK(D351)),_xludf.XLOOKUP(D351,[2]CODE!$A$4:$A$100,[2]CODE!$D$4:$D$100),"")</f>
        <v/>
      </c>
      <c r="X351" s="5" t="str">
        <f t="array" ref="X351">IF(NOT(AND(ISBLANK(D351),ISBLANK(C351))),_xludf.XLOOKUP(D351,[2]CODE!$A$4:$A$100,[2]CODE!$E$4:$E$100),"")</f>
        <v/>
      </c>
      <c r="Y351" s="5" t="str">
        <f t="shared" si="38"/>
        <v/>
      </c>
      <c r="Z351" s="5" t="str">
        <f t="shared" si="39"/>
        <v/>
      </c>
      <c r="AA351" s="4">
        <f t="shared" si="40"/>
        <v>0</v>
      </c>
      <c r="AC351" s="2"/>
    </row>
    <row r="352" spans="1:29" ht="15.5">
      <c r="A352" s="13" t="str">
        <f>IF(OR(ISBLANK(C352),ISBLANK(D352),ISBLANK(F352),ISBLANK(G352)),"",COUNTIF($B$5:B352,"JAMBUTU"))</f>
        <v/>
      </c>
      <c r="B352" s="8" t="str">
        <f t="shared" si="41"/>
        <v/>
      </c>
      <c r="C352" s="8"/>
      <c r="D352" s="8"/>
      <c r="E352" s="13"/>
      <c r="F352" s="12"/>
      <c r="G352" s="11"/>
      <c r="H352" s="12"/>
      <c r="I352" s="11"/>
      <c r="J352" s="10">
        <f t="shared" si="35"/>
        <v>0</v>
      </c>
      <c r="K352" s="10">
        <f t="shared" si="36"/>
        <v>0</v>
      </c>
      <c r="L352" s="9" t="str">
        <f t="shared" si="37"/>
        <v/>
      </c>
      <c r="M352" s="8"/>
      <c r="N352" s="8"/>
      <c r="O352" s="8"/>
      <c r="P352" s="8"/>
      <c r="Q352" s="8"/>
      <c r="R352" s="8"/>
      <c r="S352" s="8"/>
      <c r="T352" s="8"/>
      <c r="U352" s="8"/>
      <c r="V352" s="7"/>
      <c r="W352" s="6" t="str">
        <f t="array" ref="W352">IF(NOT(ISBLANK(D352)),_xludf.XLOOKUP(D352,[2]CODE!$A$4:$A$100,[2]CODE!$D$4:$D$100),"")</f>
        <v/>
      </c>
      <c r="X352" s="5" t="str">
        <f t="array" ref="X352">IF(NOT(AND(ISBLANK(D352),ISBLANK(C352))),_xludf.XLOOKUP(D352,[2]CODE!$A$4:$A$100,[2]CODE!$E$4:$E$100),"")</f>
        <v/>
      </c>
      <c r="Y352" s="5" t="str">
        <f t="shared" si="38"/>
        <v/>
      </c>
      <c r="Z352" s="5" t="str">
        <f t="shared" si="39"/>
        <v/>
      </c>
      <c r="AA352" s="4">
        <f t="shared" si="40"/>
        <v>0</v>
      </c>
      <c r="AC352" s="2"/>
    </row>
    <row r="353" spans="1:29" ht="15.5">
      <c r="A353" s="13" t="str">
        <f>IF(OR(ISBLANK(C353),ISBLANK(D353),ISBLANK(F353),ISBLANK(G353)),"",COUNTIF($B$5:B353,"JAMBUTU"))</f>
        <v/>
      </c>
      <c r="B353" s="8" t="str">
        <f t="shared" si="41"/>
        <v/>
      </c>
      <c r="C353" s="8"/>
      <c r="D353" s="8"/>
      <c r="E353" s="13"/>
      <c r="F353" s="12"/>
      <c r="G353" s="11"/>
      <c r="H353" s="12"/>
      <c r="I353" s="11"/>
      <c r="J353" s="10">
        <f t="shared" si="35"/>
        <v>0</v>
      </c>
      <c r="K353" s="10">
        <f t="shared" si="36"/>
        <v>0</v>
      </c>
      <c r="L353" s="9" t="str">
        <f t="shared" si="37"/>
        <v/>
      </c>
      <c r="M353" s="8"/>
      <c r="N353" s="8"/>
      <c r="O353" s="8"/>
      <c r="P353" s="8"/>
      <c r="Q353" s="8"/>
      <c r="R353" s="8"/>
      <c r="S353" s="8"/>
      <c r="T353" s="8"/>
      <c r="U353" s="8"/>
      <c r="V353" s="7"/>
      <c r="W353" s="6" t="str">
        <f t="array" ref="W353">IF(NOT(ISBLANK(D353)),_xludf.XLOOKUP(D353,[2]CODE!$A$4:$A$100,[2]CODE!$D$4:$D$100),"")</f>
        <v/>
      </c>
      <c r="X353" s="5" t="str">
        <f t="array" ref="X353">IF(NOT(AND(ISBLANK(D353),ISBLANK(C353))),_xludf.XLOOKUP(D353,[2]CODE!$A$4:$A$100,[2]CODE!$E$4:$E$100),"")</f>
        <v/>
      </c>
      <c r="Y353" s="5" t="str">
        <f t="shared" si="38"/>
        <v/>
      </c>
      <c r="Z353" s="5" t="str">
        <f t="shared" si="39"/>
        <v/>
      </c>
      <c r="AA353" s="4">
        <f t="shared" si="40"/>
        <v>0</v>
      </c>
      <c r="AC353" s="2"/>
    </row>
    <row r="354" spans="1:29" ht="15.5">
      <c r="A354" s="13" t="str">
        <f>IF(OR(ISBLANK(C354),ISBLANK(D354),ISBLANK(F354),ISBLANK(G354)),"",COUNTIF($B$5:B354,"JAMBUTU"))</f>
        <v/>
      </c>
      <c r="B354" s="8" t="str">
        <f t="shared" si="41"/>
        <v/>
      </c>
      <c r="C354" s="8"/>
      <c r="D354" s="8"/>
      <c r="E354" s="13"/>
      <c r="F354" s="12"/>
      <c r="G354" s="11"/>
      <c r="H354" s="12"/>
      <c r="I354" s="11"/>
      <c r="J354" s="10">
        <f t="shared" si="35"/>
        <v>0</v>
      </c>
      <c r="K354" s="10">
        <f t="shared" si="36"/>
        <v>0</v>
      </c>
      <c r="L354" s="9" t="str">
        <f t="shared" si="37"/>
        <v/>
      </c>
      <c r="M354" s="8"/>
      <c r="N354" s="8"/>
      <c r="O354" s="8"/>
      <c r="P354" s="8"/>
      <c r="Q354" s="8"/>
      <c r="R354" s="8"/>
      <c r="S354" s="8"/>
      <c r="T354" s="8"/>
      <c r="U354" s="8"/>
      <c r="V354" s="7"/>
      <c r="W354" s="6" t="str">
        <f t="array" ref="W354">IF(NOT(ISBLANK(D354)),_xludf.XLOOKUP(D354,[2]CODE!$A$4:$A$100,[2]CODE!$D$4:$D$100),"")</f>
        <v/>
      </c>
      <c r="X354" s="5" t="str">
        <f t="array" ref="X354">IF(NOT(AND(ISBLANK(D354),ISBLANK(C354))),_xludf.XLOOKUP(D354,[2]CODE!$A$4:$A$100,[2]CODE!$E$4:$E$100),"")</f>
        <v/>
      </c>
      <c r="Y354" s="5" t="str">
        <f t="shared" si="38"/>
        <v/>
      </c>
      <c r="Z354" s="5" t="str">
        <f t="shared" si="39"/>
        <v/>
      </c>
      <c r="AA354" s="4">
        <f t="shared" si="40"/>
        <v>0</v>
      </c>
      <c r="AC354" s="2"/>
    </row>
    <row r="355" spans="1:29" ht="15.5">
      <c r="A355" s="13" t="str">
        <f>IF(OR(ISBLANK(C355),ISBLANK(D355),ISBLANK(F355),ISBLANK(G355)),"",COUNTIF($B$5:B355,"JAMBUTU"))</f>
        <v/>
      </c>
      <c r="B355" s="8" t="str">
        <f t="shared" si="41"/>
        <v/>
      </c>
      <c r="C355" s="8"/>
      <c r="D355" s="8"/>
      <c r="E355" s="13"/>
      <c r="F355" s="12"/>
      <c r="G355" s="11"/>
      <c r="H355" s="12"/>
      <c r="I355" s="11"/>
      <c r="J355" s="10">
        <f t="shared" si="35"/>
        <v>0</v>
      </c>
      <c r="K355" s="10">
        <f t="shared" si="36"/>
        <v>0</v>
      </c>
      <c r="L355" s="9" t="str">
        <f t="shared" si="37"/>
        <v/>
      </c>
      <c r="M355" s="8"/>
      <c r="N355" s="8"/>
      <c r="O355" s="8"/>
      <c r="P355" s="8"/>
      <c r="Q355" s="8"/>
      <c r="R355" s="8"/>
      <c r="S355" s="8"/>
      <c r="T355" s="8"/>
      <c r="U355" s="8"/>
      <c r="V355" s="7"/>
      <c r="W355" s="6" t="str">
        <f t="array" ref="W355">IF(NOT(ISBLANK(D355)),_xludf.XLOOKUP(D355,[2]CODE!$A$4:$A$100,[2]CODE!$D$4:$D$100),"")</f>
        <v/>
      </c>
      <c r="X355" s="5" t="str">
        <f t="array" ref="X355">IF(NOT(AND(ISBLANK(D355),ISBLANK(C355))),_xludf.XLOOKUP(D355,[2]CODE!$A$4:$A$100,[2]CODE!$E$4:$E$100),"")</f>
        <v/>
      </c>
      <c r="Y355" s="5" t="str">
        <f t="shared" si="38"/>
        <v/>
      </c>
      <c r="Z355" s="5" t="str">
        <f t="shared" si="39"/>
        <v/>
      </c>
      <c r="AA355" s="4">
        <f t="shared" si="40"/>
        <v>0</v>
      </c>
      <c r="AC355" s="2"/>
    </row>
    <row r="356" spans="1:29" ht="15.5">
      <c r="A356" s="13" t="str">
        <f>IF(OR(ISBLANK(C356),ISBLANK(D356),ISBLANK(F356),ISBLANK(G356)),"",COUNTIF($B$5:B356,"JAMBUTU"))</f>
        <v/>
      </c>
      <c r="B356" s="8" t="str">
        <f t="shared" si="41"/>
        <v/>
      </c>
      <c r="C356" s="8"/>
      <c r="D356" s="8"/>
      <c r="E356" s="13"/>
      <c r="F356" s="12"/>
      <c r="G356" s="11"/>
      <c r="H356" s="12"/>
      <c r="I356" s="11"/>
      <c r="J356" s="10">
        <f t="shared" si="35"/>
        <v>0</v>
      </c>
      <c r="K356" s="10">
        <f t="shared" si="36"/>
        <v>0</v>
      </c>
      <c r="L356" s="9" t="str">
        <f t="shared" si="37"/>
        <v/>
      </c>
      <c r="M356" s="8"/>
      <c r="N356" s="8"/>
      <c r="O356" s="8"/>
      <c r="P356" s="8"/>
      <c r="Q356" s="8"/>
      <c r="R356" s="8"/>
      <c r="S356" s="8"/>
      <c r="T356" s="8"/>
      <c r="U356" s="8"/>
      <c r="V356" s="7"/>
      <c r="W356" s="6" t="str">
        <f t="array" ref="W356">IF(NOT(ISBLANK(D356)),_xludf.XLOOKUP(D356,[2]CODE!$A$4:$A$100,[2]CODE!$D$4:$D$100),"")</f>
        <v/>
      </c>
      <c r="X356" s="5" t="str">
        <f t="array" ref="X356">IF(NOT(AND(ISBLANK(D356),ISBLANK(C356))),_xludf.XLOOKUP(D356,[2]CODE!$A$4:$A$100,[2]CODE!$E$4:$E$100),"")</f>
        <v/>
      </c>
      <c r="Y356" s="5" t="str">
        <f t="shared" si="38"/>
        <v/>
      </c>
      <c r="Z356" s="5" t="str">
        <f t="shared" si="39"/>
        <v/>
      </c>
      <c r="AA356" s="4">
        <f t="shared" si="40"/>
        <v>0</v>
      </c>
      <c r="AC356" s="2"/>
    </row>
    <row r="357" spans="1:29" ht="15.5">
      <c r="A357" s="13" t="str">
        <f>IF(OR(ISBLANK(C357),ISBLANK(D357),ISBLANK(F357),ISBLANK(G357)),"",COUNTIF($B$5:B357,"JAMBUTU"))</f>
        <v/>
      </c>
      <c r="B357" s="8" t="str">
        <f t="shared" si="41"/>
        <v/>
      </c>
      <c r="C357" s="8"/>
      <c r="D357" s="8"/>
      <c r="E357" s="13"/>
      <c r="F357" s="12"/>
      <c r="G357" s="11"/>
      <c r="H357" s="12"/>
      <c r="I357" s="11"/>
      <c r="J357" s="10">
        <f t="shared" si="35"/>
        <v>0</v>
      </c>
      <c r="K357" s="10">
        <f t="shared" si="36"/>
        <v>0</v>
      </c>
      <c r="L357" s="9" t="str">
        <f t="shared" si="37"/>
        <v/>
      </c>
      <c r="M357" s="8"/>
      <c r="N357" s="8"/>
      <c r="O357" s="8"/>
      <c r="P357" s="8"/>
      <c r="Q357" s="8"/>
      <c r="R357" s="8"/>
      <c r="S357" s="8"/>
      <c r="T357" s="8"/>
      <c r="U357" s="8"/>
      <c r="V357" s="7"/>
      <c r="W357" s="6" t="str">
        <f t="array" ref="W357">IF(NOT(ISBLANK(D357)),_xludf.XLOOKUP(D357,[2]CODE!$A$4:$A$100,[2]CODE!$D$4:$D$100),"")</f>
        <v/>
      </c>
      <c r="X357" s="5" t="str">
        <f t="array" ref="X357">IF(NOT(AND(ISBLANK(D357),ISBLANK(C357))),_xludf.XLOOKUP(D357,[2]CODE!$A$4:$A$100,[2]CODE!$E$4:$E$100),"")</f>
        <v/>
      </c>
      <c r="Y357" s="5" t="str">
        <f t="shared" si="38"/>
        <v/>
      </c>
      <c r="Z357" s="5" t="str">
        <f t="shared" si="39"/>
        <v/>
      </c>
      <c r="AA357" s="4">
        <f t="shared" si="40"/>
        <v>0</v>
      </c>
      <c r="AC357" s="2"/>
    </row>
    <row r="358" spans="1:29" ht="15.5">
      <c r="A358" s="13" t="str">
        <f>IF(OR(ISBLANK(C358),ISBLANK(D358),ISBLANK(F358),ISBLANK(G358)),"",COUNTIF($B$5:B358,"JAMBUTU"))</f>
        <v/>
      </c>
      <c r="B358" s="8" t="str">
        <f t="shared" si="41"/>
        <v/>
      </c>
      <c r="C358" s="8"/>
      <c r="D358" s="8"/>
      <c r="E358" s="13"/>
      <c r="F358" s="12"/>
      <c r="G358" s="11"/>
      <c r="H358" s="12"/>
      <c r="I358" s="11"/>
      <c r="J358" s="10">
        <f t="shared" si="35"/>
        <v>0</v>
      </c>
      <c r="K358" s="10">
        <f t="shared" si="36"/>
        <v>0</v>
      </c>
      <c r="L358" s="9" t="str">
        <f t="shared" si="37"/>
        <v/>
      </c>
      <c r="M358" s="8"/>
      <c r="N358" s="8"/>
      <c r="O358" s="8"/>
      <c r="P358" s="8"/>
      <c r="Q358" s="8"/>
      <c r="R358" s="8"/>
      <c r="S358" s="8"/>
      <c r="T358" s="8"/>
      <c r="U358" s="8"/>
      <c r="V358" s="7"/>
      <c r="W358" s="6" t="str">
        <f t="array" ref="W358">IF(NOT(ISBLANK(D358)),_xludf.XLOOKUP(D358,[2]CODE!$A$4:$A$100,[2]CODE!$D$4:$D$100),"")</f>
        <v/>
      </c>
      <c r="X358" s="5" t="str">
        <f t="array" ref="X358">IF(NOT(AND(ISBLANK(D358),ISBLANK(C358))),_xludf.XLOOKUP(D358,[2]CODE!$A$4:$A$100,[2]CODE!$E$4:$E$100),"")</f>
        <v/>
      </c>
      <c r="Y358" s="5" t="str">
        <f t="shared" si="38"/>
        <v/>
      </c>
      <c r="Z358" s="5" t="str">
        <f t="shared" si="39"/>
        <v/>
      </c>
      <c r="AA358" s="4">
        <f t="shared" si="40"/>
        <v>0</v>
      </c>
      <c r="AC358" s="2"/>
    </row>
    <row r="359" spans="1:29" ht="15.5">
      <c r="A359" s="13" t="str">
        <f>IF(OR(ISBLANK(C359),ISBLANK(D359),ISBLANK(F359),ISBLANK(G359)),"",COUNTIF($B$5:B359,"JAMBUTU"))</f>
        <v/>
      </c>
      <c r="B359" s="8" t="str">
        <f t="shared" si="41"/>
        <v/>
      </c>
      <c r="C359" s="8"/>
      <c r="D359" s="8"/>
      <c r="E359" s="13"/>
      <c r="F359" s="12"/>
      <c r="G359" s="11"/>
      <c r="H359" s="12"/>
      <c r="I359" s="11"/>
      <c r="J359" s="10">
        <f t="shared" si="35"/>
        <v>0</v>
      </c>
      <c r="K359" s="10">
        <f t="shared" si="36"/>
        <v>0</v>
      </c>
      <c r="L359" s="9" t="str">
        <f t="shared" si="37"/>
        <v/>
      </c>
      <c r="M359" s="8"/>
      <c r="N359" s="8"/>
      <c r="O359" s="8"/>
      <c r="P359" s="8"/>
      <c r="Q359" s="8"/>
      <c r="R359" s="8"/>
      <c r="S359" s="8"/>
      <c r="T359" s="8"/>
      <c r="U359" s="8"/>
      <c r="V359" s="7"/>
      <c r="W359" s="6" t="str">
        <f t="array" ref="W359">IF(NOT(ISBLANK(D359)),_xludf.XLOOKUP(D359,[2]CODE!$A$4:$A$100,[2]CODE!$D$4:$D$100),"")</f>
        <v/>
      </c>
      <c r="X359" s="5" t="str">
        <f t="array" ref="X359">IF(NOT(AND(ISBLANK(D359),ISBLANK(C359))),_xludf.XLOOKUP(D359,[2]CODE!$A$4:$A$100,[2]CODE!$E$4:$E$100),"")</f>
        <v/>
      </c>
      <c r="Y359" s="5" t="str">
        <f t="shared" si="38"/>
        <v/>
      </c>
      <c r="Z359" s="5" t="str">
        <f t="shared" si="39"/>
        <v/>
      </c>
      <c r="AA359" s="4">
        <f t="shared" si="40"/>
        <v>0</v>
      </c>
      <c r="AC359" s="2"/>
    </row>
    <row r="360" spans="1:29" ht="15.5">
      <c r="A360" s="13" t="str">
        <f>IF(OR(ISBLANK(C360),ISBLANK(D360),ISBLANK(F360),ISBLANK(G360)),"",COUNTIF($B$5:B360,"JAMBUTU"))</f>
        <v/>
      </c>
      <c r="B360" s="8" t="str">
        <f t="shared" si="41"/>
        <v/>
      </c>
      <c r="C360" s="8"/>
      <c r="D360" s="8"/>
      <c r="E360" s="13"/>
      <c r="F360" s="12"/>
      <c r="G360" s="11"/>
      <c r="H360" s="12"/>
      <c r="I360" s="11"/>
      <c r="J360" s="10">
        <f t="shared" si="35"/>
        <v>0</v>
      </c>
      <c r="K360" s="10">
        <f t="shared" si="36"/>
        <v>0</v>
      </c>
      <c r="L360" s="9" t="str">
        <f t="shared" si="37"/>
        <v/>
      </c>
      <c r="M360" s="8"/>
      <c r="N360" s="8"/>
      <c r="O360" s="8"/>
      <c r="P360" s="8"/>
      <c r="Q360" s="8"/>
      <c r="R360" s="8"/>
      <c r="S360" s="8"/>
      <c r="T360" s="8"/>
      <c r="U360" s="8"/>
      <c r="V360" s="7"/>
      <c r="W360" s="6" t="str">
        <f t="array" ref="W360">IF(NOT(ISBLANK(D360)),_xludf.XLOOKUP(D360,[2]CODE!$A$4:$A$100,[2]CODE!$D$4:$D$100),"")</f>
        <v/>
      </c>
      <c r="X360" s="5" t="str">
        <f t="array" ref="X360">IF(NOT(AND(ISBLANK(D360),ISBLANK(C360))),_xludf.XLOOKUP(D360,[2]CODE!$A$4:$A$100,[2]CODE!$E$4:$E$100),"")</f>
        <v/>
      </c>
      <c r="Y360" s="5" t="str">
        <f t="shared" si="38"/>
        <v/>
      </c>
      <c r="Z360" s="5" t="str">
        <f t="shared" si="39"/>
        <v/>
      </c>
      <c r="AA360" s="4">
        <f t="shared" si="40"/>
        <v>0</v>
      </c>
      <c r="AC360" s="2"/>
    </row>
    <row r="361" spans="1:29" ht="15.5">
      <c r="A361" s="13" t="str">
        <f>IF(OR(ISBLANK(C361),ISBLANK(D361),ISBLANK(F361),ISBLANK(G361)),"",COUNTIF($B$5:B361,"JAMBUTU"))</f>
        <v/>
      </c>
      <c r="B361" s="8" t="str">
        <f t="shared" si="41"/>
        <v/>
      </c>
      <c r="C361" s="8"/>
      <c r="D361" s="8"/>
      <c r="E361" s="13"/>
      <c r="F361" s="12"/>
      <c r="G361" s="11"/>
      <c r="H361" s="12"/>
      <c r="I361" s="11"/>
      <c r="J361" s="10">
        <f t="shared" si="35"/>
        <v>0</v>
      </c>
      <c r="K361" s="10">
        <f t="shared" si="36"/>
        <v>0</v>
      </c>
      <c r="L361" s="9" t="str">
        <f t="shared" si="37"/>
        <v/>
      </c>
      <c r="M361" s="8"/>
      <c r="N361" s="8"/>
      <c r="O361" s="8"/>
      <c r="P361" s="8"/>
      <c r="Q361" s="8"/>
      <c r="R361" s="8"/>
      <c r="S361" s="8"/>
      <c r="T361" s="8"/>
      <c r="U361" s="8"/>
      <c r="V361" s="7"/>
      <c r="W361" s="6" t="str">
        <f t="array" ref="W361">IF(NOT(ISBLANK(D361)),_xludf.XLOOKUP(D361,[2]CODE!$A$4:$A$100,[2]CODE!$D$4:$D$100),"")</f>
        <v/>
      </c>
      <c r="X361" s="5" t="str">
        <f t="array" ref="X361">IF(NOT(AND(ISBLANK(D361),ISBLANK(C361))),_xludf.XLOOKUP(D361,[2]CODE!$A$4:$A$100,[2]CODE!$E$4:$E$100),"")</f>
        <v/>
      </c>
      <c r="Y361" s="5" t="str">
        <f t="shared" si="38"/>
        <v/>
      </c>
      <c r="Z361" s="5" t="str">
        <f t="shared" si="39"/>
        <v/>
      </c>
      <c r="AA361" s="4">
        <f t="shared" si="40"/>
        <v>0</v>
      </c>
      <c r="AC361" s="2"/>
    </row>
    <row r="362" spans="1:29" ht="15.5">
      <c r="A362" s="13" t="str">
        <f>IF(OR(ISBLANK(C362),ISBLANK(D362),ISBLANK(F362),ISBLANK(G362)),"",COUNTIF($B$5:B362,"JAMBUTU"))</f>
        <v/>
      </c>
      <c r="B362" s="8" t="str">
        <f t="shared" si="41"/>
        <v/>
      </c>
      <c r="C362" s="8"/>
      <c r="D362" s="8"/>
      <c r="E362" s="13"/>
      <c r="F362" s="12"/>
      <c r="G362" s="11"/>
      <c r="H362" s="12"/>
      <c r="I362" s="11"/>
      <c r="J362" s="10">
        <f t="shared" si="35"/>
        <v>0</v>
      </c>
      <c r="K362" s="10">
        <f t="shared" si="36"/>
        <v>0</v>
      </c>
      <c r="L362" s="9" t="str">
        <f t="shared" si="37"/>
        <v/>
      </c>
      <c r="M362" s="8"/>
      <c r="N362" s="8"/>
      <c r="O362" s="8"/>
      <c r="P362" s="8"/>
      <c r="Q362" s="8"/>
      <c r="R362" s="8"/>
      <c r="S362" s="8"/>
      <c r="T362" s="8"/>
      <c r="U362" s="8"/>
      <c r="V362" s="7"/>
      <c r="W362" s="6" t="str">
        <f t="array" ref="W362">IF(NOT(ISBLANK(D362)),_xludf.XLOOKUP(D362,[2]CODE!$A$4:$A$100,[2]CODE!$D$4:$D$100),"")</f>
        <v/>
      </c>
      <c r="X362" s="5" t="str">
        <f t="array" ref="X362">IF(NOT(AND(ISBLANK(D362),ISBLANK(C362))),_xludf.XLOOKUP(D362,[2]CODE!$A$4:$A$100,[2]CODE!$E$4:$E$100),"")</f>
        <v/>
      </c>
      <c r="Y362" s="5" t="str">
        <f t="shared" si="38"/>
        <v/>
      </c>
      <c r="Z362" s="5" t="str">
        <f t="shared" si="39"/>
        <v/>
      </c>
      <c r="AA362" s="4">
        <f t="shared" si="40"/>
        <v>0</v>
      </c>
      <c r="AC362" s="2"/>
    </row>
    <row r="363" spans="1:29" ht="15.5">
      <c r="A363" s="13" t="str">
        <f>IF(OR(ISBLANK(C363),ISBLANK(D363),ISBLANK(F363),ISBLANK(G363)),"",COUNTIF($B$5:B363,"JAMBUTU"))</f>
        <v/>
      </c>
      <c r="B363" s="8" t="str">
        <f t="shared" si="41"/>
        <v/>
      </c>
      <c r="C363" s="8"/>
      <c r="D363" s="8"/>
      <c r="E363" s="13"/>
      <c r="F363" s="12"/>
      <c r="G363" s="11"/>
      <c r="H363" s="12"/>
      <c r="I363" s="11"/>
      <c r="J363" s="10">
        <f t="shared" si="35"/>
        <v>0</v>
      </c>
      <c r="K363" s="10">
        <f t="shared" si="36"/>
        <v>0</v>
      </c>
      <c r="L363" s="9" t="str">
        <f t="shared" si="37"/>
        <v/>
      </c>
      <c r="M363" s="8"/>
      <c r="N363" s="8"/>
      <c r="O363" s="8"/>
      <c r="P363" s="8"/>
      <c r="Q363" s="8"/>
      <c r="R363" s="8"/>
      <c r="S363" s="8"/>
      <c r="T363" s="8"/>
      <c r="U363" s="8"/>
      <c r="V363" s="7"/>
      <c r="W363" s="6" t="str">
        <f t="array" ref="W363">IF(NOT(ISBLANK(D363)),_xludf.XLOOKUP(D363,[2]CODE!$A$4:$A$100,[2]CODE!$D$4:$D$100),"")</f>
        <v/>
      </c>
      <c r="X363" s="5" t="str">
        <f t="array" ref="X363">IF(NOT(AND(ISBLANK(D363),ISBLANK(C363))),_xludf.XLOOKUP(D363,[2]CODE!$A$4:$A$100,[2]CODE!$E$4:$E$100),"")</f>
        <v/>
      </c>
      <c r="Y363" s="5" t="str">
        <f t="shared" si="38"/>
        <v/>
      </c>
      <c r="Z363" s="5" t="str">
        <f t="shared" si="39"/>
        <v/>
      </c>
      <c r="AA363" s="4">
        <f t="shared" si="40"/>
        <v>0</v>
      </c>
      <c r="AC363" s="2"/>
    </row>
    <row r="364" spans="1:29" ht="15.5">
      <c r="A364" s="13" t="str">
        <f>IF(OR(ISBLANK(C364),ISBLANK(D364),ISBLANK(F364),ISBLANK(G364)),"",COUNTIF($B$5:B364,"JAMBUTU"))</f>
        <v/>
      </c>
      <c r="B364" s="8" t="str">
        <f t="shared" si="41"/>
        <v/>
      </c>
      <c r="C364" s="8"/>
      <c r="D364" s="8"/>
      <c r="E364" s="13"/>
      <c r="F364" s="12"/>
      <c r="G364" s="11"/>
      <c r="H364" s="12"/>
      <c r="I364" s="11"/>
      <c r="J364" s="10">
        <f t="shared" si="35"/>
        <v>0</v>
      </c>
      <c r="K364" s="10">
        <f t="shared" si="36"/>
        <v>0</v>
      </c>
      <c r="L364" s="9" t="str">
        <f t="shared" si="37"/>
        <v/>
      </c>
      <c r="M364" s="8"/>
      <c r="N364" s="8"/>
      <c r="O364" s="8"/>
      <c r="P364" s="8"/>
      <c r="Q364" s="8"/>
      <c r="R364" s="8"/>
      <c r="S364" s="8"/>
      <c r="T364" s="8"/>
      <c r="U364" s="8"/>
      <c r="V364" s="7"/>
      <c r="W364" s="6" t="str">
        <f t="array" ref="W364">IF(NOT(ISBLANK(D364)),_xludf.XLOOKUP(D364,[2]CODE!$A$4:$A$100,[2]CODE!$D$4:$D$100),"")</f>
        <v/>
      </c>
      <c r="X364" s="5" t="str">
        <f t="array" ref="X364">IF(NOT(AND(ISBLANK(D364),ISBLANK(C364))),_xludf.XLOOKUP(D364,[2]CODE!$A$4:$A$100,[2]CODE!$E$4:$E$100),"")</f>
        <v/>
      </c>
      <c r="Y364" s="5" t="str">
        <f t="shared" si="38"/>
        <v/>
      </c>
      <c r="Z364" s="5" t="str">
        <f t="shared" si="39"/>
        <v/>
      </c>
      <c r="AA364" s="4">
        <f t="shared" si="40"/>
        <v>0</v>
      </c>
      <c r="AC364" s="2"/>
    </row>
    <row r="365" spans="1:29" ht="15.5">
      <c r="A365" s="13" t="str">
        <f>IF(OR(ISBLANK(C365),ISBLANK(D365),ISBLANK(F365),ISBLANK(G365)),"",COUNTIF($B$5:B365,"JAMBUTU"))</f>
        <v/>
      </c>
      <c r="B365" s="8" t="str">
        <f t="shared" si="41"/>
        <v/>
      </c>
      <c r="C365" s="8"/>
      <c r="D365" s="8"/>
      <c r="E365" s="13"/>
      <c r="F365" s="12"/>
      <c r="G365" s="11"/>
      <c r="H365" s="12"/>
      <c r="I365" s="11"/>
      <c r="J365" s="10">
        <f t="shared" si="35"/>
        <v>0</v>
      </c>
      <c r="K365" s="10">
        <f t="shared" si="36"/>
        <v>0</v>
      </c>
      <c r="L365" s="9" t="str">
        <f t="shared" si="37"/>
        <v/>
      </c>
      <c r="M365" s="8"/>
      <c r="N365" s="8"/>
      <c r="O365" s="8"/>
      <c r="P365" s="8"/>
      <c r="Q365" s="8"/>
      <c r="R365" s="8"/>
      <c r="S365" s="8"/>
      <c r="T365" s="8"/>
      <c r="U365" s="8"/>
      <c r="V365" s="7"/>
      <c r="W365" s="6" t="str">
        <f t="array" ref="W365">IF(NOT(ISBLANK(D365)),_xludf.XLOOKUP(D365,[2]CODE!$A$4:$A$100,[2]CODE!$D$4:$D$100),"")</f>
        <v/>
      </c>
      <c r="X365" s="5" t="str">
        <f t="array" ref="X365">IF(NOT(AND(ISBLANK(D365),ISBLANK(C365))),_xludf.XLOOKUP(D365,[2]CODE!$A$4:$A$100,[2]CODE!$E$4:$E$100),"")</f>
        <v/>
      </c>
      <c r="Y365" s="5" t="str">
        <f t="shared" si="38"/>
        <v/>
      </c>
      <c r="Z365" s="5" t="str">
        <f t="shared" si="39"/>
        <v/>
      </c>
      <c r="AA365" s="4">
        <f t="shared" si="40"/>
        <v>0</v>
      </c>
      <c r="AC365" s="2"/>
    </row>
    <row r="366" spans="1:29" ht="15.5">
      <c r="A366" s="13" t="str">
        <f>IF(OR(ISBLANK(C366),ISBLANK(D366),ISBLANK(F366),ISBLANK(G366)),"",COUNTIF($B$5:B366,"JAMBUTU"))</f>
        <v/>
      </c>
      <c r="B366" s="8" t="str">
        <f t="shared" si="41"/>
        <v/>
      </c>
      <c r="C366" s="8"/>
      <c r="D366" s="8"/>
      <c r="E366" s="13"/>
      <c r="F366" s="12"/>
      <c r="G366" s="11"/>
      <c r="H366" s="12"/>
      <c r="I366" s="11"/>
      <c r="J366" s="10">
        <f t="shared" si="35"/>
        <v>0</v>
      </c>
      <c r="K366" s="10">
        <f t="shared" si="36"/>
        <v>0</v>
      </c>
      <c r="L366" s="9" t="str">
        <f t="shared" si="37"/>
        <v/>
      </c>
      <c r="M366" s="8"/>
      <c r="N366" s="8"/>
      <c r="O366" s="8"/>
      <c r="P366" s="8"/>
      <c r="Q366" s="8"/>
      <c r="R366" s="8"/>
      <c r="S366" s="8"/>
      <c r="T366" s="8"/>
      <c r="U366" s="8"/>
      <c r="V366" s="7"/>
      <c r="W366" s="6" t="str">
        <f t="array" ref="W366">IF(NOT(ISBLANK(D366)),_xludf.XLOOKUP(D366,[2]CODE!$A$4:$A$100,[2]CODE!$D$4:$D$100),"")</f>
        <v/>
      </c>
      <c r="X366" s="5" t="str">
        <f t="array" ref="X366">IF(NOT(AND(ISBLANK(D366),ISBLANK(C366))),_xludf.XLOOKUP(D366,[2]CODE!$A$4:$A$100,[2]CODE!$E$4:$E$100),"")</f>
        <v/>
      </c>
      <c r="Y366" s="5" t="str">
        <f t="shared" si="38"/>
        <v/>
      </c>
      <c r="Z366" s="5" t="str">
        <f t="shared" si="39"/>
        <v/>
      </c>
      <c r="AA366" s="4">
        <f t="shared" si="40"/>
        <v>0</v>
      </c>
      <c r="AC366" s="2"/>
    </row>
    <row r="367" spans="1:29" ht="15.5">
      <c r="A367" s="13" t="str">
        <f>IF(OR(ISBLANK(C367),ISBLANK(D367),ISBLANK(F367),ISBLANK(G367)),"",COUNTIF($B$5:B367,"JAMBUTU"))</f>
        <v/>
      </c>
      <c r="B367" s="8" t="str">
        <f t="shared" si="41"/>
        <v/>
      </c>
      <c r="C367" s="8"/>
      <c r="D367" s="8"/>
      <c r="E367" s="13"/>
      <c r="F367" s="12"/>
      <c r="G367" s="11"/>
      <c r="H367" s="12"/>
      <c r="I367" s="11"/>
      <c r="J367" s="10">
        <f t="shared" si="35"/>
        <v>0</v>
      </c>
      <c r="K367" s="10">
        <f t="shared" si="36"/>
        <v>0</v>
      </c>
      <c r="L367" s="9" t="str">
        <f t="shared" si="37"/>
        <v/>
      </c>
      <c r="M367" s="8"/>
      <c r="N367" s="8"/>
      <c r="O367" s="8"/>
      <c r="P367" s="8"/>
      <c r="Q367" s="8"/>
      <c r="R367" s="8"/>
      <c r="S367" s="8"/>
      <c r="T367" s="8"/>
      <c r="U367" s="8"/>
      <c r="V367" s="7"/>
      <c r="W367" s="6" t="str">
        <f t="array" ref="W367">IF(NOT(ISBLANK(D367)),_xludf.XLOOKUP(D367,[2]CODE!$A$4:$A$100,[2]CODE!$D$4:$D$100),"")</f>
        <v/>
      </c>
      <c r="X367" s="5" t="str">
        <f t="array" ref="X367">IF(NOT(AND(ISBLANK(D367),ISBLANK(C367))),_xludf.XLOOKUP(D367,[2]CODE!$A$4:$A$100,[2]CODE!$E$4:$E$100),"")</f>
        <v/>
      </c>
      <c r="Y367" s="5" t="str">
        <f t="shared" si="38"/>
        <v/>
      </c>
      <c r="Z367" s="5" t="str">
        <f t="shared" si="39"/>
        <v/>
      </c>
      <c r="AA367" s="4">
        <f t="shared" si="40"/>
        <v>0</v>
      </c>
      <c r="AC367" s="2"/>
    </row>
    <row r="368" spans="1:29" ht="15.5">
      <c r="A368" s="13" t="str">
        <f>IF(OR(ISBLANK(C368),ISBLANK(D368),ISBLANK(F368),ISBLANK(G368)),"",COUNTIF($B$5:B368,"JAMBUTU"))</f>
        <v/>
      </c>
      <c r="B368" s="8" t="str">
        <f t="shared" si="41"/>
        <v/>
      </c>
      <c r="C368" s="8"/>
      <c r="D368" s="8"/>
      <c r="E368" s="13"/>
      <c r="F368" s="12"/>
      <c r="G368" s="11"/>
      <c r="H368" s="12"/>
      <c r="I368" s="11"/>
      <c r="J368" s="10">
        <f t="shared" si="35"/>
        <v>0</v>
      </c>
      <c r="K368" s="10">
        <f t="shared" si="36"/>
        <v>0</v>
      </c>
      <c r="L368" s="9" t="str">
        <f t="shared" si="37"/>
        <v/>
      </c>
      <c r="M368" s="8"/>
      <c r="N368" s="8"/>
      <c r="O368" s="8"/>
      <c r="P368" s="8"/>
      <c r="Q368" s="8"/>
      <c r="R368" s="8"/>
      <c r="S368" s="8"/>
      <c r="T368" s="8"/>
      <c r="U368" s="8"/>
      <c r="V368" s="7"/>
      <c r="W368" s="6" t="str">
        <f t="array" ref="W368">IF(NOT(ISBLANK(D368)),_xludf.XLOOKUP(D368,[2]CODE!$A$4:$A$100,[2]CODE!$D$4:$D$100),"")</f>
        <v/>
      </c>
      <c r="X368" s="5" t="str">
        <f t="array" ref="X368">IF(NOT(AND(ISBLANK(D368),ISBLANK(C368))),_xludf.XLOOKUP(D368,[2]CODE!$A$4:$A$100,[2]CODE!$E$4:$E$100),"")</f>
        <v/>
      </c>
      <c r="Y368" s="5" t="str">
        <f t="shared" si="38"/>
        <v/>
      </c>
      <c r="Z368" s="5" t="str">
        <f t="shared" si="39"/>
        <v/>
      </c>
      <c r="AA368" s="4">
        <f t="shared" si="40"/>
        <v>0</v>
      </c>
      <c r="AC368" s="2"/>
    </row>
    <row r="369" spans="1:29" ht="15.5">
      <c r="A369" s="13" t="str">
        <f>IF(OR(ISBLANK(C369),ISBLANK(D369),ISBLANK(F369),ISBLANK(G369)),"",COUNTIF($B$5:B369,"JAMBUTU"))</f>
        <v/>
      </c>
      <c r="B369" s="8" t="str">
        <f t="shared" si="41"/>
        <v/>
      </c>
      <c r="C369" s="8"/>
      <c r="D369" s="8"/>
      <c r="E369" s="13"/>
      <c r="F369" s="12"/>
      <c r="G369" s="11"/>
      <c r="H369" s="12"/>
      <c r="I369" s="11"/>
      <c r="J369" s="10">
        <f t="shared" si="35"/>
        <v>0</v>
      </c>
      <c r="K369" s="10">
        <f t="shared" si="36"/>
        <v>0</v>
      </c>
      <c r="L369" s="9" t="str">
        <f t="shared" si="37"/>
        <v/>
      </c>
      <c r="M369" s="8"/>
      <c r="N369" s="8"/>
      <c r="O369" s="8"/>
      <c r="P369" s="8"/>
      <c r="Q369" s="8"/>
      <c r="R369" s="8"/>
      <c r="S369" s="8"/>
      <c r="T369" s="8"/>
      <c r="U369" s="8"/>
      <c r="V369" s="7"/>
      <c r="W369" s="6" t="str">
        <f t="array" ref="W369">IF(NOT(ISBLANK(D369)),_xludf.XLOOKUP(D369,[2]CODE!$A$4:$A$100,[2]CODE!$D$4:$D$100),"")</f>
        <v/>
      </c>
      <c r="X369" s="5" t="str">
        <f t="array" ref="X369">IF(NOT(AND(ISBLANK(D369),ISBLANK(C369))),_xludf.XLOOKUP(D369,[2]CODE!$A$4:$A$100,[2]CODE!$E$4:$E$100),"")</f>
        <v/>
      </c>
      <c r="Y369" s="5" t="str">
        <f t="shared" si="38"/>
        <v/>
      </c>
      <c r="Z369" s="5" t="str">
        <f t="shared" si="39"/>
        <v/>
      </c>
      <c r="AA369" s="4">
        <f t="shared" si="40"/>
        <v>0</v>
      </c>
      <c r="AC369" s="2"/>
    </row>
    <row r="370" spans="1:29" ht="15.5">
      <c r="A370" s="13" t="str">
        <f>IF(OR(ISBLANK(C370),ISBLANK(D370),ISBLANK(F370),ISBLANK(G370)),"",COUNTIF($B$5:B370,"JAMBUTU"))</f>
        <v/>
      </c>
      <c r="B370" s="8" t="str">
        <f t="shared" si="41"/>
        <v/>
      </c>
      <c r="C370" s="8"/>
      <c r="D370" s="8"/>
      <c r="E370" s="13"/>
      <c r="F370" s="12"/>
      <c r="G370" s="11"/>
      <c r="H370" s="12"/>
      <c r="I370" s="11"/>
      <c r="J370" s="10">
        <f t="shared" si="35"/>
        <v>0</v>
      </c>
      <c r="K370" s="10">
        <f t="shared" si="36"/>
        <v>0</v>
      </c>
      <c r="L370" s="9" t="str">
        <f t="shared" si="37"/>
        <v/>
      </c>
      <c r="M370" s="8"/>
      <c r="N370" s="8"/>
      <c r="O370" s="8"/>
      <c r="P370" s="8"/>
      <c r="Q370" s="8"/>
      <c r="R370" s="8"/>
      <c r="S370" s="8"/>
      <c r="T370" s="8"/>
      <c r="U370" s="8"/>
      <c r="V370" s="7"/>
      <c r="W370" s="6" t="str">
        <f t="array" ref="W370">IF(NOT(ISBLANK(D370)),_xludf.XLOOKUP(D370,[2]CODE!$A$4:$A$100,[2]CODE!$D$4:$D$100),"")</f>
        <v/>
      </c>
      <c r="X370" s="5" t="str">
        <f t="array" ref="X370">IF(NOT(AND(ISBLANK(D370),ISBLANK(C370))),_xludf.XLOOKUP(D370,[2]CODE!$A$4:$A$100,[2]CODE!$E$4:$E$100),"")</f>
        <v/>
      </c>
      <c r="Y370" s="5" t="str">
        <f t="shared" si="38"/>
        <v/>
      </c>
      <c r="Z370" s="5" t="str">
        <f t="shared" si="39"/>
        <v/>
      </c>
      <c r="AA370" s="4">
        <f t="shared" si="40"/>
        <v>0</v>
      </c>
      <c r="AC370" s="2"/>
    </row>
    <row r="371" spans="1:29" ht="15.5">
      <c r="A371" s="13" t="str">
        <f>IF(OR(ISBLANK(C371),ISBLANK(D371),ISBLANK(F371),ISBLANK(G371)),"",COUNTIF($B$5:B371,"JAMBUTU"))</f>
        <v/>
      </c>
      <c r="B371" s="8" t="str">
        <f t="shared" si="41"/>
        <v/>
      </c>
      <c r="C371" s="8"/>
      <c r="D371" s="8"/>
      <c r="E371" s="13"/>
      <c r="F371" s="12"/>
      <c r="G371" s="11"/>
      <c r="H371" s="12"/>
      <c r="I371" s="11"/>
      <c r="J371" s="10">
        <f t="shared" si="35"/>
        <v>0</v>
      </c>
      <c r="K371" s="10">
        <f t="shared" si="36"/>
        <v>0</v>
      </c>
      <c r="L371" s="9" t="str">
        <f t="shared" si="37"/>
        <v/>
      </c>
      <c r="M371" s="8"/>
      <c r="N371" s="8"/>
      <c r="O371" s="8"/>
      <c r="P371" s="8"/>
      <c r="Q371" s="8"/>
      <c r="R371" s="8"/>
      <c r="S371" s="8"/>
      <c r="T371" s="8"/>
      <c r="U371" s="8"/>
      <c r="V371" s="7"/>
      <c r="W371" s="6" t="str">
        <f t="array" ref="W371">IF(NOT(ISBLANK(D371)),_xludf.XLOOKUP(D371,[2]CODE!$A$4:$A$100,[2]CODE!$D$4:$D$100),"")</f>
        <v/>
      </c>
      <c r="X371" s="5" t="str">
        <f t="array" ref="X371">IF(NOT(AND(ISBLANK(D371),ISBLANK(C371))),_xludf.XLOOKUP(D371,[2]CODE!$A$4:$A$100,[2]CODE!$E$4:$E$100),"")</f>
        <v/>
      </c>
      <c r="Y371" s="5" t="str">
        <f t="shared" si="38"/>
        <v/>
      </c>
      <c r="Z371" s="5" t="str">
        <f t="shared" si="39"/>
        <v/>
      </c>
      <c r="AA371" s="4">
        <f t="shared" si="40"/>
        <v>0</v>
      </c>
      <c r="AC371" s="2"/>
    </row>
    <row r="372" spans="1:29" ht="15.5">
      <c r="A372" s="13" t="str">
        <f>IF(OR(ISBLANK(C372),ISBLANK(D372),ISBLANK(F372),ISBLANK(G372)),"",COUNTIF($B$5:B372,"JAMBUTU"))</f>
        <v/>
      </c>
      <c r="B372" s="8" t="str">
        <f t="shared" si="41"/>
        <v/>
      </c>
      <c r="C372" s="8"/>
      <c r="D372" s="8"/>
      <c r="E372" s="13"/>
      <c r="F372" s="12"/>
      <c r="G372" s="11"/>
      <c r="H372" s="12"/>
      <c r="I372" s="11"/>
      <c r="J372" s="10">
        <f t="shared" si="35"/>
        <v>0</v>
      </c>
      <c r="K372" s="10">
        <f t="shared" si="36"/>
        <v>0</v>
      </c>
      <c r="L372" s="9" t="str">
        <f t="shared" si="37"/>
        <v/>
      </c>
      <c r="M372" s="8"/>
      <c r="N372" s="8"/>
      <c r="O372" s="8"/>
      <c r="P372" s="8"/>
      <c r="Q372" s="8"/>
      <c r="R372" s="8"/>
      <c r="S372" s="8"/>
      <c r="T372" s="8"/>
      <c r="U372" s="8"/>
      <c r="V372" s="7"/>
      <c r="W372" s="6" t="str">
        <f t="array" ref="W372">IF(NOT(ISBLANK(D372)),_xludf.XLOOKUP(D372,[2]CODE!$A$4:$A$100,[2]CODE!$D$4:$D$100),"")</f>
        <v/>
      </c>
      <c r="X372" s="5" t="str">
        <f t="array" ref="X372">IF(NOT(AND(ISBLANK(D372),ISBLANK(C372))),_xludf.XLOOKUP(D372,[2]CODE!$A$4:$A$100,[2]CODE!$E$4:$E$100),"")</f>
        <v/>
      </c>
      <c r="Y372" s="5" t="str">
        <f t="shared" si="38"/>
        <v/>
      </c>
      <c r="Z372" s="5" t="str">
        <f t="shared" si="39"/>
        <v/>
      </c>
      <c r="AA372" s="4">
        <f t="shared" si="40"/>
        <v>0</v>
      </c>
      <c r="AC372" s="2"/>
    </row>
    <row r="373" spans="1:29" ht="15.5">
      <c r="A373" s="13" t="str">
        <f>IF(OR(ISBLANK(C373),ISBLANK(D373),ISBLANK(F373),ISBLANK(G373)),"",COUNTIF($B$5:B373,"JAMBUTU"))</f>
        <v/>
      </c>
      <c r="B373" s="8" t="str">
        <f t="shared" si="41"/>
        <v/>
      </c>
      <c r="C373" s="8"/>
      <c r="D373" s="8"/>
      <c r="E373" s="13"/>
      <c r="F373" s="12"/>
      <c r="G373" s="11"/>
      <c r="H373" s="12"/>
      <c r="I373" s="11"/>
      <c r="J373" s="10">
        <f t="shared" si="35"/>
        <v>0</v>
      </c>
      <c r="K373" s="10">
        <f t="shared" si="36"/>
        <v>0</v>
      </c>
      <c r="L373" s="9" t="str">
        <f t="shared" si="37"/>
        <v/>
      </c>
      <c r="M373" s="8"/>
      <c r="N373" s="8"/>
      <c r="O373" s="8"/>
      <c r="P373" s="8"/>
      <c r="Q373" s="8"/>
      <c r="R373" s="8"/>
      <c r="S373" s="8"/>
      <c r="T373" s="8"/>
      <c r="U373" s="8"/>
      <c r="V373" s="7"/>
      <c r="W373" s="6" t="str">
        <f t="array" ref="W373">IF(NOT(ISBLANK(D373)),_xludf.XLOOKUP(D373,[2]CODE!$A$4:$A$100,[2]CODE!$D$4:$D$100),"")</f>
        <v/>
      </c>
      <c r="X373" s="5" t="str">
        <f t="array" ref="X373">IF(NOT(AND(ISBLANK(D373),ISBLANK(C373))),_xludf.XLOOKUP(D373,[2]CODE!$A$4:$A$100,[2]CODE!$E$4:$E$100),"")</f>
        <v/>
      </c>
      <c r="Y373" s="5" t="str">
        <f t="shared" si="38"/>
        <v/>
      </c>
      <c r="Z373" s="5" t="str">
        <f t="shared" si="39"/>
        <v/>
      </c>
      <c r="AA373" s="4">
        <f t="shared" si="40"/>
        <v>0</v>
      </c>
      <c r="AC373" s="2"/>
    </row>
    <row r="374" spans="1:29" ht="15.5">
      <c r="A374" s="13" t="str">
        <f>IF(OR(ISBLANK(C374),ISBLANK(D374),ISBLANK(F374),ISBLANK(G374)),"",COUNTIF($B$5:B374,"JAMBUTU"))</f>
        <v/>
      </c>
      <c r="B374" s="8" t="str">
        <f t="shared" si="41"/>
        <v/>
      </c>
      <c r="C374" s="8"/>
      <c r="D374" s="8"/>
      <c r="E374" s="13"/>
      <c r="F374" s="12"/>
      <c r="G374" s="11"/>
      <c r="H374" s="12"/>
      <c r="I374" s="11"/>
      <c r="J374" s="10">
        <f t="shared" si="35"/>
        <v>0</v>
      </c>
      <c r="K374" s="10">
        <f t="shared" si="36"/>
        <v>0</v>
      </c>
      <c r="L374" s="9" t="str">
        <f t="shared" si="37"/>
        <v/>
      </c>
      <c r="M374" s="8"/>
      <c r="N374" s="8"/>
      <c r="O374" s="8"/>
      <c r="P374" s="8"/>
      <c r="Q374" s="8"/>
      <c r="R374" s="8"/>
      <c r="S374" s="8"/>
      <c r="T374" s="8"/>
      <c r="U374" s="8"/>
      <c r="V374" s="7"/>
      <c r="W374" s="6" t="str">
        <f t="array" ref="W374">IF(NOT(ISBLANK(D374)),_xludf.XLOOKUP(D374,[2]CODE!$A$4:$A$100,[2]CODE!$D$4:$D$100),"")</f>
        <v/>
      </c>
      <c r="X374" s="5" t="str">
        <f t="array" ref="X374">IF(NOT(AND(ISBLANK(D374),ISBLANK(C374))),_xludf.XLOOKUP(D374,[2]CODE!$A$4:$A$100,[2]CODE!$E$4:$E$100),"")</f>
        <v/>
      </c>
      <c r="Y374" s="5" t="str">
        <f t="shared" si="38"/>
        <v/>
      </c>
      <c r="Z374" s="5" t="str">
        <f t="shared" si="39"/>
        <v/>
      </c>
      <c r="AA374" s="4">
        <f t="shared" si="40"/>
        <v>0</v>
      </c>
      <c r="AC374" s="2"/>
    </row>
    <row r="375" spans="1:29" ht="15.5">
      <c r="A375" s="13" t="str">
        <f>IF(OR(ISBLANK(C375),ISBLANK(D375),ISBLANK(F375),ISBLANK(G375)),"",COUNTIF($B$5:B375,"JAMBUTU"))</f>
        <v/>
      </c>
      <c r="B375" s="8" t="str">
        <f t="shared" si="41"/>
        <v/>
      </c>
      <c r="C375" s="8"/>
      <c r="D375" s="8"/>
      <c r="E375" s="13"/>
      <c r="F375" s="12"/>
      <c r="G375" s="11"/>
      <c r="H375" s="12"/>
      <c r="I375" s="11"/>
      <c r="J375" s="10">
        <f t="shared" si="35"/>
        <v>0</v>
      </c>
      <c r="K375" s="10">
        <f t="shared" si="36"/>
        <v>0</v>
      </c>
      <c r="L375" s="9" t="str">
        <f t="shared" si="37"/>
        <v/>
      </c>
      <c r="M375" s="8"/>
      <c r="N375" s="8"/>
      <c r="O375" s="8"/>
      <c r="P375" s="8"/>
      <c r="Q375" s="8"/>
      <c r="R375" s="8"/>
      <c r="S375" s="8"/>
      <c r="T375" s="8"/>
      <c r="U375" s="8"/>
      <c r="V375" s="7"/>
      <c r="W375" s="6" t="str">
        <f t="array" ref="W375">IF(NOT(ISBLANK(D375)),_xludf.XLOOKUP(D375,[2]CODE!$A$4:$A$100,[2]CODE!$D$4:$D$100),"")</f>
        <v/>
      </c>
      <c r="X375" s="5" t="str">
        <f t="array" ref="X375">IF(NOT(AND(ISBLANK(D375),ISBLANK(C375))),_xludf.XLOOKUP(D375,[2]CODE!$A$4:$A$100,[2]CODE!$E$4:$E$100),"")</f>
        <v/>
      </c>
      <c r="Y375" s="5" t="str">
        <f t="shared" si="38"/>
        <v/>
      </c>
      <c r="Z375" s="5" t="str">
        <f t="shared" si="39"/>
        <v/>
      </c>
      <c r="AA375" s="4">
        <f t="shared" si="40"/>
        <v>0</v>
      </c>
      <c r="AC375" s="2"/>
    </row>
    <row r="376" spans="1:29" ht="15.5">
      <c r="A376" s="13" t="str">
        <f>IF(OR(ISBLANK(C376),ISBLANK(D376),ISBLANK(F376),ISBLANK(G376)),"",COUNTIF($B$5:B376,"JAMBUTU"))</f>
        <v/>
      </c>
      <c r="B376" s="8" t="str">
        <f t="shared" si="41"/>
        <v/>
      </c>
      <c r="C376" s="8"/>
      <c r="D376" s="8"/>
      <c r="E376" s="13"/>
      <c r="F376" s="12"/>
      <c r="G376" s="11"/>
      <c r="H376" s="12"/>
      <c r="I376" s="11"/>
      <c r="J376" s="10">
        <f t="shared" si="35"/>
        <v>0</v>
      </c>
      <c r="K376" s="10">
        <f t="shared" si="36"/>
        <v>0</v>
      </c>
      <c r="L376" s="9" t="str">
        <f t="shared" si="37"/>
        <v/>
      </c>
      <c r="M376" s="8"/>
      <c r="N376" s="8"/>
      <c r="O376" s="8"/>
      <c r="P376" s="8"/>
      <c r="Q376" s="8"/>
      <c r="R376" s="8"/>
      <c r="S376" s="8"/>
      <c r="T376" s="8"/>
      <c r="U376" s="8"/>
      <c r="V376" s="7"/>
      <c r="W376" s="6" t="str">
        <f t="array" ref="W376">IF(NOT(ISBLANK(D376)),_xludf.XLOOKUP(D376,[2]CODE!$A$4:$A$100,[2]CODE!$D$4:$D$100),"")</f>
        <v/>
      </c>
      <c r="X376" s="5" t="str">
        <f t="array" ref="X376">IF(NOT(AND(ISBLANK(D376),ISBLANK(C376))),_xludf.XLOOKUP(D376,[2]CODE!$A$4:$A$100,[2]CODE!$E$4:$E$100),"")</f>
        <v/>
      </c>
      <c r="Y376" s="5" t="str">
        <f t="shared" si="38"/>
        <v/>
      </c>
      <c r="Z376" s="5" t="str">
        <f t="shared" si="39"/>
        <v/>
      </c>
      <c r="AA376" s="4">
        <f t="shared" si="40"/>
        <v>0</v>
      </c>
      <c r="AC376" s="2"/>
    </row>
    <row r="377" spans="1:29" ht="15.5">
      <c r="A377" s="13" t="str">
        <f>IF(OR(ISBLANK(C377),ISBLANK(D377),ISBLANK(F377),ISBLANK(G377)),"",COUNTIF($B$5:B377,"JAMBUTU"))</f>
        <v/>
      </c>
      <c r="B377" s="8" t="str">
        <f t="shared" si="41"/>
        <v/>
      </c>
      <c r="C377" s="8"/>
      <c r="D377" s="8"/>
      <c r="E377" s="13"/>
      <c r="F377" s="12"/>
      <c r="G377" s="11"/>
      <c r="H377" s="12"/>
      <c r="I377" s="11"/>
      <c r="J377" s="10">
        <f t="shared" si="35"/>
        <v>0</v>
      </c>
      <c r="K377" s="10">
        <f t="shared" si="36"/>
        <v>0</v>
      </c>
      <c r="L377" s="9" t="str">
        <f t="shared" si="37"/>
        <v/>
      </c>
      <c r="M377" s="8"/>
      <c r="N377" s="8"/>
      <c r="O377" s="8"/>
      <c r="P377" s="8"/>
      <c r="Q377" s="8"/>
      <c r="R377" s="8"/>
      <c r="S377" s="8"/>
      <c r="T377" s="8"/>
      <c r="U377" s="8"/>
      <c r="V377" s="7"/>
      <c r="W377" s="6" t="str">
        <f t="array" ref="W377">IF(NOT(ISBLANK(D377)),_xludf.XLOOKUP(D377,[2]CODE!$A$4:$A$100,[2]CODE!$D$4:$D$100),"")</f>
        <v/>
      </c>
      <c r="X377" s="5" t="str">
        <f t="array" ref="X377">IF(NOT(AND(ISBLANK(D377),ISBLANK(C377))),_xludf.XLOOKUP(D377,[2]CODE!$A$4:$A$100,[2]CODE!$E$4:$E$100),"")</f>
        <v/>
      </c>
      <c r="Y377" s="5" t="str">
        <f t="shared" si="38"/>
        <v/>
      </c>
      <c r="Z377" s="5" t="str">
        <f t="shared" si="39"/>
        <v/>
      </c>
      <c r="AA377" s="4">
        <f t="shared" si="40"/>
        <v>0</v>
      </c>
      <c r="AC377" s="2"/>
    </row>
    <row r="378" spans="1:29" ht="15.5">
      <c r="A378" s="13" t="str">
        <f>IF(OR(ISBLANK(C378),ISBLANK(D378),ISBLANK(F378),ISBLANK(G378)),"",COUNTIF($B$5:B378,"JAMBUTU"))</f>
        <v/>
      </c>
      <c r="B378" s="8" t="str">
        <f t="shared" si="41"/>
        <v/>
      </c>
      <c r="C378" s="8"/>
      <c r="D378" s="8"/>
      <c r="E378" s="13"/>
      <c r="F378" s="12"/>
      <c r="G378" s="11"/>
      <c r="H378" s="12"/>
      <c r="I378" s="11"/>
      <c r="J378" s="10">
        <f t="shared" si="35"/>
        <v>0</v>
      </c>
      <c r="K378" s="10">
        <f t="shared" si="36"/>
        <v>0</v>
      </c>
      <c r="L378" s="9" t="str">
        <f t="shared" si="37"/>
        <v/>
      </c>
      <c r="M378" s="8"/>
      <c r="N378" s="8"/>
      <c r="O378" s="8"/>
      <c r="P378" s="8"/>
      <c r="Q378" s="8"/>
      <c r="R378" s="8"/>
      <c r="S378" s="8"/>
      <c r="T378" s="8"/>
      <c r="U378" s="8"/>
      <c r="V378" s="7"/>
      <c r="W378" s="6" t="str">
        <f t="array" ref="W378">IF(NOT(ISBLANK(D378)),_xludf.XLOOKUP(D378,[2]CODE!$A$4:$A$100,[2]CODE!$D$4:$D$100),"")</f>
        <v/>
      </c>
      <c r="X378" s="5" t="str">
        <f t="array" ref="X378">IF(NOT(AND(ISBLANK(D378),ISBLANK(C378))),_xludf.XLOOKUP(D378,[2]CODE!$A$4:$A$100,[2]CODE!$E$4:$E$100),"")</f>
        <v/>
      </c>
      <c r="Y378" s="5" t="str">
        <f t="shared" si="38"/>
        <v/>
      </c>
      <c r="Z378" s="5" t="str">
        <f t="shared" si="39"/>
        <v/>
      </c>
      <c r="AA378" s="4">
        <f t="shared" si="40"/>
        <v>0</v>
      </c>
      <c r="AC378" s="2"/>
    </row>
    <row r="379" spans="1:29" ht="15.5">
      <c r="A379" s="13" t="str">
        <f>IF(OR(ISBLANK(C379),ISBLANK(D379),ISBLANK(F379),ISBLANK(G379)),"",COUNTIF($B$5:B379,"JAMBUTU"))</f>
        <v/>
      </c>
      <c r="B379" s="8" t="str">
        <f t="shared" si="41"/>
        <v/>
      </c>
      <c r="C379" s="8"/>
      <c r="D379" s="8"/>
      <c r="E379" s="13"/>
      <c r="F379" s="12"/>
      <c r="G379" s="11"/>
      <c r="H379" s="12"/>
      <c r="I379" s="11"/>
      <c r="J379" s="10">
        <f t="shared" si="35"/>
        <v>0</v>
      </c>
      <c r="K379" s="10">
        <f t="shared" si="36"/>
        <v>0</v>
      </c>
      <c r="L379" s="9" t="str">
        <f t="shared" si="37"/>
        <v/>
      </c>
      <c r="M379" s="8"/>
      <c r="N379" s="8"/>
      <c r="O379" s="8"/>
      <c r="P379" s="8"/>
      <c r="Q379" s="8"/>
      <c r="R379" s="8"/>
      <c r="S379" s="8"/>
      <c r="T379" s="8"/>
      <c r="U379" s="8"/>
      <c r="V379" s="7"/>
      <c r="W379" s="6" t="str">
        <f t="array" ref="W379">IF(NOT(ISBLANK(D379)),_xludf.XLOOKUP(D379,[2]CODE!$A$4:$A$100,[2]CODE!$D$4:$D$100),"")</f>
        <v/>
      </c>
      <c r="X379" s="5" t="str">
        <f t="array" ref="X379">IF(NOT(AND(ISBLANK(D379),ISBLANK(C379))),_xludf.XLOOKUP(D379,[2]CODE!$A$4:$A$100,[2]CODE!$E$4:$E$100),"")</f>
        <v/>
      </c>
      <c r="Y379" s="5" t="str">
        <f t="shared" si="38"/>
        <v/>
      </c>
      <c r="Z379" s="5" t="str">
        <f t="shared" si="39"/>
        <v/>
      </c>
      <c r="AA379" s="4">
        <f t="shared" si="40"/>
        <v>0</v>
      </c>
      <c r="AC379" s="2"/>
    </row>
    <row r="380" spans="1:29" ht="15.5">
      <c r="A380" s="13" t="str">
        <f>IF(OR(ISBLANK(C380),ISBLANK(D380),ISBLANK(F380),ISBLANK(G380)),"",COUNTIF($B$5:B380,"JAMBUTU"))</f>
        <v/>
      </c>
      <c r="B380" s="8" t="str">
        <f t="shared" si="41"/>
        <v/>
      </c>
      <c r="C380" s="8"/>
      <c r="D380" s="8"/>
      <c r="E380" s="13"/>
      <c r="F380" s="12"/>
      <c r="G380" s="11"/>
      <c r="H380" s="12"/>
      <c r="I380" s="11"/>
      <c r="J380" s="10">
        <f t="shared" si="35"/>
        <v>0</v>
      </c>
      <c r="K380" s="10">
        <f t="shared" si="36"/>
        <v>0</v>
      </c>
      <c r="L380" s="9" t="str">
        <f t="shared" si="37"/>
        <v/>
      </c>
      <c r="M380" s="8"/>
      <c r="N380" s="8"/>
      <c r="O380" s="8"/>
      <c r="P380" s="8"/>
      <c r="Q380" s="8"/>
      <c r="R380" s="8"/>
      <c r="S380" s="8"/>
      <c r="T380" s="8"/>
      <c r="U380" s="8"/>
      <c r="V380" s="7"/>
      <c r="W380" s="6" t="str">
        <f t="array" ref="W380">IF(NOT(ISBLANK(D380)),_xludf.XLOOKUP(D380,[2]CODE!$A$4:$A$100,[2]CODE!$D$4:$D$100),"")</f>
        <v/>
      </c>
      <c r="X380" s="5" t="str">
        <f t="array" ref="X380">IF(NOT(AND(ISBLANK(D380),ISBLANK(C380))),_xludf.XLOOKUP(D380,[2]CODE!$A$4:$A$100,[2]CODE!$E$4:$E$100),"")</f>
        <v/>
      </c>
      <c r="Y380" s="5" t="str">
        <f t="shared" si="38"/>
        <v/>
      </c>
      <c r="Z380" s="5" t="str">
        <f t="shared" si="39"/>
        <v/>
      </c>
      <c r="AA380" s="4">
        <f t="shared" si="40"/>
        <v>0</v>
      </c>
      <c r="AC380" s="2"/>
    </row>
    <row r="381" spans="1:29" ht="15.5">
      <c r="A381" s="13" t="str">
        <f>IF(OR(ISBLANK(C381),ISBLANK(D381),ISBLANK(F381),ISBLANK(G381)),"",COUNTIF($B$5:B381,"JAMBUTU"))</f>
        <v/>
      </c>
      <c r="B381" s="8" t="str">
        <f t="shared" si="41"/>
        <v/>
      </c>
      <c r="C381" s="8"/>
      <c r="D381" s="8"/>
      <c r="E381" s="13"/>
      <c r="F381" s="12"/>
      <c r="G381" s="11"/>
      <c r="H381" s="12"/>
      <c r="I381" s="11"/>
      <c r="J381" s="10">
        <f t="shared" si="35"/>
        <v>0</v>
      </c>
      <c r="K381" s="10">
        <f t="shared" si="36"/>
        <v>0</v>
      </c>
      <c r="L381" s="9" t="str">
        <f t="shared" si="37"/>
        <v/>
      </c>
      <c r="M381" s="8"/>
      <c r="N381" s="8"/>
      <c r="O381" s="8"/>
      <c r="P381" s="8"/>
      <c r="Q381" s="8"/>
      <c r="R381" s="8"/>
      <c r="S381" s="8"/>
      <c r="T381" s="8"/>
      <c r="U381" s="8"/>
      <c r="V381" s="7"/>
      <c r="W381" s="6" t="str">
        <f t="array" ref="W381">IF(NOT(ISBLANK(D381)),_xludf.XLOOKUP(D381,[2]CODE!$A$4:$A$100,[2]CODE!$D$4:$D$100),"")</f>
        <v/>
      </c>
      <c r="X381" s="5" t="str">
        <f t="array" ref="X381">IF(NOT(AND(ISBLANK(D381),ISBLANK(C381))),_xludf.XLOOKUP(D381,[2]CODE!$A$4:$A$100,[2]CODE!$E$4:$E$100),"")</f>
        <v/>
      </c>
      <c r="Y381" s="5" t="str">
        <f t="shared" si="38"/>
        <v/>
      </c>
      <c r="Z381" s="5" t="str">
        <f t="shared" si="39"/>
        <v/>
      </c>
      <c r="AA381" s="4">
        <f t="shared" si="40"/>
        <v>0</v>
      </c>
      <c r="AC381" s="2"/>
    </row>
    <row r="382" spans="1:29" ht="15.5">
      <c r="A382" s="13" t="str">
        <f>IF(OR(ISBLANK(C382),ISBLANK(D382),ISBLANK(F382),ISBLANK(G382)),"",COUNTIF($B$5:B382,"JAMBUTU"))</f>
        <v/>
      </c>
      <c r="B382" s="8" t="str">
        <f t="shared" si="41"/>
        <v/>
      </c>
      <c r="C382" s="8"/>
      <c r="D382" s="8"/>
      <c r="E382" s="13"/>
      <c r="F382" s="12"/>
      <c r="G382" s="11"/>
      <c r="H382" s="12"/>
      <c r="I382" s="11"/>
      <c r="J382" s="10">
        <f t="shared" si="35"/>
        <v>0</v>
      </c>
      <c r="K382" s="10">
        <f t="shared" si="36"/>
        <v>0</v>
      </c>
      <c r="L382" s="9" t="str">
        <f t="shared" si="37"/>
        <v/>
      </c>
      <c r="M382" s="8"/>
      <c r="N382" s="8"/>
      <c r="O382" s="8"/>
      <c r="P382" s="8"/>
      <c r="Q382" s="8"/>
      <c r="R382" s="8"/>
      <c r="S382" s="8"/>
      <c r="T382" s="8"/>
      <c r="U382" s="8"/>
      <c r="V382" s="7"/>
      <c r="W382" s="6" t="str">
        <f t="array" ref="W382">IF(NOT(ISBLANK(D382)),_xludf.XLOOKUP(D382,[2]CODE!$A$4:$A$100,[2]CODE!$D$4:$D$100),"")</f>
        <v/>
      </c>
      <c r="X382" s="5" t="str">
        <f t="array" ref="X382">IF(NOT(AND(ISBLANK(D382),ISBLANK(C382))),_xludf.XLOOKUP(D382,[2]CODE!$A$4:$A$100,[2]CODE!$E$4:$E$100),"")</f>
        <v/>
      </c>
      <c r="Y382" s="5" t="str">
        <f t="shared" si="38"/>
        <v/>
      </c>
      <c r="Z382" s="5" t="str">
        <f t="shared" si="39"/>
        <v/>
      </c>
      <c r="AA382" s="4">
        <f t="shared" si="40"/>
        <v>0</v>
      </c>
      <c r="AC382" s="2"/>
    </row>
    <row r="383" spans="1:29" ht="15.5">
      <c r="A383" s="13" t="str">
        <f>IF(OR(ISBLANK(C383),ISBLANK(D383),ISBLANK(F383),ISBLANK(G383)),"",COUNTIF($B$5:B383,"JAMBUTU"))</f>
        <v/>
      </c>
      <c r="B383" s="8" t="str">
        <f t="shared" si="41"/>
        <v/>
      </c>
      <c r="C383" s="8"/>
      <c r="D383" s="8"/>
      <c r="E383" s="13"/>
      <c r="F383" s="12"/>
      <c r="G383" s="11"/>
      <c r="H383" s="12"/>
      <c r="I383" s="11"/>
      <c r="J383" s="10">
        <f t="shared" si="35"/>
        <v>0</v>
      </c>
      <c r="K383" s="10">
        <f t="shared" si="36"/>
        <v>0</v>
      </c>
      <c r="L383" s="9" t="str">
        <f t="shared" si="37"/>
        <v/>
      </c>
      <c r="M383" s="8"/>
      <c r="N383" s="8"/>
      <c r="O383" s="8"/>
      <c r="P383" s="8"/>
      <c r="Q383" s="8"/>
      <c r="R383" s="8"/>
      <c r="S383" s="8"/>
      <c r="T383" s="8"/>
      <c r="U383" s="8"/>
      <c r="V383" s="7"/>
      <c r="W383" s="6" t="str">
        <f t="array" ref="W383">IF(NOT(ISBLANK(D383)),_xludf.XLOOKUP(D383,[2]CODE!$A$4:$A$100,[2]CODE!$D$4:$D$100),"")</f>
        <v/>
      </c>
      <c r="X383" s="5" t="str">
        <f t="array" ref="X383">IF(NOT(AND(ISBLANK(D383),ISBLANK(C383))),_xludf.XLOOKUP(D383,[2]CODE!$A$4:$A$100,[2]CODE!$E$4:$E$100),"")</f>
        <v/>
      </c>
      <c r="Y383" s="5" t="str">
        <f t="shared" si="38"/>
        <v/>
      </c>
      <c r="Z383" s="5" t="str">
        <f t="shared" si="39"/>
        <v/>
      </c>
      <c r="AA383" s="4">
        <f t="shared" si="40"/>
        <v>0</v>
      </c>
      <c r="AC383" s="2"/>
    </row>
    <row r="384" spans="1:29" ht="15.5">
      <c r="A384" s="13" t="str">
        <f>IF(OR(ISBLANK(C384),ISBLANK(D384),ISBLANK(F384),ISBLANK(G384)),"",COUNTIF($B$5:B384,"JAMBUTU"))</f>
        <v/>
      </c>
      <c r="B384" s="8" t="str">
        <f t="shared" si="41"/>
        <v/>
      </c>
      <c r="C384" s="8"/>
      <c r="D384" s="8"/>
      <c r="E384" s="13"/>
      <c r="F384" s="12"/>
      <c r="G384" s="11"/>
      <c r="H384" s="12"/>
      <c r="I384" s="11"/>
      <c r="J384" s="10">
        <f t="shared" si="35"/>
        <v>0</v>
      </c>
      <c r="K384" s="10">
        <f t="shared" si="36"/>
        <v>0</v>
      </c>
      <c r="L384" s="9" t="str">
        <f t="shared" si="37"/>
        <v/>
      </c>
      <c r="M384" s="8"/>
      <c r="N384" s="8"/>
      <c r="O384" s="8"/>
      <c r="P384" s="8"/>
      <c r="Q384" s="8"/>
      <c r="R384" s="8"/>
      <c r="S384" s="8"/>
      <c r="T384" s="8"/>
      <c r="U384" s="8"/>
      <c r="V384" s="7"/>
      <c r="W384" s="6" t="str">
        <f t="array" ref="W384">IF(NOT(ISBLANK(D384)),_xludf.XLOOKUP(D384,[2]CODE!$A$4:$A$100,[2]CODE!$D$4:$D$100),"")</f>
        <v/>
      </c>
      <c r="X384" s="5" t="str">
        <f t="array" ref="X384">IF(NOT(AND(ISBLANK(D384),ISBLANK(C384))),_xludf.XLOOKUP(D384,[2]CODE!$A$4:$A$100,[2]CODE!$E$4:$E$100),"")</f>
        <v/>
      </c>
      <c r="Y384" s="5" t="str">
        <f t="shared" si="38"/>
        <v/>
      </c>
      <c r="Z384" s="5" t="str">
        <f t="shared" si="39"/>
        <v/>
      </c>
      <c r="AA384" s="4">
        <f t="shared" si="40"/>
        <v>0</v>
      </c>
      <c r="AC384" s="2"/>
    </row>
    <row r="385" spans="1:29" ht="15.5">
      <c r="A385" s="13" t="str">
        <f>IF(OR(ISBLANK(C385),ISBLANK(D385),ISBLANK(F385),ISBLANK(G385)),"",COUNTIF($B$5:B385,"JAMBUTU"))</f>
        <v/>
      </c>
      <c r="B385" s="8" t="str">
        <f t="shared" si="41"/>
        <v/>
      </c>
      <c r="C385" s="8"/>
      <c r="D385" s="8"/>
      <c r="E385" s="13"/>
      <c r="F385" s="12"/>
      <c r="G385" s="11"/>
      <c r="H385" s="12"/>
      <c r="I385" s="11"/>
      <c r="J385" s="10">
        <f t="shared" si="35"/>
        <v>0</v>
      </c>
      <c r="K385" s="10">
        <f t="shared" si="36"/>
        <v>0</v>
      </c>
      <c r="L385" s="9" t="str">
        <f t="shared" si="37"/>
        <v/>
      </c>
      <c r="M385" s="8"/>
      <c r="N385" s="8"/>
      <c r="O385" s="8"/>
      <c r="P385" s="8"/>
      <c r="Q385" s="8"/>
      <c r="R385" s="8"/>
      <c r="S385" s="8"/>
      <c r="T385" s="8"/>
      <c r="U385" s="8"/>
      <c r="V385" s="7"/>
      <c r="W385" s="6" t="str">
        <f t="array" ref="W385">IF(NOT(ISBLANK(D385)),_xludf.XLOOKUP(D385,[2]CODE!$A$4:$A$100,[2]CODE!$D$4:$D$100),"")</f>
        <v/>
      </c>
      <c r="X385" s="5" t="str">
        <f t="array" ref="X385">IF(NOT(AND(ISBLANK(D385),ISBLANK(C385))),_xludf.XLOOKUP(D385,[2]CODE!$A$4:$A$100,[2]CODE!$E$4:$E$100),"")</f>
        <v/>
      </c>
      <c r="Y385" s="5" t="str">
        <f t="shared" si="38"/>
        <v/>
      </c>
      <c r="Z385" s="5" t="str">
        <f t="shared" si="39"/>
        <v/>
      </c>
      <c r="AA385" s="4">
        <f t="shared" si="40"/>
        <v>0</v>
      </c>
      <c r="AC385" s="2"/>
    </row>
    <row r="386" spans="1:29" ht="15.5">
      <c r="A386" s="13" t="str">
        <f>IF(OR(ISBLANK(C386),ISBLANK(D386),ISBLANK(F386),ISBLANK(G386)),"",COUNTIF($B$5:B386,"JAMBUTU"))</f>
        <v/>
      </c>
      <c r="B386" s="8" t="str">
        <f t="shared" si="41"/>
        <v/>
      </c>
      <c r="C386" s="8"/>
      <c r="D386" s="8"/>
      <c r="E386" s="13"/>
      <c r="F386" s="12"/>
      <c r="G386" s="11"/>
      <c r="H386" s="12"/>
      <c r="I386" s="11"/>
      <c r="J386" s="10">
        <f t="shared" si="35"/>
        <v>0</v>
      </c>
      <c r="K386" s="10">
        <f t="shared" si="36"/>
        <v>0</v>
      </c>
      <c r="L386" s="9" t="str">
        <f t="shared" si="37"/>
        <v/>
      </c>
      <c r="M386" s="8"/>
      <c r="N386" s="8"/>
      <c r="O386" s="8"/>
      <c r="P386" s="8"/>
      <c r="Q386" s="8"/>
      <c r="R386" s="8"/>
      <c r="S386" s="8"/>
      <c r="T386" s="8"/>
      <c r="U386" s="8"/>
      <c r="V386" s="7"/>
      <c r="W386" s="6" t="str">
        <f t="array" ref="W386">IF(NOT(ISBLANK(D386)),_xludf.XLOOKUP(D386,[2]CODE!$A$4:$A$100,[2]CODE!$D$4:$D$100),"")</f>
        <v/>
      </c>
      <c r="X386" s="5" t="str">
        <f t="array" ref="X386">IF(NOT(AND(ISBLANK(D386),ISBLANK(C386))),_xludf.XLOOKUP(D386,[2]CODE!$A$4:$A$100,[2]CODE!$E$4:$E$100),"")</f>
        <v/>
      </c>
      <c r="Y386" s="5" t="str">
        <f t="shared" si="38"/>
        <v/>
      </c>
      <c r="Z386" s="5" t="str">
        <f t="shared" si="39"/>
        <v/>
      </c>
      <c r="AA386" s="4">
        <f t="shared" si="40"/>
        <v>0</v>
      </c>
      <c r="AC386" s="2"/>
    </row>
    <row r="387" spans="1:29" ht="15.5">
      <c r="A387" s="13" t="str">
        <f>IF(OR(ISBLANK(C387),ISBLANK(D387),ISBLANK(F387),ISBLANK(G387)),"",COUNTIF($B$5:B387,"JAMBUTU"))</f>
        <v/>
      </c>
      <c r="B387" s="8" t="str">
        <f t="shared" si="41"/>
        <v/>
      </c>
      <c r="C387" s="8"/>
      <c r="D387" s="8"/>
      <c r="E387" s="13"/>
      <c r="F387" s="12"/>
      <c r="G387" s="11"/>
      <c r="H387" s="12"/>
      <c r="I387" s="11"/>
      <c r="J387" s="10">
        <f t="shared" si="35"/>
        <v>0</v>
      </c>
      <c r="K387" s="10">
        <f t="shared" si="36"/>
        <v>0</v>
      </c>
      <c r="L387" s="9" t="str">
        <f t="shared" si="37"/>
        <v/>
      </c>
      <c r="M387" s="8"/>
      <c r="N387" s="8"/>
      <c r="O387" s="8"/>
      <c r="P387" s="8"/>
      <c r="Q387" s="8"/>
      <c r="R387" s="8"/>
      <c r="S387" s="8"/>
      <c r="T387" s="8"/>
      <c r="U387" s="8"/>
      <c r="V387" s="7"/>
      <c r="W387" s="6" t="str">
        <f t="array" ref="W387">IF(NOT(ISBLANK(D387)),_xludf.XLOOKUP(D387,[2]CODE!$A$4:$A$100,[2]CODE!$D$4:$D$100),"")</f>
        <v/>
      </c>
      <c r="X387" s="5" t="str">
        <f t="array" ref="X387">IF(NOT(AND(ISBLANK(D387),ISBLANK(C387))),_xludf.XLOOKUP(D387,[2]CODE!$A$4:$A$100,[2]CODE!$E$4:$E$100),"")</f>
        <v/>
      </c>
      <c r="Y387" s="5" t="str">
        <f t="shared" si="38"/>
        <v/>
      </c>
      <c r="Z387" s="5" t="str">
        <f t="shared" si="39"/>
        <v/>
      </c>
      <c r="AA387" s="4">
        <f t="shared" si="40"/>
        <v>0</v>
      </c>
      <c r="AC387" s="2"/>
    </row>
    <row r="388" spans="1:29" ht="15.5">
      <c r="A388" s="13" t="str">
        <f>IF(OR(ISBLANK(C388),ISBLANK(D388),ISBLANK(F388),ISBLANK(G388)),"",COUNTIF($B$5:B388,"JAMBUTU"))</f>
        <v/>
      </c>
      <c r="B388" s="8" t="str">
        <f t="shared" si="41"/>
        <v/>
      </c>
      <c r="C388" s="8"/>
      <c r="D388" s="8"/>
      <c r="E388" s="13"/>
      <c r="F388" s="12"/>
      <c r="G388" s="11"/>
      <c r="H388" s="12"/>
      <c r="I388" s="11"/>
      <c r="J388" s="10">
        <f t="shared" si="35"/>
        <v>0</v>
      </c>
      <c r="K388" s="10">
        <f t="shared" si="36"/>
        <v>0</v>
      </c>
      <c r="L388" s="9" t="str">
        <f t="shared" si="37"/>
        <v/>
      </c>
      <c r="M388" s="8"/>
      <c r="N388" s="8"/>
      <c r="O388" s="8"/>
      <c r="P388" s="8"/>
      <c r="Q388" s="8"/>
      <c r="R388" s="8"/>
      <c r="S388" s="8"/>
      <c r="T388" s="8"/>
      <c r="U388" s="8"/>
      <c r="V388" s="7"/>
      <c r="W388" s="6" t="str">
        <f t="array" ref="W388">IF(NOT(ISBLANK(D388)),_xludf.XLOOKUP(D388,[2]CODE!$A$4:$A$100,[2]CODE!$D$4:$D$100),"")</f>
        <v/>
      </c>
      <c r="X388" s="5" t="str">
        <f t="array" ref="X388">IF(NOT(AND(ISBLANK(D388),ISBLANK(C388))),_xludf.XLOOKUP(D388,[2]CODE!$A$4:$A$100,[2]CODE!$E$4:$E$100),"")</f>
        <v/>
      </c>
      <c r="Y388" s="5" t="str">
        <f t="shared" si="38"/>
        <v/>
      </c>
      <c r="Z388" s="5" t="str">
        <f t="shared" si="39"/>
        <v/>
      </c>
      <c r="AA388" s="4">
        <f t="shared" si="40"/>
        <v>0</v>
      </c>
      <c r="AC388" s="2"/>
    </row>
    <row r="389" spans="1:29" ht="15.5">
      <c r="A389" s="13" t="str">
        <f>IF(OR(ISBLANK(C389),ISBLANK(D389),ISBLANK(F389),ISBLANK(G389)),"",COUNTIF($B$5:B389,"JAMBUTU"))</f>
        <v/>
      </c>
      <c r="B389" s="8" t="str">
        <f t="shared" si="41"/>
        <v/>
      </c>
      <c r="C389" s="8"/>
      <c r="D389" s="8"/>
      <c r="E389" s="13"/>
      <c r="F389" s="12"/>
      <c r="G389" s="11"/>
      <c r="H389" s="12"/>
      <c r="I389" s="11"/>
      <c r="J389" s="10">
        <f t="shared" ref="J389:J452" si="42">DATE(YEAR(F389),MONTH(F389),DAY(F389))+TIME(HOUR(G389),MINUTE(G389), SECOND(G389))</f>
        <v>0</v>
      </c>
      <c r="K389" s="10">
        <f t="shared" ref="K389:K452" si="43">DATE(YEAR(H389),MONTH(H389),DAY(H389))+TIME(HOUR(I389),MINUTE(I389), SECOND(I389))</f>
        <v>0</v>
      </c>
      <c r="L389" s="9" t="str">
        <f t="shared" ref="L389:L452" si="44">IF(ISBLANK(I389),"",IF(J389&gt;K389,(K389+1)-J389,K389-J389))</f>
        <v/>
      </c>
      <c r="M389" s="8"/>
      <c r="N389" s="8"/>
      <c r="O389" s="8"/>
      <c r="P389" s="8"/>
      <c r="Q389" s="8"/>
      <c r="R389" s="8"/>
      <c r="S389" s="8"/>
      <c r="T389" s="8"/>
      <c r="U389" s="8"/>
      <c r="V389" s="7"/>
      <c r="W389" s="6" t="str">
        <f t="array" ref="W389">IF(NOT(ISBLANK(D389)),_xludf.XLOOKUP(D389,[2]CODE!$A$4:$A$100,[2]CODE!$D$4:$D$100),"")</f>
        <v/>
      </c>
      <c r="X389" s="5" t="str">
        <f t="array" ref="X389">IF(NOT(AND(ISBLANK(D389),ISBLANK(C389))),_xludf.XLOOKUP(D389,[2]CODE!$A$4:$A$100,[2]CODE!$E$4:$E$100),"")</f>
        <v/>
      </c>
      <c r="Y389" s="5" t="str">
        <f t="shared" ref="Y389:Y452" si="45">LEFT(C389,4)</f>
        <v/>
      </c>
      <c r="Z389" s="5" t="str">
        <f t="shared" ref="Z389:Z452" si="46">IF(NOT(ISBLANK(C389)), IF(K389&gt;J389,"YES","NO"),"")</f>
        <v/>
      </c>
      <c r="AA389" s="4">
        <f t="shared" ref="AA389:AA452" si="47">IF(AND(F389=H389,Z389="NO"),1+H389,H389)</f>
        <v>0</v>
      </c>
      <c r="AC389" s="2"/>
    </row>
    <row r="390" spans="1:29" ht="15.5">
      <c r="A390" s="13" t="str">
        <f>IF(OR(ISBLANK(C390),ISBLANK(D390),ISBLANK(F390),ISBLANK(G390)),"",COUNTIF($B$5:B390,"JAMBUTU"))</f>
        <v/>
      </c>
      <c r="B390" s="8" t="str">
        <f t="shared" si="41"/>
        <v/>
      </c>
      <c r="C390" s="8"/>
      <c r="D390" s="8"/>
      <c r="E390" s="13"/>
      <c r="F390" s="12"/>
      <c r="G390" s="11"/>
      <c r="H390" s="12"/>
      <c r="I390" s="11"/>
      <c r="J390" s="10">
        <f t="shared" si="42"/>
        <v>0</v>
      </c>
      <c r="K390" s="10">
        <f t="shared" si="43"/>
        <v>0</v>
      </c>
      <c r="L390" s="9" t="str">
        <f t="shared" si="44"/>
        <v/>
      </c>
      <c r="M390" s="8"/>
      <c r="N390" s="8"/>
      <c r="O390" s="8"/>
      <c r="P390" s="8"/>
      <c r="Q390" s="8"/>
      <c r="R390" s="8"/>
      <c r="S390" s="8"/>
      <c r="T390" s="8"/>
      <c r="U390" s="8"/>
      <c r="V390" s="7"/>
      <c r="W390" s="6" t="str">
        <f t="array" ref="W390">IF(NOT(ISBLANK(D390)),_xludf.XLOOKUP(D390,[2]CODE!$A$4:$A$100,[2]CODE!$D$4:$D$100),"")</f>
        <v/>
      </c>
      <c r="X390" s="5" t="str">
        <f t="array" ref="X390">IF(NOT(AND(ISBLANK(D390),ISBLANK(C390))),_xludf.XLOOKUP(D390,[2]CODE!$A$4:$A$100,[2]CODE!$E$4:$E$100),"")</f>
        <v/>
      </c>
      <c r="Y390" s="5" t="str">
        <f t="shared" si="45"/>
        <v/>
      </c>
      <c r="Z390" s="5" t="str">
        <f t="shared" si="46"/>
        <v/>
      </c>
      <c r="AA390" s="4">
        <f t="shared" si="47"/>
        <v>0</v>
      </c>
      <c r="AC390" s="2"/>
    </row>
    <row r="391" spans="1:29" ht="15.5">
      <c r="A391" s="13" t="str">
        <f>IF(OR(ISBLANK(C391),ISBLANK(D391),ISBLANK(F391),ISBLANK(G391)),"",COUNTIF($B$5:B391,"JAMBUTU"))</f>
        <v/>
      </c>
      <c r="B391" s="8" t="str">
        <f t="shared" si="41"/>
        <v/>
      </c>
      <c r="C391" s="8"/>
      <c r="D391" s="8"/>
      <c r="E391" s="13"/>
      <c r="F391" s="12"/>
      <c r="G391" s="11"/>
      <c r="H391" s="12"/>
      <c r="I391" s="11"/>
      <c r="J391" s="10">
        <f t="shared" si="42"/>
        <v>0</v>
      </c>
      <c r="K391" s="10">
        <f t="shared" si="43"/>
        <v>0</v>
      </c>
      <c r="L391" s="9" t="str">
        <f t="shared" si="44"/>
        <v/>
      </c>
      <c r="M391" s="8"/>
      <c r="N391" s="8"/>
      <c r="O391" s="8"/>
      <c r="P391" s="8"/>
      <c r="Q391" s="8"/>
      <c r="R391" s="8"/>
      <c r="S391" s="8"/>
      <c r="T391" s="8"/>
      <c r="U391" s="8"/>
      <c r="V391" s="7"/>
      <c r="W391" s="6" t="str">
        <f t="array" ref="W391">IF(NOT(ISBLANK(D391)),_xludf.XLOOKUP(D391,[2]CODE!$A$4:$A$100,[2]CODE!$D$4:$D$100),"")</f>
        <v/>
      </c>
      <c r="X391" s="5" t="str">
        <f t="array" ref="X391">IF(NOT(AND(ISBLANK(D391),ISBLANK(C391))),_xludf.XLOOKUP(D391,[2]CODE!$A$4:$A$100,[2]CODE!$E$4:$E$100),"")</f>
        <v/>
      </c>
      <c r="Y391" s="5" t="str">
        <f t="shared" si="45"/>
        <v/>
      </c>
      <c r="Z391" s="5" t="str">
        <f t="shared" si="46"/>
        <v/>
      </c>
      <c r="AA391" s="4">
        <f t="shared" si="47"/>
        <v>0</v>
      </c>
      <c r="AC391" s="2"/>
    </row>
    <row r="392" spans="1:29" ht="15.5">
      <c r="A392" s="13" t="str">
        <f>IF(OR(ISBLANK(C392),ISBLANK(D392),ISBLANK(F392),ISBLANK(G392)),"",COUNTIF($B$5:B392,"JAMBUTU"))</f>
        <v/>
      </c>
      <c r="B392" s="8" t="str">
        <f t="shared" si="41"/>
        <v/>
      </c>
      <c r="C392" s="8"/>
      <c r="D392" s="8"/>
      <c r="E392" s="13"/>
      <c r="F392" s="12"/>
      <c r="G392" s="11"/>
      <c r="H392" s="12"/>
      <c r="I392" s="11"/>
      <c r="J392" s="10">
        <f t="shared" si="42"/>
        <v>0</v>
      </c>
      <c r="K392" s="10">
        <f t="shared" si="43"/>
        <v>0</v>
      </c>
      <c r="L392" s="9" t="str">
        <f t="shared" si="44"/>
        <v/>
      </c>
      <c r="M392" s="8"/>
      <c r="N392" s="8"/>
      <c r="O392" s="8"/>
      <c r="P392" s="8"/>
      <c r="Q392" s="8"/>
      <c r="R392" s="8"/>
      <c r="S392" s="8"/>
      <c r="T392" s="8"/>
      <c r="U392" s="8"/>
      <c r="V392" s="7"/>
      <c r="W392" s="6" t="str">
        <f t="array" ref="W392">IF(NOT(ISBLANK(D392)),_xludf.XLOOKUP(D392,[2]CODE!$A$4:$A$100,[2]CODE!$D$4:$D$100),"")</f>
        <v/>
      </c>
      <c r="X392" s="5" t="str">
        <f t="array" ref="X392">IF(NOT(AND(ISBLANK(D392),ISBLANK(C392))),_xludf.XLOOKUP(D392,[2]CODE!$A$4:$A$100,[2]CODE!$E$4:$E$100),"")</f>
        <v/>
      </c>
      <c r="Y392" s="5" t="str">
        <f t="shared" si="45"/>
        <v/>
      </c>
      <c r="Z392" s="5" t="str">
        <f t="shared" si="46"/>
        <v/>
      </c>
      <c r="AA392" s="4">
        <f t="shared" si="47"/>
        <v>0</v>
      </c>
      <c r="AC392" s="2"/>
    </row>
    <row r="393" spans="1:29" ht="15.5">
      <c r="A393" s="13" t="str">
        <f>IF(OR(ISBLANK(C393),ISBLANK(D393),ISBLANK(F393),ISBLANK(G393)),"",COUNTIF($B$5:B393,"JAMBUTU"))</f>
        <v/>
      </c>
      <c r="B393" s="8" t="str">
        <f t="shared" si="41"/>
        <v/>
      </c>
      <c r="C393" s="8"/>
      <c r="D393" s="8"/>
      <c r="E393" s="13"/>
      <c r="F393" s="12"/>
      <c r="G393" s="11"/>
      <c r="H393" s="12"/>
      <c r="I393" s="11"/>
      <c r="J393" s="10">
        <f t="shared" si="42"/>
        <v>0</v>
      </c>
      <c r="K393" s="10">
        <f t="shared" si="43"/>
        <v>0</v>
      </c>
      <c r="L393" s="9" t="str">
        <f t="shared" si="44"/>
        <v/>
      </c>
      <c r="M393" s="8"/>
      <c r="N393" s="8"/>
      <c r="O393" s="8"/>
      <c r="P393" s="8"/>
      <c r="Q393" s="8"/>
      <c r="R393" s="8"/>
      <c r="S393" s="8"/>
      <c r="T393" s="8"/>
      <c r="U393" s="8"/>
      <c r="V393" s="7"/>
      <c r="W393" s="6" t="str">
        <f t="array" ref="W393">IF(NOT(ISBLANK(D393)),_xludf.XLOOKUP(D393,[2]CODE!$A$4:$A$100,[2]CODE!$D$4:$D$100),"")</f>
        <v/>
      </c>
      <c r="X393" s="5" t="str">
        <f t="array" ref="X393">IF(NOT(AND(ISBLANK(D393),ISBLANK(C393))),_xludf.XLOOKUP(D393,[2]CODE!$A$4:$A$100,[2]CODE!$E$4:$E$100),"")</f>
        <v/>
      </c>
      <c r="Y393" s="5" t="str">
        <f t="shared" si="45"/>
        <v/>
      </c>
      <c r="Z393" s="5" t="str">
        <f t="shared" si="46"/>
        <v/>
      </c>
      <c r="AA393" s="4">
        <f t="shared" si="47"/>
        <v>0</v>
      </c>
      <c r="AC393" s="2"/>
    </row>
    <row r="394" spans="1:29" ht="15.5">
      <c r="A394" s="13" t="str">
        <f>IF(OR(ISBLANK(C394),ISBLANK(D394),ISBLANK(F394),ISBLANK(G394)),"",COUNTIF($B$5:B394,"JAMBUTU"))</f>
        <v/>
      </c>
      <c r="B394" s="8" t="str">
        <f t="shared" si="41"/>
        <v/>
      </c>
      <c r="C394" s="8"/>
      <c r="D394" s="8"/>
      <c r="E394" s="13"/>
      <c r="F394" s="12"/>
      <c r="G394" s="11"/>
      <c r="H394" s="12"/>
      <c r="I394" s="11"/>
      <c r="J394" s="10">
        <f t="shared" si="42"/>
        <v>0</v>
      </c>
      <c r="K394" s="10">
        <f t="shared" si="43"/>
        <v>0</v>
      </c>
      <c r="L394" s="9" t="str">
        <f t="shared" si="44"/>
        <v/>
      </c>
      <c r="M394" s="8"/>
      <c r="N394" s="8"/>
      <c r="O394" s="8"/>
      <c r="P394" s="8"/>
      <c r="Q394" s="8"/>
      <c r="R394" s="8"/>
      <c r="S394" s="8"/>
      <c r="T394" s="8"/>
      <c r="U394" s="8"/>
      <c r="V394" s="7"/>
      <c r="W394" s="6" t="str">
        <f t="array" ref="W394">IF(NOT(ISBLANK(D394)),_xludf.XLOOKUP(D394,[2]CODE!$A$4:$A$100,[2]CODE!$D$4:$D$100),"")</f>
        <v/>
      </c>
      <c r="X394" s="5" t="str">
        <f t="array" ref="X394">IF(NOT(AND(ISBLANK(D394),ISBLANK(C394))),_xludf.XLOOKUP(D394,[2]CODE!$A$4:$A$100,[2]CODE!$E$4:$E$100),"")</f>
        <v/>
      </c>
      <c r="Y394" s="5" t="str">
        <f t="shared" si="45"/>
        <v/>
      </c>
      <c r="Z394" s="5" t="str">
        <f t="shared" si="46"/>
        <v/>
      </c>
      <c r="AA394" s="4">
        <f t="shared" si="47"/>
        <v>0</v>
      </c>
      <c r="AC394" s="2"/>
    </row>
    <row r="395" spans="1:29" ht="15.5">
      <c r="A395" s="13" t="str">
        <f>IF(OR(ISBLANK(C395),ISBLANK(D395),ISBLANK(F395),ISBLANK(G395)),"",COUNTIF($B$5:B395,"JAMBUTU"))</f>
        <v/>
      </c>
      <c r="B395" s="8" t="str">
        <f t="shared" si="41"/>
        <v/>
      </c>
      <c r="C395" s="8"/>
      <c r="D395" s="8"/>
      <c r="E395" s="13"/>
      <c r="F395" s="12"/>
      <c r="G395" s="11"/>
      <c r="H395" s="12"/>
      <c r="I395" s="11"/>
      <c r="J395" s="10">
        <f t="shared" si="42"/>
        <v>0</v>
      </c>
      <c r="K395" s="10">
        <f t="shared" si="43"/>
        <v>0</v>
      </c>
      <c r="L395" s="9" t="str">
        <f t="shared" si="44"/>
        <v/>
      </c>
      <c r="M395" s="8"/>
      <c r="N395" s="8"/>
      <c r="O395" s="8"/>
      <c r="P395" s="8"/>
      <c r="Q395" s="8"/>
      <c r="R395" s="8"/>
      <c r="S395" s="8"/>
      <c r="T395" s="8"/>
      <c r="U395" s="8"/>
      <c r="V395" s="7"/>
      <c r="W395" s="6" t="str">
        <f t="array" ref="W395">IF(NOT(ISBLANK(D395)),_xludf.XLOOKUP(D395,[2]CODE!$A$4:$A$100,[2]CODE!$D$4:$D$100),"")</f>
        <v/>
      </c>
      <c r="X395" s="5" t="str">
        <f t="array" ref="X395">IF(NOT(AND(ISBLANK(D395),ISBLANK(C395))),_xludf.XLOOKUP(D395,[2]CODE!$A$4:$A$100,[2]CODE!$E$4:$E$100),"")</f>
        <v/>
      </c>
      <c r="Y395" s="5" t="str">
        <f t="shared" si="45"/>
        <v/>
      </c>
      <c r="Z395" s="5" t="str">
        <f t="shared" si="46"/>
        <v/>
      </c>
      <c r="AA395" s="4">
        <f t="shared" si="47"/>
        <v>0</v>
      </c>
      <c r="AC395" s="2"/>
    </row>
    <row r="396" spans="1:29" ht="15.5">
      <c r="A396" s="13" t="str">
        <f>IF(OR(ISBLANK(C396),ISBLANK(D396),ISBLANK(F396),ISBLANK(G396)),"",COUNTIF($B$5:B396,"JAMBUTU"))</f>
        <v/>
      </c>
      <c r="B396" s="8" t="str">
        <f t="shared" si="41"/>
        <v/>
      </c>
      <c r="C396" s="8"/>
      <c r="D396" s="8"/>
      <c r="E396" s="13"/>
      <c r="F396" s="12"/>
      <c r="G396" s="11"/>
      <c r="H396" s="12"/>
      <c r="I396" s="11"/>
      <c r="J396" s="10">
        <f t="shared" si="42"/>
        <v>0</v>
      </c>
      <c r="K396" s="10">
        <f t="shared" si="43"/>
        <v>0</v>
      </c>
      <c r="L396" s="9" t="str">
        <f t="shared" si="44"/>
        <v/>
      </c>
      <c r="M396" s="8"/>
      <c r="N396" s="8"/>
      <c r="O396" s="8"/>
      <c r="P396" s="8"/>
      <c r="Q396" s="8"/>
      <c r="R396" s="8"/>
      <c r="S396" s="8"/>
      <c r="T396" s="8"/>
      <c r="U396" s="8"/>
      <c r="V396" s="7"/>
      <c r="W396" s="6" t="str">
        <f t="array" ref="W396">IF(NOT(ISBLANK(D396)),_xludf.XLOOKUP(D396,[2]CODE!$A$4:$A$100,[2]CODE!$D$4:$D$100),"")</f>
        <v/>
      </c>
      <c r="X396" s="5" t="str">
        <f t="array" ref="X396">IF(NOT(AND(ISBLANK(D396),ISBLANK(C396))),_xludf.XLOOKUP(D396,[2]CODE!$A$4:$A$100,[2]CODE!$E$4:$E$100),"")</f>
        <v/>
      </c>
      <c r="Y396" s="5" t="str">
        <f t="shared" si="45"/>
        <v/>
      </c>
      <c r="Z396" s="5" t="str">
        <f t="shared" si="46"/>
        <v/>
      </c>
      <c r="AA396" s="4">
        <f t="shared" si="47"/>
        <v>0</v>
      </c>
      <c r="AC396" s="2"/>
    </row>
    <row r="397" spans="1:29" ht="15.5">
      <c r="A397" s="13" t="str">
        <f>IF(OR(ISBLANK(C397),ISBLANK(D397),ISBLANK(F397),ISBLANK(G397)),"",COUNTIF($B$5:B397,"JAMBUTU"))</f>
        <v/>
      </c>
      <c r="B397" s="8" t="str">
        <f t="shared" si="41"/>
        <v/>
      </c>
      <c r="C397" s="8"/>
      <c r="D397" s="8"/>
      <c r="E397" s="13"/>
      <c r="F397" s="12"/>
      <c r="G397" s="11"/>
      <c r="H397" s="12"/>
      <c r="I397" s="11"/>
      <c r="J397" s="10">
        <f t="shared" si="42"/>
        <v>0</v>
      </c>
      <c r="K397" s="10">
        <f t="shared" si="43"/>
        <v>0</v>
      </c>
      <c r="L397" s="9" t="str">
        <f t="shared" si="44"/>
        <v/>
      </c>
      <c r="M397" s="8"/>
      <c r="N397" s="8"/>
      <c r="O397" s="8"/>
      <c r="P397" s="8"/>
      <c r="Q397" s="8"/>
      <c r="R397" s="8"/>
      <c r="S397" s="8"/>
      <c r="T397" s="8"/>
      <c r="U397" s="8"/>
      <c r="V397" s="7"/>
      <c r="W397" s="6" t="str">
        <f t="array" ref="W397">IF(NOT(ISBLANK(D397)),_xludf.XLOOKUP(D397,[2]CODE!$A$4:$A$100,[2]CODE!$D$4:$D$100),"")</f>
        <v/>
      </c>
      <c r="X397" s="5" t="str">
        <f t="array" ref="X397">IF(NOT(AND(ISBLANK(D397),ISBLANK(C397))),_xludf.XLOOKUP(D397,[2]CODE!$A$4:$A$100,[2]CODE!$E$4:$E$100),"")</f>
        <v/>
      </c>
      <c r="Y397" s="5" t="str">
        <f t="shared" si="45"/>
        <v/>
      </c>
      <c r="Z397" s="5" t="str">
        <f t="shared" si="46"/>
        <v/>
      </c>
      <c r="AA397" s="4">
        <f t="shared" si="47"/>
        <v>0</v>
      </c>
      <c r="AC397" s="2"/>
    </row>
    <row r="398" spans="1:29" ht="15.5">
      <c r="A398" s="13" t="str">
        <f>IF(OR(ISBLANK(C398),ISBLANK(D398),ISBLANK(F398),ISBLANK(G398)),"",COUNTIF($B$5:B398,"JAMBUTU"))</f>
        <v/>
      </c>
      <c r="B398" s="8" t="str">
        <f t="shared" si="41"/>
        <v/>
      </c>
      <c r="C398" s="8"/>
      <c r="D398" s="8"/>
      <c r="E398" s="13"/>
      <c r="F398" s="12"/>
      <c r="G398" s="11"/>
      <c r="H398" s="12"/>
      <c r="I398" s="11"/>
      <c r="J398" s="10">
        <f t="shared" si="42"/>
        <v>0</v>
      </c>
      <c r="K398" s="10">
        <f t="shared" si="43"/>
        <v>0</v>
      </c>
      <c r="L398" s="9" t="str">
        <f t="shared" si="44"/>
        <v/>
      </c>
      <c r="M398" s="8"/>
      <c r="N398" s="8"/>
      <c r="O398" s="8"/>
      <c r="P398" s="8"/>
      <c r="Q398" s="8"/>
      <c r="R398" s="8"/>
      <c r="S398" s="8"/>
      <c r="T398" s="8"/>
      <c r="U398" s="8"/>
      <c r="V398" s="7"/>
      <c r="W398" s="6" t="str">
        <f t="array" ref="W398">IF(NOT(ISBLANK(D398)),_xludf.XLOOKUP(D398,[2]CODE!$A$4:$A$100,[2]CODE!$D$4:$D$100),"")</f>
        <v/>
      </c>
      <c r="X398" s="5" t="str">
        <f t="array" ref="X398">IF(NOT(AND(ISBLANK(D398),ISBLANK(C398))),_xludf.XLOOKUP(D398,[2]CODE!$A$4:$A$100,[2]CODE!$E$4:$E$100),"")</f>
        <v/>
      </c>
      <c r="Y398" s="5" t="str">
        <f t="shared" si="45"/>
        <v/>
      </c>
      <c r="Z398" s="5" t="str">
        <f t="shared" si="46"/>
        <v/>
      </c>
      <c r="AA398" s="4">
        <f t="shared" si="47"/>
        <v>0</v>
      </c>
      <c r="AC398" s="2"/>
    </row>
    <row r="399" spans="1:29" ht="15.5">
      <c r="A399" s="13" t="str">
        <f>IF(OR(ISBLANK(C399),ISBLANK(D399),ISBLANK(F399),ISBLANK(G399)),"",COUNTIF($B$5:B399,"JAMBUTU"))</f>
        <v/>
      </c>
      <c r="B399" s="8" t="str">
        <f t="shared" si="41"/>
        <v/>
      </c>
      <c r="C399" s="8"/>
      <c r="D399" s="8"/>
      <c r="E399" s="13"/>
      <c r="F399" s="12"/>
      <c r="G399" s="11"/>
      <c r="H399" s="12"/>
      <c r="I399" s="11"/>
      <c r="J399" s="10">
        <f t="shared" si="42"/>
        <v>0</v>
      </c>
      <c r="K399" s="10">
        <f t="shared" si="43"/>
        <v>0</v>
      </c>
      <c r="L399" s="9" t="str">
        <f t="shared" si="44"/>
        <v/>
      </c>
      <c r="M399" s="8"/>
      <c r="N399" s="8"/>
      <c r="O399" s="8"/>
      <c r="P399" s="8"/>
      <c r="Q399" s="8"/>
      <c r="R399" s="8"/>
      <c r="S399" s="8"/>
      <c r="T399" s="8"/>
      <c r="U399" s="8"/>
      <c r="V399" s="7"/>
      <c r="W399" s="6" t="str">
        <f t="array" ref="W399">IF(NOT(ISBLANK(D399)),_xludf.XLOOKUP(D399,[2]CODE!$A$4:$A$100,[2]CODE!$D$4:$D$100),"")</f>
        <v/>
      </c>
      <c r="X399" s="5" t="str">
        <f t="array" ref="X399">IF(NOT(AND(ISBLANK(D399),ISBLANK(C399))),_xludf.XLOOKUP(D399,[2]CODE!$A$4:$A$100,[2]CODE!$E$4:$E$100),"")</f>
        <v/>
      </c>
      <c r="Y399" s="5" t="str">
        <f t="shared" si="45"/>
        <v/>
      </c>
      <c r="Z399" s="5" t="str">
        <f t="shared" si="46"/>
        <v/>
      </c>
      <c r="AA399" s="4">
        <f t="shared" si="47"/>
        <v>0</v>
      </c>
      <c r="AC399" s="2"/>
    </row>
    <row r="400" spans="1:29" ht="15.5">
      <c r="A400" s="13" t="str">
        <f>IF(OR(ISBLANK(C400),ISBLANK(D400),ISBLANK(F400),ISBLANK(G400)),"",COUNTIF($B$5:B400,"JAMBUTU"))</f>
        <v/>
      </c>
      <c r="B400" s="8" t="str">
        <f t="shared" si="41"/>
        <v/>
      </c>
      <c r="C400" s="8"/>
      <c r="D400" s="8"/>
      <c r="E400" s="13"/>
      <c r="F400" s="12"/>
      <c r="G400" s="11"/>
      <c r="H400" s="12"/>
      <c r="I400" s="11"/>
      <c r="J400" s="10">
        <f t="shared" si="42"/>
        <v>0</v>
      </c>
      <c r="K400" s="10">
        <f t="shared" si="43"/>
        <v>0</v>
      </c>
      <c r="L400" s="9" t="str">
        <f t="shared" si="44"/>
        <v/>
      </c>
      <c r="M400" s="8"/>
      <c r="N400" s="8"/>
      <c r="O400" s="8"/>
      <c r="P400" s="8"/>
      <c r="Q400" s="8"/>
      <c r="R400" s="8"/>
      <c r="S400" s="8"/>
      <c r="T400" s="8"/>
      <c r="U400" s="8"/>
      <c r="V400" s="7"/>
      <c r="W400" s="6" t="str">
        <f t="array" ref="W400">IF(NOT(ISBLANK(D400)),_xludf.XLOOKUP(D400,[2]CODE!$A$4:$A$100,[2]CODE!$D$4:$D$100),"")</f>
        <v/>
      </c>
      <c r="X400" s="5" t="str">
        <f t="array" ref="X400">IF(NOT(AND(ISBLANK(D400),ISBLANK(C400))),_xludf.XLOOKUP(D400,[2]CODE!$A$4:$A$100,[2]CODE!$E$4:$E$100),"")</f>
        <v/>
      </c>
      <c r="Y400" s="5" t="str">
        <f t="shared" si="45"/>
        <v/>
      </c>
      <c r="Z400" s="5" t="str">
        <f t="shared" si="46"/>
        <v/>
      </c>
      <c r="AA400" s="4">
        <f t="shared" si="47"/>
        <v>0</v>
      </c>
      <c r="AC400" s="2"/>
    </row>
    <row r="401" spans="1:29" ht="15.5">
      <c r="A401" s="13" t="str">
        <f>IF(OR(ISBLANK(C401),ISBLANK(D401),ISBLANK(F401),ISBLANK(G401)),"",COUNTIF($B$5:B401,"JAMBUTU"))</f>
        <v/>
      </c>
      <c r="B401" s="8" t="str">
        <f t="shared" si="41"/>
        <v/>
      </c>
      <c r="C401" s="8"/>
      <c r="D401" s="8"/>
      <c r="E401" s="13"/>
      <c r="F401" s="12"/>
      <c r="G401" s="11"/>
      <c r="H401" s="12"/>
      <c r="I401" s="11"/>
      <c r="J401" s="10">
        <f t="shared" si="42"/>
        <v>0</v>
      </c>
      <c r="K401" s="10">
        <f t="shared" si="43"/>
        <v>0</v>
      </c>
      <c r="L401" s="9" t="str">
        <f t="shared" si="44"/>
        <v/>
      </c>
      <c r="M401" s="8"/>
      <c r="N401" s="8"/>
      <c r="O401" s="8"/>
      <c r="P401" s="8"/>
      <c r="Q401" s="8"/>
      <c r="R401" s="8"/>
      <c r="S401" s="8"/>
      <c r="T401" s="8"/>
      <c r="U401" s="8"/>
      <c r="V401" s="7"/>
      <c r="W401" s="6" t="str">
        <f t="array" ref="W401">IF(NOT(ISBLANK(D401)),_xludf.XLOOKUP(D401,[2]CODE!$A$4:$A$100,[2]CODE!$D$4:$D$100),"")</f>
        <v/>
      </c>
      <c r="X401" s="5" t="str">
        <f t="array" ref="X401">IF(NOT(AND(ISBLANK(D401),ISBLANK(C401))),_xludf.XLOOKUP(D401,[2]CODE!$A$4:$A$100,[2]CODE!$E$4:$E$100),"")</f>
        <v/>
      </c>
      <c r="Y401" s="5" t="str">
        <f t="shared" si="45"/>
        <v/>
      </c>
      <c r="Z401" s="5" t="str">
        <f t="shared" si="46"/>
        <v/>
      </c>
      <c r="AA401" s="4">
        <f t="shared" si="47"/>
        <v>0</v>
      </c>
      <c r="AC401" s="2"/>
    </row>
    <row r="402" spans="1:29" ht="15.5">
      <c r="A402" s="13" t="str">
        <f>IF(OR(ISBLANK(C402),ISBLANK(D402),ISBLANK(F402),ISBLANK(G402)),"",COUNTIF($B$5:B402,"JAMBUTU"))</f>
        <v/>
      </c>
      <c r="B402" s="8" t="str">
        <f t="shared" si="41"/>
        <v/>
      </c>
      <c r="C402" s="8"/>
      <c r="D402" s="8"/>
      <c r="E402" s="13"/>
      <c r="F402" s="12"/>
      <c r="G402" s="11"/>
      <c r="H402" s="12"/>
      <c r="I402" s="11"/>
      <c r="J402" s="10">
        <f t="shared" si="42"/>
        <v>0</v>
      </c>
      <c r="K402" s="10">
        <f t="shared" si="43"/>
        <v>0</v>
      </c>
      <c r="L402" s="9" t="str">
        <f t="shared" si="44"/>
        <v/>
      </c>
      <c r="M402" s="8"/>
      <c r="N402" s="8"/>
      <c r="O402" s="8"/>
      <c r="P402" s="8"/>
      <c r="Q402" s="8"/>
      <c r="R402" s="8"/>
      <c r="S402" s="8"/>
      <c r="T402" s="8"/>
      <c r="U402" s="8"/>
      <c r="V402" s="7"/>
      <c r="W402" s="6" t="str">
        <f t="array" ref="W402">IF(NOT(ISBLANK(D402)),_xludf.XLOOKUP(D402,[2]CODE!$A$4:$A$100,[2]CODE!$D$4:$D$100),"")</f>
        <v/>
      </c>
      <c r="X402" s="5" t="str">
        <f t="array" ref="X402">IF(NOT(AND(ISBLANK(D402),ISBLANK(C402))),_xludf.XLOOKUP(D402,[2]CODE!$A$4:$A$100,[2]CODE!$E$4:$E$100),"")</f>
        <v/>
      </c>
      <c r="Y402" s="5" t="str">
        <f t="shared" si="45"/>
        <v/>
      </c>
      <c r="Z402" s="5" t="str">
        <f t="shared" si="46"/>
        <v/>
      </c>
      <c r="AA402" s="4">
        <f t="shared" si="47"/>
        <v>0</v>
      </c>
      <c r="AC402" s="2"/>
    </row>
    <row r="403" spans="1:29" ht="15.5">
      <c r="A403" s="13" t="str">
        <f>IF(OR(ISBLANK(C403),ISBLANK(D403),ISBLANK(F403),ISBLANK(G403)),"",COUNTIF($B$5:B403,"JAMBUTU"))</f>
        <v/>
      </c>
      <c r="B403" s="8" t="str">
        <f t="shared" ref="B403:B466" si="48">IF(C403&lt;&gt;"","Jambutu","")</f>
        <v/>
      </c>
      <c r="C403" s="8"/>
      <c r="D403" s="8"/>
      <c r="E403" s="13"/>
      <c r="F403" s="12"/>
      <c r="G403" s="17"/>
      <c r="H403" s="12"/>
      <c r="I403" s="17"/>
      <c r="J403" s="10">
        <f t="shared" si="42"/>
        <v>0</v>
      </c>
      <c r="K403" s="10">
        <f t="shared" si="43"/>
        <v>0</v>
      </c>
      <c r="L403" s="9" t="str">
        <f t="shared" si="44"/>
        <v/>
      </c>
      <c r="M403" s="8"/>
      <c r="N403" s="8"/>
      <c r="O403" s="8"/>
      <c r="P403" s="8"/>
      <c r="Q403" s="8"/>
      <c r="R403" s="8"/>
      <c r="S403" s="8"/>
      <c r="T403" s="8"/>
      <c r="U403" s="8"/>
      <c r="V403" s="7"/>
      <c r="W403" s="6" t="str">
        <f t="array" ref="W403">IF(NOT(ISBLANK(D403)),_xludf.XLOOKUP(D403,[2]CODE!$A$4:$A$100,[2]CODE!$D$4:$D$100),"")</f>
        <v/>
      </c>
      <c r="X403" s="5" t="str">
        <f t="array" ref="X403">IF(NOT(AND(ISBLANK(D403),ISBLANK(C403))),_xludf.XLOOKUP(D403,[2]CODE!$A$4:$A$100,[2]CODE!$E$4:$E$100),"")</f>
        <v/>
      </c>
      <c r="Y403" s="5" t="str">
        <f t="shared" si="45"/>
        <v/>
      </c>
      <c r="Z403" s="5" t="str">
        <f t="shared" si="46"/>
        <v/>
      </c>
      <c r="AA403" s="4">
        <f t="shared" si="47"/>
        <v>0</v>
      </c>
      <c r="AC403" s="2"/>
    </row>
    <row r="404" spans="1:29" ht="15.5">
      <c r="A404" s="13" t="str">
        <f>IF(OR(ISBLANK(C404),ISBLANK(D404),ISBLANK(F404),ISBLANK(G404)),"",COUNTIF($B$5:B404,"JAMBUTU"))</f>
        <v/>
      </c>
      <c r="B404" s="8" t="str">
        <f t="shared" si="48"/>
        <v/>
      </c>
      <c r="C404" s="8"/>
      <c r="D404" s="8"/>
      <c r="E404" s="13"/>
      <c r="F404" s="12"/>
      <c r="G404" s="19"/>
      <c r="H404" s="12"/>
      <c r="I404" s="19"/>
      <c r="J404" s="10">
        <f t="shared" si="42"/>
        <v>0</v>
      </c>
      <c r="K404" s="10">
        <f t="shared" si="43"/>
        <v>0</v>
      </c>
      <c r="L404" s="9" t="str">
        <f t="shared" si="44"/>
        <v/>
      </c>
      <c r="M404" s="8"/>
      <c r="N404" s="8"/>
      <c r="O404" s="8"/>
      <c r="P404" s="8"/>
      <c r="Q404" s="8"/>
      <c r="R404" s="8"/>
      <c r="S404" s="8"/>
      <c r="T404" s="8"/>
      <c r="U404" s="8"/>
      <c r="V404" s="7"/>
      <c r="W404" s="6" t="str">
        <f t="array" ref="W404">IF(NOT(ISBLANK(D404)),_xludf.XLOOKUP(D404,[2]CODE!$A$4:$A$100,[2]CODE!$D$4:$D$100),"")</f>
        <v/>
      </c>
      <c r="X404" s="5" t="str">
        <f t="array" ref="X404">IF(NOT(AND(ISBLANK(D404),ISBLANK(C404))),_xludf.XLOOKUP(D404,[2]CODE!$A$4:$A$100,[2]CODE!$E$4:$E$100),"")</f>
        <v/>
      </c>
      <c r="Y404" s="5" t="str">
        <f t="shared" si="45"/>
        <v/>
      </c>
      <c r="Z404" s="5" t="str">
        <f t="shared" si="46"/>
        <v/>
      </c>
      <c r="AA404" s="4">
        <f t="shared" si="47"/>
        <v>0</v>
      </c>
      <c r="AC404" s="2"/>
    </row>
    <row r="405" spans="1:29" ht="15.5">
      <c r="A405" s="13" t="str">
        <f>IF(OR(ISBLANK(C405),ISBLANK(D405),ISBLANK(F405),ISBLANK(G405)),"",COUNTIF($B$5:B405,"JAMBUTU"))</f>
        <v/>
      </c>
      <c r="B405" s="8" t="str">
        <f t="shared" si="48"/>
        <v/>
      </c>
      <c r="C405" s="8"/>
      <c r="D405" s="8"/>
      <c r="E405" s="13"/>
      <c r="F405" s="12"/>
      <c r="G405" s="17"/>
      <c r="H405" s="12"/>
      <c r="I405" s="17"/>
      <c r="J405" s="10">
        <f t="shared" si="42"/>
        <v>0</v>
      </c>
      <c r="K405" s="10">
        <f t="shared" si="43"/>
        <v>0</v>
      </c>
      <c r="L405" s="9" t="str">
        <f t="shared" si="44"/>
        <v/>
      </c>
      <c r="M405" s="8"/>
      <c r="N405" s="8"/>
      <c r="O405" s="8"/>
      <c r="P405" s="8"/>
      <c r="Q405" s="8"/>
      <c r="R405" s="8"/>
      <c r="S405" s="8"/>
      <c r="T405" s="8"/>
      <c r="U405" s="8"/>
      <c r="V405" s="7"/>
      <c r="W405" s="6" t="str">
        <f t="array" ref="W405">IF(NOT(ISBLANK(D405)),_xludf.XLOOKUP(D405,[2]CODE!$A$4:$A$100,[2]CODE!$D$4:$D$100),"")</f>
        <v/>
      </c>
      <c r="X405" s="5" t="str">
        <f t="array" ref="X405">IF(NOT(AND(ISBLANK(D405),ISBLANK(C405))),_xludf.XLOOKUP(D405,[2]CODE!$A$4:$A$100,[2]CODE!$E$4:$E$100),"")</f>
        <v/>
      </c>
      <c r="Y405" s="5" t="str">
        <f t="shared" si="45"/>
        <v/>
      </c>
      <c r="Z405" s="5" t="str">
        <f t="shared" si="46"/>
        <v/>
      </c>
      <c r="AA405" s="4">
        <f t="shared" si="47"/>
        <v>0</v>
      </c>
      <c r="AC405" s="2"/>
    </row>
    <row r="406" spans="1:29" ht="15.5">
      <c r="A406" s="13" t="str">
        <f>IF(OR(ISBLANK(C406),ISBLANK(D406),ISBLANK(F406),ISBLANK(G406)),"",COUNTIF($B$5:B406,"JAMBUTU"))</f>
        <v/>
      </c>
      <c r="B406" s="8" t="str">
        <f t="shared" si="48"/>
        <v/>
      </c>
      <c r="C406" s="8"/>
      <c r="D406" s="8"/>
      <c r="E406" s="13"/>
      <c r="F406" s="12"/>
      <c r="G406" s="17"/>
      <c r="H406" s="12"/>
      <c r="I406" s="17"/>
      <c r="J406" s="10">
        <f t="shared" si="42"/>
        <v>0</v>
      </c>
      <c r="K406" s="10">
        <f t="shared" si="43"/>
        <v>0</v>
      </c>
      <c r="L406" s="9" t="str">
        <f t="shared" si="44"/>
        <v/>
      </c>
      <c r="M406" s="8"/>
      <c r="N406" s="8"/>
      <c r="O406" s="8"/>
      <c r="P406" s="8"/>
      <c r="Q406" s="8"/>
      <c r="R406" s="8"/>
      <c r="S406" s="8"/>
      <c r="T406" s="8"/>
      <c r="U406" s="8"/>
      <c r="V406" s="7"/>
      <c r="W406" s="6" t="str">
        <f t="array" ref="W406">IF(NOT(ISBLANK(D406)),_xludf.XLOOKUP(D406,[2]CODE!$A$4:$A$100,[2]CODE!$D$4:$D$100),"")</f>
        <v/>
      </c>
      <c r="X406" s="5" t="str">
        <f t="array" ref="X406">IF(NOT(AND(ISBLANK(D406),ISBLANK(C406))),_xludf.XLOOKUP(D406,[2]CODE!$A$4:$A$100,[2]CODE!$E$4:$E$100),"")</f>
        <v/>
      </c>
      <c r="Y406" s="5" t="str">
        <f t="shared" si="45"/>
        <v/>
      </c>
      <c r="Z406" s="5" t="str">
        <f t="shared" si="46"/>
        <v/>
      </c>
      <c r="AA406" s="4">
        <f t="shared" si="47"/>
        <v>0</v>
      </c>
      <c r="AC406" s="2"/>
    </row>
    <row r="407" spans="1:29" ht="15.5">
      <c r="A407" s="13" t="str">
        <f>IF(OR(ISBLANK(C407),ISBLANK(D407),ISBLANK(F407),ISBLANK(G407)),"",COUNTIF($B$5:B407,"JAMBUTU"))</f>
        <v/>
      </c>
      <c r="B407" s="8" t="str">
        <f t="shared" si="48"/>
        <v/>
      </c>
      <c r="C407" s="8"/>
      <c r="D407" s="8"/>
      <c r="E407" s="13"/>
      <c r="F407" s="12"/>
      <c r="G407" s="17"/>
      <c r="H407" s="12"/>
      <c r="I407" s="17"/>
      <c r="J407" s="10">
        <f t="shared" si="42"/>
        <v>0</v>
      </c>
      <c r="K407" s="10">
        <f t="shared" si="43"/>
        <v>0</v>
      </c>
      <c r="L407" s="9" t="str">
        <f t="shared" si="44"/>
        <v/>
      </c>
      <c r="M407" s="8"/>
      <c r="N407" s="8"/>
      <c r="O407" s="8"/>
      <c r="P407" s="8"/>
      <c r="Q407" s="8"/>
      <c r="R407" s="8"/>
      <c r="S407" s="8"/>
      <c r="T407" s="8"/>
      <c r="U407" s="8"/>
      <c r="V407" s="7"/>
      <c r="W407" s="6" t="str">
        <f t="array" ref="W407">IF(NOT(ISBLANK(D407)),_xludf.XLOOKUP(D407,[2]CODE!$A$4:$A$100,[2]CODE!$D$4:$D$100),"")</f>
        <v/>
      </c>
      <c r="X407" s="5" t="str">
        <f t="array" ref="X407">IF(NOT(AND(ISBLANK(D407),ISBLANK(C407))),_xludf.XLOOKUP(D407,[2]CODE!$A$4:$A$100,[2]CODE!$E$4:$E$100),"")</f>
        <v/>
      </c>
      <c r="Y407" s="5" t="str">
        <f t="shared" si="45"/>
        <v/>
      </c>
      <c r="Z407" s="5" t="str">
        <f t="shared" si="46"/>
        <v/>
      </c>
      <c r="AA407" s="4">
        <f t="shared" si="47"/>
        <v>0</v>
      </c>
      <c r="AC407" s="2"/>
    </row>
    <row r="408" spans="1:29" ht="15.5">
      <c r="A408" s="13" t="str">
        <f>IF(OR(ISBLANK(C408),ISBLANK(D408),ISBLANK(F408),ISBLANK(G408)),"",COUNTIF($B$5:B408,"JAMBUTU"))</f>
        <v/>
      </c>
      <c r="B408" s="8" t="str">
        <f t="shared" si="48"/>
        <v/>
      </c>
      <c r="C408" s="8"/>
      <c r="D408" s="8"/>
      <c r="E408" s="18"/>
      <c r="F408" s="12"/>
      <c r="G408" s="17"/>
      <c r="H408" s="12"/>
      <c r="I408" s="17"/>
      <c r="J408" s="10">
        <f t="shared" si="42"/>
        <v>0</v>
      </c>
      <c r="K408" s="10">
        <f t="shared" si="43"/>
        <v>0</v>
      </c>
      <c r="L408" s="9" t="str">
        <f t="shared" si="44"/>
        <v/>
      </c>
      <c r="M408" s="8"/>
      <c r="N408" s="8"/>
      <c r="O408" s="8"/>
      <c r="P408" s="8"/>
      <c r="Q408" s="8"/>
      <c r="R408" s="8"/>
      <c r="S408" s="8"/>
      <c r="T408" s="8"/>
      <c r="U408" s="8"/>
      <c r="V408" s="7"/>
      <c r="W408" s="6" t="str">
        <f t="array" ref="W408">IF(NOT(ISBLANK(D408)),_xludf.XLOOKUP(D408,[2]CODE!$A$4:$A$100,[2]CODE!$D$4:$D$100),"")</f>
        <v/>
      </c>
      <c r="X408" s="5" t="str">
        <f t="array" ref="X408">IF(NOT(AND(ISBLANK(D408),ISBLANK(C408))),_xludf.XLOOKUP(D408,[2]CODE!$A$4:$A$100,[2]CODE!$E$4:$E$100),"")</f>
        <v/>
      </c>
      <c r="Y408" s="5" t="str">
        <f t="shared" si="45"/>
        <v/>
      </c>
      <c r="Z408" s="5" t="str">
        <f t="shared" si="46"/>
        <v/>
      </c>
      <c r="AA408" s="4">
        <f t="shared" si="47"/>
        <v>0</v>
      </c>
      <c r="AC408" s="2"/>
    </row>
    <row r="409" spans="1:29" ht="15.5">
      <c r="A409" s="13" t="str">
        <f>IF(OR(ISBLANK(C409),ISBLANK(D409),ISBLANK(F409),ISBLANK(G409)),"",COUNTIF($B$5:B409,"JAMBUTU"))</f>
        <v/>
      </c>
      <c r="B409" s="8" t="str">
        <f t="shared" si="48"/>
        <v/>
      </c>
      <c r="C409" s="8"/>
      <c r="D409" s="8"/>
      <c r="E409" s="18"/>
      <c r="F409" s="12"/>
      <c r="G409" s="17"/>
      <c r="H409" s="12"/>
      <c r="I409" s="17"/>
      <c r="J409" s="10">
        <f t="shared" si="42"/>
        <v>0</v>
      </c>
      <c r="K409" s="10">
        <f t="shared" si="43"/>
        <v>0</v>
      </c>
      <c r="L409" s="9" t="str">
        <f t="shared" si="44"/>
        <v/>
      </c>
      <c r="M409" s="8"/>
      <c r="N409" s="8"/>
      <c r="O409" s="8"/>
      <c r="P409" s="8"/>
      <c r="Q409" s="8"/>
      <c r="R409" s="8"/>
      <c r="S409" s="8"/>
      <c r="T409" s="8"/>
      <c r="U409" s="8"/>
      <c r="V409" s="7"/>
      <c r="W409" s="6" t="str">
        <f t="array" ref="W409">IF(NOT(ISBLANK(D409)),_xludf.XLOOKUP(D409,[2]CODE!$A$4:$A$100,[2]CODE!$D$4:$D$100),"")</f>
        <v/>
      </c>
      <c r="X409" s="5" t="str">
        <f t="array" ref="X409">IF(NOT(AND(ISBLANK(D409),ISBLANK(C409))),_xludf.XLOOKUP(D409,[2]CODE!$A$4:$A$100,[2]CODE!$E$4:$E$100),"")</f>
        <v/>
      </c>
      <c r="Y409" s="5" t="str">
        <f t="shared" si="45"/>
        <v/>
      </c>
      <c r="Z409" s="5" t="str">
        <f t="shared" si="46"/>
        <v/>
      </c>
      <c r="AA409" s="4">
        <f t="shared" si="47"/>
        <v>0</v>
      </c>
      <c r="AC409" s="2"/>
    </row>
    <row r="410" spans="1:29" ht="15.5">
      <c r="A410" s="13" t="str">
        <f>IF(OR(ISBLANK(C410),ISBLANK(D410),ISBLANK(F410),ISBLANK(G410)),"",COUNTIF($B$5:B410,"JAMBUTU"))</f>
        <v/>
      </c>
      <c r="B410" s="8" t="str">
        <f t="shared" si="48"/>
        <v/>
      </c>
      <c r="C410" s="8"/>
      <c r="D410" s="8"/>
      <c r="E410" s="18"/>
      <c r="F410" s="12"/>
      <c r="G410" s="17"/>
      <c r="H410" s="12"/>
      <c r="I410" s="17"/>
      <c r="J410" s="10">
        <f t="shared" si="42"/>
        <v>0</v>
      </c>
      <c r="K410" s="10">
        <f t="shared" si="43"/>
        <v>0</v>
      </c>
      <c r="L410" s="9" t="str">
        <f t="shared" si="44"/>
        <v/>
      </c>
      <c r="M410" s="8"/>
      <c r="N410" s="8"/>
      <c r="O410" s="8"/>
      <c r="P410" s="8"/>
      <c r="Q410" s="8"/>
      <c r="R410" s="8"/>
      <c r="S410" s="8"/>
      <c r="T410" s="8"/>
      <c r="U410" s="8"/>
      <c r="V410" s="7"/>
      <c r="W410" s="6" t="str">
        <f t="array" ref="W410">IF(NOT(ISBLANK(D410)),_xludf.XLOOKUP(D410,[2]CODE!$A$4:$A$100,[2]CODE!$D$4:$D$100),"")</f>
        <v/>
      </c>
      <c r="X410" s="5" t="str">
        <f t="array" ref="X410">IF(NOT(AND(ISBLANK(D410),ISBLANK(C410))),_xludf.XLOOKUP(D410,[2]CODE!$A$4:$A$100,[2]CODE!$E$4:$E$100),"")</f>
        <v/>
      </c>
      <c r="Y410" s="5" t="str">
        <f t="shared" si="45"/>
        <v/>
      </c>
      <c r="Z410" s="5" t="str">
        <f t="shared" si="46"/>
        <v/>
      </c>
      <c r="AA410" s="4">
        <f t="shared" si="47"/>
        <v>0</v>
      </c>
      <c r="AC410" s="2"/>
    </row>
    <row r="411" spans="1:29" ht="15.5">
      <c r="A411" s="13" t="str">
        <f>IF(OR(ISBLANK(C411),ISBLANK(D411),ISBLANK(F411),ISBLANK(G411)),"",COUNTIF($B$5:B411,"JAMBUTU"))</f>
        <v/>
      </c>
      <c r="B411" s="8" t="str">
        <f t="shared" si="48"/>
        <v/>
      </c>
      <c r="C411" s="8"/>
      <c r="D411" s="8"/>
      <c r="E411" s="18"/>
      <c r="F411" s="12"/>
      <c r="G411" s="17"/>
      <c r="H411" s="12"/>
      <c r="I411" s="17"/>
      <c r="J411" s="10">
        <f t="shared" si="42"/>
        <v>0</v>
      </c>
      <c r="K411" s="10">
        <f t="shared" si="43"/>
        <v>0</v>
      </c>
      <c r="L411" s="9" t="str">
        <f t="shared" si="44"/>
        <v/>
      </c>
      <c r="M411" s="8"/>
      <c r="N411" s="8"/>
      <c r="O411" s="8"/>
      <c r="P411" s="8"/>
      <c r="Q411" s="8"/>
      <c r="R411" s="8"/>
      <c r="S411" s="8"/>
      <c r="T411" s="8"/>
      <c r="U411" s="8"/>
      <c r="V411" s="7"/>
      <c r="W411" s="6" t="str">
        <f t="array" ref="W411">IF(NOT(ISBLANK(D411)),_xludf.XLOOKUP(D411,[2]CODE!$A$4:$A$100,[2]CODE!$D$4:$D$100),"")</f>
        <v/>
      </c>
      <c r="X411" s="5" t="str">
        <f t="array" ref="X411">IF(NOT(AND(ISBLANK(D411),ISBLANK(C411))),_xludf.XLOOKUP(D411,[2]CODE!$A$4:$A$100,[2]CODE!$E$4:$E$100),"")</f>
        <v/>
      </c>
      <c r="Y411" s="5" t="str">
        <f t="shared" si="45"/>
        <v/>
      </c>
      <c r="Z411" s="5" t="str">
        <f t="shared" si="46"/>
        <v/>
      </c>
      <c r="AA411" s="4">
        <f t="shared" si="47"/>
        <v>0</v>
      </c>
      <c r="AC411" s="2"/>
    </row>
    <row r="412" spans="1:29" ht="15.5">
      <c r="A412" s="13" t="str">
        <f>IF(OR(ISBLANK(C412),ISBLANK(D412),ISBLANK(F412),ISBLANK(G412)),"",COUNTIF($B$5:B412,"JAMBUTU"))</f>
        <v/>
      </c>
      <c r="B412" s="8" t="str">
        <f t="shared" si="48"/>
        <v/>
      </c>
      <c r="C412" s="8"/>
      <c r="D412" s="8"/>
      <c r="E412" s="18"/>
      <c r="F412" s="12"/>
      <c r="G412" s="17"/>
      <c r="H412" s="12"/>
      <c r="I412" s="17"/>
      <c r="J412" s="10">
        <f t="shared" si="42"/>
        <v>0</v>
      </c>
      <c r="K412" s="10">
        <f t="shared" si="43"/>
        <v>0</v>
      </c>
      <c r="L412" s="9" t="str">
        <f t="shared" si="44"/>
        <v/>
      </c>
      <c r="M412" s="8"/>
      <c r="N412" s="8"/>
      <c r="O412" s="8"/>
      <c r="P412" s="8"/>
      <c r="Q412" s="8"/>
      <c r="R412" s="8"/>
      <c r="S412" s="8"/>
      <c r="T412" s="8"/>
      <c r="U412" s="8"/>
      <c r="V412" s="7"/>
      <c r="W412" s="6" t="str">
        <f t="array" ref="W412">IF(NOT(ISBLANK(D412)),_xludf.XLOOKUP(D412,[2]CODE!$A$4:$A$100,[2]CODE!$D$4:$D$100),"")</f>
        <v/>
      </c>
      <c r="X412" s="5" t="str">
        <f t="array" ref="X412">IF(NOT(AND(ISBLANK(D412),ISBLANK(C412))),_xludf.XLOOKUP(D412,[2]CODE!$A$4:$A$100,[2]CODE!$E$4:$E$100),"")</f>
        <v/>
      </c>
      <c r="Y412" s="5" t="str">
        <f t="shared" si="45"/>
        <v/>
      </c>
      <c r="Z412" s="5" t="str">
        <f t="shared" si="46"/>
        <v/>
      </c>
      <c r="AA412" s="4">
        <f t="shared" si="47"/>
        <v>0</v>
      </c>
      <c r="AC412" s="2"/>
    </row>
    <row r="413" spans="1:29" ht="15.5">
      <c r="A413" s="13" t="str">
        <f>IF(OR(ISBLANK(C413),ISBLANK(D413),ISBLANK(F413),ISBLANK(G413)),"",COUNTIF($B$5:B413,"JAMBUTU"))</f>
        <v/>
      </c>
      <c r="B413" s="8" t="str">
        <f t="shared" si="48"/>
        <v/>
      </c>
      <c r="C413" s="8"/>
      <c r="D413" s="8"/>
      <c r="E413" s="18"/>
      <c r="F413" s="12"/>
      <c r="G413" s="17"/>
      <c r="H413" s="12"/>
      <c r="I413" s="17"/>
      <c r="J413" s="10">
        <f t="shared" si="42"/>
        <v>0</v>
      </c>
      <c r="K413" s="10">
        <f t="shared" si="43"/>
        <v>0</v>
      </c>
      <c r="L413" s="9" t="str">
        <f t="shared" si="44"/>
        <v/>
      </c>
      <c r="M413" s="8"/>
      <c r="N413" s="8"/>
      <c r="O413" s="8"/>
      <c r="P413" s="8"/>
      <c r="Q413" s="8"/>
      <c r="R413" s="8"/>
      <c r="S413" s="8"/>
      <c r="T413" s="8"/>
      <c r="U413" s="8"/>
      <c r="V413" s="7"/>
      <c r="W413" s="6" t="str">
        <f t="array" ref="W413">IF(NOT(ISBLANK(D413)),_xludf.XLOOKUP(D413,[2]CODE!$A$4:$A$100,[2]CODE!$D$4:$D$100),"")</f>
        <v/>
      </c>
      <c r="X413" s="5" t="str">
        <f t="array" ref="X413">IF(NOT(AND(ISBLANK(D413),ISBLANK(C413))),_xludf.XLOOKUP(D413,[2]CODE!$A$4:$A$100,[2]CODE!$E$4:$E$100),"")</f>
        <v/>
      </c>
      <c r="Y413" s="5" t="str">
        <f t="shared" si="45"/>
        <v/>
      </c>
      <c r="Z413" s="5" t="str">
        <f t="shared" si="46"/>
        <v/>
      </c>
      <c r="AA413" s="4">
        <f t="shared" si="47"/>
        <v>0</v>
      </c>
      <c r="AC413" s="2"/>
    </row>
    <row r="414" spans="1:29" ht="15.5">
      <c r="A414" s="13" t="str">
        <f>IF(OR(ISBLANK(C414),ISBLANK(D414),ISBLANK(F414),ISBLANK(G414)),"",COUNTIF($B$5:B414,"JAMBUTU"))</f>
        <v/>
      </c>
      <c r="B414" s="8" t="str">
        <f t="shared" si="48"/>
        <v/>
      </c>
      <c r="C414" s="8"/>
      <c r="D414" s="8"/>
      <c r="E414" s="18"/>
      <c r="F414" s="12"/>
      <c r="G414" s="17"/>
      <c r="H414" s="12"/>
      <c r="I414" s="17"/>
      <c r="J414" s="10">
        <f t="shared" si="42"/>
        <v>0</v>
      </c>
      <c r="K414" s="10">
        <f t="shared" si="43"/>
        <v>0</v>
      </c>
      <c r="L414" s="9" t="str">
        <f t="shared" si="44"/>
        <v/>
      </c>
      <c r="M414" s="8"/>
      <c r="N414" s="8"/>
      <c r="O414" s="8"/>
      <c r="P414" s="8"/>
      <c r="Q414" s="8"/>
      <c r="R414" s="8"/>
      <c r="S414" s="8"/>
      <c r="T414" s="8"/>
      <c r="U414" s="8"/>
      <c r="V414" s="7"/>
      <c r="W414" s="6" t="str">
        <f t="array" ref="W414">IF(NOT(ISBLANK(D414)),_xludf.XLOOKUP(D414,[2]CODE!$A$4:$A$100,[2]CODE!$D$4:$D$100),"")</f>
        <v/>
      </c>
      <c r="X414" s="5" t="str">
        <f t="array" ref="X414">IF(NOT(AND(ISBLANK(D414),ISBLANK(C414))),_xludf.XLOOKUP(D414,[2]CODE!$A$4:$A$100,[2]CODE!$E$4:$E$100),"")</f>
        <v/>
      </c>
      <c r="Y414" s="5" t="str">
        <f t="shared" si="45"/>
        <v/>
      </c>
      <c r="Z414" s="5" t="str">
        <f t="shared" si="46"/>
        <v/>
      </c>
      <c r="AA414" s="4">
        <f t="shared" si="47"/>
        <v>0</v>
      </c>
      <c r="AC414" s="2"/>
    </row>
    <row r="415" spans="1:29" ht="15.5">
      <c r="A415" s="13" t="str">
        <f>IF(OR(ISBLANK(C415),ISBLANK(D415),ISBLANK(F415),ISBLANK(G415)),"",COUNTIF($B$5:B415,"JAMBUTU"))</f>
        <v/>
      </c>
      <c r="B415" s="8" t="str">
        <f t="shared" si="48"/>
        <v/>
      </c>
      <c r="C415" s="8"/>
      <c r="D415" s="8"/>
      <c r="E415" s="18"/>
      <c r="F415" s="12"/>
      <c r="G415" s="17"/>
      <c r="H415" s="12"/>
      <c r="I415" s="17"/>
      <c r="J415" s="10">
        <f t="shared" si="42"/>
        <v>0</v>
      </c>
      <c r="K415" s="10">
        <f t="shared" si="43"/>
        <v>0</v>
      </c>
      <c r="L415" s="9" t="str">
        <f t="shared" si="44"/>
        <v/>
      </c>
      <c r="M415" s="8"/>
      <c r="N415" s="8"/>
      <c r="O415" s="8"/>
      <c r="P415" s="8"/>
      <c r="Q415" s="8"/>
      <c r="R415" s="8"/>
      <c r="S415" s="8"/>
      <c r="T415" s="8"/>
      <c r="U415" s="8"/>
      <c r="V415" s="7"/>
      <c r="W415" s="6" t="str">
        <f t="array" ref="W415">IF(NOT(ISBLANK(D415)),_xludf.XLOOKUP(D415,[2]CODE!$A$4:$A$100,[2]CODE!$D$4:$D$100),"")</f>
        <v/>
      </c>
      <c r="X415" s="5" t="str">
        <f t="array" ref="X415">IF(NOT(AND(ISBLANK(D415),ISBLANK(C415))),_xludf.XLOOKUP(D415,[2]CODE!$A$4:$A$100,[2]CODE!$E$4:$E$100),"")</f>
        <v/>
      </c>
      <c r="Y415" s="5" t="str">
        <f t="shared" si="45"/>
        <v/>
      </c>
      <c r="Z415" s="5" t="str">
        <f t="shared" si="46"/>
        <v/>
      </c>
      <c r="AA415" s="4">
        <f t="shared" si="47"/>
        <v>0</v>
      </c>
      <c r="AC415" s="2"/>
    </row>
    <row r="416" spans="1:29" ht="15.5">
      <c r="A416" s="13" t="str">
        <f>IF(OR(ISBLANK(C416),ISBLANK(D416),ISBLANK(F416),ISBLANK(G416)),"",COUNTIF($B$5:B416,"JAMBUTU"))</f>
        <v/>
      </c>
      <c r="B416" s="8" t="str">
        <f t="shared" si="48"/>
        <v/>
      </c>
      <c r="C416" s="8"/>
      <c r="D416" s="8"/>
      <c r="E416" s="18"/>
      <c r="F416" s="12"/>
      <c r="G416" s="17"/>
      <c r="H416" s="12"/>
      <c r="I416" s="17"/>
      <c r="J416" s="10">
        <f t="shared" si="42"/>
        <v>0</v>
      </c>
      <c r="K416" s="10">
        <f t="shared" si="43"/>
        <v>0</v>
      </c>
      <c r="L416" s="9" t="str">
        <f t="shared" si="44"/>
        <v/>
      </c>
      <c r="M416" s="8"/>
      <c r="N416" s="8"/>
      <c r="O416" s="8"/>
      <c r="P416" s="8"/>
      <c r="Q416" s="8"/>
      <c r="R416" s="8"/>
      <c r="S416" s="8"/>
      <c r="T416" s="8"/>
      <c r="U416" s="8"/>
      <c r="V416" s="7"/>
      <c r="W416" s="6" t="str">
        <f t="array" ref="W416">IF(NOT(ISBLANK(D416)),_xludf.XLOOKUP(D416,[2]CODE!$A$4:$A$100,[2]CODE!$D$4:$D$100),"")</f>
        <v/>
      </c>
      <c r="X416" s="5" t="str">
        <f t="array" ref="X416">IF(NOT(AND(ISBLANK(D416),ISBLANK(C416))),_xludf.XLOOKUP(D416,[2]CODE!$A$4:$A$100,[2]CODE!$E$4:$E$100),"")</f>
        <v/>
      </c>
      <c r="Y416" s="5" t="str">
        <f t="shared" si="45"/>
        <v/>
      </c>
      <c r="Z416" s="5" t="str">
        <f t="shared" si="46"/>
        <v/>
      </c>
      <c r="AA416" s="4">
        <f t="shared" si="47"/>
        <v>0</v>
      </c>
      <c r="AC416" s="2"/>
    </row>
    <row r="417" spans="1:29" ht="15.5">
      <c r="A417" s="13" t="str">
        <f>IF(OR(ISBLANK(C417),ISBLANK(D417),ISBLANK(F417),ISBLANK(G417)),"",COUNTIF($B$5:B417,"JAMBUTU"))</f>
        <v/>
      </c>
      <c r="B417" s="8" t="str">
        <f t="shared" si="48"/>
        <v/>
      </c>
      <c r="C417" s="8"/>
      <c r="D417" s="8"/>
      <c r="E417" s="18"/>
      <c r="F417" s="12"/>
      <c r="G417" s="17"/>
      <c r="H417" s="12"/>
      <c r="I417" s="19"/>
      <c r="J417" s="10">
        <f t="shared" si="42"/>
        <v>0</v>
      </c>
      <c r="K417" s="10">
        <f t="shared" si="43"/>
        <v>0</v>
      </c>
      <c r="L417" s="9" t="str">
        <f t="shared" si="44"/>
        <v/>
      </c>
      <c r="M417" s="8"/>
      <c r="N417" s="8"/>
      <c r="O417" s="8"/>
      <c r="P417" s="8"/>
      <c r="Q417" s="8"/>
      <c r="R417" s="8"/>
      <c r="S417" s="16"/>
      <c r="T417" s="8"/>
      <c r="U417" s="8"/>
      <c r="V417" s="7"/>
      <c r="W417" s="6" t="str">
        <f t="array" ref="W417">IF(NOT(ISBLANK(D417)),_xludf.XLOOKUP(D417,[2]CODE!$A$4:$A$100,[2]CODE!$D$4:$D$100),"")</f>
        <v/>
      </c>
      <c r="X417" s="5" t="str">
        <f t="array" ref="X417">IF(NOT(AND(ISBLANK(D417),ISBLANK(C417))),_xludf.XLOOKUP(D417,[2]CODE!$A$4:$A$100,[2]CODE!$E$4:$E$100),"")</f>
        <v/>
      </c>
      <c r="Y417" s="5" t="str">
        <f t="shared" si="45"/>
        <v/>
      </c>
      <c r="Z417" s="5" t="str">
        <f t="shared" si="46"/>
        <v/>
      </c>
      <c r="AA417" s="4">
        <f t="shared" si="47"/>
        <v>0</v>
      </c>
      <c r="AC417" s="2"/>
    </row>
    <row r="418" spans="1:29" ht="15.5">
      <c r="A418" s="13" t="str">
        <f>IF(OR(ISBLANK(C418),ISBLANK(D418),ISBLANK(F418),ISBLANK(G418)),"",COUNTIF($B$5:B418,"JAMBUTU"))</f>
        <v/>
      </c>
      <c r="B418" s="8" t="str">
        <f t="shared" si="48"/>
        <v/>
      </c>
      <c r="C418" s="8"/>
      <c r="D418" s="8"/>
      <c r="E418" s="18"/>
      <c r="F418" s="12"/>
      <c r="G418" s="17"/>
      <c r="H418" s="12"/>
      <c r="I418" s="17"/>
      <c r="J418" s="10">
        <f t="shared" si="42"/>
        <v>0</v>
      </c>
      <c r="K418" s="10">
        <f t="shared" si="43"/>
        <v>0</v>
      </c>
      <c r="L418" s="9" t="str">
        <f t="shared" si="44"/>
        <v/>
      </c>
      <c r="M418" s="8"/>
      <c r="N418" s="8"/>
      <c r="O418" s="8"/>
      <c r="P418" s="8"/>
      <c r="Q418" s="8"/>
      <c r="R418" s="8"/>
      <c r="S418" s="16"/>
      <c r="T418" s="8"/>
      <c r="U418" s="8"/>
      <c r="V418" s="7"/>
      <c r="W418" s="6" t="str">
        <f t="array" ref="W418">IF(NOT(ISBLANK(D418)),_xludf.XLOOKUP(D418,[2]CODE!$A$4:$A$100,[2]CODE!$D$4:$D$100),"")</f>
        <v/>
      </c>
      <c r="X418" s="5" t="str">
        <f t="array" ref="X418">IF(NOT(AND(ISBLANK(D418),ISBLANK(C418))),_xludf.XLOOKUP(D418,[2]CODE!$A$4:$A$100,[2]CODE!$E$4:$E$100),"")</f>
        <v/>
      </c>
      <c r="Y418" s="5" t="str">
        <f t="shared" si="45"/>
        <v/>
      </c>
      <c r="Z418" s="5" t="str">
        <f t="shared" si="46"/>
        <v/>
      </c>
      <c r="AA418" s="4">
        <f t="shared" si="47"/>
        <v>0</v>
      </c>
      <c r="AC418" s="2"/>
    </row>
    <row r="419" spans="1:29" ht="15.5">
      <c r="A419" s="13" t="str">
        <f>IF(OR(ISBLANK(C419),ISBLANK(D419),ISBLANK(F419),ISBLANK(G419)),"",COUNTIF($B$5:B419,"JAMBUTU"))</f>
        <v/>
      </c>
      <c r="B419" s="8" t="str">
        <f t="shared" si="48"/>
        <v/>
      </c>
      <c r="C419" s="8"/>
      <c r="D419" s="8"/>
      <c r="E419" s="18"/>
      <c r="F419" s="12"/>
      <c r="G419" s="17"/>
      <c r="H419" s="12"/>
      <c r="I419" s="17"/>
      <c r="J419" s="10">
        <f t="shared" si="42"/>
        <v>0</v>
      </c>
      <c r="K419" s="10">
        <f t="shared" si="43"/>
        <v>0</v>
      </c>
      <c r="L419" s="9" t="str">
        <f t="shared" si="44"/>
        <v/>
      </c>
      <c r="M419" s="8"/>
      <c r="N419" s="8"/>
      <c r="O419" s="8"/>
      <c r="P419" s="8"/>
      <c r="Q419" s="8"/>
      <c r="R419" s="8"/>
      <c r="S419" s="16"/>
      <c r="T419" s="8"/>
      <c r="U419" s="8"/>
      <c r="V419" s="7"/>
      <c r="W419" s="6" t="str">
        <f t="array" ref="W419">IF(NOT(ISBLANK(D419)),_xludf.XLOOKUP(D419,[2]CODE!$A$4:$A$100,[2]CODE!$D$4:$D$100),"")</f>
        <v/>
      </c>
      <c r="X419" s="5" t="str">
        <f t="array" ref="X419">IF(NOT(AND(ISBLANK(D419),ISBLANK(C419))),_xludf.XLOOKUP(D419,[2]CODE!$A$4:$A$100,[2]CODE!$E$4:$E$100),"")</f>
        <v/>
      </c>
      <c r="Y419" s="5" t="str">
        <f t="shared" si="45"/>
        <v/>
      </c>
      <c r="Z419" s="5" t="str">
        <f t="shared" si="46"/>
        <v/>
      </c>
      <c r="AA419" s="4">
        <f t="shared" si="47"/>
        <v>0</v>
      </c>
      <c r="AC419" s="2"/>
    </row>
    <row r="420" spans="1:29" ht="15.5">
      <c r="A420" s="13" t="str">
        <f>IF(OR(ISBLANK(C420),ISBLANK(D420),ISBLANK(F420),ISBLANK(G420)),"",COUNTIF($B$5:B420,"JAMBUTU"))</f>
        <v/>
      </c>
      <c r="B420" s="8" t="str">
        <f t="shared" si="48"/>
        <v/>
      </c>
      <c r="C420" s="8"/>
      <c r="D420" s="8"/>
      <c r="E420" s="18"/>
      <c r="F420" s="12"/>
      <c r="G420" s="17"/>
      <c r="H420" s="12"/>
      <c r="I420" s="19"/>
      <c r="J420" s="10">
        <f t="shared" si="42"/>
        <v>0</v>
      </c>
      <c r="K420" s="10">
        <f t="shared" si="43"/>
        <v>0</v>
      </c>
      <c r="L420" s="9" t="str">
        <f t="shared" si="44"/>
        <v/>
      </c>
      <c r="M420" s="8"/>
      <c r="N420" s="8"/>
      <c r="O420" s="8"/>
      <c r="P420" s="8"/>
      <c r="Q420" s="8"/>
      <c r="R420" s="8"/>
      <c r="S420" s="8"/>
      <c r="T420" s="8"/>
      <c r="U420" s="8"/>
      <c r="V420" s="7"/>
      <c r="W420" s="6" t="str">
        <f t="array" ref="W420">IF(NOT(ISBLANK(D420)),_xludf.XLOOKUP(D420,[2]CODE!$A$4:$A$100,[2]CODE!$D$4:$D$100),"")</f>
        <v/>
      </c>
      <c r="X420" s="5" t="str">
        <f t="array" ref="X420">IF(NOT(AND(ISBLANK(D420),ISBLANK(C420))),_xludf.XLOOKUP(D420,[2]CODE!$A$4:$A$100,[2]CODE!$E$4:$E$100),"")</f>
        <v/>
      </c>
      <c r="Y420" s="5" t="str">
        <f t="shared" si="45"/>
        <v/>
      </c>
      <c r="Z420" s="5" t="str">
        <f t="shared" si="46"/>
        <v/>
      </c>
      <c r="AA420" s="4">
        <f t="shared" si="47"/>
        <v>0</v>
      </c>
      <c r="AC420" s="2"/>
    </row>
    <row r="421" spans="1:29" ht="15.5">
      <c r="A421" s="13" t="str">
        <f>IF(OR(ISBLANK(C421),ISBLANK(D421),ISBLANK(F421),ISBLANK(G421)),"",COUNTIF($B$5:B421,"JAMBUTU"))</f>
        <v/>
      </c>
      <c r="B421" s="8" t="str">
        <f t="shared" si="48"/>
        <v/>
      </c>
      <c r="C421" s="8"/>
      <c r="D421" s="8"/>
      <c r="E421" s="18"/>
      <c r="F421" s="12"/>
      <c r="G421" s="17"/>
      <c r="H421" s="12"/>
      <c r="I421" s="17"/>
      <c r="J421" s="10">
        <f t="shared" si="42"/>
        <v>0</v>
      </c>
      <c r="K421" s="10">
        <f t="shared" si="43"/>
        <v>0</v>
      </c>
      <c r="L421" s="9" t="str">
        <f t="shared" si="44"/>
        <v/>
      </c>
      <c r="M421" s="8"/>
      <c r="N421" s="8"/>
      <c r="O421" s="8"/>
      <c r="P421" s="8"/>
      <c r="Q421" s="8"/>
      <c r="R421" s="8"/>
      <c r="S421" s="16"/>
      <c r="T421" s="8"/>
      <c r="U421" s="8"/>
      <c r="V421" s="7"/>
      <c r="W421" s="6" t="str">
        <f t="array" ref="W421">IF(NOT(ISBLANK(D421)),_xludf.XLOOKUP(D421,[2]CODE!$A$4:$A$100,[2]CODE!$D$4:$D$100),"")</f>
        <v/>
      </c>
      <c r="X421" s="5" t="str">
        <f t="array" ref="X421">IF(NOT(AND(ISBLANK(D421),ISBLANK(C421))),_xludf.XLOOKUP(D421,[2]CODE!$A$4:$A$100,[2]CODE!$E$4:$E$100),"")</f>
        <v/>
      </c>
      <c r="Y421" s="5" t="str">
        <f t="shared" si="45"/>
        <v/>
      </c>
      <c r="Z421" s="5" t="str">
        <f t="shared" si="46"/>
        <v/>
      </c>
      <c r="AA421" s="4">
        <f t="shared" si="47"/>
        <v>0</v>
      </c>
      <c r="AC421" s="2"/>
    </row>
    <row r="422" spans="1:29" ht="15.5">
      <c r="A422" s="13" t="str">
        <f>IF(OR(ISBLANK(C422),ISBLANK(D422),ISBLANK(F422),ISBLANK(G422)),"",COUNTIF($B$5:B422,"JAMBUTU"))</f>
        <v/>
      </c>
      <c r="B422" s="8" t="str">
        <f t="shared" si="48"/>
        <v/>
      </c>
      <c r="C422" s="8"/>
      <c r="D422" s="8"/>
      <c r="E422" s="18"/>
      <c r="F422" s="12"/>
      <c r="G422" s="17"/>
      <c r="H422" s="12"/>
      <c r="I422" s="19"/>
      <c r="J422" s="10">
        <f t="shared" si="42"/>
        <v>0</v>
      </c>
      <c r="K422" s="10">
        <f t="shared" si="43"/>
        <v>0</v>
      </c>
      <c r="L422" s="9" t="str">
        <f t="shared" si="44"/>
        <v/>
      </c>
      <c r="M422" s="8"/>
      <c r="N422" s="8"/>
      <c r="O422" s="8"/>
      <c r="P422" s="8"/>
      <c r="Q422" s="8"/>
      <c r="R422" s="8"/>
      <c r="S422" s="16"/>
      <c r="T422" s="8"/>
      <c r="U422" s="8"/>
      <c r="V422" s="7"/>
      <c r="W422" s="6" t="str">
        <f t="array" ref="W422">IF(NOT(ISBLANK(D422)),_xludf.XLOOKUP(D422,[2]CODE!$A$4:$A$100,[2]CODE!$D$4:$D$100),"")</f>
        <v/>
      </c>
      <c r="X422" s="5" t="str">
        <f t="array" ref="X422">IF(NOT(AND(ISBLANK(D422),ISBLANK(C422))),_xludf.XLOOKUP(D422,[2]CODE!$A$4:$A$100,[2]CODE!$E$4:$E$100),"")</f>
        <v/>
      </c>
      <c r="Y422" s="5" t="str">
        <f t="shared" si="45"/>
        <v/>
      </c>
      <c r="Z422" s="5" t="str">
        <f t="shared" si="46"/>
        <v/>
      </c>
      <c r="AA422" s="4">
        <f t="shared" si="47"/>
        <v>0</v>
      </c>
      <c r="AC422" s="2"/>
    </row>
    <row r="423" spans="1:29" ht="15.5">
      <c r="A423" s="13" t="str">
        <f>IF(OR(ISBLANK(C423),ISBLANK(D423),ISBLANK(F423),ISBLANK(G423)),"",COUNTIF($B$5:B423,"JAMBUTU"))</f>
        <v/>
      </c>
      <c r="B423" s="8" t="str">
        <f t="shared" si="48"/>
        <v/>
      </c>
      <c r="C423" s="8"/>
      <c r="D423" s="8"/>
      <c r="E423" s="18"/>
      <c r="F423" s="12"/>
      <c r="G423" s="17"/>
      <c r="H423" s="12"/>
      <c r="I423" s="17"/>
      <c r="J423" s="10">
        <f t="shared" si="42"/>
        <v>0</v>
      </c>
      <c r="K423" s="10">
        <f t="shared" si="43"/>
        <v>0</v>
      </c>
      <c r="L423" s="9" t="str">
        <f t="shared" si="44"/>
        <v/>
      </c>
      <c r="M423" s="8"/>
      <c r="N423" s="8"/>
      <c r="O423" s="8"/>
      <c r="P423" s="8"/>
      <c r="Q423" s="8"/>
      <c r="R423" s="8"/>
      <c r="S423" s="16"/>
      <c r="T423" s="8"/>
      <c r="U423" s="8"/>
      <c r="V423" s="7"/>
      <c r="W423" s="6" t="str">
        <f t="array" ref="W423">IF(NOT(ISBLANK(D423)),_xludf.XLOOKUP(D423,[2]CODE!$A$4:$A$100,[2]CODE!$D$4:$D$100),"")</f>
        <v/>
      </c>
      <c r="X423" s="5" t="str">
        <f t="array" ref="X423">IF(NOT(AND(ISBLANK(D423),ISBLANK(C423))),_xludf.XLOOKUP(D423,[2]CODE!$A$4:$A$100,[2]CODE!$E$4:$E$100),"")</f>
        <v/>
      </c>
      <c r="Y423" s="5" t="str">
        <f t="shared" si="45"/>
        <v/>
      </c>
      <c r="Z423" s="5" t="str">
        <f t="shared" si="46"/>
        <v/>
      </c>
      <c r="AA423" s="4">
        <f t="shared" si="47"/>
        <v>0</v>
      </c>
      <c r="AC423" s="2"/>
    </row>
    <row r="424" spans="1:29" ht="15.5">
      <c r="A424" s="13" t="str">
        <f>IF(OR(ISBLANK(C424),ISBLANK(D424),ISBLANK(F424),ISBLANK(G424)),"",COUNTIF($B$5:B424,"JAMBUTU"))</f>
        <v/>
      </c>
      <c r="B424" s="8" t="str">
        <f t="shared" si="48"/>
        <v/>
      </c>
      <c r="C424" s="8"/>
      <c r="D424" s="8"/>
      <c r="E424" s="18"/>
      <c r="F424" s="12"/>
      <c r="G424" s="17"/>
      <c r="H424" s="12"/>
      <c r="I424" s="17"/>
      <c r="J424" s="10">
        <f t="shared" si="42"/>
        <v>0</v>
      </c>
      <c r="K424" s="10">
        <f t="shared" si="43"/>
        <v>0</v>
      </c>
      <c r="L424" s="9" t="str">
        <f t="shared" si="44"/>
        <v/>
      </c>
      <c r="M424" s="8"/>
      <c r="N424" s="8"/>
      <c r="O424" s="8"/>
      <c r="P424" s="8"/>
      <c r="Q424" s="8"/>
      <c r="R424" s="8"/>
      <c r="S424" s="16"/>
      <c r="T424" s="8"/>
      <c r="U424" s="8"/>
      <c r="V424" s="7"/>
      <c r="W424" s="6" t="str">
        <f t="array" ref="W424">IF(NOT(ISBLANK(D424)),_xludf.XLOOKUP(D424,[2]CODE!$A$4:$A$100,[2]CODE!$D$4:$D$100),"")</f>
        <v/>
      </c>
      <c r="X424" s="5" t="str">
        <f t="array" ref="X424">IF(NOT(AND(ISBLANK(D424),ISBLANK(C424))),_xludf.XLOOKUP(D424,[2]CODE!$A$4:$A$100,[2]CODE!$E$4:$E$100),"")</f>
        <v/>
      </c>
      <c r="Y424" s="5" t="str">
        <f t="shared" si="45"/>
        <v/>
      </c>
      <c r="Z424" s="5" t="str">
        <f t="shared" si="46"/>
        <v/>
      </c>
      <c r="AA424" s="4">
        <f t="shared" si="47"/>
        <v>0</v>
      </c>
      <c r="AC424" s="2"/>
    </row>
    <row r="425" spans="1:29" ht="15.5">
      <c r="A425" s="13" t="str">
        <f>IF(OR(ISBLANK(C425),ISBLANK(D425),ISBLANK(F425),ISBLANK(G425)),"",COUNTIF($B$5:B425,"JAMBUTU"))</f>
        <v/>
      </c>
      <c r="B425" s="8" t="str">
        <f t="shared" si="48"/>
        <v/>
      </c>
      <c r="C425" s="8"/>
      <c r="D425" s="8"/>
      <c r="E425" s="18"/>
      <c r="F425" s="12"/>
      <c r="G425" s="17"/>
      <c r="H425" s="12"/>
      <c r="I425" s="17"/>
      <c r="J425" s="10">
        <f t="shared" si="42"/>
        <v>0</v>
      </c>
      <c r="K425" s="10">
        <f t="shared" si="43"/>
        <v>0</v>
      </c>
      <c r="L425" s="9" t="str">
        <f t="shared" si="44"/>
        <v/>
      </c>
      <c r="M425" s="8"/>
      <c r="N425" s="8"/>
      <c r="O425" s="8"/>
      <c r="P425" s="8"/>
      <c r="Q425" s="8"/>
      <c r="R425" s="8"/>
      <c r="S425" s="8"/>
      <c r="T425" s="8"/>
      <c r="U425" s="8"/>
      <c r="V425" s="7"/>
      <c r="W425" s="6" t="str">
        <f t="array" ref="W425">IF(NOT(ISBLANK(D425)),_xludf.XLOOKUP(D425,[2]CODE!$A$4:$A$100,[2]CODE!$D$4:$D$100),"")</f>
        <v/>
      </c>
      <c r="X425" s="5" t="str">
        <f t="array" ref="X425">IF(NOT(AND(ISBLANK(D425),ISBLANK(C425))),_xludf.XLOOKUP(D425,[2]CODE!$A$4:$A$100,[2]CODE!$E$4:$E$100),"")</f>
        <v/>
      </c>
      <c r="Y425" s="5" t="str">
        <f t="shared" si="45"/>
        <v/>
      </c>
      <c r="Z425" s="5" t="str">
        <f t="shared" si="46"/>
        <v/>
      </c>
      <c r="AA425" s="4">
        <f t="shared" si="47"/>
        <v>0</v>
      </c>
      <c r="AC425" s="2"/>
    </row>
    <row r="426" spans="1:29" ht="15.5">
      <c r="A426" s="13" t="str">
        <f>IF(OR(ISBLANK(C426),ISBLANK(D426),ISBLANK(F426),ISBLANK(G426)),"",COUNTIF($B$5:B426,"JAMBUTU"))</f>
        <v/>
      </c>
      <c r="B426" s="8" t="str">
        <f t="shared" si="48"/>
        <v/>
      </c>
      <c r="C426" s="8"/>
      <c r="D426" s="8"/>
      <c r="E426" s="18"/>
      <c r="F426" s="12"/>
      <c r="G426" s="17"/>
      <c r="H426" s="12"/>
      <c r="I426" s="17"/>
      <c r="J426" s="10">
        <f t="shared" si="42"/>
        <v>0</v>
      </c>
      <c r="K426" s="10">
        <f t="shared" si="43"/>
        <v>0</v>
      </c>
      <c r="L426" s="9" t="str">
        <f t="shared" si="44"/>
        <v/>
      </c>
      <c r="M426" s="8"/>
      <c r="N426" s="8"/>
      <c r="O426" s="8"/>
      <c r="P426" s="8"/>
      <c r="Q426" s="8"/>
      <c r="R426" s="8"/>
      <c r="S426" s="8"/>
      <c r="T426" s="8"/>
      <c r="U426" s="8"/>
      <c r="V426" s="7"/>
      <c r="W426" s="6" t="str">
        <f t="array" ref="W426">IF(NOT(ISBLANK(D426)),_xludf.XLOOKUP(D426,[2]CODE!$A$4:$A$100,[2]CODE!$D$4:$D$100),"")</f>
        <v/>
      </c>
      <c r="X426" s="5" t="str">
        <f t="array" ref="X426">IF(NOT(AND(ISBLANK(D426),ISBLANK(C426))),_xludf.XLOOKUP(D426,[2]CODE!$A$4:$A$100,[2]CODE!$E$4:$E$100),"")</f>
        <v/>
      </c>
      <c r="Y426" s="5" t="str">
        <f t="shared" si="45"/>
        <v/>
      </c>
      <c r="Z426" s="5" t="str">
        <f t="shared" si="46"/>
        <v/>
      </c>
      <c r="AA426" s="4">
        <f t="shared" si="47"/>
        <v>0</v>
      </c>
      <c r="AC426" s="2"/>
    </row>
    <row r="427" spans="1:29" ht="15.5">
      <c r="A427" s="13" t="str">
        <f>IF(OR(ISBLANK(C427),ISBLANK(D427),ISBLANK(F427),ISBLANK(G427)),"",COUNTIF($B$5:B427,"JAMBUTU"))</f>
        <v/>
      </c>
      <c r="B427" s="8" t="str">
        <f t="shared" si="48"/>
        <v/>
      </c>
      <c r="C427" s="8"/>
      <c r="D427" s="8"/>
      <c r="E427" s="18"/>
      <c r="F427" s="12"/>
      <c r="G427" s="17"/>
      <c r="H427" s="12"/>
      <c r="I427" s="17"/>
      <c r="J427" s="10">
        <f t="shared" si="42"/>
        <v>0</v>
      </c>
      <c r="K427" s="10">
        <f t="shared" si="43"/>
        <v>0</v>
      </c>
      <c r="L427" s="9" t="str">
        <f t="shared" si="44"/>
        <v/>
      </c>
      <c r="M427" s="8"/>
      <c r="N427" s="8"/>
      <c r="O427" s="8"/>
      <c r="P427" s="8"/>
      <c r="Q427" s="8"/>
      <c r="R427" s="8"/>
      <c r="S427" s="16"/>
      <c r="T427" s="8"/>
      <c r="U427" s="8"/>
      <c r="V427" s="7"/>
      <c r="W427" s="6" t="str">
        <f t="array" ref="W427">IF(NOT(ISBLANK(D427)),_xludf.XLOOKUP(D427,[2]CODE!$A$4:$A$100,[2]CODE!$D$4:$D$100),"")</f>
        <v/>
      </c>
      <c r="X427" s="5" t="str">
        <f t="array" ref="X427">IF(NOT(AND(ISBLANK(D427),ISBLANK(C427))),_xludf.XLOOKUP(D427,[2]CODE!$A$4:$A$100,[2]CODE!$E$4:$E$100),"")</f>
        <v/>
      </c>
      <c r="Y427" s="5" t="str">
        <f t="shared" si="45"/>
        <v/>
      </c>
      <c r="Z427" s="5" t="str">
        <f t="shared" si="46"/>
        <v/>
      </c>
      <c r="AA427" s="4">
        <f t="shared" si="47"/>
        <v>0</v>
      </c>
      <c r="AC427" s="2"/>
    </row>
    <row r="428" spans="1:29" ht="15.5">
      <c r="A428" s="13" t="str">
        <f>IF(OR(ISBLANK(C428),ISBLANK(D428),ISBLANK(F428),ISBLANK(G428)),"",COUNTIF($B$5:B428,"JAMBUTU"))</f>
        <v/>
      </c>
      <c r="B428" s="8" t="str">
        <f t="shared" si="48"/>
        <v/>
      </c>
      <c r="C428" s="8"/>
      <c r="D428" s="8"/>
      <c r="E428" s="18"/>
      <c r="F428" s="12"/>
      <c r="G428" s="17"/>
      <c r="H428" s="12"/>
      <c r="I428" s="17"/>
      <c r="J428" s="10">
        <f t="shared" si="42"/>
        <v>0</v>
      </c>
      <c r="K428" s="10">
        <f t="shared" si="43"/>
        <v>0</v>
      </c>
      <c r="L428" s="9" t="str">
        <f t="shared" si="44"/>
        <v/>
      </c>
      <c r="M428" s="8"/>
      <c r="N428" s="8"/>
      <c r="O428" s="8"/>
      <c r="P428" s="8"/>
      <c r="Q428" s="8"/>
      <c r="R428" s="8"/>
      <c r="S428" s="16"/>
      <c r="T428" s="8"/>
      <c r="U428" s="8"/>
      <c r="V428" s="7"/>
      <c r="W428" s="6" t="str">
        <f t="array" ref="W428">IF(NOT(ISBLANK(D428)),_xludf.XLOOKUP(D428,[2]CODE!$A$4:$A$100,[2]CODE!$D$4:$D$100),"")</f>
        <v/>
      </c>
      <c r="X428" s="5" t="str">
        <f t="array" ref="X428">IF(NOT(AND(ISBLANK(D428),ISBLANK(C428))),_xludf.XLOOKUP(D428,[2]CODE!$A$4:$A$100,[2]CODE!$E$4:$E$100),"")</f>
        <v/>
      </c>
      <c r="Y428" s="5" t="str">
        <f t="shared" si="45"/>
        <v/>
      </c>
      <c r="Z428" s="5" t="str">
        <f t="shared" si="46"/>
        <v/>
      </c>
      <c r="AA428" s="4">
        <f t="shared" si="47"/>
        <v>0</v>
      </c>
      <c r="AC428" s="2"/>
    </row>
    <row r="429" spans="1:29" ht="15.5">
      <c r="A429" s="13" t="str">
        <f>IF(OR(ISBLANK(C429),ISBLANK(D429),ISBLANK(F429),ISBLANK(G429)),"",COUNTIF($B$5:B429,"JAMBUTU"))</f>
        <v/>
      </c>
      <c r="B429" s="8" t="str">
        <f t="shared" si="48"/>
        <v/>
      </c>
      <c r="C429" s="8"/>
      <c r="D429" s="8"/>
      <c r="E429" s="18"/>
      <c r="F429" s="12"/>
      <c r="G429" s="17"/>
      <c r="H429" s="12"/>
      <c r="I429" s="17"/>
      <c r="J429" s="10">
        <f t="shared" si="42"/>
        <v>0</v>
      </c>
      <c r="K429" s="10">
        <f t="shared" si="43"/>
        <v>0</v>
      </c>
      <c r="L429" s="9" t="str">
        <f t="shared" si="44"/>
        <v/>
      </c>
      <c r="M429" s="8"/>
      <c r="N429" s="8"/>
      <c r="O429" s="8"/>
      <c r="P429" s="8"/>
      <c r="Q429" s="8"/>
      <c r="R429" s="8"/>
      <c r="S429" s="16"/>
      <c r="T429" s="8"/>
      <c r="U429" s="8"/>
      <c r="V429" s="7"/>
      <c r="W429" s="6" t="str">
        <f t="array" ref="W429">IF(NOT(ISBLANK(D429)),_xludf.XLOOKUP(D429,[2]CODE!$A$4:$A$100,[2]CODE!$D$4:$D$100),"")</f>
        <v/>
      </c>
      <c r="X429" s="5" t="str">
        <f t="array" ref="X429">IF(NOT(AND(ISBLANK(D429),ISBLANK(C429))),_xludf.XLOOKUP(D429,[2]CODE!$A$4:$A$100,[2]CODE!$E$4:$E$100),"")</f>
        <v/>
      </c>
      <c r="Y429" s="5" t="str">
        <f t="shared" si="45"/>
        <v/>
      </c>
      <c r="Z429" s="5" t="str">
        <f t="shared" si="46"/>
        <v/>
      </c>
      <c r="AA429" s="4">
        <f t="shared" si="47"/>
        <v>0</v>
      </c>
      <c r="AC429" s="2"/>
    </row>
    <row r="430" spans="1:29" ht="15.5">
      <c r="A430" s="13" t="str">
        <f>IF(OR(ISBLANK(C430),ISBLANK(D430),ISBLANK(F430),ISBLANK(G430)),"",COUNTIF($B$5:B430,"JAMBUTU"))</f>
        <v/>
      </c>
      <c r="B430" s="8" t="str">
        <f t="shared" si="48"/>
        <v/>
      </c>
      <c r="C430" s="8"/>
      <c r="D430" s="8"/>
      <c r="E430" s="18"/>
      <c r="F430" s="12"/>
      <c r="G430" s="17"/>
      <c r="H430" s="12"/>
      <c r="I430" s="17"/>
      <c r="J430" s="10">
        <f t="shared" si="42"/>
        <v>0</v>
      </c>
      <c r="K430" s="10">
        <f t="shared" si="43"/>
        <v>0</v>
      </c>
      <c r="L430" s="9" t="str">
        <f t="shared" si="44"/>
        <v/>
      </c>
      <c r="M430" s="8"/>
      <c r="N430" s="8"/>
      <c r="O430" s="8"/>
      <c r="P430" s="8"/>
      <c r="Q430" s="8"/>
      <c r="R430" s="16"/>
      <c r="S430" s="8"/>
      <c r="T430" s="8"/>
      <c r="U430" s="8"/>
      <c r="V430" s="7"/>
      <c r="W430" s="6" t="str">
        <f t="array" ref="W430">IF(NOT(ISBLANK(D430)),_xludf.XLOOKUP(D430,[2]CODE!$A$4:$A$100,[2]CODE!$D$4:$D$100),"")</f>
        <v/>
      </c>
      <c r="X430" s="5" t="str">
        <f t="array" ref="X430">IF(NOT(AND(ISBLANK(D430),ISBLANK(C430))),_xludf.XLOOKUP(D430,[2]CODE!$A$4:$A$100,[2]CODE!$E$4:$E$100),"")</f>
        <v/>
      </c>
      <c r="Y430" s="5" t="str">
        <f t="shared" si="45"/>
        <v/>
      </c>
      <c r="Z430" s="5" t="str">
        <f t="shared" si="46"/>
        <v/>
      </c>
      <c r="AA430" s="4">
        <f t="shared" si="47"/>
        <v>0</v>
      </c>
      <c r="AC430" s="2"/>
    </row>
    <row r="431" spans="1:29" ht="15.5">
      <c r="A431" s="13" t="str">
        <f>IF(OR(ISBLANK(C431),ISBLANK(D431),ISBLANK(F431),ISBLANK(G431)),"",COUNTIF($B$5:B431,"JAMBUTU"))</f>
        <v/>
      </c>
      <c r="B431" s="8" t="str">
        <f t="shared" si="48"/>
        <v/>
      </c>
      <c r="C431" s="8"/>
      <c r="D431" s="8"/>
      <c r="E431" s="18"/>
      <c r="F431" s="12"/>
      <c r="G431" s="17"/>
      <c r="H431" s="12"/>
      <c r="I431" s="17"/>
      <c r="J431" s="10">
        <f t="shared" si="42"/>
        <v>0</v>
      </c>
      <c r="K431" s="10">
        <f t="shared" si="43"/>
        <v>0</v>
      </c>
      <c r="L431" s="9" t="str">
        <f t="shared" si="44"/>
        <v/>
      </c>
      <c r="M431" s="8"/>
      <c r="N431" s="8"/>
      <c r="O431" s="8"/>
      <c r="P431" s="8"/>
      <c r="Q431" s="8"/>
      <c r="R431" s="8"/>
      <c r="S431" s="16"/>
      <c r="T431" s="8"/>
      <c r="U431" s="8"/>
      <c r="V431" s="7"/>
      <c r="W431" s="6" t="str">
        <f t="array" ref="W431">IF(NOT(ISBLANK(D431)),_xludf.XLOOKUP(D431,[2]CODE!$A$4:$A$100,[2]CODE!$D$4:$D$100),"")</f>
        <v/>
      </c>
      <c r="X431" s="5" t="str">
        <f t="array" ref="X431">IF(NOT(AND(ISBLANK(D431),ISBLANK(C431))),_xludf.XLOOKUP(D431,[2]CODE!$A$4:$A$100,[2]CODE!$E$4:$E$100),"")</f>
        <v/>
      </c>
      <c r="Y431" s="5" t="str">
        <f t="shared" si="45"/>
        <v/>
      </c>
      <c r="Z431" s="5" t="str">
        <f t="shared" si="46"/>
        <v/>
      </c>
      <c r="AA431" s="4">
        <f t="shared" si="47"/>
        <v>0</v>
      </c>
      <c r="AC431" s="2"/>
    </row>
    <row r="432" spans="1:29" ht="15.5">
      <c r="A432" s="13" t="str">
        <f>IF(OR(ISBLANK(C432),ISBLANK(D432),ISBLANK(F432),ISBLANK(G432)),"",COUNTIF($B$5:B432,"JAMBUTU"))</f>
        <v/>
      </c>
      <c r="B432" s="8" t="str">
        <f t="shared" si="48"/>
        <v/>
      </c>
      <c r="C432" s="8"/>
      <c r="D432" s="8"/>
      <c r="E432" s="18"/>
      <c r="F432" s="12"/>
      <c r="G432" s="17"/>
      <c r="H432" s="12"/>
      <c r="I432" s="17"/>
      <c r="J432" s="10">
        <f t="shared" si="42"/>
        <v>0</v>
      </c>
      <c r="K432" s="10">
        <f t="shared" si="43"/>
        <v>0</v>
      </c>
      <c r="L432" s="9" t="str">
        <f t="shared" si="44"/>
        <v/>
      </c>
      <c r="M432" s="8"/>
      <c r="N432" s="8"/>
      <c r="O432" s="8"/>
      <c r="P432" s="8"/>
      <c r="Q432" s="8"/>
      <c r="R432" s="16"/>
      <c r="S432" s="8"/>
      <c r="T432" s="8"/>
      <c r="U432" s="8"/>
      <c r="V432" s="7"/>
      <c r="W432" s="6" t="str">
        <f t="array" ref="W432">IF(NOT(ISBLANK(D432)),_xludf.XLOOKUP(D432,[2]CODE!$A$4:$A$100,[2]CODE!$D$4:$D$100),"")</f>
        <v/>
      </c>
      <c r="X432" s="5" t="str">
        <f t="array" ref="X432">IF(NOT(AND(ISBLANK(D432),ISBLANK(C432))),_xludf.XLOOKUP(D432,[2]CODE!$A$4:$A$100,[2]CODE!$E$4:$E$100),"")</f>
        <v/>
      </c>
      <c r="Y432" s="5" t="str">
        <f t="shared" si="45"/>
        <v/>
      </c>
      <c r="Z432" s="5" t="str">
        <f t="shared" si="46"/>
        <v/>
      </c>
      <c r="AA432" s="4">
        <f t="shared" si="47"/>
        <v>0</v>
      </c>
      <c r="AC432" s="2"/>
    </row>
    <row r="433" spans="1:29" ht="15.5">
      <c r="A433" s="13" t="str">
        <f>IF(OR(ISBLANK(C433),ISBLANK(D433),ISBLANK(F433),ISBLANK(G433)),"",COUNTIF($B$5:B433,"JAMBUTU"))</f>
        <v/>
      </c>
      <c r="B433" s="8" t="str">
        <f t="shared" si="48"/>
        <v/>
      </c>
      <c r="C433" s="8"/>
      <c r="D433" s="8"/>
      <c r="E433" s="18"/>
      <c r="F433" s="12"/>
      <c r="G433" s="17"/>
      <c r="H433" s="12"/>
      <c r="I433" s="17"/>
      <c r="J433" s="10">
        <f t="shared" si="42"/>
        <v>0</v>
      </c>
      <c r="K433" s="10">
        <f t="shared" si="43"/>
        <v>0</v>
      </c>
      <c r="L433" s="9" t="str">
        <f t="shared" si="44"/>
        <v/>
      </c>
      <c r="M433" s="8"/>
      <c r="N433" s="8"/>
      <c r="O433" s="8"/>
      <c r="P433" s="8"/>
      <c r="Q433" s="8"/>
      <c r="R433" s="8"/>
      <c r="S433" s="8"/>
      <c r="T433" s="8"/>
      <c r="U433" s="8"/>
      <c r="V433" s="7"/>
      <c r="W433" s="6" t="str">
        <f t="array" ref="W433">IF(NOT(ISBLANK(D433)),_xludf.XLOOKUP(D433,[2]CODE!$A$4:$A$100,[2]CODE!$D$4:$D$100),"")</f>
        <v/>
      </c>
      <c r="X433" s="5" t="str">
        <f t="array" ref="X433">IF(NOT(AND(ISBLANK(D433),ISBLANK(C433))),_xludf.XLOOKUP(D433,[2]CODE!$A$4:$A$100,[2]CODE!$E$4:$E$100),"")</f>
        <v/>
      </c>
      <c r="Y433" s="5" t="str">
        <f t="shared" si="45"/>
        <v/>
      </c>
      <c r="Z433" s="5" t="str">
        <f t="shared" si="46"/>
        <v/>
      </c>
      <c r="AA433" s="4">
        <f t="shared" si="47"/>
        <v>0</v>
      </c>
      <c r="AC433" s="2"/>
    </row>
    <row r="434" spans="1:29" ht="15.5">
      <c r="A434" s="13" t="str">
        <f>IF(OR(ISBLANK(C434),ISBLANK(D434),ISBLANK(F434),ISBLANK(G434)),"",COUNTIF($B$5:B434,"JAMBUTU"))</f>
        <v/>
      </c>
      <c r="B434" s="8" t="str">
        <f t="shared" si="48"/>
        <v/>
      </c>
      <c r="C434" s="8"/>
      <c r="D434" s="8"/>
      <c r="E434" s="18"/>
      <c r="F434" s="12"/>
      <c r="G434" s="17"/>
      <c r="H434" s="12"/>
      <c r="I434" s="17"/>
      <c r="J434" s="10">
        <f t="shared" si="42"/>
        <v>0</v>
      </c>
      <c r="K434" s="10">
        <f t="shared" si="43"/>
        <v>0</v>
      </c>
      <c r="L434" s="9" t="str">
        <f t="shared" si="44"/>
        <v/>
      </c>
      <c r="M434" s="8"/>
      <c r="N434" s="8"/>
      <c r="O434" s="8"/>
      <c r="P434" s="8"/>
      <c r="Q434" s="8"/>
      <c r="R434" s="8"/>
      <c r="S434" s="8"/>
      <c r="T434" s="8"/>
      <c r="U434" s="8"/>
      <c r="V434" s="7"/>
      <c r="W434" s="6" t="str">
        <f t="array" ref="W434">IF(NOT(ISBLANK(D434)),_xludf.XLOOKUP(D434,[2]CODE!$A$4:$A$100,[2]CODE!$D$4:$D$100),"")</f>
        <v/>
      </c>
      <c r="X434" s="5" t="str">
        <f t="array" ref="X434">IF(NOT(AND(ISBLANK(D434),ISBLANK(C434))),_xludf.XLOOKUP(D434,[2]CODE!$A$4:$A$100,[2]CODE!$E$4:$E$100),"")</f>
        <v/>
      </c>
      <c r="Y434" s="5" t="str">
        <f t="shared" si="45"/>
        <v/>
      </c>
      <c r="Z434" s="5" t="str">
        <f t="shared" si="46"/>
        <v/>
      </c>
      <c r="AA434" s="4">
        <f t="shared" si="47"/>
        <v>0</v>
      </c>
      <c r="AC434" s="2"/>
    </row>
    <row r="435" spans="1:29" ht="15.5">
      <c r="A435" s="13" t="str">
        <f>IF(OR(ISBLANK(C435),ISBLANK(D435),ISBLANK(F435),ISBLANK(G435)),"",COUNTIF($B$5:B435,"JAMBUTU"))</f>
        <v/>
      </c>
      <c r="B435" s="8" t="str">
        <f t="shared" si="48"/>
        <v/>
      </c>
      <c r="C435" s="8"/>
      <c r="D435" s="8"/>
      <c r="E435" s="18"/>
      <c r="F435" s="12"/>
      <c r="G435" s="17"/>
      <c r="H435" s="12"/>
      <c r="I435" s="17"/>
      <c r="J435" s="10">
        <f t="shared" si="42"/>
        <v>0</v>
      </c>
      <c r="K435" s="10">
        <f t="shared" si="43"/>
        <v>0</v>
      </c>
      <c r="L435" s="9" t="str">
        <f t="shared" si="44"/>
        <v/>
      </c>
      <c r="M435" s="8"/>
      <c r="N435" s="8"/>
      <c r="O435" s="8"/>
      <c r="P435" s="8"/>
      <c r="Q435" s="8"/>
      <c r="R435" s="8"/>
      <c r="S435" s="16"/>
      <c r="T435" s="8"/>
      <c r="U435" s="8"/>
      <c r="V435" s="7"/>
      <c r="W435" s="6" t="str">
        <f t="array" ref="W435">IF(NOT(ISBLANK(D435)),_xludf.XLOOKUP(D435,[2]CODE!$A$4:$A$100,[2]CODE!$D$4:$D$100),"")</f>
        <v/>
      </c>
      <c r="X435" s="5" t="str">
        <f t="array" ref="X435">IF(NOT(AND(ISBLANK(D435),ISBLANK(C435))),_xludf.XLOOKUP(D435,[2]CODE!$A$4:$A$100,[2]CODE!$E$4:$E$100),"")</f>
        <v/>
      </c>
      <c r="Y435" s="5" t="str">
        <f t="shared" si="45"/>
        <v/>
      </c>
      <c r="Z435" s="5" t="str">
        <f t="shared" si="46"/>
        <v/>
      </c>
      <c r="AA435" s="4">
        <f t="shared" si="47"/>
        <v>0</v>
      </c>
      <c r="AC435" s="2"/>
    </row>
    <row r="436" spans="1:29" ht="15.5">
      <c r="A436" s="13" t="str">
        <f>IF(OR(ISBLANK(C436),ISBLANK(D436),ISBLANK(F436),ISBLANK(G436)),"",COUNTIF($B$5:B436,"JAMBUTU"))</f>
        <v/>
      </c>
      <c r="B436" s="8" t="str">
        <f t="shared" si="48"/>
        <v/>
      </c>
      <c r="C436" s="8"/>
      <c r="D436" s="8"/>
      <c r="E436" s="18"/>
      <c r="F436" s="12"/>
      <c r="G436" s="17"/>
      <c r="H436" s="12"/>
      <c r="I436" s="17"/>
      <c r="J436" s="10">
        <f t="shared" si="42"/>
        <v>0</v>
      </c>
      <c r="K436" s="10">
        <f t="shared" si="43"/>
        <v>0</v>
      </c>
      <c r="L436" s="9" t="str">
        <f t="shared" si="44"/>
        <v/>
      </c>
      <c r="M436" s="8"/>
      <c r="N436" s="8"/>
      <c r="O436" s="8"/>
      <c r="P436" s="8"/>
      <c r="Q436" s="8"/>
      <c r="R436" s="8"/>
      <c r="S436" s="16"/>
      <c r="T436" s="8"/>
      <c r="U436" s="8"/>
      <c r="V436" s="7"/>
      <c r="W436" s="6" t="str">
        <f t="array" ref="W436">IF(NOT(ISBLANK(D436)),_xludf.XLOOKUP(D436,[2]CODE!$A$4:$A$100,[2]CODE!$D$4:$D$100),"")</f>
        <v/>
      </c>
      <c r="X436" s="5" t="str">
        <f t="array" ref="X436">IF(NOT(AND(ISBLANK(D436),ISBLANK(C436))),_xludf.XLOOKUP(D436,[2]CODE!$A$4:$A$100,[2]CODE!$E$4:$E$100),"")</f>
        <v/>
      </c>
      <c r="Y436" s="5" t="str">
        <f t="shared" si="45"/>
        <v/>
      </c>
      <c r="Z436" s="5" t="str">
        <f t="shared" si="46"/>
        <v/>
      </c>
      <c r="AA436" s="4">
        <f t="shared" si="47"/>
        <v>0</v>
      </c>
      <c r="AC436" s="2"/>
    </row>
    <row r="437" spans="1:29" ht="15.5">
      <c r="A437" s="13" t="str">
        <f>IF(OR(ISBLANK(C437),ISBLANK(D437),ISBLANK(F437),ISBLANK(G437)),"",COUNTIF($B$5:B437,"JAMBUTU"))</f>
        <v/>
      </c>
      <c r="B437" s="8" t="str">
        <f t="shared" si="48"/>
        <v/>
      </c>
      <c r="C437" s="8"/>
      <c r="D437" s="8"/>
      <c r="E437" s="18"/>
      <c r="F437" s="12"/>
      <c r="G437" s="17"/>
      <c r="H437" s="12"/>
      <c r="I437" s="17"/>
      <c r="J437" s="10">
        <f t="shared" si="42"/>
        <v>0</v>
      </c>
      <c r="K437" s="10">
        <f t="shared" si="43"/>
        <v>0</v>
      </c>
      <c r="L437" s="9" t="str">
        <f t="shared" si="44"/>
        <v/>
      </c>
      <c r="M437" s="8"/>
      <c r="N437" s="8"/>
      <c r="O437" s="8"/>
      <c r="P437" s="8"/>
      <c r="Q437" s="8"/>
      <c r="R437" s="8"/>
      <c r="S437" s="8"/>
      <c r="T437" s="8"/>
      <c r="U437" s="8"/>
      <c r="V437" s="7"/>
      <c r="W437" s="6" t="str">
        <f t="array" ref="W437">IF(NOT(ISBLANK(D437)),_xludf.XLOOKUP(D437,[2]CODE!$A$4:$A$100,[2]CODE!$D$4:$D$100),"")</f>
        <v/>
      </c>
      <c r="X437" s="5" t="str">
        <f t="array" ref="X437">IF(NOT(AND(ISBLANK(D437),ISBLANK(C437))),_xludf.XLOOKUP(D437,[2]CODE!$A$4:$A$100,[2]CODE!$E$4:$E$100),"")</f>
        <v/>
      </c>
      <c r="Y437" s="5" t="str">
        <f t="shared" si="45"/>
        <v/>
      </c>
      <c r="Z437" s="5" t="str">
        <f t="shared" si="46"/>
        <v/>
      </c>
      <c r="AA437" s="4">
        <f t="shared" si="47"/>
        <v>0</v>
      </c>
      <c r="AC437" s="2"/>
    </row>
    <row r="438" spans="1:29" ht="15.5">
      <c r="A438" s="13" t="str">
        <f>IF(OR(ISBLANK(C438),ISBLANK(D438),ISBLANK(F438),ISBLANK(G438)),"",COUNTIF($B$5:B438,"JAMBUTU"))</f>
        <v/>
      </c>
      <c r="B438" s="8" t="str">
        <f t="shared" si="48"/>
        <v/>
      </c>
      <c r="C438" s="8"/>
      <c r="D438" s="8"/>
      <c r="E438" s="18"/>
      <c r="F438" s="12"/>
      <c r="G438" s="17"/>
      <c r="H438" s="12"/>
      <c r="I438" s="17"/>
      <c r="J438" s="10">
        <f t="shared" si="42"/>
        <v>0</v>
      </c>
      <c r="K438" s="10">
        <f t="shared" si="43"/>
        <v>0</v>
      </c>
      <c r="L438" s="9" t="str">
        <f t="shared" si="44"/>
        <v/>
      </c>
      <c r="M438" s="8"/>
      <c r="N438" s="8"/>
      <c r="O438" s="8"/>
      <c r="P438" s="8"/>
      <c r="Q438" s="8"/>
      <c r="R438" s="8"/>
      <c r="S438" s="8"/>
      <c r="T438" s="8"/>
      <c r="U438" s="8"/>
      <c r="V438" s="7"/>
      <c r="W438" s="6" t="str">
        <f t="array" ref="W438">IF(NOT(ISBLANK(D438)),_xludf.XLOOKUP(D438,[2]CODE!$A$4:$A$100,[2]CODE!$D$4:$D$100),"")</f>
        <v/>
      </c>
      <c r="X438" s="5" t="str">
        <f t="array" ref="X438">IF(NOT(AND(ISBLANK(D438),ISBLANK(C438))),_xludf.XLOOKUP(D438,[2]CODE!$A$4:$A$100,[2]CODE!$E$4:$E$100),"")</f>
        <v/>
      </c>
      <c r="Y438" s="5" t="str">
        <f t="shared" si="45"/>
        <v/>
      </c>
      <c r="Z438" s="5" t="str">
        <f t="shared" si="46"/>
        <v/>
      </c>
      <c r="AA438" s="4">
        <f t="shared" si="47"/>
        <v>0</v>
      </c>
      <c r="AC438" s="2"/>
    </row>
    <row r="439" spans="1:29" ht="15.5">
      <c r="A439" s="13" t="str">
        <f>IF(OR(ISBLANK(C439),ISBLANK(D439),ISBLANK(F439),ISBLANK(G439)),"",COUNTIF($B$5:B439,"JAMBUTU"))</f>
        <v/>
      </c>
      <c r="B439" s="8" t="str">
        <f t="shared" si="48"/>
        <v/>
      </c>
      <c r="C439" s="8"/>
      <c r="D439" s="8"/>
      <c r="E439" s="18"/>
      <c r="F439" s="12"/>
      <c r="G439" s="17"/>
      <c r="H439" s="12"/>
      <c r="I439" s="17"/>
      <c r="J439" s="10">
        <f t="shared" si="42"/>
        <v>0</v>
      </c>
      <c r="K439" s="10">
        <f t="shared" si="43"/>
        <v>0</v>
      </c>
      <c r="L439" s="9" t="str">
        <f t="shared" si="44"/>
        <v/>
      </c>
      <c r="M439" s="8"/>
      <c r="N439" s="8"/>
      <c r="O439" s="8"/>
      <c r="P439" s="8"/>
      <c r="Q439" s="8"/>
      <c r="R439" s="8"/>
      <c r="S439" s="8"/>
      <c r="T439" s="8"/>
      <c r="U439" s="8"/>
      <c r="V439" s="7"/>
      <c r="W439" s="6" t="str">
        <f t="array" ref="W439">IF(NOT(ISBLANK(D439)),_xludf.XLOOKUP(D439,[2]CODE!$A$4:$A$100,[2]CODE!$D$4:$D$100),"")</f>
        <v/>
      </c>
      <c r="X439" s="5" t="str">
        <f t="array" ref="X439">IF(NOT(AND(ISBLANK(D439),ISBLANK(C439))),_xludf.XLOOKUP(D439,[2]CODE!$A$4:$A$100,[2]CODE!$E$4:$E$100),"")</f>
        <v/>
      </c>
      <c r="Y439" s="5" t="str">
        <f t="shared" si="45"/>
        <v/>
      </c>
      <c r="Z439" s="5" t="str">
        <f t="shared" si="46"/>
        <v/>
      </c>
      <c r="AA439" s="4">
        <f t="shared" si="47"/>
        <v>0</v>
      </c>
      <c r="AC439" s="2"/>
    </row>
    <row r="440" spans="1:29" ht="15.5">
      <c r="A440" s="13" t="str">
        <f>IF(OR(ISBLANK(C440),ISBLANK(D440),ISBLANK(F440),ISBLANK(G440)),"",COUNTIF($B$5:B440,"JAMBUTU"))</f>
        <v/>
      </c>
      <c r="B440" s="8" t="str">
        <f t="shared" si="48"/>
        <v/>
      </c>
      <c r="C440" s="8"/>
      <c r="D440" s="8"/>
      <c r="E440" s="18"/>
      <c r="F440" s="12"/>
      <c r="G440" s="17"/>
      <c r="H440" s="12"/>
      <c r="I440" s="17"/>
      <c r="J440" s="10">
        <f t="shared" si="42"/>
        <v>0</v>
      </c>
      <c r="K440" s="10">
        <f t="shared" si="43"/>
        <v>0</v>
      </c>
      <c r="L440" s="9" t="str">
        <f t="shared" si="44"/>
        <v/>
      </c>
      <c r="M440" s="8"/>
      <c r="N440" s="8"/>
      <c r="O440" s="8"/>
      <c r="P440" s="8"/>
      <c r="Q440" s="8"/>
      <c r="R440" s="8"/>
      <c r="S440" s="8"/>
      <c r="T440" s="8"/>
      <c r="U440" s="8"/>
      <c r="V440" s="7"/>
      <c r="W440" s="6" t="str">
        <f t="array" ref="W440">IF(NOT(ISBLANK(D440)),_xludf.XLOOKUP(D440,[2]CODE!$A$4:$A$100,[2]CODE!$D$4:$D$100),"")</f>
        <v/>
      </c>
      <c r="X440" s="5" t="str">
        <f t="array" ref="X440">IF(NOT(AND(ISBLANK(D440),ISBLANK(C440))),_xludf.XLOOKUP(D440,[2]CODE!$A$4:$A$100,[2]CODE!$E$4:$E$100),"")</f>
        <v/>
      </c>
      <c r="Y440" s="5" t="str">
        <f t="shared" si="45"/>
        <v/>
      </c>
      <c r="Z440" s="5" t="str">
        <f t="shared" si="46"/>
        <v/>
      </c>
      <c r="AA440" s="4">
        <f t="shared" si="47"/>
        <v>0</v>
      </c>
      <c r="AC440" s="2"/>
    </row>
    <row r="441" spans="1:29" ht="15.5">
      <c r="A441" s="13" t="str">
        <f>IF(OR(ISBLANK(C441),ISBLANK(D441),ISBLANK(F441),ISBLANK(G441)),"",COUNTIF($B$5:B441,"JAMBUTU"))</f>
        <v/>
      </c>
      <c r="B441" s="8" t="str">
        <f t="shared" si="48"/>
        <v/>
      </c>
      <c r="C441" s="8"/>
      <c r="D441" s="8"/>
      <c r="E441" s="18"/>
      <c r="F441" s="12"/>
      <c r="G441" s="17"/>
      <c r="H441" s="12"/>
      <c r="I441" s="17"/>
      <c r="J441" s="10">
        <f t="shared" si="42"/>
        <v>0</v>
      </c>
      <c r="K441" s="10">
        <f t="shared" si="43"/>
        <v>0</v>
      </c>
      <c r="L441" s="9" t="str">
        <f t="shared" si="44"/>
        <v/>
      </c>
      <c r="M441" s="8"/>
      <c r="N441" s="8"/>
      <c r="O441" s="8"/>
      <c r="P441" s="8"/>
      <c r="Q441" s="8"/>
      <c r="R441" s="8"/>
      <c r="S441" s="8"/>
      <c r="T441" s="8"/>
      <c r="U441" s="8"/>
      <c r="V441" s="7"/>
      <c r="W441" s="6" t="str">
        <f t="array" ref="W441">IF(NOT(ISBLANK(D441)),_xludf.XLOOKUP(D441,[2]CODE!$A$4:$A$100,[2]CODE!$D$4:$D$100),"")</f>
        <v/>
      </c>
      <c r="X441" s="5" t="str">
        <f t="array" ref="X441">IF(NOT(AND(ISBLANK(D441),ISBLANK(C441))),_xludf.XLOOKUP(D441,[2]CODE!$A$4:$A$100,[2]CODE!$E$4:$E$100),"")</f>
        <v/>
      </c>
      <c r="Y441" s="5" t="str">
        <f t="shared" si="45"/>
        <v/>
      </c>
      <c r="Z441" s="5" t="str">
        <f t="shared" si="46"/>
        <v/>
      </c>
      <c r="AA441" s="4">
        <f t="shared" si="47"/>
        <v>0</v>
      </c>
      <c r="AC441" s="2"/>
    </row>
    <row r="442" spans="1:29" ht="15.5">
      <c r="A442" s="13" t="str">
        <f>IF(OR(ISBLANK(C442),ISBLANK(D442),ISBLANK(F442),ISBLANK(G442)),"",COUNTIF($B$5:B442,"JAMBUTU"))</f>
        <v/>
      </c>
      <c r="B442" s="8" t="str">
        <f t="shared" si="48"/>
        <v/>
      </c>
      <c r="C442" s="8"/>
      <c r="D442" s="8"/>
      <c r="E442" s="18"/>
      <c r="F442" s="12"/>
      <c r="G442" s="17"/>
      <c r="H442" s="12"/>
      <c r="I442" s="17"/>
      <c r="J442" s="10">
        <f t="shared" si="42"/>
        <v>0</v>
      </c>
      <c r="K442" s="10">
        <f t="shared" si="43"/>
        <v>0</v>
      </c>
      <c r="L442" s="9" t="str">
        <f t="shared" si="44"/>
        <v/>
      </c>
      <c r="M442" s="8"/>
      <c r="N442" s="8"/>
      <c r="O442" s="8"/>
      <c r="P442" s="8"/>
      <c r="Q442" s="8"/>
      <c r="R442" s="8"/>
      <c r="S442" s="8"/>
      <c r="T442" s="8"/>
      <c r="U442" s="8"/>
      <c r="V442" s="7"/>
      <c r="W442" s="6" t="str">
        <f t="array" ref="W442">IF(NOT(ISBLANK(D442)),_xludf.XLOOKUP(D442,[2]CODE!$A$4:$A$100,[2]CODE!$D$4:$D$100),"")</f>
        <v/>
      </c>
      <c r="X442" s="5" t="str">
        <f t="array" ref="X442">IF(NOT(AND(ISBLANK(D442),ISBLANK(C442))),_xludf.XLOOKUP(D442,[2]CODE!$A$4:$A$100,[2]CODE!$E$4:$E$100),"")</f>
        <v/>
      </c>
      <c r="Y442" s="5" t="str">
        <f t="shared" si="45"/>
        <v/>
      </c>
      <c r="Z442" s="5" t="str">
        <f t="shared" si="46"/>
        <v/>
      </c>
      <c r="AA442" s="4">
        <f t="shared" si="47"/>
        <v>0</v>
      </c>
      <c r="AC442" s="2"/>
    </row>
    <row r="443" spans="1:29" ht="15.5">
      <c r="A443" s="13" t="str">
        <f>IF(OR(ISBLANK(C443),ISBLANK(D443),ISBLANK(F443),ISBLANK(G443)),"",COUNTIF($B$5:B443,"JAMBUTU"))</f>
        <v/>
      </c>
      <c r="B443" s="8" t="str">
        <f t="shared" si="48"/>
        <v/>
      </c>
      <c r="C443" s="8"/>
      <c r="D443" s="8"/>
      <c r="E443" s="18"/>
      <c r="F443" s="12"/>
      <c r="G443" s="17"/>
      <c r="H443" s="12"/>
      <c r="I443" s="17"/>
      <c r="J443" s="10">
        <f t="shared" si="42"/>
        <v>0</v>
      </c>
      <c r="K443" s="10">
        <f t="shared" si="43"/>
        <v>0</v>
      </c>
      <c r="L443" s="9" t="str">
        <f t="shared" si="44"/>
        <v/>
      </c>
      <c r="M443" s="8"/>
      <c r="N443" s="8"/>
      <c r="O443" s="8"/>
      <c r="P443" s="8"/>
      <c r="Q443" s="8"/>
      <c r="R443" s="8"/>
      <c r="S443" s="8"/>
      <c r="T443" s="8"/>
      <c r="U443" s="8"/>
      <c r="V443" s="7"/>
      <c r="W443" s="6" t="str">
        <f t="array" ref="W443">IF(NOT(ISBLANK(D443)),_xludf.XLOOKUP(D443,[2]CODE!$A$4:$A$100,[2]CODE!$D$4:$D$100),"")</f>
        <v/>
      </c>
      <c r="X443" s="5" t="str">
        <f t="array" ref="X443">IF(NOT(AND(ISBLANK(D443),ISBLANK(C443))),_xludf.XLOOKUP(D443,[2]CODE!$A$4:$A$100,[2]CODE!$E$4:$E$100),"")</f>
        <v/>
      </c>
      <c r="Y443" s="5" t="str">
        <f t="shared" si="45"/>
        <v/>
      </c>
      <c r="Z443" s="5" t="str">
        <f t="shared" si="46"/>
        <v/>
      </c>
      <c r="AA443" s="4">
        <f t="shared" si="47"/>
        <v>0</v>
      </c>
      <c r="AC443" s="2"/>
    </row>
    <row r="444" spans="1:29" ht="15.5">
      <c r="A444" s="13" t="str">
        <f>IF(OR(ISBLANK(C444),ISBLANK(D444),ISBLANK(F444),ISBLANK(G444)),"",COUNTIF($B$5:B444,"JAMBUTU"))</f>
        <v/>
      </c>
      <c r="B444" s="8" t="str">
        <f t="shared" si="48"/>
        <v/>
      </c>
      <c r="C444" s="8"/>
      <c r="D444" s="8"/>
      <c r="E444" s="18"/>
      <c r="F444" s="12"/>
      <c r="G444" s="17"/>
      <c r="H444" s="12"/>
      <c r="I444" s="17"/>
      <c r="J444" s="10">
        <f t="shared" si="42"/>
        <v>0</v>
      </c>
      <c r="K444" s="10">
        <f t="shared" si="43"/>
        <v>0</v>
      </c>
      <c r="L444" s="9" t="str">
        <f t="shared" si="44"/>
        <v/>
      </c>
      <c r="M444" s="8"/>
      <c r="N444" s="8"/>
      <c r="O444" s="8"/>
      <c r="P444" s="8"/>
      <c r="Q444" s="8"/>
      <c r="R444" s="8"/>
      <c r="S444" s="8"/>
      <c r="T444" s="8"/>
      <c r="U444" s="8"/>
      <c r="V444" s="7"/>
      <c r="W444" s="6" t="str">
        <f t="array" ref="W444">IF(NOT(ISBLANK(D444)),_xludf.XLOOKUP(D444,[2]CODE!$A$4:$A$100,[2]CODE!$D$4:$D$100),"")</f>
        <v/>
      </c>
      <c r="X444" s="5" t="str">
        <f t="array" ref="X444">IF(NOT(AND(ISBLANK(D444),ISBLANK(C444))),_xludf.XLOOKUP(D444,[2]CODE!$A$4:$A$100,[2]CODE!$E$4:$E$100),"")</f>
        <v/>
      </c>
      <c r="Y444" s="5" t="str">
        <f t="shared" si="45"/>
        <v/>
      </c>
      <c r="Z444" s="5" t="str">
        <f t="shared" si="46"/>
        <v/>
      </c>
      <c r="AA444" s="4">
        <f t="shared" si="47"/>
        <v>0</v>
      </c>
      <c r="AC444" s="2"/>
    </row>
    <row r="445" spans="1:29" ht="15.5">
      <c r="A445" s="13" t="str">
        <f>IF(OR(ISBLANK(C445),ISBLANK(D445),ISBLANK(F445),ISBLANK(G445)),"",COUNTIF($B$5:B445,"JAMBUTU"))</f>
        <v/>
      </c>
      <c r="B445" s="8" t="str">
        <f t="shared" si="48"/>
        <v/>
      </c>
      <c r="C445" s="8"/>
      <c r="D445" s="8"/>
      <c r="E445" s="18"/>
      <c r="F445" s="12"/>
      <c r="G445" s="17"/>
      <c r="H445" s="12"/>
      <c r="I445" s="17"/>
      <c r="J445" s="10">
        <f t="shared" si="42"/>
        <v>0</v>
      </c>
      <c r="K445" s="10">
        <f t="shared" si="43"/>
        <v>0</v>
      </c>
      <c r="L445" s="9" t="str">
        <f t="shared" si="44"/>
        <v/>
      </c>
      <c r="M445" s="8"/>
      <c r="N445" s="8"/>
      <c r="O445" s="8"/>
      <c r="P445" s="8"/>
      <c r="Q445" s="8"/>
      <c r="R445" s="8"/>
      <c r="S445" s="8"/>
      <c r="T445" s="8"/>
      <c r="U445" s="8"/>
      <c r="V445" s="7"/>
      <c r="W445" s="6" t="str">
        <f t="array" ref="W445">IF(NOT(ISBLANK(D445)),_xludf.XLOOKUP(D445,[2]CODE!$A$4:$A$100,[2]CODE!$D$4:$D$100),"")</f>
        <v/>
      </c>
      <c r="X445" s="5" t="str">
        <f t="array" ref="X445">IF(NOT(AND(ISBLANK(D445),ISBLANK(C445))),_xludf.XLOOKUP(D445,[2]CODE!$A$4:$A$100,[2]CODE!$E$4:$E$100),"")</f>
        <v/>
      </c>
      <c r="Y445" s="5" t="str">
        <f t="shared" si="45"/>
        <v/>
      </c>
      <c r="Z445" s="5" t="str">
        <f t="shared" si="46"/>
        <v/>
      </c>
      <c r="AA445" s="4">
        <f t="shared" si="47"/>
        <v>0</v>
      </c>
      <c r="AC445" s="2"/>
    </row>
    <row r="446" spans="1:29" ht="15.5">
      <c r="A446" s="13" t="str">
        <f>IF(OR(ISBLANK(C446),ISBLANK(D446),ISBLANK(F446),ISBLANK(G446)),"",COUNTIF($B$5:B446,"JAMBUTU"))</f>
        <v/>
      </c>
      <c r="B446" s="8" t="str">
        <f t="shared" si="48"/>
        <v/>
      </c>
      <c r="C446" s="8"/>
      <c r="D446" s="8"/>
      <c r="E446" s="18"/>
      <c r="F446" s="12"/>
      <c r="G446" s="17"/>
      <c r="H446" s="12"/>
      <c r="I446" s="17"/>
      <c r="J446" s="10">
        <f t="shared" si="42"/>
        <v>0</v>
      </c>
      <c r="K446" s="10">
        <f t="shared" si="43"/>
        <v>0</v>
      </c>
      <c r="L446" s="9" t="str">
        <f t="shared" si="44"/>
        <v/>
      </c>
      <c r="M446" s="8"/>
      <c r="N446" s="8"/>
      <c r="O446" s="8"/>
      <c r="P446" s="8"/>
      <c r="Q446" s="8"/>
      <c r="R446" s="8"/>
      <c r="S446" s="8"/>
      <c r="T446" s="8"/>
      <c r="U446" s="8"/>
      <c r="V446" s="7"/>
      <c r="W446" s="6" t="str">
        <f t="array" ref="W446">IF(NOT(ISBLANK(D446)),_xludf.XLOOKUP(D446,[2]CODE!$A$4:$A$100,[2]CODE!$D$4:$D$100),"")</f>
        <v/>
      </c>
      <c r="X446" s="5" t="str">
        <f t="array" ref="X446">IF(NOT(AND(ISBLANK(D446),ISBLANK(C446))),_xludf.XLOOKUP(D446,[2]CODE!$A$4:$A$100,[2]CODE!$E$4:$E$100),"")</f>
        <v/>
      </c>
      <c r="Y446" s="5" t="str">
        <f t="shared" si="45"/>
        <v/>
      </c>
      <c r="Z446" s="5" t="str">
        <f t="shared" si="46"/>
        <v/>
      </c>
      <c r="AA446" s="4">
        <f t="shared" si="47"/>
        <v>0</v>
      </c>
      <c r="AC446" s="2"/>
    </row>
    <row r="447" spans="1:29" ht="15.5">
      <c r="A447" s="13" t="str">
        <f>IF(OR(ISBLANK(C447),ISBLANK(D447),ISBLANK(F447),ISBLANK(G447)),"",COUNTIF($B$5:B447,"JAMBUTU"))</f>
        <v/>
      </c>
      <c r="B447" s="8" t="str">
        <f t="shared" si="48"/>
        <v/>
      </c>
      <c r="C447" s="8"/>
      <c r="D447" s="8"/>
      <c r="E447" s="18"/>
      <c r="F447" s="12"/>
      <c r="G447" s="17"/>
      <c r="H447" s="12"/>
      <c r="I447" s="17"/>
      <c r="J447" s="10">
        <f t="shared" si="42"/>
        <v>0</v>
      </c>
      <c r="K447" s="10">
        <f t="shared" si="43"/>
        <v>0</v>
      </c>
      <c r="L447" s="9" t="str">
        <f t="shared" si="44"/>
        <v/>
      </c>
      <c r="M447" s="8"/>
      <c r="N447" s="8"/>
      <c r="O447" s="8"/>
      <c r="P447" s="8"/>
      <c r="Q447" s="8"/>
      <c r="R447" s="8"/>
      <c r="S447" s="8"/>
      <c r="T447" s="8"/>
      <c r="U447" s="8"/>
      <c r="V447" s="7"/>
      <c r="W447" s="6" t="str">
        <f t="array" ref="W447">IF(NOT(ISBLANK(D447)),_xludf.XLOOKUP(D447,[2]CODE!$A$4:$A$100,[2]CODE!$D$4:$D$100),"")</f>
        <v/>
      </c>
      <c r="X447" s="5" t="str">
        <f t="array" ref="X447">IF(NOT(AND(ISBLANK(D447),ISBLANK(C447))),_xludf.XLOOKUP(D447,[2]CODE!$A$4:$A$100,[2]CODE!$E$4:$E$100),"")</f>
        <v/>
      </c>
      <c r="Y447" s="5" t="str">
        <f t="shared" si="45"/>
        <v/>
      </c>
      <c r="Z447" s="5" t="str">
        <f t="shared" si="46"/>
        <v/>
      </c>
      <c r="AA447" s="4">
        <f t="shared" si="47"/>
        <v>0</v>
      </c>
      <c r="AC447" s="2"/>
    </row>
    <row r="448" spans="1:29" ht="15.5">
      <c r="A448" s="13" t="str">
        <f>IF(OR(ISBLANK(C448),ISBLANK(D448),ISBLANK(F448),ISBLANK(G448)),"",COUNTIF($B$5:B448,"JAMBUTU"))</f>
        <v/>
      </c>
      <c r="B448" s="8" t="str">
        <f t="shared" si="48"/>
        <v/>
      </c>
      <c r="C448" s="8"/>
      <c r="D448" s="8"/>
      <c r="E448" s="18"/>
      <c r="F448" s="12"/>
      <c r="G448" s="17"/>
      <c r="H448" s="12"/>
      <c r="I448" s="17"/>
      <c r="J448" s="10">
        <f t="shared" si="42"/>
        <v>0</v>
      </c>
      <c r="K448" s="10">
        <f t="shared" si="43"/>
        <v>0</v>
      </c>
      <c r="L448" s="9" t="str">
        <f t="shared" si="44"/>
        <v/>
      </c>
      <c r="M448" s="8"/>
      <c r="N448" s="8"/>
      <c r="O448" s="8"/>
      <c r="P448" s="8"/>
      <c r="Q448" s="8"/>
      <c r="R448" s="8"/>
      <c r="S448" s="8"/>
      <c r="T448" s="8"/>
      <c r="U448" s="8"/>
      <c r="V448" s="7"/>
      <c r="W448" s="6" t="str">
        <f t="array" ref="W448">IF(NOT(ISBLANK(D448)),_xludf.XLOOKUP(D448,[2]CODE!$A$4:$A$100,[2]CODE!$D$4:$D$100),"")</f>
        <v/>
      </c>
      <c r="X448" s="5" t="str">
        <f t="array" ref="X448">IF(NOT(AND(ISBLANK(D448),ISBLANK(C448))),_xludf.XLOOKUP(D448,[2]CODE!$A$4:$A$100,[2]CODE!$E$4:$E$100),"")</f>
        <v/>
      </c>
      <c r="Y448" s="5" t="str">
        <f t="shared" si="45"/>
        <v/>
      </c>
      <c r="Z448" s="5" t="str">
        <f t="shared" si="46"/>
        <v/>
      </c>
      <c r="AA448" s="4">
        <f t="shared" si="47"/>
        <v>0</v>
      </c>
      <c r="AC448" s="2"/>
    </row>
    <row r="449" spans="1:29" ht="15.5">
      <c r="A449" s="13" t="str">
        <f>IF(OR(ISBLANK(C449),ISBLANK(D449),ISBLANK(F449),ISBLANK(G449)),"",COUNTIF($B$5:B449,"JAMBUTU"))</f>
        <v/>
      </c>
      <c r="B449" s="8" t="str">
        <f t="shared" si="48"/>
        <v/>
      </c>
      <c r="C449" s="8"/>
      <c r="D449" s="8"/>
      <c r="E449" s="18"/>
      <c r="F449" s="12"/>
      <c r="G449" s="17"/>
      <c r="H449" s="12"/>
      <c r="I449" s="17"/>
      <c r="J449" s="10">
        <f t="shared" si="42"/>
        <v>0</v>
      </c>
      <c r="K449" s="10">
        <f t="shared" si="43"/>
        <v>0</v>
      </c>
      <c r="L449" s="9" t="str">
        <f t="shared" si="44"/>
        <v/>
      </c>
      <c r="M449" s="8"/>
      <c r="N449" s="8"/>
      <c r="O449" s="8"/>
      <c r="P449" s="8"/>
      <c r="Q449" s="8"/>
      <c r="R449" s="8"/>
      <c r="S449" s="8"/>
      <c r="T449" s="8"/>
      <c r="U449" s="8"/>
      <c r="V449" s="7"/>
      <c r="W449" s="6" t="str">
        <f t="array" ref="W449">IF(NOT(ISBLANK(D449)),_xludf.XLOOKUP(D449,[2]CODE!$A$4:$A$100,[2]CODE!$D$4:$D$100),"")</f>
        <v/>
      </c>
      <c r="X449" s="5" t="str">
        <f t="array" ref="X449">IF(NOT(AND(ISBLANK(D449),ISBLANK(C449))),_xludf.XLOOKUP(D449,[2]CODE!$A$4:$A$100,[2]CODE!$E$4:$E$100),"")</f>
        <v/>
      </c>
      <c r="Y449" s="5" t="str">
        <f t="shared" si="45"/>
        <v/>
      </c>
      <c r="Z449" s="5" t="str">
        <f t="shared" si="46"/>
        <v/>
      </c>
      <c r="AA449" s="4">
        <f t="shared" si="47"/>
        <v>0</v>
      </c>
      <c r="AC449" s="2"/>
    </row>
    <row r="450" spans="1:29" ht="15.5">
      <c r="A450" s="13" t="str">
        <f>IF(OR(ISBLANK(C450),ISBLANK(D450),ISBLANK(F450),ISBLANK(G450)),"",COUNTIF($B$5:B450,"JAMBUTU"))</f>
        <v/>
      </c>
      <c r="B450" s="8" t="str">
        <f t="shared" si="48"/>
        <v/>
      </c>
      <c r="C450" s="8"/>
      <c r="D450" s="8"/>
      <c r="E450" s="18"/>
      <c r="F450" s="12"/>
      <c r="G450" s="17"/>
      <c r="H450" s="12"/>
      <c r="I450" s="17"/>
      <c r="J450" s="10">
        <f t="shared" si="42"/>
        <v>0</v>
      </c>
      <c r="K450" s="10">
        <f t="shared" si="43"/>
        <v>0</v>
      </c>
      <c r="L450" s="9" t="str">
        <f t="shared" si="44"/>
        <v/>
      </c>
      <c r="M450" s="8"/>
      <c r="N450" s="8"/>
      <c r="O450" s="8"/>
      <c r="P450" s="8"/>
      <c r="Q450" s="8"/>
      <c r="R450" s="8"/>
      <c r="S450" s="8"/>
      <c r="T450" s="8"/>
      <c r="U450" s="8"/>
      <c r="V450" s="7"/>
      <c r="W450" s="6" t="str">
        <f t="array" ref="W450">IF(NOT(ISBLANK(D450)),_xludf.XLOOKUP(D450,[2]CODE!$A$4:$A$100,[2]CODE!$D$4:$D$100),"")</f>
        <v/>
      </c>
      <c r="X450" s="5" t="str">
        <f t="array" ref="X450">IF(NOT(AND(ISBLANK(D450),ISBLANK(C450))),_xludf.XLOOKUP(D450,[2]CODE!$A$4:$A$100,[2]CODE!$E$4:$E$100),"")</f>
        <v/>
      </c>
      <c r="Y450" s="5" t="str">
        <f t="shared" si="45"/>
        <v/>
      </c>
      <c r="Z450" s="5" t="str">
        <f t="shared" si="46"/>
        <v/>
      </c>
      <c r="AA450" s="4">
        <f t="shared" si="47"/>
        <v>0</v>
      </c>
      <c r="AC450" s="2"/>
    </row>
    <row r="451" spans="1:29" ht="15.5">
      <c r="A451" s="13" t="str">
        <f>IF(OR(ISBLANK(C451),ISBLANK(D451),ISBLANK(F451),ISBLANK(G451)),"",COUNTIF($B$5:B451,"JAMBUTU"))</f>
        <v/>
      </c>
      <c r="B451" s="8" t="str">
        <f t="shared" si="48"/>
        <v/>
      </c>
      <c r="C451" s="8"/>
      <c r="D451" s="8"/>
      <c r="E451" s="18"/>
      <c r="F451" s="12"/>
      <c r="G451" s="17"/>
      <c r="H451" s="12"/>
      <c r="I451" s="17"/>
      <c r="J451" s="10">
        <f t="shared" si="42"/>
        <v>0</v>
      </c>
      <c r="K451" s="10">
        <f t="shared" si="43"/>
        <v>0</v>
      </c>
      <c r="L451" s="9" t="str">
        <f t="shared" si="44"/>
        <v/>
      </c>
      <c r="M451" s="8"/>
      <c r="N451" s="8"/>
      <c r="O451" s="8"/>
      <c r="P451" s="8"/>
      <c r="Q451" s="8"/>
      <c r="R451" s="8"/>
      <c r="S451" s="8"/>
      <c r="T451" s="8"/>
      <c r="U451" s="8"/>
      <c r="V451" s="7"/>
      <c r="W451" s="6" t="str">
        <f t="array" ref="W451">IF(NOT(ISBLANK(D451)),_xludf.XLOOKUP(D451,[2]CODE!$A$4:$A$100,[2]CODE!$D$4:$D$100),"")</f>
        <v/>
      </c>
      <c r="X451" s="5" t="str">
        <f t="array" ref="X451">IF(NOT(AND(ISBLANK(D451),ISBLANK(C451))),_xludf.XLOOKUP(D451,[2]CODE!$A$4:$A$100,[2]CODE!$E$4:$E$100),"")</f>
        <v/>
      </c>
      <c r="Y451" s="5" t="str">
        <f t="shared" si="45"/>
        <v/>
      </c>
      <c r="Z451" s="5" t="str">
        <f t="shared" si="46"/>
        <v/>
      </c>
      <c r="AA451" s="4">
        <f t="shared" si="47"/>
        <v>0</v>
      </c>
      <c r="AC451" s="2"/>
    </row>
    <row r="452" spans="1:29" ht="15.5">
      <c r="A452" s="13" t="str">
        <f>IF(OR(ISBLANK(C452),ISBLANK(D452),ISBLANK(F452),ISBLANK(G452)),"",COUNTIF($B$5:B452,"JAMBUTU"))</f>
        <v/>
      </c>
      <c r="B452" s="8" t="str">
        <f t="shared" si="48"/>
        <v/>
      </c>
      <c r="C452" s="8"/>
      <c r="D452" s="8"/>
      <c r="E452" s="18"/>
      <c r="F452" s="12"/>
      <c r="G452" s="17"/>
      <c r="H452" s="12"/>
      <c r="I452" s="17"/>
      <c r="J452" s="10">
        <f t="shared" si="42"/>
        <v>0</v>
      </c>
      <c r="K452" s="10">
        <f t="shared" si="43"/>
        <v>0</v>
      </c>
      <c r="L452" s="9" t="str">
        <f t="shared" si="44"/>
        <v/>
      </c>
      <c r="M452" s="8"/>
      <c r="N452" s="8"/>
      <c r="O452" s="8"/>
      <c r="P452" s="8"/>
      <c r="Q452" s="8"/>
      <c r="R452" s="8"/>
      <c r="S452" s="8"/>
      <c r="T452" s="8"/>
      <c r="U452" s="8"/>
      <c r="V452" s="7"/>
      <c r="W452" s="6" t="str">
        <f t="array" ref="W452">IF(NOT(ISBLANK(D452)),_xludf.XLOOKUP(D452,[2]CODE!$A$4:$A$100,[2]CODE!$D$4:$D$100),"")</f>
        <v/>
      </c>
      <c r="X452" s="5" t="str">
        <f t="array" ref="X452">IF(NOT(AND(ISBLANK(D452),ISBLANK(C452))),_xludf.XLOOKUP(D452,[2]CODE!$A$4:$A$100,[2]CODE!$E$4:$E$100),"")</f>
        <v/>
      </c>
      <c r="Y452" s="5" t="str">
        <f t="shared" si="45"/>
        <v/>
      </c>
      <c r="Z452" s="5" t="str">
        <f t="shared" si="46"/>
        <v/>
      </c>
      <c r="AA452" s="4">
        <f t="shared" si="47"/>
        <v>0</v>
      </c>
      <c r="AC452" s="2"/>
    </row>
    <row r="453" spans="1:29" ht="15.5">
      <c r="A453" s="13" t="str">
        <f>IF(OR(ISBLANK(C453),ISBLANK(D453),ISBLANK(F453),ISBLANK(G453)),"",COUNTIF($B$5:B453,"JAMBUTU"))</f>
        <v/>
      </c>
      <c r="B453" s="8" t="str">
        <f t="shared" si="48"/>
        <v/>
      </c>
      <c r="C453" s="8"/>
      <c r="D453" s="8"/>
      <c r="E453" s="18"/>
      <c r="F453" s="12"/>
      <c r="G453" s="17"/>
      <c r="H453" s="12"/>
      <c r="I453" s="17"/>
      <c r="J453" s="10">
        <f t="shared" ref="J453:J516" si="49">DATE(YEAR(F453),MONTH(F453),DAY(F453))+TIME(HOUR(G453),MINUTE(G453), SECOND(G453))</f>
        <v>0</v>
      </c>
      <c r="K453" s="10">
        <f t="shared" ref="K453:K516" si="50">DATE(YEAR(H453),MONTH(H453),DAY(H453))+TIME(HOUR(I453),MINUTE(I453), SECOND(I453))</f>
        <v>0</v>
      </c>
      <c r="L453" s="9" t="str">
        <f t="shared" ref="L453:L516" si="51">IF(ISBLANK(I453),"",IF(J453&gt;K453,(K453+1)-J453,K453-J453))</f>
        <v/>
      </c>
      <c r="M453" s="8"/>
      <c r="N453" s="8"/>
      <c r="O453" s="8"/>
      <c r="P453" s="8"/>
      <c r="Q453" s="8"/>
      <c r="R453" s="8"/>
      <c r="S453" s="8"/>
      <c r="T453" s="8"/>
      <c r="U453" s="8"/>
      <c r="V453" s="7"/>
      <c r="W453" s="6" t="str">
        <f t="array" ref="W453">IF(NOT(ISBLANK(D453)),_xludf.XLOOKUP(D453,[2]CODE!$A$4:$A$100,[2]CODE!$D$4:$D$100),"")</f>
        <v/>
      </c>
      <c r="X453" s="5" t="str">
        <f t="array" ref="X453">IF(NOT(AND(ISBLANK(D453),ISBLANK(C453))),_xludf.XLOOKUP(D453,[2]CODE!$A$4:$A$100,[2]CODE!$E$4:$E$100),"")</f>
        <v/>
      </c>
      <c r="Y453" s="5" t="str">
        <f t="shared" ref="Y453:Y516" si="52">LEFT(C453,4)</f>
        <v/>
      </c>
      <c r="Z453" s="5" t="str">
        <f t="shared" ref="Z453:Z516" si="53">IF(NOT(ISBLANK(C453)), IF(K453&gt;J453,"YES","NO"),"")</f>
        <v/>
      </c>
      <c r="AA453" s="4">
        <f t="shared" ref="AA453:AA516" si="54">IF(AND(F453=H453,Z453="NO"),1+H453,H453)</f>
        <v>0</v>
      </c>
      <c r="AC453" s="2"/>
    </row>
    <row r="454" spans="1:29" ht="15.5">
      <c r="A454" s="13" t="str">
        <f>IF(OR(ISBLANK(C454),ISBLANK(D454),ISBLANK(F454),ISBLANK(G454)),"",COUNTIF($B$5:B454,"JAMBUTU"))</f>
        <v/>
      </c>
      <c r="B454" s="8" t="str">
        <f t="shared" si="48"/>
        <v/>
      </c>
      <c r="C454" s="8"/>
      <c r="D454" s="8"/>
      <c r="E454" s="18"/>
      <c r="F454" s="12"/>
      <c r="G454" s="17"/>
      <c r="H454" s="12"/>
      <c r="I454" s="17"/>
      <c r="J454" s="10">
        <f t="shared" si="49"/>
        <v>0</v>
      </c>
      <c r="K454" s="10">
        <f t="shared" si="50"/>
        <v>0</v>
      </c>
      <c r="L454" s="9" t="str">
        <f t="shared" si="51"/>
        <v/>
      </c>
      <c r="M454" s="8"/>
      <c r="N454" s="8"/>
      <c r="O454" s="8"/>
      <c r="P454" s="8"/>
      <c r="Q454" s="8"/>
      <c r="R454" s="16"/>
      <c r="S454" s="8"/>
      <c r="T454" s="8"/>
      <c r="U454" s="8"/>
      <c r="V454" s="7"/>
      <c r="W454" s="6" t="str">
        <f t="array" ref="W454">IF(NOT(ISBLANK(D454)),_xludf.XLOOKUP(D454,[2]CODE!$A$4:$A$100,[2]CODE!$D$4:$D$100),"")</f>
        <v/>
      </c>
      <c r="X454" s="5" t="str">
        <f t="array" ref="X454">IF(NOT(AND(ISBLANK(D454),ISBLANK(C454))),_xludf.XLOOKUP(D454,[2]CODE!$A$4:$A$100,[2]CODE!$E$4:$E$100),"")</f>
        <v/>
      </c>
      <c r="Y454" s="5" t="str">
        <f t="shared" si="52"/>
        <v/>
      </c>
      <c r="Z454" s="5" t="str">
        <f t="shared" si="53"/>
        <v/>
      </c>
      <c r="AA454" s="4">
        <f t="shared" si="54"/>
        <v>0</v>
      </c>
      <c r="AC454" s="2"/>
    </row>
    <row r="455" spans="1:29" ht="15.5">
      <c r="A455" s="13" t="str">
        <f>IF(OR(ISBLANK(C455),ISBLANK(D455),ISBLANK(F455),ISBLANK(G455)),"",COUNTIF($B$5:B455,"JAMBUTU"))</f>
        <v/>
      </c>
      <c r="B455" s="8" t="str">
        <f t="shared" si="48"/>
        <v/>
      </c>
      <c r="C455" s="8"/>
      <c r="D455" s="8"/>
      <c r="E455" s="18"/>
      <c r="F455" s="12"/>
      <c r="G455" s="17"/>
      <c r="H455" s="12"/>
      <c r="I455" s="17"/>
      <c r="J455" s="10">
        <f t="shared" si="49"/>
        <v>0</v>
      </c>
      <c r="K455" s="10">
        <f t="shared" si="50"/>
        <v>0</v>
      </c>
      <c r="L455" s="9" t="str">
        <f t="shared" si="51"/>
        <v/>
      </c>
      <c r="M455" s="8"/>
      <c r="N455" s="8"/>
      <c r="O455" s="8"/>
      <c r="P455" s="8"/>
      <c r="Q455" s="8"/>
      <c r="R455" s="16"/>
      <c r="S455" s="8"/>
      <c r="T455" s="8"/>
      <c r="U455" s="8"/>
      <c r="V455" s="7"/>
      <c r="W455" s="6" t="str">
        <f t="array" ref="W455">IF(NOT(ISBLANK(D455)),_xludf.XLOOKUP(D455,[2]CODE!$A$4:$A$100,[2]CODE!$D$4:$D$100),"")</f>
        <v/>
      </c>
      <c r="X455" s="5" t="str">
        <f t="array" ref="X455">IF(NOT(AND(ISBLANK(D455),ISBLANK(C455))),_xludf.XLOOKUP(D455,[2]CODE!$A$4:$A$100,[2]CODE!$E$4:$E$100),"")</f>
        <v/>
      </c>
      <c r="Y455" s="5" t="str">
        <f t="shared" si="52"/>
        <v/>
      </c>
      <c r="Z455" s="5" t="str">
        <f t="shared" si="53"/>
        <v/>
      </c>
      <c r="AA455" s="4">
        <f t="shared" si="54"/>
        <v>0</v>
      </c>
      <c r="AC455" s="2"/>
    </row>
    <row r="456" spans="1:29" ht="15.5">
      <c r="A456" s="13" t="str">
        <f>IF(OR(ISBLANK(C456),ISBLANK(D456),ISBLANK(F456),ISBLANK(G456)),"",COUNTIF($B$5:B456,"JAMBUTU"))</f>
        <v/>
      </c>
      <c r="B456" s="8" t="str">
        <f t="shared" si="48"/>
        <v/>
      </c>
      <c r="C456" s="8"/>
      <c r="D456" s="8"/>
      <c r="E456" s="18"/>
      <c r="F456" s="12"/>
      <c r="G456" s="17"/>
      <c r="H456" s="12"/>
      <c r="I456" s="17"/>
      <c r="J456" s="10">
        <f t="shared" si="49"/>
        <v>0</v>
      </c>
      <c r="K456" s="10">
        <f t="shared" si="50"/>
        <v>0</v>
      </c>
      <c r="L456" s="9" t="str">
        <f t="shared" si="51"/>
        <v/>
      </c>
      <c r="M456" s="8"/>
      <c r="N456" s="8"/>
      <c r="O456" s="8"/>
      <c r="P456" s="8"/>
      <c r="Q456" s="8"/>
      <c r="R456" s="16"/>
      <c r="S456" s="8"/>
      <c r="T456" s="8"/>
      <c r="U456" s="8"/>
      <c r="V456" s="7"/>
      <c r="W456" s="6" t="str">
        <f t="array" ref="W456">IF(NOT(ISBLANK(D456)),_xludf.XLOOKUP(D456,[2]CODE!$A$4:$A$100,[2]CODE!$D$4:$D$100),"")</f>
        <v/>
      </c>
      <c r="X456" s="5" t="str">
        <f t="array" ref="X456">IF(NOT(AND(ISBLANK(D456),ISBLANK(C456))),_xludf.XLOOKUP(D456,[2]CODE!$A$4:$A$100,[2]CODE!$E$4:$E$100),"")</f>
        <v/>
      </c>
      <c r="Y456" s="5" t="str">
        <f t="shared" si="52"/>
        <v/>
      </c>
      <c r="Z456" s="5" t="str">
        <f t="shared" si="53"/>
        <v/>
      </c>
      <c r="AA456" s="4">
        <f t="shared" si="54"/>
        <v>0</v>
      </c>
      <c r="AC456" s="2"/>
    </row>
    <row r="457" spans="1:29" ht="15.5">
      <c r="A457" s="13" t="str">
        <f>IF(OR(ISBLANK(C457),ISBLANK(D457),ISBLANK(F457),ISBLANK(G457)),"",COUNTIF($B$5:B457,"JAMBUTU"))</f>
        <v/>
      </c>
      <c r="B457" s="8" t="str">
        <f t="shared" si="48"/>
        <v/>
      </c>
      <c r="C457" s="8"/>
      <c r="D457" s="8"/>
      <c r="E457" s="18"/>
      <c r="F457" s="12"/>
      <c r="G457" s="17"/>
      <c r="H457" s="12"/>
      <c r="I457" s="17"/>
      <c r="J457" s="10">
        <f t="shared" si="49"/>
        <v>0</v>
      </c>
      <c r="K457" s="10">
        <f t="shared" si="50"/>
        <v>0</v>
      </c>
      <c r="L457" s="9" t="str">
        <f t="shared" si="51"/>
        <v/>
      </c>
      <c r="M457" s="8"/>
      <c r="N457" s="8"/>
      <c r="O457" s="8"/>
      <c r="P457" s="8"/>
      <c r="Q457" s="8"/>
      <c r="R457" s="16"/>
      <c r="S457" s="8"/>
      <c r="T457" s="8"/>
      <c r="U457" s="8"/>
      <c r="V457" s="7"/>
      <c r="W457" s="6" t="str">
        <f t="array" ref="W457">IF(NOT(ISBLANK(D457)),_xludf.XLOOKUP(D457,[2]CODE!$A$4:$A$100,[2]CODE!$D$4:$D$100),"")</f>
        <v/>
      </c>
      <c r="X457" s="5" t="str">
        <f t="array" ref="X457">IF(NOT(AND(ISBLANK(D457),ISBLANK(C457))),_xludf.XLOOKUP(D457,[2]CODE!$A$4:$A$100,[2]CODE!$E$4:$E$100),"")</f>
        <v/>
      </c>
      <c r="Y457" s="5" t="str">
        <f t="shared" si="52"/>
        <v/>
      </c>
      <c r="Z457" s="5" t="str">
        <f t="shared" si="53"/>
        <v/>
      </c>
      <c r="AA457" s="4">
        <f t="shared" si="54"/>
        <v>0</v>
      </c>
      <c r="AC457" s="2"/>
    </row>
    <row r="458" spans="1:29" ht="15.5">
      <c r="A458" s="13" t="str">
        <f>IF(OR(ISBLANK(C458),ISBLANK(D458),ISBLANK(F458),ISBLANK(G458)),"",COUNTIF($B$5:B458,"JAMBUTU"))</f>
        <v/>
      </c>
      <c r="B458" s="8" t="str">
        <f t="shared" si="48"/>
        <v/>
      </c>
      <c r="C458" s="8"/>
      <c r="D458" s="8"/>
      <c r="E458" s="18"/>
      <c r="F458" s="12"/>
      <c r="G458" s="17"/>
      <c r="H458" s="12"/>
      <c r="I458" s="17"/>
      <c r="J458" s="10">
        <f t="shared" si="49"/>
        <v>0</v>
      </c>
      <c r="K458" s="10">
        <f t="shared" si="50"/>
        <v>0</v>
      </c>
      <c r="L458" s="9" t="str">
        <f t="shared" si="51"/>
        <v/>
      </c>
      <c r="M458" s="8"/>
      <c r="N458" s="8"/>
      <c r="O458" s="8"/>
      <c r="P458" s="8"/>
      <c r="Q458" s="8"/>
      <c r="R458" s="8"/>
      <c r="S458" s="8"/>
      <c r="T458" s="8"/>
      <c r="U458" s="8"/>
      <c r="V458" s="7"/>
      <c r="W458" s="6" t="str">
        <f t="array" ref="W458">IF(NOT(ISBLANK(D458)),_xludf.XLOOKUP(D458,[2]CODE!$A$4:$A$100,[2]CODE!$D$4:$D$100),"")</f>
        <v/>
      </c>
      <c r="X458" s="5" t="str">
        <f t="array" ref="X458">IF(NOT(AND(ISBLANK(D458),ISBLANK(C458))),_xludf.XLOOKUP(D458,[2]CODE!$A$4:$A$100,[2]CODE!$E$4:$E$100),"")</f>
        <v/>
      </c>
      <c r="Y458" s="5" t="str">
        <f t="shared" si="52"/>
        <v/>
      </c>
      <c r="Z458" s="5" t="str">
        <f t="shared" si="53"/>
        <v/>
      </c>
      <c r="AA458" s="4">
        <f t="shared" si="54"/>
        <v>0</v>
      </c>
      <c r="AC458" s="2"/>
    </row>
    <row r="459" spans="1:29" ht="15.5">
      <c r="A459" s="13" t="str">
        <f>IF(OR(ISBLANK(C459),ISBLANK(D459),ISBLANK(F459),ISBLANK(G459)),"",COUNTIF($B$5:B459,"JAMBUTU"))</f>
        <v/>
      </c>
      <c r="B459" s="8" t="str">
        <f t="shared" si="48"/>
        <v/>
      </c>
      <c r="C459" s="8"/>
      <c r="D459" s="8"/>
      <c r="E459" s="18"/>
      <c r="F459" s="12"/>
      <c r="G459" s="17"/>
      <c r="H459" s="12"/>
      <c r="I459" s="17"/>
      <c r="J459" s="10">
        <f t="shared" si="49"/>
        <v>0</v>
      </c>
      <c r="K459" s="10">
        <f t="shared" si="50"/>
        <v>0</v>
      </c>
      <c r="L459" s="9" t="str">
        <f t="shared" si="51"/>
        <v/>
      </c>
      <c r="M459" s="8"/>
      <c r="N459" s="8"/>
      <c r="O459" s="8"/>
      <c r="P459" s="8"/>
      <c r="Q459" s="8"/>
      <c r="R459" s="8"/>
      <c r="S459" s="8"/>
      <c r="T459" s="8"/>
      <c r="U459" s="8"/>
      <c r="V459" s="7"/>
      <c r="W459" s="6" t="str">
        <f t="array" ref="W459">IF(NOT(ISBLANK(D459)),_xludf.XLOOKUP(D459,[2]CODE!$A$4:$A$100,[2]CODE!$D$4:$D$100),"")</f>
        <v/>
      </c>
      <c r="X459" s="5" t="str">
        <f t="array" ref="X459">IF(NOT(AND(ISBLANK(D459),ISBLANK(C459))),_xludf.XLOOKUP(D459,[2]CODE!$A$4:$A$100,[2]CODE!$E$4:$E$100),"")</f>
        <v/>
      </c>
      <c r="Y459" s="5" t="str">
        <f t="shared" si="52"/>
        <v/>
      </c>
      <c r="Z459" s="5" t="str">
        <f t="shared" si="53"/>
        <v/>
      </c>
      <c r="AA459" s="4">
        <f t="shared" si="54"/>
        <v>0</v>
      </c>
      <c r="AC459" s="2"/>
    </row>
    <row r="460" spans="1:29" ht="15.5">
      <c r="A460" s="13" t="str">
        <f>IF(OR(ISBLANK(C460),ISBLANK(D460),ISBLANK(F460),ISBLANK(G460)),"",COUNTIF($B$5:B460,"JAMBUTU"))</f>
        <v/>
      </c>
      <c r="B460" s="8" t="str">
        <f t="shared" si="48"/>
        <v/>
      </c>
      <c r="C460" s="8"/>
      <c r="D460" s="8"/>
      <c r="E460" s="18"/>
      <c r="F460" s="12"/>
      <c r="G460" s="17"/>
      <c r="H460" s="12"/>
      <c r="I460" s="17"/>
      <c r="J460" s="10">
        <f t="shared" si="49"/>
        <v>0</v>
      </c>
      <c r="K460" s="10">
        <f t="shared" si="50"/>
        <v>0</v>
      </c>
      <c r="L460" s="9" t="str">
        <f t="shared" si="51"/>
        <v/>
      </c>
      <c r="M460" s="8"/>
      <c r="N460" s="8"/>
      <c r="O460" s="8"/>
      <c r="P460" s="8"/>
      <c r="Q460" s="8"/>
      <c r="R460" s="8"/>
      <c r="S460" s="8"/>
      <c r="T460" s="8"/>
      <c r="U460" s="8"/>
      <c r="V460" s="7"/>
      <c r="W460" s="6" t="str">
        <f t="array" ref="W460">IF(NOT(ISBLANK(D460)),_xludf.XLOOKUP(D460,[2]CODE!$A$4:$A$100,[2]CODE!$D$4:$D$100),"")</f>
        <v/>
      </c>
      <c r="X460" s="5" t="str">
        <f t="array" ref="X460">IF(NOT(AND(ISBLANK(D460),ISBLANK(C460))),_xludf.XLOOKUP(D460,[2]CODE!$A$4:$A$100,[2]CODE!$E$4:$E$100),"")</f>
        <v/>
      </c>
      <c r="Y460" s="5" t="str">
        <f t="shared" si="52"/>
        <v/>
      </c>
      <c r="Z460" s="5" t="str">
        <f t="shared" si="53"/>
        <v/>
      </c>
      <c r="AA460" s="4">
        <f t="shared" si="54"/>
        <v>0</v>
      </c>
      <c r="AC460" s="2"/>
    </row>
    <row r="461" spans="1:29" ht="15.5">
      <c r="A461" s="13" t="str">
        <f>IF(OR(ISBLANK(C461),ISBLANK(D461),ISBLANK(F461),ISBLANK(G461)),"",COUNTIF($B$5:B461,"JAMBUTU"))</f>
        <v/>
      </c>
      <c r="B461" s="8" t="str">
        <f t="shared" si="48"/>
        <v/>
      </c>
      <c r="C461" s="8"/>
      <c r="D461" s="8"/>
      <c r="E461" s="18"/>
      <c r="F461" s="12"/>
      <c r="G461" s="17"/>
      <c r="H461" s="12"/>
      <c r="I461" s="17"/>
      <c r="J461" s="10">
        <f t="shared" si="49"/>
        <v>0</v>
      </c>
      <c r="K461" s="10">
        <f t="shared" si="50"/>
        <v>0</v>
      </c>
      <c r="L461" s="9" t="str">
        <f t="shared" si="51"/>
        <v/>
      </c>
      <c r="M461" s="8"/>
      <c r="N461" s="8"/>
      <c r="O461" s="8"/>
      <c r="P461" s="8"/>
      <c r="Q461" s="8"/>
      <c r="R461" s="8"/>
      <c r="S461" s="8"/>
      <c r="T461" s="8"/>
      <c r="U461" s="8"/>
      <c r="V461" s="7"/>
      <c r="W461" s="6" t="str">
        <f t="array" ref="W461">IF(NOT(ISBLANK(D461)),_xludf.XLOOKUP(D461,[2]CODE!$A$4:$A$100,[2]CODE!$D$4:$D$100),"")</f>
        <v/>
      </c>
      <c r="X461" s="5" t="str">
        <f t="array" ref="X461">IF(NOT(AND(ISBLANK(D461),ISBLANK(C461))),_xludf.XLOOKUP(D461,[2]CODE!$A$4:$A$100,[2]CODE!$E$4:$E$100),"")</f>
        <v/>
      </c>
      <c r="Y461" s="5" t="str">
        <f t="shared" si="52"/>
        <v/>
      </c>
      <c r="Z461" s="5" t="str">
        <f t="shared" si="53"/>
        <v/>
      </c>
      <c r="AA461" s="4">
        <f t="shared" si="54"/>
        <v>0</v>
      </c>
      <c r="AC461" s="2"/>
    </row>
    <row r="462" spans="1:29" ht="15.5">
      <c r="A462" s="13" t="str">
        <f>IF(OR(ISBLANK(C462),ISBLANK(D462),ISBLANK(F462),ISBLANK(G462)),"",COUNTIF($B$5:B462,"JAMBUTU"))</f>
        <v/>
      </c>
      <c r="B462" s="8" t="str">
        <f t="shared" si="48"/>
        <v/>
      </c>
      <c r="C462" s="8"/>
      <c r="D462" s="8"/>
      <c r="E462" s="18"/>
      <c r="F462" s="12"/>
      <c r="G462" s="17"/>
      <c r="H462" s="12"/>
      <c r="I462" s="17"/>
      <c r="J462" s="10">
        <f t="shared" si="49"/>
        <v>0</v>
      </c>
      <c r="K462" s="10">
        <f t="shared" si="50"/>
        <v>0</v>
      </c>
      <c r="L462" s="9" t="str">
        <f t="shared" si="51"/>
        <v/>
      </c>
      <c r="M462" s="8"/>
      <c r="N462" s="8"/>
      <c r="O462" s="8"/>
      <c r="P462" s="8"/>
      <c r="Q462" s="8"/>
      <c r="R462" s="8"/>
      <c r="S462" s="8"/>
      <c r="T462" s="8"/>
      <c r="U462" s="8"/>
      <c r="V462" s="7"/>
      <c r="W462" s="6" t="str">
        <f t="array" ref="W462">IF(NOT(ISBLANK(D462)),_xludf.XLOOKUP(D462,[2]CODE!$A$4:$A$100,[2]CODE!$D$4:$D$100),"")</f>
        <v/>
      </c>
      <c r="X462" s="5" t="str">
        <f t="array" ref="X462">IF(NOT(AND(ISBLANK(D462),ISBLANK(C462))),_xludf.XLOOKUP(D462,[2]CODE!$A$4:$A$100,[2]CODE!$E$4:$E$100),"")</f>
        <v/>
      </c>
      <c r="Y462" s="5" t="str">
        <f t="shared" si="52"/>
        <v/>
      </c>
      <c r="Z462" s="5" t="str">
        <f t="shared" si="53"/>
        <v/>
      </c>
      <c r="AA462" s="4">
        <f t="shared" si="54"/>
        <v>0</v>
      </c>
      <c r="AC462" s="2"/>
    </row>
    <row r="463" spans="1:29" ht="15.5">
      <c r="A463" s="13" t="str">
        <f>IF(OR(ISBLANK(C463),ISBLANK(D463),ISBLANK(F463),ISBLANK(G463)),"",COUNTIF($B$5:B463,"JAMBUTU"))</f>
        <v/>
      </c>
      <c r="B463" s="8" t="str">
        <f t="shared" si="48"/>
        <v/>
      </c>
      <c r="C463" s="8"/>
      <c r="D463" s="8"/>
      <c r="E463" s="18"/>
      <c r="F463" s="12"/>
      <c r="G463" s="17"/>
      <c r="H463" s="12"/>
      <c r="I463" s="17"/>
      <c r="J463" s="10">
        <f t="shared" si="49"/>
        <v>0</v>
      </c>
      <c r="K463" s="10">
        <f t="shared" si="50"/>
        <v>0</v>
      </c>
      <c r="L463" s="9" t="str">
        <f t="shared" si="51"/>
        <v/>
      </c>
      <c r="M463" s="8"/>
      <c r="N463" s="8"/>
      <c r="O463" s="8"/>
      <c r="P463" s="8"/>
      <c r="Q463" s="8"/>
      <c r="R463" s="8"/>
      <c r="S463" s="8"/>
      <c r="T463" s="8"/>
      <c r="U463" s="8"/>
      <c r="V463" s="7"/>
      <c r="W463" s="6" t="str">
        <f t="array" ref="W463">IF(NOT(ISBLANK(D463)),_xludf.XLOOKUP(D463,[2]CODE!$A$4:$A$100,[2]CODE!$D$4:$D$100),"")</f>
        <v/>
      </c>
      <c r="X463" s="5" t="str">
        <f t="array" ref="X463">IF(NOT(AND(ISBLANK(D463),ISBLANK(C463))),_xludf.XLOOKUP(D463,[2]CODE!$A$4:$A$100,[2]CODE!$E$4:$E$100),"")</f>
        <v/>
      </c>
      <c r="Y463" s="5" t="str">
        <f t="shared" si="52"/>
        <v/>
      </c>
      <c r="Z463" s="5" t="str">
        <f t="shared" si="53"/>
        <v/>
      </c>
      <c r="AA463" s="4">
        <f t="shared" si="54"/>
        <v>0</v>
      </c>
      <c r="AC463" s="2"/>
    </row>
    <row r="464" spans="1:29" ht="15.5">
      <c r="A464" s="13" t="str">
        <f>IF(OR(ISBLANK(C464),ISBLANK(D464),ISBLANK(F464),ISBLANK(G464)),"",COUNTIF($B$5:B464,"JAMBUTU"))</f>
        <v/>
      </c>
      <c r="B464" s="8" t="str">
        <f t="shared" si="48"/>
        <v/>
      </c>
      <c r="C464" s="8"/>
      <c r="D464" s="8"/>
      <c r="E464" s="18"/>
      <c r="F464" s="12"/>
      <c r="G464" s="17"/>
      <c r="H464" s="12"/>
      <c r="I464" s="17"/>
      <c r="J464" s="10">
        <f t="shared" si="49"/>
        <v>0</v>
      </c>
      <c r="K464" s="10">
        <f t="shared" si="50"/>
        <v>0</v>
      </c>
      <c r="L464" s="9" t="str">
        <f t="shared" si="51"/>
        <v/>
      </c>
      <c r="M464" s="8"/>
      <c r="N464" s="8"/>
      <c r="O464" s="8"/>
      <c r="P464" s="8"/>
      <c r="Q464" s="8"/>
      <c r="R464" s="8"/>
      <c r="S464" s="8"/>
      <c r="T464" s="8"/>
      <c r="U464" s="8"/>
      <c r="V464" s="7"/>
      <c r="W464" s="6" t="str">
        <f t="array" ref="W464">IF(NOT(ISBLANK(D464)),_xludf.XLOOKUP(D464,[2]CODE!$A$4:$A$100,[2]CODE!$D$4:$D$100),"")</f>
        <v/>
      </c>
      <c r="X464" s="5" t="str">
        <f t="array" ref="X464">IF(NOT(AND(ISBLANK(D464),ISBLANK(C464))),_xludf.XLOOKUP(D464,[2]CODE!$A$4:$A$100,[2]CODE!$E$4:$E$100),"")</f>
        <v/>
      </c>
      <c r="Y464" s="5" t="str">
        <f t="shared" si="52"/>
        <v/>
      </c>
      <c r="Z464" s="5" t="str">
        <f t="shared" si="53"/>
        <v/>
      </c>
      <c r="AA464" s="4">
        <f t="shared" si="54"/>
        <v>0</v>
      </c>
      <c r="AC464" s="2"/>
    </row>
    <row r="465" spans="1:29" ht="15.5">
      <c r="A465" s="13" t="str">
        <f>IF(OR(ISBLANK(C465),ISBLANK(D465),ISBLANK(F465),ISBLANK(G465)),"",COUNTIF($B$5:B465,"JAMBUTU"))</f>
        <v/>
      </c>
      <c r="B465" s="8" t="str">
        <f t="shared" si="48"/>
        <v/>
      </c>
      <c r="C465" s="8"/>
      <c r="D465" s="8"/>
      <c r="E465" s="18"/>
      <c r="F465" s="12"/>
      <c r="G465" s="17"/>
      <c r="H465" s="12"/>
      <c r="I465" s="17"/>
      <c r="J465" s="10">
        <f t="shared" si="49"/>
        <v>0</v>
      </c>
      <c r="K465" s="10">
        <f t="shared" si="50"/>
        <v>0</v>
      </c>
      <c r="L465" s="9" t="str">
        <f t="shared" si="51"/>
        <v/>
      </c>
      <c r="M465" s="8"/>
      <c r="N465" s="8"/>
      <c r="O465" s="8"/>
      <c r="P465" s="8"/>
      <c r="Q465" s="8"/>
      <c r="R465" s="8"/>
      <c r="S465" s="8"/>
      <c r="T465" s="8"/>
      <c r="U465" s="8"/>
      <c r="V465" s="7"/>
      <c r="W465" s="6" t="str">
        <f t="array" ref="W465">IF(NOT(ISBLANK(D465)),_xludf.XLOOKUP(D465,[2]CODE!$A$4:$A$100,[2]CODE!$D$4:$D$100),"")</f>
        <v/>
      </c>
      <c r="X465" s="5" t="str">
        <f t="array" ref="X465">IF(NOT(AND(ISBLANK(D465),ISBLANK(C465))),_xludf.XLOOKUP(D465,[2]CODE!$A$4:$A$100,[2]CODE!$E$4:$E$100),"")</f>
        <v/>
      </c>
      <c r="Y465" s="5" t="str">
        <f t="shared" si="52"/>
        <v/>
      </c>
      <c r="Z465" s="5" t="str">
        <f t="shared" si="53"/>
        <v/>
      </c>
      <c r="AA465" s="4">
        <f t="shared" si="54"/>
        <v>0</v>
      </c>
      <c r="AC465" s="2"/>
    </row>
    <row r="466" spans="1:29" ht="15.5">
      <c r="A466" s="13" t="str">
        <f>IF(OR(ISBLANK(C466),ISBLANK(D466),ISBLANK(F466),ISBLANK(G466)),"",COUNTIF($B$5:B466,"JAMBUTU"))</f>
        <v/>
      </c>
      <c r="B466" s="8" t="str">
        <f t="shared" si="48"/>
        <v/>
      </c>
      <c r="C466" s="8"/>
      <c r="D466" s="8"/>
      <c r="E466" s="18"/>
      <c r="F466" s="12"/>
      <c r="G466" s="17"/>
      <c r="H466" s="12"/>
      <c r="I466" s="17"/>
      <c r="J466" s="10">
        <f t="shared" si="49"/>
        <v>0</v>
      </c>
      <c r="K466" s="10">
        <f t="shared" si="50"/>
        <v>0</v>
      </c>
      <c r="L466" s="9" t="str">
        <f t="shared" si="51"/>
        <v/>
      </c>
      <c r="M466" s="8"/>
      <c r="N466" s="8"/>
      <c r="O466" s="8"/>
      <c r="P466" s="8"/>
      <c r="Q466" s="8"/>
      <c r="R466" s="8"/>
      <c r="S466" s="8"/>
      <c r="T466" s="8"/>
      <c r="U466" s="8"/>
      <c r="V466" s="7"/>
      <c r="W466" s="6" t="str">
        <f t="array" ref="W466">IF(NOT(ISBLANK(D466)),_xludf.XLOOKUP(D466,[2]CODE!$A$4:$A$100,[2]CODE!$D$4:$D$100),"")</f>
        <v/>
      </c>
      <c r="X466" s="5" t="str">
        <f t="array" ref="X466">IF(NOT(AND(ISBLANK(D466),ISBLANK(C466))),_xludf.XLOOKUP(D466,[2]CODE!$A$4:$A$100,[2]CODE!$E$4:$E$100),"")</f>
        <v/>
      </c>
      <c r="Y466" s="5" t="str">
        <f t="shared" si="52"/>
        <v/>
      </c>
      <c r="Z466" s="5" t="str">
        <f t="shared" si="53"/>
        <v/>
      </c>
      <c r="AA466" s="4">
        <f t="shared" si="54"/>
        <v>0</v>
      </c>
      <c r="AC466" s="2"/>
    </row>
    <row r="467" spans="1:29" ht="15.5">
      <c r="A467" s="13" t="str">
        <f>IF(OR(ISBLANK(C467),ISBLANK(D467),ISBLANK(F467),ISBLANK(G467)),"",COUNTIF($B$5:B467,"JAMBUTU"))</f>
        <v/>
      </c>
      <c r="B467" s="8" t="str">
        <f t="shared" ref="B467:B530" si="55">IF(C467&lt;&gt;"","Jambutu","")</f>
        <v/>
      </c>
      <c r="C467" s="8"/>
      <c r="D467" s="8"/>
      <c r="E467" s="18"/>
      <c r="F467" s="12"/>
      <c r="G467" s="17"/>
      <c r="H467" s="12"/>
      <c r="I467" s="17"/>
      <c r="J467" s="10">
        <f t="shared" si="49"/>
        <v>0</v>
      </c>
      <c r="K467" s="10">
        <f t="shared" si="50"/>
        <v>0</v>
      </c>
      <c r="L467" s="9" t="str">
        <f t="shared" si="51"/>
        <v/>
      </c>
      <c r="M467" s="8"/>
      <c r="N467" s="8"/>
      <c r="O467" s="8"/>
      <c r="P467" s="8"/>
      <c r="Q467" s="8"/>
      <c r="R467" s="8"/>
      <c r="S467" s="8"/>
      <c r="T467" s="8"/>
      <c r="U467" s="8"/>
      <c r="V467" s="7"/>
      <c r="W467" s="6" t="str">
        <f t="array" ref="W467">IF(NOT(ISBLANK(D467)),_xludf.XLOOKUP(D467,[2]CODE!$A$4:$A$100,[2]CODE!$D$4:$D$100),"")</f>
        <v/>
      </c>
      <c r="X467" s="5" t="str">
        <f t="array" ref="X467">IF(NOT(AND(ISBLANK(D467),ISBLANK(C467))),_xludf.XLOOKUP(D467,[2]CODE!$A$4:$A$100,[2]CODE!$E$4:$E$100),"")</f>
        <v/>
      </c>
      <c r="Y467" s="5" t="str">
        <f t="shared" si="52"/>
        <v/>
      </c>
      <c r="Z467" s="5" t="str">
        <f t="shared" si="53"/>
        <v/>
      </c>
      <c r="AA467" s="4">
        <f t="shared" si="54"/>
        <v>0</v>
      </c>
      <c r="AC467" s="2"/>
    </row>
    <row r="468" spans="1:29" ht="15.5">
      <c r="A468" s="13" t="str">
        <f>IF(OR(ISBLANK(C468),ISBLANK(D468),ISBLANK(F468),ISBLANK(G468)),"",COUNTIF($B$5:B468,"JAMBUTU"))</f>
        <v/>
      </c>
      <c r="B468" s="8" t="str">
        <f t="shared" si="55"/>
        <v/>
      </c>
      <c r="C468" s="8"/>
      <c r="D468" s="8"/>
      <c r="E468" s="18"/>
      <c r="F468" s="12"/>
      <c r="G468" s="17"/>
      <c r="H468" s="12"/>
      <c r="I468" s="17"/>
      <c r="J468" s="10">
        <f t="shared" si="49"/>
        <v>0</v>
      </c>
      <c r="K468" s="10">
        <f t="shared" si="50"/>
        <v>0</v>
      </c>
      <c r="L468" s="9" t="str">
        <f t="shared" si="51"/>
        <v/>
      </c>
      <c r="M468" s="8"/>
      <c r="N468" s="8"/>
      <c r="O468" s="8"/>
      <c r="P468" s="8"/>
      <c r="Q468" s="8"/>
      <c r="R468" s="8"/>
      <c r="S468" s="8"/>
      <c r="T468" s="8"/>
      <c r="U468" s="8"/>
      <c r="V468" s="7"/>
      <c r="W468" s="6" t="str">
        <f t="array" ref="W468">IF(NOT(ISBLANK(D468)),_xludf.XLOOKUP(D468,[2]CODE!$A$4:$A$100,[2]CODE!$D$4:$D$100),"")</f>
        <v/>
      </c>
      <c r="X468" s="5" t="str">
        <f t="array" ref="X468">IF(NOT(AND(ISBLANK(D468),ISBLANK(C468))),_xludf.XLOOKUP(D468,[2]CODE!$A$4:$A$100,[2]CODE!$E$4:$E$100),"")</f>
        <v/>
      </c>
      <c r="Y468" s="5" t="str">
        <f t="shared" si="52"/>
        <v/>
      </c>
      <c r="Z468" s="5" t="str">
        <f t="shared" si="53"/>
        <v/>
      </c>
      <c r="AA468" s="4">
        <f t="shared" si="54"/>
        <v>0</v>
      </c>
      <c r="AC468" s="2"/>
    </row>
    <row r="469" spans="1:29" ht="15.5">
      <c r="A469" s="13" t="str">
        <f>IF(OR(ISBLANK(C469),ISBLANK(D469),ISBLANK(F469),ISBLANK(G469)),"",COUNTIF($B$5:B469,"JAMBUTU"))</f>
        <v/>
      </c>
      <c r="B469" s="8" t="str">
        <f t="shared" si="55"/>
        <v/>
      </c>
      <c r="C469" s="8"/>
      <c r="D469" s="8"/>
      <c r="E469" s="18"/>
      <c r="F469" s="12"/>
      <c r="G469" s="17"/>
      <c r="H469" s="12"/>
      <c r="I469" s="17"/>
      <c r="J469" s="10">
        <f t="shared" si="49"/>
        <v>0</v>
      </c>
      <c r="K469" s="10">
        <f t="shared" si="50"/>
        <v>0</v>
      </c>
      <c r="L469" s="9" t="str">
        <f t="shared" si="51"/>
        <v/>
      </c>
      <c r="M469" s="8"/>
      <c r="N469" s="8"/>
      <c r="O469" s="8"/>
      <c r="P469" s="8"/>
      <c r="Q469" s="8"/>
      <c r="R469" s="8"/>
      <c r="S469" s="16"/>
      <c r="T469" s="8"/>
      <c r="U469" s="8"/>
      <c r="V469" s="7"/>
      <c r="W469" s="6" t="str">
        <f t="array" ref="W469">IF(NOT(ISBLANK(D469)),_xludf.XLOOKUP(D469,[2]CODE!$A$4:$A$100,[2]CODE!$D$4:$D$100),"")</f>
        <v/>
      </c>
      <c r="X469" s="5" t="str">
        <f t="array" ref="X469">IF(NOT(AND(ISBLANK(D469),ISBLANK(C469))),_xludf.XLOOKUP(D469,[2]CODE!$A$4:$A$100,[2]CODE!$E$4:$E$100),"")</f>
        <v/>
      </c>
      <c r="Y469" s="5" t="str">
        <f t="shared" si="52"/>
        <v/>
      </c>
      <c r="Z469" s="5" t="str">
        <f t="shared" si="53"/>
        <v/>
      </c>
      <c r="AA469" s="4">
        <f t="shared" si="54"/>
        <v>0</v>
      </c>
      <c r="AC469" s="2"/>
    </row>
    <row r="470" spans="1:29" ht="15.5">
      <c r="A470" s="13" t="str">
        <f>IF(OR(ISBLANK(C470),ISBLANK(D470),ISBLANK(F470),ISBLANK(G470)),"",COUNTIF($B$5:B470,"JAMBUTU"))</f>
        <v/>
      </c>
      <c r="B470" s="8" t="str">
        <f t="shared" si="55"/>
        <v/>
      </c>
      <c r="C470" s="8"/>
      <c r="D470" s="8"/>
      <c r="E470" s="18"/>
      <c r="F470" s="12"/>
      <c r="G470" s="17"/>
      <c r="H470" s="12"/>
      <c r="I470" s="17"/>
      <c r="J470" s="10">
        <f t="shared" si="49"/>
        <v>0</v>
      </c>
      <c r="K470" s="10">
        <f t="shared" si="50"/>
        <v>0</v>
      </c>
      <c r="L470" s="9" t="str">
        <f t="shared" si="51"/>
        <v/>
      </c>
      <c r="M470" s="8"/>
      <c r="N470" s="8"/>
      <c r="O470" s="8"/>
      <c r="P470" s="8"/>
      <c r="Q470" s="8"/>
      <c r="R470" s="8"/>
      <c r="S470" s="8"/>
      <c r="T470" s="8"/>
      <c r="U470" s="8"/>
      <c r="V470" s="7"/>
      <c r="W470" s="6" t="str">
        <f t="array" ref="W470">IF(NOT(ISBLANK(D470)),_xludf.XLOOKUP(D470,[2]CODE!$A$4:$A$100,[2]CODE!$D$4:$D$100),"")</f>
        <v/>
      </c>
      <c r="X470" s="5" t="str">
        <f t="array" ref="X470">IF(NOT(AND(ISBLANK(D470),ISBLANK(C470))),_xludf.XLOOKUP(D470,[2]CODE!$A$4:$A$100,[2]CODE!$E$4:$E$100),"")</f>
        <v/>
      </c>
      <c r="Y470" s="5" t="str">
        <f t="shared" si="52"/>
        <v/>
      </c>
      <c r="Z470" s="5" t="str">
        <f t="shared" si="53"/>
        <v/>
      </c>
      <c r="AA470" s="4">
        <f t="shared" si="54"/>
        <v>0</v>
      </c>
      <c r="AC470" s="2"/>
    </row>
    <row r="471" spans="1:29" ht="15.5">
      <c r="A471" s="13" t="str">
        <f>IF(OR(ISBLANK(C471),ISBLANK(D471),ISBLANK(F471),ISBLANK(G471)),"",COUNTIF($B$5:B471,"JAMBUTU"))</f>
        <v/>
      </c>
      <c r="B471" s="8" t="str">
        <f t="shared" si="55"/>
        <v/>
      </c>
      <c r="C471" s="8"/>
      <c r="D471" s="8"/>
      <c r="E471" s="18"/>
      <c r="F471" s="12"/>
      <c r="G471" s="17"/>
      <c r="H471" s="12"/>
      <c r="I471" s="17"/>
      <c r="J471" s="10">
        <f t="shared" si="49"/>
        <v>0</v>
      </c>
      <c r="K471" s="10">
        <f t="shared" si="50"/>
        <v>0</v>
      </c>
      <c r="L471" s="9" t="str">
        <f t="shared" si="51"/>
        <v/>
      </c>
      <c r="M471" s="8"/>
      <c r="N471" s="8"/>
      <c r="O471" s="8"/>
      <c r="P471" s="8"/>
      <c r="Q471" s="8"/>
      <c r="R471" s="8"/>
      <c r="S471" s="8"/>
      <c r="T471" s="8"/>
      <c r="U471" s="8"/>
      <c r="V471" s="7"/>
      <c r="W471" s="6" t="str">
        <f t="array" ref="W471">IF(NOT(ISBLANK(D471)),_xludf.XLOOKUP(D471,[2]CODE!$A$4:$A$100,[2]CODE!$D$4:$D$100),"")</f>
        <v/>
      </c>
      <c r="X471" s="5" t="str">
        <f t="array" ref="X471">IF(NOT(AND(ISBLANK(D471),ISBLANK(C471))),_xludf.XLOOKUP(D471,[2]CODE!$A$4:$A$100,[2]CODE!$E$4:$E$100),"")</f>
        <v/>
      </c>
      <c r="Y471" s="5" t="str">
        <f t="shared" si="52"/>
        <v/>
      </c>
      <c r="Z471" s="5" t="str">
        <f t="shared" si="53"/>
        <v/>
      </c>
      <c r="AA471" s="4">
        <f t="shared" si="54"/>
        <v>0</v>
      </c>
      <c r="AC471" s="2"/>
    </row>
    <row r="472" spans="1:29" ht="15.5">
      <c r="A472" s="13" t="str">
        <f>IF(OR(ISBLANK(C472),ISBLANK(D472),ISBLANK(F472),ISBLANK(G472)),"",COUNTIF($B$5:B472,"JAMBUTU"))</f>
        <v/>
      </c>
      <c r="B472" s="8" t="str">
        <f t="shared" si="55"/>
        <v/>
      </c>
      <c r="C472" s="8"/>
      <c r="D472" s="8"/>
      <c r="E472" s="18"/>
      <c r="F472" s="12"/>
      <c r="G472" s="17"/>
      <c r="H472" s="12"/>
      <c r="I472" s="17"/>
      <c r="J472" s="10">
        <f t="shared" si="49"/>
        <v>0</v>
      </c>
      <c r="K472" s="10">
        <f t="shared" si="50"/>
        <v>0</v>
      </c>
      <c r="L472" s="9" t="str">
        <f t="shared" si="51"/>
        <v/>
      </c>
      <c r="M472" s="8"/>
      <c r="N472" s="8"/>
      <c r="O472" s="8"/>
      <c r="P472" s="8"/>
      <c r="Q472" s="8"/>
      <c r="R472" s="8"/>
      <c r="S472" s="8"/>
      <c r="T472" s="8"/>
      <c r="U472" s="8"/>
      <c r="V472" s="7"/>
      <c r="W472" s="6" t="str">
        <f t="array" ref="W472">IF(NOT(ISBLANK(D472)),_xludf.XLOOKUP(D472,[2]CODE!$A$4:$A$100,[2]CODE!$D$4:$D$100),"")</f>
        <v/>
      </c>
      <c r="X472" s="5" t="str">
        <f t="array" ref="X472">IF(NOT(AND(ISBLANK(D472),ISBLANK(C472))),_xludf.XLOOKUP(D472,[2]CODE!$A$4:$A$100,[2]CODE!$E$4:$E$100),"")</f>
        <v/>
      </c>
      <c r="Y472" s="5" t="str">
        <f t="shared" si="52"/>
        <v/>
      </c>
      <c r="Z472" s="5" t="str">
        <f t="shared" si="53"/>
        <v/>
      </c>
      <c r="AA472" s="4">
        <f t="shared" si="54"/>
        <v>0</v>
      </c>
      <c r="AC472" s="2"/>
    </row>
    <row r="473" spans="1:29" ht="15.5">
      <c r="A473" s="13" t="str">
        <f>IF(OR(ISBLANK(C473),ISBLANK(D473),ISBLANK(F473),ISBLANK(G473)),"",COUNTIF($B$5:B473,"JAMBUTU"))</f>
        <v/>
      </c>
      <c r="B473" s="8" t="str">
        <f t="shared" si="55"/>
        <v/>
      </c>
      <c r="C473" s="8"/>
      <c r="D473" s="8"/>
      <c r="E473" s="18"/>
      <c r="F473" s="12"/>
      <c r="G473" s="17"/>
      <c r="H473" s="12"/>
      <c r="I473" s="17"/>
      <c r="J473" s="10">
        <f t="shared" si="49"/>
        <v>0</v>
      </c>
      <c r="K473" s="10">
        <f t="shared" si="50"/>
        <v>0</v>
      </c>
      <c r="L473" s="9" t="str">
        <f t="shared" si="51"/>
        <v/>
      </c>
      <c r="M473" s="8"/>
      <c r="N473" s="8"/>
      <c r="O473" s="8"/>
      <c r="P473" s="8"/>
      <c r="Q473" s="8"/>
      <c r="R473" s="8"/>
      <c r="S473" s="16"/>
      <c r="T473" s="8"/>
      <c r="U473" s="8"/>
      <c r="V473" s="7"/>
      <c r="W473" s="6" t="str">
        <f t="array" ref="W473">IF(NOT(ISBLANK(D473)),_xludf.XLOOKUP(D473,[2]CODE!$A$4:$A$100,[2]CODE!$D$4:$D$100),"")</f>
        <v/>
      </c>
      <c r="X473" s="5" t="str">
        <f t="array" ref="X473">IF(NOT(AND(ISBLANK(D473),ISBLANK(C473))),_xludf.XLOOKUP(D473,[2]CODE!$A$4:$A$100,[2]CODE!$E$4:$E$100),"")</f>
        <v/>
      </c>
      <c r="Y473" s="5" t="str">
        <f t="shared" si="52"/>
        <v/>
      </c>
      <c r="Z473" s="5" t="str">
        <f t="shared" si="53"/>
        <v/>
      </c>
      <c r="AA473" s="4">
        <f t="shared" si="54"/>
        <v>0</v>
      </c>
      <c r="AC473" s="2"/>
    </row>
    <row r="474" spans="1:29" ht="15.5">
      <c r="A474" s="13" t="str">
        <f>IF(OR(ISBLANK(C474),ISBLANK(D474),ISBLANK(F474),ISBLANK(G474)),"",COUNTIF($B$5:B474,"JAMBUTU"))</f>
        <v/>
      </c>
      <c r="B474" s="8" t="str">
        <f t="shared" si="55"/>
        <v/>
      </c>
      <c r="C474" s="8"/>
      <c r="D474" s="8"/>
      <c r="E474" s="18"/>
      <c r="F474" s="12"/>
      <c r="G474" s="17"/>
      <c r="H474" s="12"/>
      <c r="I474" s="17"/>
      <c r="J474" s="10">
        <f t="shared" si="49"/>
        <v>0</v>
      </c>
      <c r="K474" s="10">
        <f t="shared" si="50"/>
        <v>0</v>
      </c>
      <c r="L474" s="9" t="str">
        <f t="shared" si="51"/>
        <v/>
      </c>
      <c r="M474" s="8"/>
      <c r="N474" s="8"/>
      <c r="O474" s="8"/>
      <c r="P474" s="8"/>
      <c r="Q474" s="8"/>
      <c r="R474" s="16"/>
      <c r="S474" s="8"/>
      <c r="T474" s="8"/>
      <c r="U474" s="8"/>
      <c r="V474" s="7"/>
      <c r="W474" s="6" t="str">
        <f t="array" ref="W474">IF(NOT(ISBLANK(D474)),_xludf.XLOOKUP(D474,[2]CODE!$A$4:$A$100,[2]CODE!$D$4:$D$100),"")</f>
        <v/>
      </c>
      <c r="X474" s="5" t="str">
        <f t="array" ref="X474">IF(NOT(AND(ISBLANK(D474),ISBLANK(C474))),_xludf.XLOOKUP(D474,[2]CODE!$A$4:$A$100,[2]CODE!$E$4:$E$100),"")</f>
        <v/>
      </c>
      <c r="Y474" s="5" t="str">
        <f t="shared" si="52"/>
        <v/>
      </c>
      <c r="Z474" s="5" t="str">
        <f t="shared" si="53"/>
        <v/>
      </c>
      <c r="AA474" s="4">
        <f t="shared" si="54"/>
        <v>0</v>
      </c>
      <c r="AC474" s="2"/>
    </row>
    <row r="475" spans="1:29" ht="15.5">
      <c r="A475" s="13" t="str">
        <f>IF(OR(ISBLANK(C475),ISBLANK(D475),ISBLANK(F475),ISBLANK(G475)),"",COUNTIF($B$5:B475,"JAMBUTU"))</f>
        <v/>
      </c>
      <c r="B475" s="8" t="str">
        <f t="shared" si="55"/>
        <v/>
      </c>
      <c r="C475" s="8"/>
      <c r="D475" s="8"/>
      <c r="E475" s="18"/>
      <c r="F475" s="12"/>
      <c r="G475" s="17"/>
      <c r="H475" s="12"/>
      <c r="I475" s="17"/>
      <c r="J475" s="10">
        <f t="shared" si="49"/>
        <v>0</v>
      </c>
      <c r="K475" s="10">
        <f t="shared" si="50"/>
        <v>0</v>
      </c>
      <c r="L475" s="9" t="str">
        <f t="shared" si="51"/>
        <v/>
      </c>
      <c r="M475" s="8"/>
      <c r="N475" s="8"/>
      <c r="O475" s="8"/>
      <c r="P475" s="8"/>
      <c r="Q475" s="8"/>
      <c r="R475" s="16"/>
      <c r="S475" s="8"/>
      <c r="T475" s="8"/>
      <c r="U475" s="8"/>
      <c r="V475" s="7"/>
      <c r="W475" s="6" t="str">
        <f t="array" ref="W475">IF(NOT(ISBLANK(D475)),_xludf.XLOOKUP(D475,[2]CODE!$A$4:$A$100,[2]CODE!$D$4:$D$100),"")</f>
        <v/>
      </c>
      <c r="X475" s="5" t="str">
        <f t="array" ref="X475">IF(NOT(AND(ISBLANK(D475),ISBLANK(C475))),_xludf.XLOOKUP(D475,[2]CODE!$A$4:$A$100,[2]CODE!$E$4:$E$100),"")</f>
        <v/>
      </c>
      <c r="Y475" s="5" t="str">
        <f t="shared" si="52"/>
        <v/>
      </c>
      <c r="Z475" s="5" t="str">
        <f t="shared" si="53"/>
        <v/>
      </c>
      <c r="AA475" s="4">
        <f t="shared" si="54"/>
        <v>0</v>
      </c>
      <c r="AC475" s="2"/>
    </row>
    <row r="476" spans="1:29" ht="15.5">
      <c r="A476" s="13" t="str">
        <f>IF(OR(ISBLANK(C476),ISBLANK(D476),ISBLANK(F476),ISBLANK(G476)),"",COUNTIF($B$5:B476,"JAMBUTU"))</f>
        <v/>
      </c>
      <c r="B476" s="8" t="str">
        <f t="shared" si="55"/>
        <v/>
      </c>
      <c r="C476" s="8"/>
      <c r="D476" s="8"/>
      <c r="E476" s="13"/>
      <c r="F476" s="12"/>
      <c r="G476" s="11"/>
      <c r="H476" s="12"/>
      <c r="I476" s="11"/>
      <c r="J476" s="10">
        <f t="shared" si="49"/>
        <v>0</v>
      </c>
      <c r="K476" s="10">
        <f t="shared" si="50"/>
        <v>0</v>
      </c>
      <c r="L476" s="9" t="str">
        <f t="shared" si="51"/>
        <v/>
      </c>
      <c r="M476" s="8"/>
      <c r="N476" s="8"/>
      <c r="O476" s="8"/>
      <c r="P476" s="8"/>
      <c r="Q476" s="8"/>
      <c r="R476" s="8"/>
      <c r="S476" s="8"/>
      <c r="T476" s="8"/>
      <c r="U476" s="8"/>
      <c r="V476" s="7"/>
      <c r="W476" s="6" t="str">
        <f t="array" ref="W476">IF(NOT(ISBLANK(D476)),_xludf.XLOOKUP(D476,[2]CODE!$A$4:$A$100,[2]CODE!$D$4:$D$100),"")</f>
        <v/>
      </c>
      <c r="X476" s="5" t="str">
        <f t="array" ref="X476">IF(NOT(AND(ISBLANK(D476),ISBLANK(C476))),_xludf.XLOOKUP(D476,[2]CODE!$A$4:$A$100,[2]CODE!$E$4:$E$100),"")</f>
        <v/>
      </c>
      <c r="Y476" s="5" t="str">
        <f t="shared" si="52"/>
        <v/>
      </c>
      <c r="Z476" s="5" t="str">
        <f t="shared" si="53"/>
        <v/>
      </c>
      <c r="AA476" s="4">
        <f t="shared" si="54"/>
        <v>0</v>
      </c>
      <c r="AC476" s="2"/>
    </row>
    <row r="477" spans="1:29" ht="15.5">
      <c r="A477" s="13" t="str">
        <f>IF(OR(ISBLANK(C477),ISBLANK(D477),ISBLANK(F477),ISBLANK(G477)),"",COUNTIF($B$5:B477,"JAMBUTU"))</f>
        <v/>
      </c>
      <c r="B477" s="8" t="str">
        <f t="shared" si="55"/>
        <v/>
      </c>
      <c r="C477" s="8"/>
      <c r="D477" s="8"/>
      <c r="E477" s="13"/>
      <c r="F477" s="12"/>
      <c r="G477" s="11"/>
      <c r="H477" s="12"/>
      <c r="I477" s="11"/>
      <c r="J477" s="10">
        <f t="shared" si="49"/>
        <v>0</v>
      </c>
      <c r="K477" s="10">
        <f t="shared" si="50"/>
        <v>0</v>
      </c>
      <c r="L477" s="9" t="str">
        <f t="shared" si="51"/>
        <v/>
      </c>
      <c r="M477" s="8"/>
      <c r="N477" s="8"/>
      <c r="O477" s="8"/>
      <c r="P477" s="8"/>
      <c r="Q477" s="8"/>
      <c r="R477" s="8"/>
      <c r="S477" s="8"/>
      <c r="T477" s="8"/>
      <c r="U477" s="8"/>
      <c r="V477" s="7"/>
      <c r="W477" s="6" t="str">
        <f t="array" ref="W477">IF(NOT(ISBLANK(D477)),_xludf.XLOOKUP(D477,[2]CODE!$A$4:$A$100,[2]CODE!$D$4:$D$100),"")</f>
        <v/>
      </c>
      <c r="X477" s="5" t="str">
        <f t="array" ref="X477">IF(NOT(AND(ISBLANK(D477),ISBLANK(C477))),_xludf.XLOOKUP(D477,[2]CODE!$A$4:$A$100,[2]CODE!$E$4:$E$100),"")</f>
        <v/>
      </c>
      <c r="Y477" s="5" t="str">
        <f t="shared" si="52"/>
        <v/>
      </c>
      <c r="Z477" s="5" t="str">
        <f t="shared" si="53"/>
        <v/>
      </c>
      <c r="AA477" s="4">
        <f t="shared" si="54"/>
        <v>0</v>
      </c>
      <c r="AC477" s="2"/>
    </row>
    <row r="478" spans="1:29" ht="15.5">
      <c r="A478" s="13" t="str">
        <f>IF(OR(ISBLANK(C478),ISBLANK(D478),ISBLANK(F478),ISBLANK(G478)),"",COUNTIF($B$5:B478,"JAMBUTU"))</f>
        <v/>
      </c>
      <c r="B478" s="8" t="str">
        <f t="shared" si="55"/>
        <v/>
      </c>
      <c r="C478" s="8"/>
      <c r="D478" s="8"/>
      <c r="E478" s="13"/>
      <c r="F478" s="12"/>
      <c r="G478" s="11"/>
      <c r="H478" s="12"/>
      <c r="I478" s="11"/>
      <c r="J478" s="10">
        <f t="shared" si="49"/>
        <v>0</v>
      </c>
      <c r="K478" s="10">
        <f t="shared" si="50"/>
        <v>0</v>
      </c>
      <c r="L478" s="9" t="str">
        <f t="shared" si="51"/>
        <v/>
      </c>
      <c r="M478" s="8"/>
      <c r="N478" s="8"/>
      <c r="O478" s="8"/>
      <c r="P478" s="8"/>
      <c r="Q478" s="8"/>
      <c r="R478" s="8"/>
      <c r="S478" s="8"/>
      <c r="T478" s="8"/>
      <c r="U478" s="8"/>
      <c r="V478" s="7"/>
      <c r="W478" s="6" t="str">
        <f t="array" ref="W478">IF(NOT(ISBLANK(D478)),_xludf.XLOOKUP(D478,[2]CODE!$A$4:$A$100,[2]CODE!$D$4:$D$100),"")</f>
        <v/>
      </c>
      <c r="X478" s="5" t="str">
        <f t="array" ref="X478">IF(NOT(AND(ISBLANK(D478),ISBLANK(C478))),_xludf.XLOOKUP(D478,[2]CODE!$A$4:$A$100,[2]CODE!$E$4:$E$100),"")</f>
        <v/>
      </c>
      <c r="Y478" s="5" t="str">
        <f t="shared" si="52"/>
        <v/>
      </c>
      <c r="Z478" s="5" t="str">
        <f t="shared" si="53"/>
        <v/>
      </c>
      <c r="AA478" s="4">
        <f t="shared" si="54"/>
        <v>0</v>
      </c>
      <c r="AC478" s="2"/>
    </row>
    <row r="479" spans="1:29" ht="15.5">
      <c r="A479" s="13" t="str">
        <f>IF(OR(ISBLANK(C479),ISBLANK(D479),ISBLANK(F479),ISBLANK(G479)),"",COUNTIF($B$5:B479,"JAMBUTU"))</f>
        <v/>
      </c>
      <c r="B479" s="8" t="str">
        <f t="shared" si="55"/>
        <v/>
      </c>
      <c r="C479" s="8"/>
      <c r="D479" s="8"/>
      <c r="E479" s="13"/>
      <c r="F479" s="12"/>
      <c r="G479" s="11"/>
      <c r="H479" s="12"/>
      <c r="I479" s="11"/>
      <c r="J479" s="10">
        <f t="shared" si="49"/>
        <v>0</v>
      </c>
      <c r="K479" s="10">
        <f t="shared" si="50"/>
        <v>0</v>
      </c>
      <c r="L479" s="9" t="str">
        <f t="shared" si="51"/>
        <v/>
      </c>
      <c r="M479" s="8"/>
      <c r="N479" s="8"/>
      <c r="O479" s="8"/>
      <c r="P479" s="8"/>
      <c r="Q479" s="8"/>
      <c r="R479" s="8"/>
      <c r="S479" s="8"/>
      <c r="T479" s="8"/>
      <c r="U479" s="8"/>
      <c r="V479" s="7"/>
      <c r="W479" s="6" t="str">
        <f t="array" ref="W479">IF(NOT(ISBLANK(D479)),_xludf.XLOOKUP(D479,[2]CODE!$A$4:$A$100,[2]CODE!$D$4:$D$100),"")</f>
        <v/>
      </c>
      <c r="X479" s="5" t="str">
        <f t="array" ref="X479">IF(NOT(AND(ISBLANK(D479),ISBLANK(C479))),_xludf.XLOOKUP(D479,[2]CODE!$A$4:$A$100,[2]CODE!$E$4:$E$100),"")</f>
        <v/>
      </c>
      <c r="Y479" s="5" t="str">
        <f t="shared" si="52"/>
        <v/>
      </c>
      <c r="Z479" s="5" t="str">
        <f t="shared" si="53"/>
        <v/>
      </c>
      <c r="AA479" s="4">
        <f t="shared" si="54"/>
        <v>0</v>
      </c>
      <c r="AC479" s="2"/>
    </row>
    <row r="480" spans="1:29" ht="15.5">
      <c r="A480" s="13" t="str">
        <f>IF(OR(ISBLANK(C480),ISBLANK(D480),ISBLANK(F480),ISBLANK(G480)),"",COUNTIF($B$5:B480,"JAMBUTU"))</f>
        <v/>
      </c>
      <c r="B480" s="8" t="str">
        <f t="shared" si="55"/>
        <v/>
      </c>
      <c r="C480" s="8"/>
      <c r="D480" s="8"/>
      <c r="E480" s="13"/>
      <c r="F480" s="12"/>
      <c r="G480" s="11"/>
      <c r="H480" s="12"/>
      <c r="I480" s="11"/>
      <c r="J480" s="10">
        <f t="shared" si="49"/>
        <v>0</v>
      </c>
      <c r="K480" s="10">
        <f t="shared" si="50"/>
        <v>0</v>
      </c>
      <c r="L480" s="9" t="str">
        <f t="shared" si="51"/>
        <v/>
      </c>
      <c r="M480" s="8"/>
      <c r="N480" s="8"/>
      <c r="O480" s="8"/>
      <c r="P480" s="8"/>
      <c r="Q480" s="8"/>
      <c r="R480" s="8"/>
      <c r="S480" s="8"/>
      <c r="T480" s="8"/>
      <c r="U480" s="8"/>
      <c r="V480" s="7"/>
      <c r="W480" s="6" t="str">
        <f t="array" ref="W480">IF(NOT(ISBLANK(D480)),_xludf.XLOOKUP(D480,[2]CODE!$A$4:$A$100,[2]CODE!$D$4:$D$100),"")</f>
        <v/>
      </c>
      <c r="X480" s="5" t="str">
        <f t="array" ref="X480">IF(NOT(AND(ISBLANK(D480),ISBLANK(C480))),_xludf.XLOOKUP(D480,[2]CODE!$A$4:$A$100,[2]CODE!$E$4:$E$100),"")</f>
        <v/>
      </c>
      <c r="Y480" s="5" t="str">
        <f t="shared" si="52"/>
        <v/>
      </c>
      <c r="Z480" s="5" t="str">
        <f t="shared" si="53"/>
        <v/>
      </c>
      <c r="AA480" s="4">
        <f t="shared" si="54"/>
        <v>0</v>
      </c>
      <c r="AC480" s="2"/>
    </row>
    <row r="481" spans="1:29" ht="15.5">
      <c r="A481" s="13" t="str">
        <f>IF(OR(ISBLANK(C481),ISBLANK(D481),ISBLANK(F481),ISBLANK(G481)),"",COUNTIF($B$5:B481,"JAMBUTU"))</f>
        <v/>
      </c>
      <c r="B481" s="8" t="str">
        <f t="shared" si="55"/>
        <v/>
      </c>
      <c r="C481" s="8"/>
      <c r="D481" s="8"/>
      <c r="E481" s="13"/>
      <c r="F481" s="12"/>
      <c r="G481" s="11"/>
      <c r="H481" s="12"/>
      <c r="I481" s="11"/>
      <c r="J481" s="10">
        <f t="shared" si="49"/>
        <v>0</v>
      </c>
      <c r="K481" s="10">
        <f t="shared" si="50"/>
        <v>0</v>
      </c>
      <c r="L481" s="9" t="str">
        <f t="shared" si="51"/>
        <v/>
      </c>
      <c r="M481" s="8"/>
      <c r="N481" s="8"/>
      <c r="O481" s="8"/>
      <c r="P481" s="8"/>
      <c r="Q481" s="8"/>
      <c r="R481" s="8"/>
      <c r="S481" s="8"/>
      <c r="T481" s="8"/>
      <c r="U481" s="8"/>
      <c r="V481" s="7"/>
      <c r="W481" s="6" t="str">
        <f t="array" ref="W481">IF(NOT(ISBLANK(D481)),_xludf.XLOOKUP(D481,[2]CODE!$A$4:$A$100,[2]CODE!$D$4:$D$100),"")</f>
        <v/>
      </c>
      <c r="X481" s="5" t="str">
        <f t="array" ref="X481">IF(NOT(AND(ISBLANK(D481),ISBLANK(C481))),_xludf.XLOOKUP(D481,[2]CODE!$A$4:$A$100,[2]CODE!$E$4:$E$100),"")</f>
        <v/>
      </c>
      <c r="Y481" s="5" t="str">
        <f t="shared" si="52"/>
        <v/>
      </c>
      <c r="Z481" s="5" t="str">
        <f t="shared" si="53"/>
        <v/>
      </c>
      <c r="AA481" s="4">
        <f t="shared" si="54"/>
        <v>0</v>
      </c>
      <c r="AC481" s="2"/>
    </row>
    <row r="482" spans="1:29" ht="15.5">
      <c r="A482" s="13" t="str">
        <f>IF(OR(ISBLANK(C482),ISBLANK(D482),ISBLANK(F482),ISBLANK(G482)),"",COUNTIF($B$5:B482,"JAMBUTU"))</f>
        <v/>
      </c>
      <c r="B482" s="8" t="str">
        <f t="shared" si="55"/>
        <v/>
      </c>
      <c r="C482" s="8"/>
      <c r="D482" s="8"/>
      <c r="E482" s="13"/>
      <c r="F482" s="12"/>
      <c r="G482" s="11"/>
      <c r="H482" s="12"/>
      <c r="I482" s="11"/>
      <c r="J482" s="10">
        <f t="shared" si="49"/>
        <v>0</v>
      </c>
      <c r="K482" s="10">
        <f t="shared" si="50"/>
        <v>0</v>
      </c>
      <c r="L482" s="9" t="str">
        <f t="shared" si="51"/>
        <v/>
      </c>
      <c r="M482" s="8"/>
      <c r="N482" s="8"/>
      <c r="O482" s="8"/>
      <c r="P482" s="8"/>
      <c r="Q482" s="8"/>
      <c r="R482" s="8"/>
      <c r="S482" s="8"/>
      <c r="T482" s="8"/>
      <c r="U482" s="8"/>
      <c r="V482" s="7"/>
      <c r="W482" s="6" t="str">
        <f t="array" ref="W482">IF(NOT(ISBLANK(D482)),_xludf.XLOOKUP(D482,[2]CODE!$A$4:$A$100,[2]CODE!$D$4:$D$100),"")</f>
        <v/>
      </c>
      <c r="X482" s="5" t="str">
        <f t="array" ref="X482">IF(NOT(AND(ISBLANK(D482),ISBLANK(C482))),_xludf.XLOOKUP(D482,[2]CODE!$A$4:$A$100,[2]CODE!$E$4:$E$100),"")</f>
        <v/>
      </c>
      <c r="Y482" s="5" t="str">
        <f t="shared" si="52"/>
        <v/>
      </c>
      <c r="Z482" s="5" t="str">
        <f t="shared" si="53"/>
        <v/>
      </c>
      <c r="AA482" s="4">
        <f t="shared" si="54"/>
        <v>0</v>
      </c>
      <c r="AC482" s="2"/>
    </row>
    <row r="483" spans="1:29" ht="15.5">
      <c r="A483" s="13" t="str">
        <f>IF(OR(ISBLANK(C483),ISBLANK(D483),ISBLANK(F483),ISBLANK(G483)),"",COUNTIF($B$5:B483,"JAMBUTU"))</f>
        <v/>
      </c>
      <c r="B483" s="8" t="str">
        <f t="shared" si="55"/>
        <v/>
      </c>
      <c r="C483" s="8"/>
      <c r="D483" s="8"/>
      <c r="E483" s="13"/>
      <c r="F483" s="12"/>
      <c r="G483" s="11"/>
      <c r="H483" s="12"/>
      <c r="I483" s="11"/>
      <c r="J483" s="10">
        <f t="shared" si="49"/>
        <v>0</v>
      </c>
      <c r="K483" s="10">
        <f t="shared" si="50"/>
        <v>0</v>
      </c>
      <c r="L483" s="9" t="str">
        <f t="shared" si="51"/>
        <v/>
      </c>
      <c r="M483" s="8"/>
      <c r="N483" s="8"/>
      <c r="O483" s="8"/>
      <c r="P483" s="8"/>
      <c r="Q483" s="8"/>
      <c r="R483" s="8"/>
      <c r="S483" s="8"/>
      <c r="T483" s="8"/>
      <c r="U483" s="8"/>
      <c r="V483" s="7"/>
      <c r="W483" s="6" t="str">
        <f t="array" ref="W483">IF(NOT(ISBLANK(D483)),_xludf.XLOOKUP(D483,[2]CODE!$A$4:$A$100,[2]CODE!$D$4:$D$100),"")</f>
        <v/>
      </c>
      <c r="X483" s="5" t="str">
        <f t="array" ref="X483">IF(NOT(AND(ISBLANK(D483),ISBLANK(C483))),_xludf.XLOOKUP(D483,[2]CODE!$A$4:$A$100,[2]CODE!$E$4:$E$100),"")</f>
        <v/>
      </c>
      <c r="Y483" s="5" t="str">
        <f t="shared" si="52"/>
        <v/>
      </c>
      <c r="Z483" s="5" t="str">
        <f t="shared" si="53"/>
        <v/>
      </c>
      <c r="AA483" s="4">
        <f t="shared" si="54"/>
        <v>0</v>
      </c>
      <c r="AC483" s="2"/>
    </row>
    <row r="484" spans="1:29" ht="15.5">
      <c r="A484" s="13" t="str">
        <f>IF(OR(ISBLANK(C484),ISBLANK(D484),ISBLANK(F484),ISBLANK(G484)),"",COUNTIF($B$5:B484,"JAMBUTU"))</f>
        <v/>
      </c>
      <c r="B484" s="8" t="str">
        <f t="shared" si="55"/>
        <v/>
      </c>
      <c r="C484" s="8"/>
      <c r="D484" s="8"/>
      <c r="E484" s="13"/>
      <c r="F484" s="12"/>
      <c r="G484" s="11"/>
      <c r="H484" s="12"/>
      <c r="I484" s="11"/>
      <c r="J484" s="10">
        <f t="shared" si="49"/>
        <v>0</v>
      </c>
      <c r="K484" s="10">
        <f t="shared" si="50"/>
        <v>0</v>
      </c>
      <c r="L484" s="9" t="str">
        <f t="shared" si="51"/>
        <v/>
      </c>
      <c r="M484" s="8"/>
      <c r="N484" s="8"/>
      <c r="O484" s="8"/>
      <c r="P484" s="8"/>
      <c r="Q484" s="8"/>
      <c r="R484" s="8"/>
      <c r="S484" s="8"/>
      <c r="T484" s="8"/>
      <c r="U484" s="8"/>
      <c r="V484" s="7"/>
      <c r="W484" s="6" t="str">
        <f t="array" ref="W484">IF(NOT(ISBLANK(D484)),_xludf.XLOOKUP(D484,[2]CODE!$A$4:$A$100,[2]CODE!$D$4:$D$100),"")</f>
        <v/>
      </c>
      <c r="X484" s="5" t="str">
        <f t="array" ref="X484">IF(NOT(AND(ISBLANK(D484),ISBLANK(C484))),_xludf.XLOOKUP(D484,[2]CODE!$A$4:$A$100,[2]CODE!$E$4:$E$100),"")</f>
        <v/>
      </c>
      <c r="Y484" s="5" t="str">
        <f t="shared" si="52"/>
        <v/>
      </c>
      <c r="Z484" s="5" t="str">
        <f t="shared" si="53"/>
        <v/>
      </c>
      <c r="AA484" s="4">
        <f t="shared" si="54"/>
        <v>0</v>
      </c>
      <c r="AC484" s="2"/>
    </row>
    <row r="485" spans="1:29" ht="15.5">
      <c r="A485" s="13" t="str">
        <f>IF(OR(ISBLANK(C485),ISBLANK(D485),ISBLANK(F485),ISBLANK(G485)),"",COUNTIF($B$5:B485,"JAMBUTU"))</f>
        <v/>
      </c>
      <c r="B485" s="8" t="str">
        <f t="shared" si="55"/>
        <v/>
      </c>
      <c r="C485" s="8"/>
      <c r="D485" s="8"/>
      <c r="E485" s="13"/>
      <c r="F485" s="12"/>
      <c r="G485" s="11"/>
      <c r="H485" s="12"/>
      <c r="I485" s="11"/>
      <c r="J485" s="10">
        <f t="shared" si="49"/>
        <v>0</v>
      </c>
      <c r="K485" s="10">
        <f t="shared" si="50"/>
        <v>0</v>
      </c>
      <c r="L485" s="9" t="str">
        <f t="shared" si="51"/>
        <v/>
      </c>
      <c r="M485" s="8"/>
      <c r="N485" s="8"/>
      <c r="O485" s="8"/>
      <c r="P485" s="8"/>
      <c r="Q485" s="8"/>
      <c r="R485" s="8"/>
      <c r="S485" s="8"/>
      <c r="T485" s="8"/>
      <c r="U485" s="8"/>
      <c r="V485" s="7"/>
      <c r="W485" s="6" t="str">
        <f t="array" ref="W485">IF(NOT(ISBLANK(D485)),_xludf.XLOOKUP(D485,[2]CODE!$A$4:$A$100,[2]CODE!$D$4:$D$100),"")</f>
        <v/>
      </c>
      <c r="X485" s="5" t="str">
        <f t="array" ref="X485">IF(NOT(AND(ISBLANK(D485),ISBLANK(C485))),_xludf.XLOOKUP(D485,[2]CODE!$A$4:$A$100,[2]CODE!$E$4:$E$100),"")</f>
        <v/>
      </c>
      <c r="Y485" s="5" t="str">
        <f t="shared" si="52"/>
        <v/>
      </c>
      <c r="Z485" s="5" t="str">
        <f t="shared" si="53"/>
        <v/>
      </c>
      <c r="AA485" s="4">
        <f t="shared" si="54"/>
        <v>0</v>
      </c>
      <c r="AC485" s="2"/>
    </row>
    <row r="486" spans="1:29" ht="15.5">
      <c r="A486" s="13" t="str">
        <f>IF(OR(ISBLANK(C486),ISBLANK(D486),ISBLANK(F486),ISBLANK(G486)),"",COUNTIF($B$5:B486,"JAMBUTU"))</f>
        <v/>
      </c>
      <c r="B486" s="8" t="str">
        <f t="shared" si="55"/>
        <v/>
      </c>
      <c r="C486" s="8"/>
      <c r="D486" s="8"/>
      <c r="E486" s="13"/>
      <c r="F486" s="12"/>
      <c r="G486" s="11"/>
      <c r="H486" s="12"/>
      <c r="I486" s="11"/>
      <c r="J486" s="10">
        <f t="shared" si="49"/>
        <v>0</v>
      </c>
      <c r="K486" s="10">
        <f t="shared" si="50"/>
        <v>0</v>
      </c>
      <c r="L486" s="9" t="str">
        <f t="shared" si="51"/>
        <v/>
      </c>
      <c r="M486" s="8"/>
      <c r="N486" s="8"/>
      <c r="O486" s="8"/>
      <c r="P486" s="8"/>
      <c r="Q486" s="8"/>
      <c r="R486" s="8"/>
      <c r="S486" s="8"/>
      <c r="T486" s="8"/>
      <c r="U486" s="8"/>
      <c r="V486" s="7"/>
      <c r="W486" s="6" t="str">
        <f t="array" ref="W486">IF(NOT(ISBLANK(D486)),_xludf.XLOOKUP(D486,[2]CODE!$A$4:$A$100,[2]CODE!$D$4:$D$100),"")</f>
        <v/>
      </c>
      <c r="X486" s="5" t="str">
        <f t="array" ref="X486">IF(NOT(AND(ISBLANK(D486),ISBLANK(C486))),_xludf.XLOOKUP(D486,[2]CODE!$A$4:$A$100,[2]CODE!$E$4:$E$100),"")</f>
        <v/>
      </c>
      <c r="Y486" s="5" t="str">
        <f t="shared" si="52"/>
        <v/>
      </c>
      <c r="Z486" s="5" t="str">
        <f t="shared" si="53"/>
        <v/>
      </c>
      <c r="AA486" s="4">
        <f t="shared" si="54"/>
        <v>0</v>
      </c>
      <c r="AC486" s="2"/>
    </row>
    <row r="487" spans="1:29" ht="15.5">
      <c r="A487" s="13" t="str">
        <f>IF(OR(ISBLANK(C487),ISBLANK(D487),ISBLANK(F487),ISBLANK(G487)),"",COUNTIF($B$5:B487,"JAMBUTU"))</f>
        <v/>
      </c>
      <c r="B487" s="8" t="str">
        <f t="shared" si="55"/>
        <v/>
      </c>
      <c r="C487" s="8"/>
      <c r="D487" s="8"/>
      <c r="E487" s="13"/>
      <c r="F487" s="12"/>
      <c r="G487" s="11"/>
      <c r="H487" s="12"/>
      <c r="I487" s="11"/>
      <c r="J487" s="10">
        <f t="shared" si="49"/>
        <v>0</v>
      </c>
      <c r="K487" s="10">
        <f t="shared" si="50"/>
        <v>0</v>
      </c>
      <c r="L487" s="9" t="str">
        <f t="shared" si="51"/>
        <v/>
      </c>
      <c r="M487" s="8"/>
      <c r="N487" s="8"/>
      <c r="O487" s="8"/>
      <c r="P487" s="8"/>
      <c r="Q487" s="8"/>
      <c r="R487" s="8"/>
      <c r="S487" s="8"/>
      <c r="T487" s="8"/>
      <c r="U487" s="8"/>
      <c r="V487" s="7"/>
      <c r="W487" s="6" t="str">
        <f t="array" ref="W487">IF(NOT(ISBLANK(D487)),_xludf.XLOOKUP(D487,[2]CODE!$A$4:$A$100,[2]CODE!$D$4:$D$100),"")</f>
        <v/>
      </c>
      <c r="X487" s="5" t="str">
        <f t="array" ref="X487">IF(NOT(AND(ISBLANK(D487),ISBLANK(C487))),_xludf.XLOOKUP(D487,[2]CODE!$A$4:$A$100,[2]CODE!$E$4:$E$100),"")</f>
        <v/>
      </c>
      <c r="Y487" s="5" t="str">
        <f t="shared" si="52"/>
        <v/>
      </c>
      <c r="Z487" s="5" t="str">
        <f t="shared" si="53"/>
        <v/>
      </c>
      <c r="AA487" s="4">
        <f t="shared" si="54"/>
        <v>0</v>
      </c>
      <c r="AC487" s="2"/>
    </row>
    <row r="488" spans="1:29" ht="15.5">
      <c r="A488" s="13" t="str">
        <f>IF(OR(ISBLANK(C488),ISBLANK(D488),ISBLANK(F488),ISBLANK(G488)),"",COUNTIF($B$5:B488,"JAMBUTU"))</f>
        <v/>
      </c>
      <c r="B488" s="8" t="str">
        <f t="shared" si="55"/>
        <v/>
      </c>
      <c r="C488" s="8"/>
      <c r="D488" s="8"/>
      <c r="E488" s="13"/>
      <c r="F488" s="12"/>
      <c r="G488" s="11"/>
      <c r="H488" s="12"/>
      <c r="I488" s="11"/>
      <c r="J488" s="10">
        <f t="shared" si="49"/>
        <v>0</v>
      </c>
      <c r="K488" s="10">
        <f t="shared" si="50"/>
        <v>0</v>
      </c>
      <c r="L488" s="9" t="str">
        <f t="shared" si="51"/>
        <v/>
      </c>
      <c r="M488" s="8"/>
      <c r="N488" s="8"/>
      <c r="O488" s="8"/>
      <c r="P488" s="8"/>
      <c r="Q488" s="8"/>
      <c r="R488" s="8"/>
      <c r="S488" s="8"/>
      <c r="T488" s="8"/>
      <c r="U488" s="8"/>
      <c r="V488" s="7"/>
      <c r="W488" s="6" t="str">
        <f t="array" ref="W488">IF(NOT(ISBLANK(D488)),_xludf.XLOOKUP(D488,[2]CODE!$A$4:$A$100,[2]CODE!$D$4:$D$100),"")</f>
        <v/>
      </c>
      <c r="X488" s="5" t="str">
        <f t="array" ref="X488">IF(NOT(AND(ISBLANK(D488),ISBLANK(C488))),_xludf.XLOOKUP(D488,[2]CODE!$A$4:$A$100,[2]CODE!$E$4:$E$100),"")</f>
        <v/>
      </c>
      <c r="Y488" s="5" t="str">
        <f t="shared" si="52"/>
        <v/>
      </c>
      <c r="Z488" s="5" t="str">
        <f t="shared" si="53"/>
        <v/>
      </c>
      <c r="AA488" s="4">
        <f t="shared" si="54"/>
        <v>0</v>
      </c>
      <c r="AC488" s="2"/>
    </row>
    <row r="489" spans="1:29" ht="15.5">
      <c r="A489" s="13" t="str">
        <f>IF(OR(ISBLANK(C489),ISBLANK(D489),ISBLANK(F489),ISBLANK(G489)),"",COUNTIF($B$5:B489,"JAMBUTU"))</f>
        <v/>
      </c>
      <c r="B489" s="8" t="str">
        <f t="shared" si="55"/>
        <v/>
      </c>
      <c r="C489" s="8"/>
      <c r="D489" s="8"/>
      <c r="E489" s="13"/>
      <c r="F489" s="12"/>
      <c r="G489" s="11"/>
      <c r="H489" s="12"/>
      <c r="I489" s="11"/>
      <c r="J489" s="10">
        <f t="shared" si="49"/>
        <v>0</v>
      </c>
      <c r="K489" s="10">
        <f t="shared" si="50"/>
        <v>0</v>
      </c>
      <c r="L489" s="9" t="str">
        <f t="shared" si="51"/>
        <v/>
      </c>
      <c r="M489" s="8"/>
      <c r="N489" s="8"/>
      <c r="O489" s="8"/>
      <c r="P489" s="8"/>
      <c r="Q489" s="8"/>
      <c r="R489" s="8"/>
      <c r="S489" s="8"/>
      <c r="T489" s="8"/>
      <c r="U489" s="8"/>
      <c r="V489" s="7"/>
      <c r="W489" s="6" t="str">
        <f t="array" ref="W489">IF(NOT(ISBLANK(D489)),_xludf.XLOOKUP(D489,[2]CODE!$A$4:$A$100,[2]CODE!$D$4:$D$100),"")</f>
        <v/>
      </c>
      <c r="X489" s="5" t="str">
        <f t="array" ref="X489">IF(NOT(AND(ISBLANK(D489),ISBLANK(C489))),_xludf.XLOOKUP(D489,[2]CODE!$A$4:$A$100,[2]CODE!$E$4:$E$100),"")</f>
        <v/>
      </c>
      <c r="Y489" s="5" t="str">
        <f t="shared" si="52"/>
        <v/>
      </c>
      <c r="Z489" s="5" t="str">
        <f t="shared" si="53"/>
        <v/>
      </c>
      <c r="AA489" s="4">
        <f t="shared" si="54"/>
        <v>0</v>
      </c>
      <c r="AC489" s="2"/>
    </row>
    <row r="490" spans="1:29" ht="15.5">
      <c r="A490" s="13" t="str">
        <f>IF(OR(ISBLANK(C490),ISBLANK(D490),ISBLANK(F490),ISBLANK(G490)),"",COUNTIF($B$5:B490,"JAMBUTU"))</f>
        <v/>
      </c>
      <c r="B490" s="8" t="str">
        <f t="shared" si="55"/>
        <v/>
      </c>
      <c r="C490" s="8"/>
      <c r="D490" s="8"/>
      <c r="E490" s="13"/>
      <c r="F490" s="12"/>
      <c r="G490" s="11"/>
      <c r="H490" s="12"/>
      <c r="I490" s="11"/>
      <c r="J490" s="10">
        <f t="shared" si="49"/>
        <v>0</v>
      </c>
      <c r="K490" s="10">
        <f t="shared" si="50"/>
        <v>0</v>
      </c>
      <c r="L490" s="9" t="str">
        <f t="shared" si="51"/>
        <v/>
      </c>
      <c r="M490" s="8"/>
      <c r="N490" s="8"/>
      <c r="O490" s="8"/>
      <c r="P490" s="8"/>
      <c r="Q490" s="8"/>
      <c r="R490" s="8"/>
      <c r="S490" s="8"/>
      <c r="T490" s="8"/>
      <c r="U490" s="8"/>
      <c r="V490" s="7"/>
      <c r="W490" s="6" t="str">
        <f t="array" ref="W490">IF(NOT(ISBLANK(D490)),_xludf.XLOOKUP(D490,[2]CODE!$A$4:$A$100,[2]CODE!$D$4:$D$100),"")</f>
        <v/>
      </c>
      <c r="X490" s="5" t="str">
        <f t="array" ref="X490">IF(NOT(AND(ISBLANK(D490),ISBLANK(C490))),_xludf.XLOOKUP(D490,[2]CODE!$A$4:$A$100,[2]CODE!$E$4:$E$100),"")</f>
        <v/>
      </c>
      <c r="Y490" s="5" t="str">
        <f t="shared" si="52"/>
        <v/>
      </c>
      <c r="Z490" s="5" t="str">
        <f t="shared" si="53"/>
        <v/>
      </c>
      <c r="AA490" s="4">
        <f t="shared" si="54"/>
        <v>0</v>
      </c>
      <c r="AC490" s="2"/>
    </row>
    <row r="491" spans="1:29" ht="15.5">
      <c r="A491" s="13" t="str">
        <f>IF(OR(ISBLANK(C491),ISBLANK(D491),ISBLANK(F491),ISBLANK(G491)),"",COUNTIF($B$5:B491,"JAMBUTU"))</f>
        <v/>
      </c>
      <c r="B491" s="8" t="str">
        <f t="shared" si="55"/>
        <v/>
      </c>
      <c r="C491" s="8"/>
      <c r="D491" s="8"/>
      <c r="E491" s="13"/>
      <c r="F491" s="12"/>
      <c r="G491" s="11"/>
      <c r="H491" s="12"/>
      <c r="I491" s="11"/>
      <c r="J491" s="10">
        <f t="shared" si="49"/>
        <v>0</v>
      </c>
      <c r="K491" s="10">
        <f t="shared" si="50"/>
        <v>0</v>
      </c>
      <c r="L491" s="9" t="str">
        <f t="shared" si="51"/>
        <v/>
      </c>
      <c r="M491" s="8"/>
      <c r="N491" s="8"/>
      <c r="O491" s="8"/>
      <c r="P491" s="8"/>
      <c r="Q491" s="8"/>
      <c r="R491" s="8"/>
      <c r="S491" s="8"/>
      <c r="T491" s="8"/>
      <c r="U491" s="8"/>
      <c r="V491" s="7"/>
      <c r="W491" s="6" t="str">
        <f t="array" ref="W491">IF(NOT(ISBLANK(D491)),_xludf.XLOOKUP(D491,[2]CODE!$A$4:$A$100,[2]CODE!$D$4:$D$100),"")</f>
        <v/>
      </c>
      <c r="X491" s="5" t="str">
        <f t="array" ref="X491">IF(NOT(AND(ISBLANK(D491),ISBLANK(C491))),_xludf.XLOOKUP(D491,[2]CODE!$A$4:$A$100,[2]CODE!$E$4:$E$100),"")</f>
        <v/>
      </c>
      <c r="Y491" s="5" t="str">
        <f t="shared" si="52"/>
        <v/>
      </c>
      <c r="Z491" s="5" t="str">
        <f t="shared" si="53"/>
        <v/>
      </c>
      <c r="AA491" s="4">
        <f t="shared" si="54"/>
        <v>0</v>
      </c>
      <c r="AC491" s="2"/>
    </row>
    <row r="492" spans="1:29" ht="15.5">
      <c r="A492" s="13" t="str">
        <f>IF(OR(ISBLANK(C492),ISBLANK(D492),ISBLANK(F492),ISBLANK(G492)),"",COUNTIF($B$5:B492,"JAMBUTU"))</f>
        <v/>
      </c>
      <c r="B492" s="8" t="str">
        <f t="shared" si="55"/>
        <v/>
      </c>
      <c r="C492" s="8"/>
      <c r="D492" s="8"/>
      <c r="E492" s="13"/>
      <c r="F492" s="12"/>
      <c r="G492" s="11"/>
      <c r="H492" s="12"/>
      <c r="I492" s="11"/>
      <c r="J492" s="10">
        <f t="shared" si="49"/>
        <v>0</v>
      </c>
      <c r="K492" s="10">
        <f t="shared" si="50"/>
        <v>0</v>
      </c>
      <c r="L492" s="9" t="str">
        <f t="shared" si="51"/>
        <v/>
      </c>
      <c r="M492" s="8"/>
      <c r="N492" s="8"/>
      <c r="O492" s="8"/>
      <c r="P492" s="8"/>
      <c r="Q492" s="8"/>
      <c r="R492" s="8"/>
      <c r="S492" s="8"/>
      <c r="T492" s="8"/>
      <c r="U492" s="8"/>
      <c r="V492" s="7"/>
      <c r="W492" s="6" t="str">
        <f t="array" ref="W492">IF(NOT(ISBLANK(D492)),_xludf.XLOOKUP(D492,[2]CODE!$A$4:$A$100,[2]CODE!$D$4:$D$100),"")</f>
        <v/>
      </c>
      <c r="X492" s="5" t="str">
        <f t="array" ref="X492">IF(NOT(AND(ISBLANK(D492),ISBLANK(C492))),_xludf.XLOOKUP(D492,[2]CODE!$A$4:$A$100,[2]CODE!$E$4:$E$100),"")</f>
        <v/>
      </c>
      <c r="Y492" s="5" t="str">
        <f t="shared" si="52"/>
        <v/>
      </c>
      <c r="Z492" s="5" t="str">
        <f t="shared" si="53"/>
        <v/>
      </c>
      <c r="AA492" s="4">
        <f t="shared" si="54"/>
        <v>0</v>
      </c>
      <c r="AC492" s="2"/>
    </row>
    <row r="493" spans="1:29" ht="15.5">
      <c r="A493" s="13" t="str">
        <f>IF(OR(ISBLANK(C493),ISBLANK(D493),ISBLANK(F493),ISBLANK(G493)),"",COUNTIF($B$5:B493,"JAMBUTU"))</f>
        <v/>
      </c>
      <c r="B493" s="8" t="str">
        <f t="shared" si="55"/>
        <v/>
      </c>
      <c r="C493" s="8"/>
      <c r="D493" s="8"/>
      <c r="E493" s="13"/>
      <c r="F493" s="12"/>
      <c r="G493" s="11"/>
      <c r="H493" s="12"/>
      <c r="I493" s="11"/>
      <c r="J493" s="10">
        <f t="shared" si="49"/>
        <v>0</v>
      </c>
      <c r="K493" s="10">
        <f t="shared" si="50"/>
        <v>0</v>
      </c>
      <c r="L493" s="9" t="str">
        <f t="shared" si="51"/>
        <v/>
      </c>
      <c r="M493" s="8"/>
      <c r="N493" s="8"/>
      <c r="O493" s="8"/>
      <c r="P493" s="8"/>
      <c r="Q493" s="8"/>
      <c r="R493" s="8"/>
      <c r="S493" s="8"/>
      <c r="T493" s="8"/>
      <c r="U493" s="8"/>
      <c r="V493" s="7"/>
      <c r="W493" s="6" t="str">
        <f t="array" ref="W493">IF(NOT(ISBLANK(D493)),_xludf.XLOOKUP(D493,[2]CODE!$A$4:$A$100,[2]CODE!$D$4:$D$100),"")</f>
        <v/>
      </c>
      <c r="X493" s="5" t="str">
        <f t="array" ref="X493">IF(NOT(AND(ISBLANK(D493),ISBLANK(C493))),_xludf.XLOOKUP(D493,[2]CODE!$A$4:$A$100,[2]CODE!$E$4:$E$100),"")</f>
        <v/>
      </c>
      <c r="Y493" s="5" t="str">
        <f t="shared" si="52"/>
        <v/>
      </c>
      <c r="Z493" s="5" t="str">
        <f t="shared" si="53"/>
        <v/>
      </c>
      <c r="AA493" s="4">
        <f t="shared" si="54"/>
        <v>0</v>
      </c>
      <c r="AC493" s="2"/>
    </row>
    <row r="494" spans="1:29" ht="15.5">
      <c r="A494" s="13" t="str">
        <f>IF(OR(ISBLANK(C494),ISBLANK(D494),ISBLANK(F494),ISBLANK(G494)),"",COUNTIF($B$5:B494,"JAMBUTU"))</f>
        <v/>
      </c>
      <c r="B494" s="8" t="str">
        <f t="shared" si="55"/>
        <v/>
      </c>
      <c r="C494" s="8"/>
      <c r="D494" s="8"/>
      <c r="E494" s="13"/>
      <c r="F494" s="12"/>
      <c r="G494" s="11"/>
      <c r="H494" s="12"/>
      <c r="I494" s="11"/>
      <c r="J494" s="10">
        <f t="shared" si="49"/>
        <v>0</v>
      </c>
      <c r="K494" s="10">
        <f t="shared" si="50"/>
        <v>0</v>
      </c>
      <c r="L494" s="9" t="str">
        <f t="shared" si="51"/>
        <v/>
      </c>
      <c r="M494" s="8"/>
      <c r="N494" s="8"/>
      <c r="O494" s="8"/>
      <c r="P494" s="8"/>
      <c r="Q494" s="8"/>
      <c r="R494" s="8"/>
      <c r="S494" s="8"/>
      <c r="T494" s="8"/>
      <c r="U494" s="8"/>
      <c r="V494" s="7"/>
      <c r="W494" s="6" t="str">
        <f t="array" ref="W494">IF(NOT(ISBLANK(D494)),_xludf.XLOOKUP(D494,[2]CODE!$A$4:$A$100,[2]CODE!$D$4:$D$100),"")</f>
        <v/>
      </c>
      <c r="X494" s="5" t="str">
        <f t="array" ref="X494">IF(NOT(AND(ISBLANK(D494),ISBLANK(C494))),_xludf.XLOOKUP(D494,[2]CODE!$A$4:$A$100,[2]CODE!$E$4:$E$100),"")</f>
        <v/>
      </c>
      <c r="Y494" s="5" t="str">
        <f t="shared" si="52"/>
        <v/>
      </c>
      <c r="Z494" s="5" t="str">
        <f t="shared" si="53"/>
        <v/>
      </c>
      <c r="AA494" s="4">
        <f t="shared" si="54"/>
        <v>0</v>
      </c>
      <c r="AC494" s="2"/>
    </row>
    <row r="495" spans="1:29" ht="15.5">
      <c r="A495" s="13" t="str">
        <f>IF(OR(ISBLANK(C495),ISBLANK(D495),ISBLANK(F495),ISBLANK(G495)),"",COUNTIF($B$5:B495,"JAMBUTU"))</f>
        <v/>
      </c>
      <c r="B495" s="8" t="str">
        <f t="shared" si="55"/>
        <v/>
      </c>
      <c r="C495" s="8"/>
      <c r="D495" s="8"/>
      <c r="E495" s="13"/>
      <c r="F495" s="12"/>
      <c r="G495" s="11"/>
      <c r="H495" s="12"/>
      <c r="I495" s="11"/>
      <c r="J495" s="10">
        <f t="shared" si="49"/>
        <v>0</v>
      </c>
      <c r="K495" s="10">
        <f t="shared" si="50"/>
        <v>0</v>
      </c>
      <c r="L495" s="9" t="str">
        <f t="shared" si="51"/>
        <v/>
      </c>
      <c r="M495" s="8"/>
      <c r="N495" s="8"/>
      <c r="O495" s="8"/>
      <c r="P495" s="8"/>
      <c r="Q495" s="8"/>
      <c r="R495" s="8"/>
      <c r="S495" s="8"/>
      <c r="T495" s="8"/>
      <c r="U495" s="8"/>
      <c r="V495" s="7"/>
      <c r="W495" s="6" t="str">
        <f t="array" ref="W495">IF(NOT(ISBLANK(D495)),_xludf.XLOOKUP(D495,[2]CODE!$A$4:$A$100,[2]CODE!$D$4:$D$100),"")</f>
        <v/>
      </c>
      <c r="X495" s="5" t="str">
        <f t="array" ref="X495">IF(NOT(AND(ISBLANK(D495),ISBLANK(C495))),_xludf.XLOOKUP(D495,[2]CODE!$A$4:$A$100,[2]CODE!$E$4:$E$100),"")</f>
        <v/>
      </c>
      <c r="Y495" s="5" t="str">
        <f t="shared" si="52"/>
        <v/>
      </c>
      <c r="Z495" s="5" t="str">
        <f t="shared" si="53"/>
        <v/>
      </c>
      <c r="AA495" s="4">
        <f t="shared" si="54"/>
        <v>0</v>
      </c>
      <c r="AC495" s="2"/>
    </row>
    <row r="496" spans="1:29" ht="15.5">
      <c r="A496" s="13" t="str">
        <f>IF(OR(ISBLANK(C496),ISBLANK(D496),ISBLANK(F496),ISBLANK(G496)),"",COUNTIF($B$5:B496,"JAMBUTU"))</f>
        <v/>
      </c>
      <c r="B496" s="8" t="str">
        <f t="shared" si="55"/>
        <v/>
      </c>
      <c r="C496" s="8"/>
      <c r="D496" s="8"/>
      <c r="E496" s="13"/>
      <c r="F496" s="12"/>
      <c r="G496" s="11"/>
      <c r="H496" s="12"/>
      <c r="I496" s="11"/>
      <c r="J496" s="10">
        <f t="shared" si="49"/>
        <v>0</v>
      </c>
      <c r="K496" s="10">
        <f t="shared" si="50"/>
        <v>0</v>
      </c>
      <c r="L496" s="9" t="str">
        <f t="shared" si="51"/>
        <v/>
      </c>
      <c r="M496" s="8"/>
      <c r="N496" s="8"/>
      <c r="O496" s="8"/>
      <c r="P496" s="8"/>
      <c r="Q496" s="8"/>
      <c r="R496" s="8"/>
      <c r="S496" s="8"/>
      <c r="T496" s="8"/>
      <c r="U496" s="8"/>
      <c r="V496" s="7"/>
      <c r="W496" s="6" t="str">
        <f t="array" ref="W496">IF(NOT(ISBLANK(D496)),_xludf.XLOOKUP(D496,[2]CODE!$A$4:$A$100,[2]CODE!$D$4:$D$100),"")</f>
        <v/>
      </c>
      <c r="X496" s="5" t="str">
        <f t="array" ref="X496">IF(NOT(AND(ISBLANK(D496),ISBLANK(C496))),_xludf.XLOOKUP(D496,[2]CODE!$A$4:$A$100,[2]CODE!$E$4:$E$100),"")</f>
        <v/>
      </c>
      <c r="Y496" s="5" t="str">
        <f t="shared" si="52"/>
        <v/>
      </c>
      <c r="Z496" s="5" t="str">
        <f t="shared" si="53"/>
        <v/>
      </c>
      <c r="AA496" s="4">
        <f t="shared" si="54"/>
        <v>0</v>
      </c>
      <c r="AC496" s="2"/>
    </row>
    <row r="497" spans="1:29" ht="15.5">
      <c r="A497" s="13" t="str">
        <f>IF(OR(ISBLANK(C497),ISBLANK(D497),ISBLANK(F497),ISBLANK(G497)),"",COUNTIF($B$5:B497,"JAMBUTU"))</f>
        <v/>
      </c>
      <c r="B497" s="8" t="str">
        <f t="shared" si="55"/>
        <v/>
      </c>
      <c r="C497" s="8"/>
      <c r="D497" s="8"/>
      <c r="E497" s="13"/>
      <c r="F497" s="12"/>
      <c r="G497" s="11"/>
      <c r="H497" s="12"/>
      <c r="I497" s="11"/>
      <c r="J497" s="10">
        <f t="shared" si="49"/>
        <v>0</v>
      </c>
      <c r="K497" s="10">
        <f t="shared" si="50"/>
        <v>0</v>
      </c>
      <c r="L497" s="9" t="str">
        <f t="shared" si="51"/>
        <v/>
      </c>
      <c r="M497" s="8"/>
      <c r="N497" s="8"/>
      <c r="O497" s="8"/>
      <c r="P497" s="8"/>
      <c r="Q497" s="8"/>
      <c r="R497" s="8"/>
      <c r="S497" s="8"/>
      <c r="T497" s="8"/>
      <c r="U497" s="8"/>
      <c r="V497" s="7"/>
      <c r="W497" s="6" t="str">
        <f t="array" ref="W497">IF(NOT(ISBLANK(D497)),_xludf.XLOOKUP(D497,[2]CODE!$A$4:$A$100,[2]CODE!$D$4:$D$100),"")</f>
        <v/>
      </c>
      <c r="X497" s="5" t="str">
        <f t="array" ref="X497">IF(NOT(AND(ISBLANK(D497),ISBLANK(C497))),_xludf.XLOOKUP(D497,[2]CODE!$A$4:$A$100,[2]CODE!$E$4:$E$100),"")</f>
        <v/>
      </c>
      <c r="Y497" s="5" t="str">
        <f t="shared" si="52"/>
        <v/>
      </c>
      <c r="Z497" s="5" t="str">
        <f t="shared" si="53"/>
        <v/>
      </c>
      <c r="AA497" s="4">
        <f t="shared" si="54"/>
        <v>0</v>
      </c>
      <c r="AC497" s="2"/>
    </row>
    <row r="498" spans="1:29" ht="15.5">
      <c r="A498" s="13" t="str">
        <f>IF(OR(ISBLANK(C498),ISBLANK(D498),ISBLANK(F498),ISBLANK(G498)),"",COUNTIF($B$5:B498,"JAMBUTU"))</f>
        <v/>
      </c>
      <c r="B498" s="8" t="str">
        <f t="shared" si="55"/>
        <v/>
      </c>
      <c r="C498" s="8"/>
      <c r="D498" s="8"/>
      <c r="E498" s="13"/>
      <c r="F498" s="12"/>
      <c r="G498" s="11"/>
      <c r="H498" s="12"/>
      <c r="I498" s="11"/>
      <c r="J498" s="10">
        <f t="shared" si="49"/>
        <v>0</v>
      </c>
      <c r="K498" s="10">
        <f t="shared" si="50"/>
        <v>0</v>
      </c>
      <c r="L498" s="9" t="str">
        <f t="shared" si="51"/>
        <v/>
      </c>
      <c r="M498" s="8"/>
      <c r="N498" s="8"/>
      <c r="O498" s="8"/>
      <c r="P498" s="8"/>
      <c r="Q498" s="8"/>
      <c r="R498" s="8"/>
      <c r="S498" s="8"/>
      <c r="T498" s="8"/>
      <c r="U498" s="8"/>
      <c r="V498" s="7"/>
      <c r="W498" s="6" t="str">
        <f t="array" ref="W498">IF(NOT(ISBLANK(D498)),_xludf.XLOOKUP(D498,[2]CODE!$A$4:$A$100,[2]CODE!$D$4:$D$100),"")</f>
        <v/>
      </c>
      <c r="X498" s="5" t="str">
        <f t="array" ref="X498">IF(NOT(AND(ISBLANK(D498),ISBLANK(C498))),_xludf.XLOOKUP(D498,[2]CODE!$A$4:$A$100,[2]CODE!$E$4:$E$100),"")</f>
        <v/>
      </c>
      <c r="Y498" s="5" t="str">
        <f t="shared" si="52"/>
        <v/>
      </c>
      <c r="Z498" s="5" t="str">
        <f t="shared" si="53"/>
        <v/>
      </c>
      <c r="AA498" s="4">
        <f t="shared" si="54"/>
        <v>0</v>
      </c>
      <c r="AC498" s="2"/>
    </row>
    <row r="499" spans="1:29" ht="15.5">
      <c r="A499" s="13" t="str">
        <f>IF(OR(ISBLANK(C499),ISBLANK(D499),ISBLANK(F499),ISBLANK(G499)),"",COUNTIF($B$5:B499,"JAMBUTU"))</f>
        <v/>
      </c>
      <c r="B499" s="8" t="str">
        <f t="shared" si="55"/>
        <v/>
      </c>
      <c r="C499" s="8"/>
      <c r="D499" s="8"/>
      <c r="E499" s="13"/>
      <c r="F499" s="12"/>
      <c r="G499" s="11"/>
      <c r="H499" s="12"/>
      <c r="I499" s="11"/>
      <c r="J499" s="10">
        <f t="shared" si="49"/>
        <v>0</v>
      </c>
      <c r="K499" s="10">
        <f t="shared" si="50"/>
        <v>0</v>
      </c>
      <c r="L499" s="9" t="str">
        <f t="shared" si="51"/>
        <v/>
      </c>
      <c r="M499" s="8"/>
      <c r="N499" s="8"/>
      <c r="O499" s="8"/>
      <c r="P499" s="8"/>
      <c r="Q499" s="8"/>
      <c r="R499" s="8"/>
      <c r="S499" s="8"/>
      <c r="T499" s="8"/>
      <c r="U499" s="8"/>
      <c r="V499" s="7"/>
      <c r="W499" s="6" t="str">
        <f t="array" ref="W499">IF(NOT(ISBLANK(D499)),_xludf.XLOOKUP(D499,[2]CODE!$A$4:$A$100,[2]CODE!$D$4:$D$100),"")</f>
        <v/>
      </c>
      <c r="X499" s="5" t="str">
        <f t="array" ref="X499">IF(NOT(AND(ISBLANK(D499),ISBLANK(C499))),_xludf.XLOOKUP(D499,[2]CODE!$A$4:$A$100,[2]CODE!$E$4:$E$100),"")</f>
        <v/>
      </c>
      <c r="Y499" s="5" t="str">
        <f t="shared" si="52"/>
        <v/>
      </c>
      <c r="Z499" s="5" t="str">
        <f t="shared" si="53"/>
        <v/>
      </c>
      <c r="AA499" s="4">
        <f t="shared" si="54"/>
        <v>0</v>
      </c>
      <c r="AC499" s="2"/>
    </row>
    <row r="500" spans="1:29" ht="15.5">
      <c r="A500" s="13" t="str">
        <f>IF(OR(ISBLANK(C500),ISBLANK(D500),ISBLANK(F500),ISBLANK(G500)),"",COUNTIF($B$5:B500,"JAMBUTU"))</f>
        <v/>
      </c>
      <c r="B500" s="8" t="str">
        <f t="shared" si="55"/>
        <v/>
      </c>
      <c r="C500" s="8"/>
      <c r="D500" s="8"/>
      <c r="E500" s="13"/>
      <c r="F500" s="12"/>
      <c r="G500" s="11"/>
      <c r="H500" s="12"/>
      <c r="I500" s="11"/>
      <c r="J500" s="10">
        <f t="shared" si="49"/>
        <v>0</v>
      </c>
      <c r="K500" s="10">
        <f t="shared" si="50"/>
        <v>0</v>
      </c>
      <c r="L500" s="9" t="str">
        <f t="shared" si="51"/>
        <v/>
      </c>
      <c r="M500" s="8"/>
      <c r="N500" s="8"/>
      <c r="O500" s="8"/>
      <c r="P500" s="8"/>
      <c r="Q500" s="8"/>
      <c r="R500" s="8"/>
      <c r="S500" s="8"/>
      <c r="T500" s="8"/>
      <c r="U500" s="8"/>
      <c r="V500" s="7"/>
      <c r="W500" s="6" t="str">
        <f t="array" ref="W500">IF(NOT(ISBLANK(D500)),_xludf.XLOOKUP(D500,[2]CODE!$A$4:$A$100,[2]CODE!$D$4:$D$100),"")</f>
        <v/>
      </c>
      <c r="X500" s="5" t="str">
        <f t="array" ref="X500">IF(NOT(AND(ISBLANK(D500),ISBLANK(C500))),_xludf.XLOOKUP(D500,[2]CODE!$A$4:$A$100,[2]CODE!$E$4:$E$100),"")</f>
        <v/>
      </c>
      <c r="Y500" s="5" t="str">
        <f t="shared" si="52"/>
        <v/>
      </c>
      <c r="Z500" s="5" t="str">
        <f t="shared" si="53"/>
        <v/>
      </c>
      <c r="AA500" s="4">
        <f t="shared" si="54"/>
        <v>0</v>
      </c>
      <c r="AC500" s="2"/>
    </row>
    <row r="501" spans="1:29" ht="15.5">
      <c r="A501" s="13" t="str">
        <f>IF(OR(ISBLANK(C501),ISBLANK(D501),ISBLANK(F501),ISBLANK(G501)),"",COUNTIF($B$5:B501,"JAMBUTU"))</f>
        <v/>
      </c>
      <c r="B501" s="8" t="str">
        <f t="shared" si="55"/>
        <v/>
      </c>
      <c r="C501" s="8"/>
      <c r="D501" s="8"/>
      <c r="E501" s="13"/>
      <c r="F501" s="12"/>
      <c r="G501" s="11"/>
      <c r="H501" s="12"/>
      <c r="I501" s="11"/>
      <c r="J501" s="10">
        <f t="shared" si="49"/>
        <v>0</v>
      </c>
      <c r="K501" s="10">
        <f t="shared" si="50"/>
        <v>0</v>
      </c>
      <c r="L501" s="9" t="str">
        <f t="shared" si="51"/>
        <v/>
      </c>
      <c r="M501" s="8"/>
      <c r="N501" s="8"/>
      <c r="O501" s="8"/>
      <c r="P501" s="8"/>
      <c r="Q501" s="8"/>
      <c r="R501" s="8"/>
      <c r="S501" s="8"/>
      <c r="T501" s="8"/>
      <c r="U501" s="8"/>
      <c r="V501" s="7"/>
      <c r="W501" s="6" t="str">
        <f t="array" ref="W501">IF(NOT(ISBLANK(D501)),_xludf.XLOOKUP(D501,[2]CODE!$A$4:$A$100,[2]CODE!$D$4:$D$100),"")</f>
        <v/>
      </c>
      <c r="X501" s="5" t="str">
        <f t="array" ref="X501">IF(NOT(AND(ISBLANK(D501),ISBLANK(C501))),_xludf.XLOOKUP(D501,[2]CODE!$A$4:$A$100,[2]CODE!$E$4:$E$100),"")</f>
        <v/>
      </c>
      <c r="Y501" s="5" t="str">
        <f t="shared" si="52"/>
        <v/>
      </c>
      <c r="Z501" s="5" t="str">
        <f t="shared" si="53"/>
        <v/>
      </c>
      <c r="AA501" s="4">
        <f t="shared" si="54"/>
        <v>0</v>
      </c>
      <c r="AC501" s="2"/>
    </row>
    <row r="502" spans="1:29" ht="15.5">
      <c r="A502" s="13" t="str">
        <f>IF(OR(ISBLANK(C502),ISBLANK(D502),ISBLANK(F502),ISBLANK(G502)),"",COUNTIF($B$5:B502,"JAMBUTU"))</f>
        <v/>
      </c>
      <c r="B502" s="8" t="str">
        <f t="shared" si="55"/>
        <v/>
      </c>
      <c r="C502" s="8"/>
      <c r="D502" s="8"/>
      <c r="E502" s="13"/>
      <c r="F502" s="12"/>
      <c r="G502" s="11"/>
      <c r="H502" s="12"/>
      <c r="I502" s="11"/>
      <c r="J502" s="10">
        <f t="shared" si="49"/>
        <v>0</v>
      </c>
      <c r="K502" s="10">
        <f t="shared" si="50"/>
        <v>0</v>
      </c>
      <c r="L502" s="9" t="str">
        <f t="shared" si="51"/>
        <v/>
      </c>
      <c r="M502" s="8"/>
      <c r="N502" s="8"/>
      <c r="O502" s="8"/>
      <c r="P502" s="8"/>
      <c r="Q502" s="8"/>
      <c r="R502" s="8"/>
      <c r="S502" s="8"/>
      <c r="T502" s="8"/>
      <c r="U502" s="8"/>
      <c r="V502" s="7"/>
      <c r="W502" s="6" t="str">
        <f t="array" ref="W502">IF(NOT(ISBLANK(D502)),_xludf.XLOOKUP(D502,[2]CODE!$A$4:$A$100,[2]CODE!$D$4:$D$100),"")</f>
        <v/>
      </c>
      <c r="X502" s="5" t="str">
        <f t="array" ref="X502">IF(NOT(AND(ISBLANK(D502),ISBLANK(C502))),_xludf.XLOOKUP(D502,[2]CODE!$A$4:$A$100,[2]CODE!$E$4:$E$100),"")</f>
        <v/>
      </c>
      <c r="Y502" s="5" t="str">
        <f t="shared" si="52"/>
        <v/>
      </c>
      <c r="Z502" s="5" t="str">
        <f t="shared" si="53"/>
        <v/>
      </c>
      <c r="AA502" s="4">
        <f t="shared" si="54"/>
        <v>0</v>
      </c>
      <c r="AC502" s="2"/>
    </row>
    <row r="503" spans="1:29" ht="15.5">
      <c r="A503" s="13" t="str">
        <f>IF(OR(ISBLANK(C503),ISBLANK(D503),ISBLANK(F503),ISBLANK(G503)),"",COUNTIF($B$5:B503,"JAMBUTU"))</f>
        <v/>
      </c>
      <c r="B503" s="8" t="str">
        <f t="shared" si="55"/>
        <v/>
      </c>
      <c r="C503" s="8"/>
      <c r="D503" s="8"/>
      <c r="E503" s="13"/>
      <c r="F503" s="12"/>
      <c r="G503" s="11"/>
      <c r="H503" s="12"/>
      <c r="I503" s="11"/>
      <c r="J503" s="10">
        <f t="shared" si="49"/>
        <v>0</v>
      </c>
      <c r="K503" s="10">
        <f t="shared" si="50"/>
        <v>0</v>
      </c>
      <c r="L503" s="9" t="str">
        <f t="shared" si="51"/>
        <v/>
      </c>
      <c r="M503" s="8"/>
      <c r="N503" s="8"/>
      <c r="O503" s="8"/>
      <c r="P503" s="8"/>
      <c r="Q503" s="8"/>
      <c r="R503" s="8"/>
      <c r="S503" s="8"/>
      <c r="T503" s="8"/>
      <c r="U503" s="8"/>
      <c r="V503" s="7"/>
      <c r="W503" s="6" t="str">
        <f t="array" ref="W503">IF(NOT(ISBLANK(D503)),_xludf.XLOOKUP(D503,[2]CODE!$A$4:$A$100,[2]CODE!$D$4:$D$100),"")</f>
        <v/>
      </c>
      <c r="X503" s="5" t="str">
        <f t="array" ref="X503">IF(NOT(AND(ISBLANK(D503),ISBLANK(C503))),_xludf.XLOOKUP(D503,[2]CODE!$A$4:$A$100,[2]CODE!$E$4:$E$100),"")</f>
        <v/>
      </c>
      <c r="Y503" s="5" t="str">
        <f t="shared" si="52"/>
        <v/>
      </c>
      <c r="Z503" s="5" t="str">
        <f t="shared" si="53"/>
        <v/>
      </c>
      <c r="AA503" s="4">
        <f t="shared" si="54"/>
        <v>0</v>
      </c>
      <c r="AC503" s="2"/>
    </row>
    <row r="504" spans="1:29" ht="15.5">
      <c r="A504" s="13" t="str">
        <f>IF(OR(ISBLANK(C504),ISBLANK(D504),ISBLANK(F504),ISBLANK(G504)),"",COUNTIF($B$5:B504,"JAMBUTU"))</f>
        <v/>
      </c>
      <c r="B504" s="8" t="str">
        <f t="shared" si="55"/>
        <v/>
      </c>
      <c r="C504" s="8"/>
      <c r="D504" s="8"/>
      <c r="E504" s="13"/>
      <c r="F504" s="12"/>
      <c r="G504" s="11"/>
      <c r="H504" s="12"/>
      <c r="I504" s="11"/>
      <c r="J504" s="10">
        <f t="shared" si="49"/>
        <v>0</v>
      </c>
      <c r="K504" s="10">
        <f t="shared" si="50"/>
        <v>0</v>
      </c>
      <c r="L504" s="9" t="str">
        <f t="shared" si="51"/>
        <v/>
      </c>
      <c r="M504" s="8"/>
      <c r="N504" s="8"/>
      <c r="O504" s="8"/>
      <c r="P504" s="8"/>
      <c r="Q504" s="8"/>
      <c r="R504" s="8"/>
      <c r="S504" s="8"/>
      <c r="T504" s="8"/>
      <c r="U504" s="8"/>
      <c r="V504" s="7"/>
      <c r="W504" s="6" t="str">
        <f t="array" ref="W504">IF(NOT(ISBLANK(D504)),_xludf.XLOOKUP(D504,[2]CODE!$A$4:$A$100,[2]CODE!$D$4:$D$100),"")</f>
        <v/>
      </c>
      <c r="X504" s="5" t="str">
        <f t="array" ref="X504">IF(NOT(AND(ISBLANK(D504),ISBLANK(C504))),_xludf.XLOOKUP(D504,[2]CODE!$A$4:$A$100,[2]CODE!$E$4:$E$100),"")</f>
        <v/>
      </c>
      <c r="Y504" s="5" t="str">
        <f t="shared" si="52"/>
        <v/>
      </c>
      <c r="Z504" s="5" t="str">
        <f t="shared" si="53"/>
        <v/>
      </c>
      <c r="AA504" s="4">
        <f t="shared" si="54"/>
        <v>0</v>
      </c>
      <c r="AC504" s="2"/>
    </row>
    <row r="505" spans="1:29" ht="15.5">
      <c r="A505" s="13" t="str">
        <f>IF(OR(ISBLANK(C505),ISBLANK(D505),ISBLANK(F505),ISBLANK(G505)),"",COUNTIF($B$5:B505,"JAMBUTU"))</f>
        <v/>
      </c>
      <c r="B505" s="8" t="str">
        <f t="shared" si="55"/>
        <v/>
      </c>
      <c r="C505" s="8"/>
      <c r="D505" s="8"/>
      <c r="E505" s="13"/>
      <c r="F505" s="12"/>
      <c r="G505" s="11"/>
      <c r="H505" s="12"/>
      <c r="I505" s="11"/>
      <c r="J505" s="10">
        <f t="shared" si="49"/>
        <v>0</v>
      </c>
      <c r="K505" s="10">
        <f t="shared" si="50"/>
        <v>0</v>
      </c>
      <c r="L505" s="9" t="str">
        <f t="shared" si="51"/>
        <v/>
      </c>
      <c r="M505" s="8"/>
      <c r="N505" s="8"/>
      <c r="O505" s="8"/>
      <c r="P505" s="8"/>
      <c r="Q505" s="8"/>
      <c r="R505" s="8"/>
      <c r="S505" s="8"/>
      <c r="T505" s="8"/>
      <c r="U505" s="8"/>
      <c r="V505" s="7"/>
      <c r="W505" s="6" t="str">
        <f t="array" ref="W505">IF(NOT(ISBLANK(D505)),_xludf.XLOOKUP(D505,[2]CODE!$A$4:$A$100,[2]CODE!$D$4:$D$100),"")</f>
        <v/>
      </c>
      <c r="X505" s="5" t="str">
        <f t="array" ref="X505">IF(NOT(AND(ISBLANK(D505),ISBLANK(C505))),_xludf.XLOOKUP(D505,[2]CODE!$A$4:$A$100,[2]CODE!$E$4:$E$100),"")</f>
        <v/>
      </c>
      <c r="Y505" s="5" t="str">
        <f t="shared" si="52"/>
        <v/>
      </c>
      <c r="Z505" s="5" t="str">
        <f t="shared" si="53"/>
        <v/>
      </c>
      <c r="AA505" s="4">
        <f t="shared" si="54"/>
        <v>0</v>
      </c>
      <c r="AC505" s="2"/>
    </row>
    <row r="506" spans="1:29" ht="15.5">
      <c r="A506" s="13" t="str">
        <f>IF(OR(ISBLANK(C506),ISBLANK(D506),ISBLANK(F506),ISBLANK(G506)),"",COUNTIF($B$5:B506,"JAMBUTU"))</f>
        <v/>
      </c>
      <c r="B506" s="8" t="str">
        <f t="shared" si="55"/>
        <v/>
      </c>
      <c r="C506" s="8"/>
      <c r="D506" s="8"/>
      <c r="E506" s="13"/>
      <c r="F506" s="12"/>
      <c r="G506" s="11"/>
      <c r="H506" s="12"/>
      <c r="I506" s="11"/>
      <c r="J506" s="10">
        <f t="shared" si="49"/>
        <v>0</v>
      </c>
      <c r="K506" s="10">
        <f t="shared" si="50"/>
        <v>0</v>
      </c>
      <c r="L506" s="9" t="str">
        <f t="shared" si="51"/>
        <v/>
      </c>
      <c r="M506" s="8"/>
      <c r="N506" s="8"/>
      <c r="O506" s="8"/>
      <c r="P506" s="8"/>
      <c r="Q506" s="8"/>
      <c r="R506" s="8"/>
      <c r="S506" s="8"/>
      <c r="T506" s="8"/>
      <c r="U506" s="8"/>
      <c r="V506" s="7"/>
      <c r="W506" s="6" t="str">
        <f t="array" ref="W506">IF(NOT(ISBLANK(D506)),_xludf.XLOOKUP(D506,[2]CODE!$A$4:$A$100,[2]CODE!$D$4:$D$100),"")</f>
        <v/>
      </c>
      <c r="X506" s="5" t="str">
        <f t="array" ref="X506">IF(NOT(AND(ISBLANK(D506),ISBLANK(C506))),_xludf.XLOOKUP(D506,[2]CODE!$A$4:$A$100,[2]CODE!$E$4:$E$100),"")</f>
        <v/>
      </c>
      <c r="Y506" s="5" t="str">
        <f t="shared" si="52"/>
        <v/>
      </c>
      <c r="Z506" s="5" t="str">
        <f t="shared" si="53"/>
        <v/>
      </c>
      <c r="AA506" s="4">
        <f t="shared" si="54"/>
        <v>0</v>
      </c>
      <c r="AC506" s="2"/>
    </row>
    <row r="507" spans="1:29" ht="15.5">
      <c r="A507" s="13" t="str">
        <f>IF(OR(ISBLANK(C507),ISBLANK(D507),ISBLANK(F507),ISBLANK(G507)),"",COUNTIF($B$5:B507,"JAMBUTU"))</f>
        <v/>
      </c>
      <c r="B507" s="8" t="str">
        <f t="shared" si="55"/>
        <v/>
      </c>
      <c r="C507" s="8"/>
      <c r="D507" s="8"/>
      <c r="E507" s="13"/>
      <c r="F507" s="12"/>
      <c r="G507" s="11"/>
      <c r="H507" s="12"/>
      <c r="I507" s="11"/>
      <c r="J507" s="10">
        <f t="shared" si="49"/>
        <v>0</v>
      </c>
      <c r="K507" s="10">
        <f t="shared" si="50"/>
        <v>0</v>
      </c>
      <c r="L507" s="9" t="str">
        <f t="shared" si="51"/>
        <v/>
      </c>
      <c r="M507" s="8"/>
      <c r="N507" s="8"/>
      <c r="O507" s="8"/>
      <c r="P507" s="8"/>
      <c r="Q507" s="8"/>
      <c r="R507" s="8"/>
      <c r="S507" s="8"/>
      <c r="T507" s="8"/>
      <c r="U507" s="8"/>
      <c r="V507" s="7"/>
      <c r="W507" s="6" t="str">
        <f t="array" ref="W507">IF(NOT(ISBLANK(D507)),_xludf.XLOOKUP(D507,[2]CODE!$A$4:$A$100,[2]CODE!$D$4:$D$100),"")</f>
        <v/>
      </c>
      <c r="X507" s="5" t="str">
        <f t="array" ref="X507">IF(NOT(AND(ISBLANK(D507),ISBLANK(C507))),_xludf.XLOOKUP(D507,[2]CODE!$A$4:$A$100,[2]CODE!$E$4:$E$100),"")</f>
        <v/>
      </c>
      <c r="Y507" s="5" t="str">
        <f t="shared" si="52"/>
        <v/>
      </c>
      <c r="Z507" s="5" t="str">
        <f t="shared" si="53"/>
        <v/>
      </c>
      <c r="AA507" s="4">
        <f t="shared" si="54"/>
        <v>0</v>
      </c>
      <c r="AC507" s="2"/>
    </row>
    <row r="508" spans="1:29" ht="15.5">
      <c r="A508" s="13" t="str">
        <f>IF(OR(ISBLANK(C508),ISBLANK(D508),ISBLANK(F508),ISBLANK(G508)),"",COUNTIF($B$5:B508,"JAMBUTU"))</f>
        <v/>
      </c>
      <c r="B508" s="8" t="str">
        <f t="shared" si="55"/>
        <v/>
      </c>
      <c r="C508" s="8"/>
      <c r="D508" s="8"/>
      <c r="E508" s="13"/>
      <c r="F508" s="12"/>
      <c r="G508" s="11"/>
      <c r="H508" s="12"/>
      <c r="I508" s="11"/>
      <c r="J508" s="10">
        <f t="shared" si="49"/>
        <v>0</v>
      </c>
      <c r="K508" s="10">
        <f t="shared" si="50"/>
        <v>0</v>
      </c>
      <c r="L508" s="9" t="str">
        <f t="shared" si="51"/>
        <v/>
      </c>
      <c r="M508" s="8"/>
      <c r="N508" s="8"/>
      <c r="O508" s="8"/>
      <c r="P508" s="8"/>
      <c r="Q508" s="8"/>
      <c r="R508" s="8"/>
      <c r="S508" s="8"/>
      <c r="T508" s="8"/>
      <c r="U508" s="8"/>
      <c r="V508" s="7"/>
      <c r="W508" s="6" t="str">
        <f t="array" ref="W508">IF(NOT(ISBLANK(D508)),_xludf.XLOOKUP(D508,[2]CODE!$A$4:$A$100,[2]CODE!$D$4:$D$100),"")</f>
        <v/>
      </c>
      <c r="X508" s="5" t="str">
        <f t="array" ref="X508">IF(NOT(AND(ISBLANK(D508),ISBLANK(C508))),_xludf.XLOOKUP(D508,[2]CODE!$A$4:$A$100,[2]CODE!$E$4:$E$100),"")</f>
        <v/>
      </c>
      <c r="Y508" s="5" t="str">
        <f t="shared" si="52"/>
        <v/>
      </c>
      <c r="Z508" s="5" t="str">
        <f t="shared" si="53"/>
        <v/>
      </c>
      <c r="AA508" s="4">
        <f t="shared" si="54"/>
        <v>0</v>
      </c>
      <c r="AC508" s="2"/>
    </row>
    <row r="509" spans="1:29" ht="15.5">
      <c r="A509" s="13" t="str">
        <f>IF(OR(ISBLANK(C509),ISBLANK(D509),ISBLANK(F509),ISBLANK(G509)),"",COUNTIF($B$5:B509,"JAMBUTU"))</f>
        <v/>
      </c>
      <c r="B509" s="8" t="str">
        <f t="shared" si="55"/>
        <v/>
      </c>
      <c r="C509" s="8"/>
      <c r="D509" s="8"/>
      <c r="E509" s="13"/>
      <c r="F509" s="12"/>
      <c r="G509" s="11"/>
      <c r="H509" s="12"/>
      <c r="I509" s="11"/>
      <c r="J509" s="10">
        <f t="shared" si="49"/>
        <v>0</v>
      </c>
      <c r="K509" s="10">
        <f t="shared" si="50"/>
        <v>0</v>
      </c>
      <c r="L509" s="9" t="str">
        <f t="shared" si="51"/>
        <v/>
      </c>
      <c r="M509" s="8"/>
      <c r="N509" s="8"/>
      <c r="O509" s="8"/>
      <c r="P509" s="8"/>
      <c r="Q509" s="8"/>
      <c r="R509" s="8"/>
      <c r="S509" s="8"/>
      <c r="T509" s="8"/>
      <c r="U509" s="8"/>
      <c r="V509" s="7"/>
      <c r="W509" s="6" t="str">
        <f t="array" ref="W509">IF(NOT(ISBLANK(D509)),_xludf.XLOOKUP(D509,[2]CODE!$A$4:$A$100,[2]CODE!$D$4:$D$100),"")</f>
        <v/>
      </c>
      <c r="X509" s="5" t="str">
        <f t="array" ref="X509">IF(NOT(AND(ISBLANK(D509),ISBLANK(C509))),_xludf.XLOOKUP(D509,[2]CODE!$A$4:$A$100,[2]CODE!$E$4:$E$100),"")</f>
        <v/>
      </c>
      <c r="Y509" s="5" t="str">
        <f t="shared" si="52"/>
        <v/>
      </c>
      <c r="Z509" s="5" t="str">
        <f t="shared" si="53"/>
        <v/>
      </c>
      <c r="AA509" s="4">
        <f t="shared" si="54"/>
        <v>0</v>
      </c>
      <c r="AC509" s="2"/>
    </row>
    <row r="510" spans="1:29" ht="15.5">
      <c r="A510" s="13" t="str">
        <f>IF(OR(ISBLANK(C510),ISBLANK(D510),ISBLANK(F510),ISBLANK(G510)),"",COUNTIF($B$5:B510,"JAMBUTU"))</f>
        <v/>
      </c>
      <c r="B510" s="8" t="str">
        <f t="shared" si="55"/>
        <v/>
      </c>
      <c r="C510" s="8"/>
      <c r="D510" s="8"/>
      <c r="E510" s="13"/>
      <c r="F510" s="12"/>
      <c r="G510" s="11"/>
      <c r="H510" s="12"/>
      <c r="I510" s="11"/>
      <c r="J510" s="10">
        <f t="shared" si="49"/>
        <v>0</v>
      </c>
      <c r="K510" s="10">
        <f t="shared" si="50"/>
        <v>0</v>
      </c>
      <c r="L510" s="9" t="str">
        <f t="shared" si="51"/>
        <v/>
      </c>
      <c r="M510" s="8"/>
      <c r="N510" s="8"/>
      <c r="O510" s="8"/>
      <c r="P510" s="8"/>
      <c r="Q510" s="8"/>
      <c r="R510" s="8"/>
      <c r="S510" s="8"/>
      <c r="T510" s="8"/>
      <c r="U510" s="8"/>
      <c r="V510" s="7"/>
      <c r="W510" s="6" t="str">
        <f t="array" ref="W510">IF(NOT(ISBLANK(D510)),_xludf.XLOOKUP(D510,[2]CODE!$A$4:$A$100,[2]CODE!$D$4:$D$100),"")</f>
        <v/>
      </c>
      <c r="X510" s="5" t="str">
        <f t="array" ref="X510">IF(NOT(AND(ISBLANK(D510),ISBLANK(C510))),_xludf.XLOOKUP(D510,[2]CODE!$A$4:$A$100,[2]CODE!$E$4:$E$100),"")</f>
        <v/>
      </c>
      <c r="Y510" s="5" t="str">
        <f t="shared" si="52"/>
        <v/>
      </c>
      <c r="Z510" s="5" t="str">
        <f t="shared" si="53"/>
        <v/>
      </c>
      <c r="AA510" s="4">
        <f t="shared" si="54"/>
        <v>0</v>
      </c>
      <c r="AC510" s="2"/>
    </row>
    <row r="511" spans="1:29" ht="15.5">
      <c r="A511" s="13" t="str">
        <f>IF(OR(ISBLANK(C511),ISBLANK(D511),ISBLANK(F511),ISBLANK(G511)),"",COUNTIF($B$5:B511,"JAMBUTU"))</f>
        <v/>
      </c>
      <c r="B511" s="8" t="str">
        <f t="shared" si="55"/>
        <v/>
      </c>
      <c r="C511" s="8"/>
      <c r="D511" s="8"/>
      <c r="E511" s="13"/>
      <c r="F511" s="12"/>
      <c r="G511" s="11"/>
      <c r="H511" s="12"/>
      <c r="I511" s="11"/>
      <c r="J511" s="10">
        <f t="shared" si="49"/>
        <v>0</v>
      </c>
      <c r="K511" s="10">
        <f t="shared" si="50"/>
        <v>0</v>
      </c>
      <c r="L511" s="9" t="str">
        <f t="shared" si="51"/>
        <v/>
      </c>
      <c r="M511" s="8"/>
      <c r="N511" s="8"/>
      <c r="O511" s="8"/>
      <c r="P511" s="8"/>
      <c r="Q511" s="8"/>
      <c r="R511" s="8"/>
      <c r="S511" s="8"/>
      <c r="T511" s="8"/>
      <c r="U511" s="8"/>
      <c r="V511" s="7"/>
      <c r="W511" s="6" t="str">
        <f t="array" ref="W511">IF(NOT(ISBLANK(D511)),_xludf.XLOOKUP(D511,[2]CODE!$A$4:$A$100,[2]CODE!$D$4:$D$100),"")</f>
        <v/>
      </c>
      <c r="X511" s="5" t="str">
        <f t="array" ref="X511">IF(NOT(AND(ISBLANK(D511),ISBLANK(C511))),_xludf.XLOOKUP(D511,[2]CODE!$A$4:$A$100,[2]CODE!$E$4:$E$100),"")</f>
        <v/>
      </c>
      <c r="Y511" s="5" t="str">
        <f t="shared" si="52"/>
        <v/>
      </c>
      <c r="Z511" s="5" t="str">
        <f t="shared" si="53"/>
        <v/>
      </c>
      <c r="AA511" s="4">
        <f t="shared" si="54"/>
        <v>0</v>
      </c>
      <c r="AC511" s="2"/>
    </row>
    <row r="512" spans="1:29" ht="15.5">
      <c r="A512" s="13" t="str">
        <f>IF(OR(ISBLANK(C512),ISBLANK(D512),ISBLANK(F512),ISBLANK(G512)),"",COUNTIF($B$5:B512,"JAMBUTU"))</f>
        <v/>
      </c>
      <c r="B512" s="8" t="str">
        <f t="shared" si="55"/>
        <v/>
      </c>
      <c r="C512" s="8"/>
      <c r="D512" s="8"/>
      <c r="E512" s="13"/>
      <c r="F512" s="12"/>
      <c r="G512" s="11"/>
      <c r="H512" s="12"/>
      <c r="I512" s="11"/>
      <c r="J512" s="10">
        <f t="shared" si="49"/>
        <v>0</v>
      </c>
      <c r="K512" s="10">
        <f t="shared" si="50"/>
        <v>0</v>
      </c>
      <c r="L512" s="9" t="str">
        <f t="shared" si="51"/>
        <v/>
      </c>
      <c r="M512" s="8"/>
      <c r="N512" s="8"/>
      <c r="O512" s="8"/>
      <c r="P512" s="8"/>
      <c r="Q512" s="8"/>
      <c r="R512" s="8"/>
      <c r="S512" s="8"/>
      <c r="T512" s="8"/>
      <c r="U512" s="8"/>
      <c r="V512" s="7"/>
      <c r="W512" s="6" t="str">
        <f t="array" ref="W512">IF(NOT(ISBLANK(D512)),_xludf.XLOOKUP(D512,[2]CODE!$A$4:$A$100,[2]CODE!$D$4:$D$100),"")</f>
        <v/>
      </c>
      <c r="X512" s="5" t="str">
        <f t="array" ref="X512">IF(NOT(AND(ISBLANK(D512),ISBLANK(C512))),_xludf.XLOOKUP(D512,[2]CODE!$A$4:$A$100,[2]CODE!$E$4:$E$100),"")</f>
        <v/>
      </c>
      <c r="Y512" s="5" t="str">
        <f t="shared" si="52"/>
        <v/>
      </c>
      <c r="Z512" s="5" t="str">
        <f t="shared" si="53"/>
        <v/>
      </c>
      <c r="AA512" s="4">
        <f t="shared" si="54"/>
        <v>0</v>
      </c>
      <c r="AC512" s="2"/>
    </row>
    <row r="513" spans="1:29" ht="15.5">
      <c r="A513" s="13" t="str">
        <f>IF(OR(ISBLANK(C513),ISBLANK(D513),ISBLANK(F513),ISBLANK(G513)),"",COUNTIF($B$5:B513,"JAMBUTU"))</f>
        <v/>
      </c>
      <c r="B513" s="8" t="str">
        <f t="shared" si="55"/>
        <v/>
      </c>
      <c r="C513" s="8"/>
      <c r="D513" s="8"/>
      <c r="E513" s="13"/>
      <c r="F513" s="12"/>
      <c r="G513" s="11"/>
      <c r="H513" s="12"/>
      <c r="I513" s="11"/>
      <c r="J513" s="10">
        <f t="shared" si="49"/>
        <v>0</v>
      </c>
      <c r="K513" s="10">
        <f t="shared" si="50"/>
        <v>0</v>
      </c>
      <c r="L513" s="9" t="str">
        <f t="shared" si="51"/>
        <v/>
      </c>
      <c r="M513" s="8"/>
      <c r="N513" s="8"/>
      <c r="O513" s="8"/>
      <c r="P513" s="8"/>
      <c r="Q513" s="8"/>
      <c r="R513" s="8"/>
      <c r="S513" s="8"/>
      <c r="T513" s="8"/>
      <c r="U513" s="8"/>
      <c r="V513" s="7"/>
      <c r="W513" s="6" t="str">
        <f t="array" ref="W513">IF(NOT(ISBLANK(D513)),_xludf.XLOOKUP(D513,[2]CODE!$A$4:$A$100,[2]CODE!$D$4:$D$100),"")</f>
        <v/>
      </c>
      <c r="X513" s="5" t="str">
        <f t="array" ref="X513">IF(NOT(AND(ISBLANK(D513),ISBLANK(C513))),_xludf.XLOOKUP(D513,[2]CODE!$A$4:$A$100,[2]CODE!$E$4:$E$100),"")</f>
        <v/>
      </c>
      <c r="Y513" s="5" t="str">
        <f t="shared" si="52"/>
        <v/>
      </c>
      <c r="Z513" s="5" t="str">
        <f t="shared" si="53"/>
        <v/>
      </c>
      <c r="AA513" s="4">
        <f t="shared" si="54"/>
        <v>0</v>
      </c>
      <c r="AC513" s="2"/>
    </row>
    <row r="514" spans="1:29" ht="15.5">
      <c r="A514" s="13" t="str">
        <f>IF(OR(ISBLANK(C514),ISBLANK(D514),ISBLANK(F514),ISBLANK(G514)),"",COUNTIF($B$5:B514,"JAMBUTU"))</f>
        <v/>
      </c>
      <c r="B514" s="8" t="str">
        <f t="shared" si="55"/>
        <v/>
      </c>
      <c r="C514" s="8"/>
      <c r="D514" s="8"/>
      <c r="E514" s="13"/>
      <c r="F514" s="12"/>
      <c r="G514" s="11"/>
      <c r="H514" s="12"/>
      <c r="I514" s="11"/>
      <c r="J514" s="10">
        <f t="shared" si="49"/>
        <v>0</v>
      </c>
      <c r="K514" s="10">
        <f t="shared" si="50"/>
        <v>0</v>
      </c>
      <c r="L514" s="9" t="str">
        <f t="shared" si="51"/>
        <v/>
      </c>
      <c r="M514" s="8"/>
      <c r="N514" s="8"/>
      <c r="O514" s="8"/>
      <c r="P514" s="8"/>
      <c r="Q514" s="8"/>
      <c r="R514" s="8"/>
      <c r="S514" s="8"/>
      <c r="T514" s="8"/>
      <c r="U514" s="8"/>
      <c r="V514" s="7"/>
      <c r="W514" s="6" t="str">
        <f t="array" ref="W514">IF(NOT(ISBLANK(D514)),_xludf.XLOOKUP(D514,[2]CODE!$A$4:$A$100,[2]CODE!$D$4:$D$100),"")</f>
        <v/>
      </c>
      <c r="X514" s="5" t="str">
        <f t="array" ref="X514">IF(NOT(AND(ISBLANK(D514),ISBLANK(C514))),_xludf.XLOOKUP(D514,[2]CODE!$A$4:$A$100,[2]CODE!$E$4:$E$100),"")</f>
        <v/>
      </c>
      <c r="Y514" s="5" t="str">
        <f t="shared" si="52"/>
        <v/>
      </c>
      <c r="Z514" s="5" t="str">
        <f t="shared" si="53"/>
        <v/>
      </c>
      <c r="AA514" s="4">
        <f t="shared" si="54"/>
        <v>0</v>
      </c>
      <c r="AC514" s="2"/>
    </row>
    <row r="515" spans="1:29" ht="15.5">
      <c r="A515" s="13" t="str">
        <f>IF(OR(ISBLANK(C515),ISBLANK(D515),ISBLANK(F515),ISBLANK(G515)),"",COUNTIF($B$5:B515,"JAMBUTU"))</f>
        <v/>
      </c>
      <c r="B515" s="8" t="str">
        <f t="shared" si="55"/>
        <v/>
      </c>
      <c r="C515" s="8"/>
      <c r="D515" s="8"/>
      <c r="E515" s="13"/>
      <c r="F515" s="12"/>
      <c r="G515" s="11"/>
      <c r="H515" s="12"/>
      <c r="I515" s="11"/>
      <c r="J515" s="10">
        <f t="shared" si="49"/>
        <v>0</v>
      </c>
      <c r="K515" s="10">
        <f t="shared" si="50"/>
        <v>0</v>
      </c>
      <c r="L515" s="9" t="str">
        <f t="shared" si="51"/>
        <v/>
      </c>
      <c r="M515" s="8"/>
      <c r="N515" s="8"/>
      <c r="O515" s="8"/>
      <c r="P515" s="8"/>
      <c r="Q515" s="8"/>
      <c r="R515" s="8"/>
      <c r="S515" s="8"/>
      <c r="T515" s="8"/>
      <c r="U515" s="8"/>
      <c r="V515" s="7"/>
      <c r="W515" s="6" t="str">
        <f t="array" ref="W515">IF(NOT(ISBLANK(D515)),_xludf.XLOOKUP(D515,[2]CODE!$A$4:$A$100,[2]CODE!$D$4:$D$100),"")</f>
        <v/>
      </c>
      <c r="X515" s="5" t="str">
        <f t="array" ref="X515">IF(NOT(AND(ISBLANK(D515),ISBLANK(C515))),_xludf.XLOOKUP(D515,[2]CODE!$A$4:$A$100,[2]CODE!$E$4:$E$100),"")</f>
        <v/>
      </c>
      <c r="Y515" s="5" t="str">
        <f t="shared" si="52"/>
        <v/>
      </c>
      <c r="Z515" s="5" t="str">
        <f t="shared" si="53"/>
        <v/>
      </c>
      <c r="AA515" s="4">
        <f t="shared" si="54"/>
        <v>0</v>
      </c>
      <c r="AC515" s="2"/>
    </row>
    <row r="516" spans="1:29" ht="15.5">
      <c r="A516" s="13" t="str">
        <f>IF(OR(ISBLANK(C516),ISBLANK(D516),ISBLANK(F516),ISBLANK(G516)),"",COUNTIF($B$5:B516,"JAMBUTU"))</f>
        <v/>
      </c>
      <c r="B516" s="8" t="str">
        <f t="shared" si="55"/>
        <v/>
      </c>
      <c r="C516" s="8"/>
      <c r="D516" s="8"/>
      <c r="E516" s="13"/>
      <c r="F516" s="12"/>
      <c r="G516" s="11"/>
      <c r="H516" s="12"/>
      <c r="I516" s="11"/>
      <c r="J516" s="10">
        <f t="shared" si="49"/>
        <v>0</v>
      </c>
      <c r="K516" s="10">
        <f t="shared" si="50"/>
        <v>0</v>
      </c>
      <c r="L516" s="9" t="str">
        <f t="shared" si="51"/>
        <v/>
      </c>
      <c r="M516" s="8"/>
      <c r="N516" s="8"/>
      <c r="O516" s="8"/>
      <c r="P516" s="8"/>
      <c r="Q516" s="8"/>
      <c r="R516" s="8"/>
      <c r="S516" s="8"/>
      <c r="T516" s="8"/>
      <c r="U516" s="8"/>
      <c r="V516" s="7"/>
      <c r="W516" s="6" t="str">
        <f t="array" ref="W516">IF(NOT(ISBLANK(D516)),_xludf.XLOOKUP(D516,[2]CODE!$A$4:$A$100,[2]CODE!$D$4:$D$100),"")</f>
        <v/>
      </c>
      <c r="X516" s="5" t="str">
        <f t="array" ref="X516">IF(NOT(AND(ISBLANK(D516),ISBLANK(C516))),_xludf.XLOOKUP(D516,[2]CODE!$A$4:$A$100,[2]CODE!$E$4:$E$100),"")</f>
        <v/>
      </c>
      <c r="Y516" s="5" t="str">
        <f t="shared" si="52"/>
        <v/>
      </c>
      <c r="Z516" s="5" t="str">
        <f t="shared" si="53"/>
        <v/>
      </c>
      <c r="AA516" s="4">
        <f t="shared" si="54"/>
        <v>0</v>
      </c>
      <c r="AC516" s="2"/>
    </row>
    <row r="517" spans="1:29" ht="15.5">
      <c r="A517" s="13" t="str">
        <f>IF(OR(ISBLANK(C517),ISBLANK(D517),ISBLANK(F517),ISBLANK(G517)),"",COUNTIF($B$5:B517,"JAMBUTU"))</f>
        <v/>
      </c>
      <c r="B517" s="8" t="str">
        <f t="shared" si="55"/>
        <v/>
      </c>
      <c r="C517" s="8"/>
      <c r="D517" s="8"/>
      <c r="E517" s="13"/>
      <c r="F517" s="12"/>
      <c r="G517" s="11"/>
      <c r="H517" s="12"/>
      <c r="I517" s="11"/>
      <c r="J517" s="10">
        <f t="shared" ref="J517:J580" si="56">DATE(YEAR(F517),MONTH(F517),DAY(F517))+TIME(HOUR(G517),MINUTE(G517), SECOND(G517))</f>
        <v>0</v>
      </c>
      <c r="K517" s="10">
        <f t="shared" ref="K517:K580" si="57">DATE(YEAR(H517),MONTH(H517),DAY(H517))+TIME(HOUR(I517),MINUTE(I517), SECOND(I517))</f>
        <v>0</v>
      </c>
      <c r="L517" s="9" t="str">
        <f t="shared" ref="L517:L580" si="58">IF(ISBLANK(I517),"",IF(J517&gt;K517,(K517+1)-J517,K517-J517))</f>
        <v/>
      </c>
      <c r="M517" s="8"/>
      <c r="N517" s="8"/>
      <c r="O517" s="8"/>
      <c r="P517" s="8"/>
      <c r="Q517" s="8"/>
      <c r="R517" s="8"/>
      <c r="S517" s="8"/>
      <c r="T517" s="8"/>
      <c r="U517" s="8"/>
      <c r="V517" s="7"/>
      <c r="W517" s="6" t="str">
        <f t="array" ref="W517">IF(NOT(ISBLANK(D517)),_xludf.XLOOKUP(D517,[2]CODE!$A$4:$A$100,[2]CODE!$D$4:$D$100),"")</f>
        <v/>
      </c>
      <c r="X517" s="5" t="str">
        <f t="array" ref="X517">IF(NOT(AND(ISBLANK(D517),ISBLANK(C517))),_xludf.XLOOKUP(D517,[2]CODE!$A$4:$A$100,[2]CODE!$E$4:$E$100),"")</f>
        <v/>
      </c>
      <c r="Y517" s="5" t="str">
        <f t="shared" ref="Y517:Y580" si="59">LEFT(C517,4)</f>
        <v/>
      </c>
      <c r="Z517" s="5" t="str">
        <f t="shared" ref="Z517:Z580" si="60">IF(NOT(ISBLANK(C517)), IF(K517&gt;J517,"YES","NO"),"")</f>
        <v/>
      </c>
      <c r="AA517" s="4">
        <f t="shared" ref="AA517:AA580" si="61">IF(AND(F517=H517,Z517="NO"),1+H517,H517)</f>
        <v>0</v>
      </c>
      <c r="AC517" s="2"/>
    </row>
    <row r="518" spans="1:29" ht="15.5">
      <c r="A518" s="13" t="str">
        <f>IF(OR(ISBLANK(C518),ISBLANK(D518),ISBLANK(F518),ISBLANK(G518)),"",COUNTIF($B$5:B518,"JAMBUTU"))</f>
        <v/>
      </c>
      <c r="B518" s="8" t="str">
        <f t="shared" si="55"/>
        <v/>
      </c>
      <c r="C518" s="8"/>
      <c r="D518" s="8"/>
      <c r="E518" s="13"/>
      <c r="F518" s="12"/>
      <c r="G518" s="11"/>
      <c r="H518" s="12"/>
      <c r="I518" s="11"/>
      <c r="J518" s="10">
        <f t="shared" si="56"/>
        <v>0</v>
      </c>
      <c r="K518" s="10">
        <f t="shared" si="57"/>
        <v>0</v>
      </c>
      <c r="L518" s="9" t="str">
        <f t="shared" si="58"/>
        <v/>
      </c>
      <c r="M518" s="8"/>
      <c r="N518" s="8"/>
      <c r="O518" s="8"/>
      <c r="P518" s="8"/>
      <c r="Q518" s="8"/>
      <c r="R518" s="8"/>
      <c r="S518" s="8"/>
      <c r="T518" s="8"/>
      <c r="U518" s="8"/>
      <c r="V518" s="7"/>
      <c r="W518" s="6" t="str">
        <f t="array" ref="W518">IF(NOT(ISBLANK(D518)),_xludf.XLOOKUP(D518,[2]CODE!$A$4:$A$100,[2]CODE!$D$4:$D$100),"")</f>
        <v/>
      </c>
      <c r="X518" s="5" t="str">
        <f t="array" ref="X518">IF(NOT(AND(ISBLANK(D518),ISBLANK(C518))),_xludf.XLOOKUP(D518,[2]CODE!$A$4:$A$100,[2]CODE!$E$4:$E$100),"")</f>
        <v/>
      </c>
      <c r="Y518" s="5" t="str">
        <f t="shared" si="59"/>
        <v/>
      </c>
      <c r="Z518" s="5" t="str">
        <f t="shared" si="60"/>
        <v/>
      </c>
      <c r="AA518" s="4">
        <f t="shared" si="61"/>
        <v>0</v>
      </c>
      <c r="AC518" s="2"/>
    </row>
    <row r="519" spans="1:29" ht="15.5">
      <c r="A519" s="13" t="str">
        <f>IF(OR(ISBLANK(C519),ISBLANK(D519),ISBLANK(F519),ISBLANK(G519)),"",COUNTIF($B$5:B519,"JAMBUTU"))</f>
        <v/>
      </c>
      <c r="B519" s="8" t="str">
        <f t="shared" si="55"/>
        <v/>
      </c>
      <c r="C519" s="8"/>
      <c r="D519" s="8"/>
      <c r="E519" s="13"/>
      <c r="F519" s="12"/>
      <c r="G519" s="11"/>
      <c r="H519" s="12"/>
      <c r="I519" s="11"/>
      <c r="J519" s="10">
        <f t="shared" si="56"/>
        <v>0</v>
      </c>
      <c r="K519" s="10">
        <f t="shared" si="57"/>
        <v>0</v>
      </c>
      <c r="L519" s="9" t="str">
        <f t="shared" si="58"/>
        <v/>
      </c>
      <c r="M519" s="8"/>
      <c r="N519" s="8"/>
      <c r="O519" s="8"/>
      <c r="P519" s="8"/>
      <c r="Q519" s="8"/>
      <c r="R519" s="8"/>
      <c r="S519" s="8"/>
      <c r="T519" s="8"/>
      <c r="U519" s="8"/>
      <c r="V519" s="7"/>
      <c r="W519" s="6" t="str">
        <f t="array" ref="W519">IF(NOT(ISBLANK(D519)),_xludf.XLOOKUP(D519,[2]CODE!$A$4:$A$100,[2]CODE!$D$4:$D$100),"")</f>
        <v/>
      </c>
      <c r="X519" s="5" t="str">
        <f t="array" ref="X519">IF(NOT(AND(ISBLANK(D519),ISBLANK(C519))),_xludf.XLOOKUP(D519,[2]CODE!$A$4:$A$100,[2]CODE!$E$4:$E$100),"")</f>
        <v/>
      </c>
      <c r="Y519" s="5" t="str">
        <f t="shared" si="59"/>
        <v/>
      </c>
      <c r="Z519" s="5" t="str">
        <f t="shared" si="60"/>
        <v/>
      </c>
      <c r="AA519" s="4">
        <f t="shared" si="61"/>
        <v>0</v>
      </c>
      <c r="AC519" s="2"/>
    </row>
    <row r="520" spans="1:29" ht="15.5">
      <c r="A520" s="13" t="str">
        <f>IF(OR(ISBLANK(C520),ISBLANK(D520),ISBLANK(F520),ISBLANK(G520)),"",COUNTIF($B$5:B520,"JAMBUTU"))</f>
        <v/>
      </c>
      <c r="B520" s="8" t="str">
        <f t="shared" si="55"/>
        <v/>
      </c>
      <c r="C520" s="8"/>
      <c r="D520" s="8"/>
      <c r="E520" s="13"/>
      <c r="F520" s="12"/>
      <c r="G520" s="11"/>
      <c r="H520" s="12"/>
      <c r="I520" s="11"/>
      <c r="J520" s="10">
        <f t="shared" si="56"/>
        <v>0</v>
      </c>
      <c r="K520" s="10">
        <f t="shared" si="57"/>
        <v>0</v>
      </c>
      <c r="L520" s="9" t="str">
        <f t="shared" si="58"/>
        <v/>
      </c>
      <c r="M520" s="8"/>
      <c r="N520" s="8"/>
      <c r="O520" s="8"/>
      <c r="P520" s="8"/>
      <c r="Q520" s="8"/>
      <c r="R520" s="8"/>
      <c r="S520" s="8"/>
      <c r="T520" s="8"/>
      <c r="U520" s="8"/>
      <c r="V520" s="7"/>
      <c r="W520" s="6" t="str">
        <f t="array" ref="W520">IF(NOT(ISBLANK(D520)),_xludf.XLOOKUP(D520,[2]CODE!$A$4:$A$100,[2]CODE!$D$4:$D$100),"")</f>
        <v/>
      </c>
      <c r="X520" s="5" t="str">
        <f t="array" ref="X520">IF(NOT(AND(ISBLANK(D520),ISBLANK(C520))),_xludf.XLOOKUP(D520,[2]CODE!$A$4:$A$100,[2]CODE!$E$4:$E$100),"")</f>
        <v/>
      </c>
      <c r="Y520" s="5" t="str">
        <f t="shared" si="59"/>
        <v/>
      </c>
      <c r="Z520" s="5" t="str">
        <f t="shared" si="60"/>
        <v/>
      </c>
      <c r="AA520" s="4">
        <f t="shared" si="61"/>
        <v>0</v>
      </c>
      <c r="AC520" s="2"/>
    </row>
    <row r="521" spans="1:29" ht="15.5">
      <c r="A521" s="13" t="str">
        <f>IF(OR(ISBLANK(C521),ISBLANK(D521),ISBLANK(F521),ISBLANK(G521)),"",COUNTIF($B$5:B521,"JAMBUTU"))</f>
        <v/>
      </c>
      <c r="B521" s="8" t="str">
        <f t="shared" si="55"/>
        <v/>
      </c>
      <c r="C521" s="8"/>
      <c r="D521" s="8"/>
      <c r="E521" s="13"/>
      <c r="F521" s="12"/>
      <c r="G521" s="11"/>
      <c r="H521" s="12"/>
      <c r="I521" s="11"/>
      <c r="J521" s="10">
        <f t="shared" si="56"/>
        <v>0</v>
      </c>
      <c r="K521" s="10">
        <f t="shared" si="57"/>
        <v>0</v>
      </c>
      <c r="L521" s="9" t="str">
        <f t="shared" si="58"/>
        <v/>
      </c>
      <c r="M521" s="8"/>
      <c r="N521" s="8"/>
      <c r="O521" s="8"/>
      <c r="P521" s="8"/>
      <c r="Q521" s="8"/>
      <c r="R521" s="8"/>
      <c r="S521" s="8"/>
      <c r="T521" s="8"/>
      <c r="U521" s="8"/>
      <c r="V521" s="7"/>
      <c r="W521" s="6" t="str">
        <f t="array" ref="W521">IF(NOT(ISBLANK(D521)),_xludf.XLOOKUP(D521,[2]CODE!$A$4:$A$100,[2]CODE!$D$4:$D$100),"")</f>
        <v/>
      </c>
      <c r="X521" s="5" t="str">
        <f t="array" ref="X521">IF(NOT(AND(ISBLANK(D521),ISBLANK(C521))),_xludf.XLOOKUP(D521,[2]CODE!$A$4:$A$100,[2]CODE!$E$4:$E$100),"")</f>
        <v/>
      </c>
      <c r="Y521" s="5" t="str">
        <f t="shared" si="59"/>
        <v/>
      </c>
      <c r="Z521" s="5" t="str">
        <f t="shared" si="60"/>
        <v/>
      </c>
      <c r="AA521" s="4">
        <f t="shared" si="61"/>
        <v>0</v>
      </c>
      <c r="AC521" s="2"/>
    </row>
    <row r="522" spans="1:29" ht="15.5">
      <c r="A522" s="13" t="str">
        <f>IF(OR(ISBLANK(C522),ISBLANK(D522),ISBLANK(F522),ISBLANK(G522)),"",COUNTIF($B$5:B522,"JAMBUTU"))</f>
        <v/>
      </c>
      <c r="B522" s="8" t="str">
        <f t="shared" si="55"/>
        <v/>
      </c>
      <c r="C522" s="8"/>
      <c r="D522" s="8"/>
      <c r="E522" s="13"/>
      <c r="F522" s="12"/>
      <c r="G522" s="11"/>
      <c r="H522" s="12"/>
      <c r="I522" s="11"/>
      <c r="J522" s="10">
        <f t="shared" si="56"/>
        <v>0</v>
      </c>
      <c r="K522" s="10">
        <f t="shared" si="57"/>
        <v>0</v>
      </c>
      <c r="L522" s="9" t="str">
        <f t="shared" si="58"/>
        <v/>
      </c>
      <c r="M522" s="8"/>
      <c r="N522" s="8"/>
      <c r="O522" s="8"/>
      <c r="P522" s="8"/>
      <c r="Q522" s="8"/>
      <c r="R522" s="8"/>
      <c r="S522" s="8"/>
      <c r="T522" s="8"/>
      <c r="U522" s="8"/>
      <c r="V522" s="7"/>
      <c r="W522" s="6" t="str">
        <f t="array" ref="W522">IF(NOT(ISBLANK(D522)),_xludf.XLOOKUP(D522,[2]CODE!$A$4:$A$100,[2]CODE!$D$4:$D$100),"")</f>
        <v/>
      </c>
      <c r="X522" s="5" t="str">
        <f t="array" ref="X522">IF(NOT(AND(ISBLANK(D522),ISBLANK(C522))),_xludf.XLOOKUP(D522,[2]CODE!$A$4:$A$100,[2]CODE!$E$4:$E$100),"")</f>
        <v/>
      </c>
      <c r="Y522" s="5" t="str">
        <f t="shared" si="59"/>
        <v/>
      </c>
      <c r="Z522" s="5" t="str">
        <f t="shared" si="60"/>
        <v/>
      </c>
      <c r="AA522" s="4">
        <f t="shared" si="61"/>
        <v>0</v>
      </c>
      <c r="AC522" s="2"/>
    </row>
    <row r="523" spans="1:29" ht="15.5">
      <c r="A523" s="13" t="str">
        <f>IF(OR(ISBLANK(C523),ISBLANK(D523),ISBLANK(F523),ISBLANK(G523)),"",COUNTIF($B$5:B523,"JAMBUTU"))</f>
        <v/>
      </c>
      <c r="B523" s="8" t="str">
        <f t="shared" si="55"/>
        <v/>
      </c>
      <c r="C523" s="8"/>
      <c r="D523" s="8"/>
      <c r="E523" s="13"/>
      <c r="F523" s="12"/>
      <c r="G523" s="11"/>
      <c r="H523" s="12"/>
      <c r="I523" s="11"/>
      <c r="J523" s="10">
        <f t="shared" si="56"/>
        <v>0</v>
      </c>
      <c r="K523" s="10">
        <f t="shared" si="57"/>
        <v>0</v>
      </c>
      <c r="L523" s="9" t="str">
        <f t="shared" si="58"/>
        <v/>
      </c>
      <c r="M523" s="8"/>
      <c r="N523" s="8"/>
      <c r="O523" s="8"/>
      <c r="P523" s="8"/>
      <c r="Q523" s="8"/>
      <c r="R523" s="8"/>
      <c r="S523" s="8"/>
      <c r="T523" s="8"/>
      <c r="U523" s="8"/>
      <c r="V523" s="7"/>
      <c r="W523" s="6" t="str">
        <f t="array" ref="W523">IF(NOT(ISBLANK(D523)),_xludf.XLOOKUP(D523,[2]CODE!$A$4:$A$100,[2]CODE!$D$4:$D$100),"")</f>
        <v/>
      </c>
      <c r="X523" s="5" t="str">
        <f t="array" ref="X523">IF(NOT(AND(ISBLANK(D523),ISBLANK(C523))),_xludf.XLOOKUP(D523,[2]CODE!$A$4:$A$100,[2]CODE!$E$4:$E$100),"")</f>
        <v/>
      </c>
      <c r="Y523" s="5" t="str">
        <f t="shared" si="59"/>
        <v/>
      </c>
      <c r="Z523" s="5" t="str">
        <f t="shared" si="60"/>
        <v/>
      </c>
      <c r="AA523" s="4">
        <f t="shared" si="61"/>
        <v>0</v>
      </c>
      <c r="AC523" s="2"/>
    </row>
    <row r="524" spans="1:29" ht="15.5">
      <c r="A524" s="13" t="str">
        <f>IF(OR(ISBLANK(C524),ISBLANK(D524),ISBLANK(F524),ISBLANK(G524)),"",COUNTIF($B$5:B524,"JAMBUTU"))</f>
        <v/>
      </c>
      <c r="B524" s="8" t="str">
        <f t="shared" si="55"/>
        <v/>
      </c>
      <c r="C524" s="8"/>
      <c r="D524" s="8"/>
      <c r="E524" s="13"/>
      <c r="F524" s="12"/>
      <c r="G524" s="11"/>
      <c r="H524" s="12"/>
      <c r="I524" s="11"/>
      <c r="J524" s="10">
        <f t="shared" si="56"/>
        <v>0</v>
      </c>
      <c r="K524" s="10">
        <f t="shared" si="57"/>
        <v>0</v>
      </c>
      <c r="L524" s="9" t="str">
        <f t="shared" si="58"/>
        <v/>
      </c>
      <c r="M524" s="8"/>
      <c r="N524" s="8"/>
      <c r="O524" s="8"/>
      <c r="P524" s="8"/>
      <c r="Q524" s="8"/>
      <c r="R524" s="8"/>
      <c r="S524" s="8"/>
      <c r="T524" s="8"/>
      <c r="U524" s="8"/>
      <c r="V524" s="7"/>
      <c r="W524" s="6" t="str">
        <f t="array" ref="W524">IF(NOT(ISBLANK(D524)),_xludf.XLOOKUP(D524,[2]CODE!$A$4:$A$100,[2]CODE!$D$4:$D$100),"")</f>
        <v/>
      </c>
      <c r="X524" s="5" t="str">
        <f t="array" ref="X524">IF(NOT(AND(ISBLANK(D524),ISBLANK(C524))),_xludf.XLOOKUP(D524,[2]CODE!$A$4:$A$100,[2]CODE!$E$4:$E$100),"")</f>
        <v/>
      </c>
      <c r="Y524" s="5" t="str">
        <f t="shared" si="59"/>
        <v/>
      </c>
      <c r="Z524" s="5" t="str">
        <f t="shared" si="60"/>
        <v/>
      </c>
      <c r="AA524" s="4">
        <f t="shared" si="61"/>
        <v>0</v>
      </c>
      <c r="AC524" s="2"/>
    </row>
    <row r="525" spans="1:29" ht="15.5">
      <c r="A525" s="13" t="str">
        <f>IF(OR(ISBLANK(C525),ISBLANK(D525),ISBLANK(F525),ISBLANK(G525)),"",COUNTIF($B$5:B525,"JAMBUTU"))</f>
        <v/>
      </c>
      <c r="B525" s="8" t="str">
        <f t="shared" si="55"/>
        <v/>
      </c>
      <c r="C525" s="8"/>
      <c r="D525" s="8"/>
      <c r="E525" s="13"/>
      <c r="F525" s="12"/>
      <c r="G525" s="11"/>
      <c r="H525" s="12"/>
      <c r="I525" s="11"/>
      <c r="J525" s="10">
        <f t="shared" si="56"/>
        <v>0</v>
      </c>
      <c r="K525" s="10">
        <f t="shared" si="57"/>
        <v>0</v>
      </c>
      <c r="L525" s="9" t="str">
        <f t="shared" si="58"/>
        <v/>
      </c>
      <c r="M525" s="8"/>
      <c r="N525" s="8"/>
      <c r="O525" s="8"/>
      <c r="P525" s="8"/>
      <c r="Q525" s="8"/>
      <c r="R525" s="8"/>
      <c r="S525" s="8"/>
      <c r="T525" s="8"/>
      <c r="U525" s="8"/>
      <c r="V525" s="7"/>
      <c r="W525" s="6" t="str">
        <f t="array" ref="W525">IF(NOT(ISBLANK(D525)),_xludf.XLOOKUP(D525,[2]CODE!$A$4:$A$100,[2]CODE!$D$4:$D$100),"")</f>
        <v/>
      </c>
      <c r="X525" s="5" t="str">
        <f t="array" ref="X525">IF(NOT(AND(ISBLANK(D525),ISBLANK(C525))),_xludf.XLOOKUP(D525,[2]CODE!$A$4:$A$100,[2]CODE!$E$4:$E$100),"")</f>
        <v/>
      </c>
      <c r="Y525" s="5" t="str">
        <f t="shared" si="59"/>
        <v/>
      </c>
      <c r="Z525" s="5" t="str">
        <f t="shared" si="60"/>
        <v/>
      </c>
      <c r="AA525" s="4">
        <f t="shared" si="61"/>
        <v>0</v>
      </c>
      <c r="AC525" s="2"/>
    </row>
    <row r="526" spans="1:29" ht="15.5">
      <c r="A526" s="13" t="str">
        <f>IF(OR(ISBLANK(C526),ISBLANK(D526),ISBLANK(F526),ISBLANK(G526)),"",COUNTIF($B$5:B526,"JAMBUTU"))</f>
        <v/>
      </c>
      <c r="B526" s="8" t="str">
        <f t="shared" si="55"/>
        <v/>
      </c>
      <c r="C526" s="8"/>
      <c r="D526" s="8"/>
      <c r="E526" s="13"/>
      <c r="F526" s="12"/>
      <c r="G526" s="11"/>
      <c r="H526" s="12"/>
      <c r="I526" s="15"/>
      <c r="J526" s="10">
        <f t="shared" si="56"/>
        <v>0</v>
      </c>
      <c r="K526" s="10">
        <f t="shared" si="57"/>
        <v>0</v>
      </c>
      <c r="L526" s="9" t="str">
        <f t="shared" si="58"/>
        <v/>
      </c>
      <c r="M526" s="8"/>
      <c r="N526" s="8"/>
      <c r="O526" s="8"/>
      <c r="P526" s="8"/>
      <c r="Q526" s="8"/>
      <c r="R526" s="8"/>
      <c r="S526" s="8"/>
      <c r="T526" s="8"/>
      <c r="U526" s="8"/>
      <c r="V526" s="7"/>
      <c r="W526" s="6" t="str">
        <f t="array" ref="W526">IF(NOT(ISBLANK(D526)),_xludf.XLOOKUP(D526,[2]CODE!$A$4:$A$100,[2]CODE!$D$4:$D$100),"")</f>
        <v/>
      </c>
      <c r="X526" s="5" t="str">
        <f t="array" ref="X526">IF(NOT(AND(ISBLANK(D526),ISBLANK(C526))),_xludf.XLOOKUP(D526,[2]CODE!$A$4:$A$100,[2]CODE!$E$4:$E$100),"")</f>
        <v/>
      </c>
      <c r="Y526" s="5" t="str">
        <f t="shared" si="59"/>
        <v/>
      </c>
      <c r="Z526" s="5" t="str">
        <f t="shared" si="60"/>
        <v/>
      </c>
      <c r="AA526" s="4">
        <f t="shared" si="61"/>
        <v>0</v>
      </c>
      <c r="AC526" s="2"/>
    </row>
    <row r="527" spans="1:29" ht="15.5">
      <c r="A527" s="13" t="str">
        <f>IF(OR(ISBLANK(C527),ISBLANK(D527),ISBLANK(F527),ISBLANK(G527)),"",COUNTIF($B$5:B527,"JAMBUTU"))</f>
        <v/>
      </c>
      <c r="B527" s="8" t="str">
        <f t="shared" si="55"/>
        <v/>
      </c>
      <c r="C527" s="8"/>
      <c r="D527" s="8"/>
      <c r="E527" s="13"/>
      <c r="F527" s="12"/>
      <c r="G527" s="11"/>
      <c r="H527" s="12"/>
      <c r="I527" s="15"/>
      <c r="J527" s="10">
        <f t="shared" si="56"/>
        <v>0</v>
      </c>
      <c r="K527" s="10">
        <f t="shared" si="57"/>
        <v>0</v>
      </c>
      <c r="L527" s="9" t="str">
        <f t="shared" si="58"/>
        <v/>
      </c>
      <c r="M527" s="8"/>
      <c r="N527" s="8"/>
      <c r="O527" s="8"/>
      <c r="P527" s="8"/>
      <c r="Q527" s="8"/>
      <c r="R527" s="8"/>
      <c r="S527" s="8"/>
      <c r="T527" s="8"/>
      <c r="U527" s="8"/>
      <c r="V527" s="7"/>
      <c r="W527" s="6" t="str">
        <f t="array" ref="W527">IF(NOT(ISBLANK(D527)),_xludf.XLOOKUP(D527,[2]CODE!$A$4:$A$100,[2]CODE!$D$4:$D$100),"")</f>
        <v/>
      </c>
      <c r="X527" s="5" t="str">
        <f t="array" ref="X527">IF(NOT(AND(ISBLANK(D527),ISBLANK(C527))),_xludf.XLOOKUP(D527,[2]CODE!$A$4:$A$100,[2]CODE!$E$4:$E$100),"")</f>
        <v/>
      </c>
      <c r="Y527" s="5" t="str">
        <f t="shared" si="59"/>
        <v/>
      </c>
      <c r="Z527" s="5" t="str">
        <f t="shared" si="60"/>
        <v/>
      </c>
      <c r="AA527" s="4">
        <f t="shared" si="61"/>
        <v>0</v>
      </c>
      <c r="AC527" s="2"/>
    </row>
    <row r="528" spans="1:29" ht="15.5">
      <c r="A528" s="13" t="str">
        <f>IF(OR(ISBLANK(C528),ISBLANK(D528),ISBLANK(F528),ISBLANK(G528)),"",COUNTIF($B$5:B528,"JAMBUTU"))</f>
        <v/>
      </c>
      <c r="B528" s="8" t="str">
        <f t="shared" si="55"/>
        <v/>
      </c>
      <c r="C528" s="8"/>
      <c r="D528" s="8"/>
      <c r="E528" s="13"/>
      <c r="F528" s="12"/>
      <c r="G528" s="11"/>
      <c r="H528" s="12"/>
      <c r="I528" s="15"/>
      <c r="J528" s="10">
        <f t="shared" si="56"/>
        <v>0</v>
      </c>
      <c r="K528" s="10">
        <f t="shared" si="57"/>
        <v>0</v>
      </c>
      <c r="L528" s="9" t="str">
        <f t="shared" si="58"/>
        <v/>
      </c>
      <c r="M528" s="8"/>
      <c r="N528" s="8"/>
      <c r="O528" s="8"/>
      <c r="P528" s="8"/>
      <c r="Q528" s="8"/>
      <c r="R528" s="8"/>
      <c r="S528" s="8"/>
      <c r="T528" s="8"/>
      <c r="U528" s="8"/>
      <c r="V528" s="7"/>
      <c r="W528" s="6" t="str">
        <f t="array" ref="W528">IF(NOT(ISBLANK(D528)),_xludf.XLOOKUP(D528,[2]CODE!$A$4:$A$100,[2]CODE!$D$4:$D$100),"")</f>
        <v/>
      </c>
      <c r="X528" s="5" t="str">
        <f t="array" ref="X528">IF(NOT(AND(ISBLANK(D528),ISBLANK(C528))),_xludf.XLOOKUP(D528,[2]CODE!$A$4:$A$100,[2]CODE!$E$4:$E$100),"")</f>
        <v/>
      </c>
      <c r="Y528" s="5" t="str">
        <f t="shared" si="59"/>
        <v/>
      </c>
      <c r="Z528" s="5" t="str">
        <f t="shared" si="60"/>
        <v/>
      </c>
      <c r="AA528" s="4">
        <f t="shared" si="61"/>
        <v>0</v>
      </c>
      <c r="AC528" s="2"/>
    </row>
    <row r="529" spans="1:29" ht="15.5">
      <c r="A529" s="13" t="str">
        <f>IF(OR(ISBLANK(C529),ISBLANK(D529),ISBLANK(F529),ISBLANK(G529)),"",COUNTIF($B$5:B529,"JAMBUTU"))</f>
        <v/>
      </c>
      <c r="B529" s="8" t="str">
        <f t="shared" si="55"/>
        <v/>
      </c>
      <c r="C529" s="8"/>
      <c r="D529" s="8"/>
      <c r="E529" s="13"/>
      <c r="F529" s="12"/>
      <c r="G529" s="11"/>
      <c r="H529" s="12"/>
      <c r="I529" s="15"/>
      <c r="J529" s="10">
        <f t="shared" si="56"/>
        <v>0</v>
      </c>
      <c r="K529" s="10">
        <f t="shared" si="57"/>
        <v>0</v>
      </c>
      <c r="L529" s="9" t="str">
        <f t="shared" si="58"/>
        <v/>
      </c>
      <c r="M529" s="8"/>
      <c r="N529" s="8"/>
      <c r="O529" s="8"/>
      <c r="P529" s="8"/>
      <c r="Q529" s="8"/>
      <c r="R529" s="8"/>
      <c r="S529" s="8"/>
      <c r="T529" s="8"/>
      <c r="U529" s="8"/>
      <c r="V529" s="7"/>
      <c r="W529" s="6" t="str">
        <f t="array" ref="W529">IF(NOT(ISBLANK(D529)),_xludf.XLOOKUP(D529,[2]CODE!$A$4:$A$100,[2]CODE!$D$4:$D$100),"")</f>
        <v/>
      </c>
      <c r="X529" s="5" t="str">
        <f t="array" ref="X529">IF(NOT(AND(ISBLANK(D529),ISBLANK(C529))),_xludf.XLOOKUP(D529,[2]CODE!$A$4:$A$100,[2]CODE!$E$4:$E$100),"")</f>
        <v/>
      </c>
      <c r="Y529" s="5" t="str">
        <f t="shared" si="59"/>
        <v/>
      </c>
      <c r="Z529" s="5" t="str">
        <f t="shared" si="60"/>
        <v/>
      </c>
      <c r="AA529" s="4">
        <f t="shared" si="61"/>
        <v>0</v>
      </c>
      <c r="AC529" s="2"/>
    </row>
    <row r="530" spans="1:29" ht="15.5">
      <c r="A530" s="13" t="str">
        <f>IF(OR(ISBLANK(C530),ISBLANK(D530),ISBLANK(F530),ISBLANK(G530)),"",COUNTIF($B$5:B530,"JAMBUTU"))</f>
        <v/>
      </c>
      <c r="B530" s="8" t="str">
        <f t="shared" si="55"/>
        <v/>
      </c>
      <c r="C530" s="8"/>
      <c r="D530" s="8"/>
      <c r="E530" s="13"/>
      <c r="F530" s="12"/>
      <c r="G530" s="15"/>
      <c r="H530" s="12"/>
      <c r="I530" s="11"/>
      <c r="J530" s="10">
        <f t="shared" si="56"/>
        <v>0</v>
      </c>
      <c r="K530" s="10">
        <f t="shared" si="57"/>
        <v>0</v>
      </c>
      <c r="L530" s="9" t="str">
        <f t="shared" si="58"/>
        <v/>
      </c>
      <c r="M530" s="8"/>
      <c r="N530" s="8"/>
      <c r="O530" s="8"/>
      <c r="P530" s="8"/>
      <c r="Q530" s="8"/>
      <c r="R530" s="8"/>
      <c r="S530" s="8"/>
      <c r="T530" s="8"/>
      <c r="U530" s="8"/>
      <c r="V530" s="7"/>
      <c r="W530" s="6" t="str">
        <f t="array" ref="W530">IF(NOT(ISBLANK(D530)),_xludf.XLOOKUP(D530,[2]CODE!$A$4:$A$100,[2]CODE!$D$4:$D$100),"")</f>
        <v/>
      </c>
      <c r="X530" s="5" t="str">
        <f t="array" ref="X530">IF(NOT(AND(ISBLANK(D530),ISBLANK(C530))),_xludf.XLOOKUP(D530,[2]CODE!$A$4:$A$100,[2]CODE!$E$4:$E$100),"")</f>
        <v/>
      </c>
      <c r="Y530" s="5" t="str">
        <f t="shared" si="59"/>
        <v/>
      </c>
      <c r="Z530" s="5" t="str">
        <f t="shared" si="60"/>
        <v/>
      </c>
      <c r="AA530" s="4">
        <f t="shared" si="61"/>
        <v>0</v>
      </c>
      <c r="AC530" s="2"/>
    </row>
    <row r="531" spans="1:29" ht="15.5">
      <c r="A531" s="13" t="str">
        <f>IF(OR(ISBLANK(C531),ISBLANK(D531),ISBLANK(F531),ISBLANK(G531)),"",COUNTIF($B$5:B531,"JAMBUTU"))</f>
        <v/>
      </c>
      <c r="B531" s="8" t="str">
        <f t="shared" ref="B531:B594" si="62">IF(C531&lt;&gt;"","Jambutu","")</f>
        <v/>
      </c>
      <c r="C531" s="8"/>
      <c r="D531" s="8"/>
      <c r="E531" s="13"/>
      <c r="F531" s="12"/>
      <c r="G531" s="15"/>
      <c r="H531" s="12"/>
      <c r="I531" s="11"/>
      <c r="J531" s="10">
        <f t="shared" si="56"/>
        <v>0</v>
      </c>
      <c r="K531" s="10">
        <f t="shared" si="57"/>
        <v>0</v>
      </c>
      <c r="L531" s="9" t="str">
        <f t="shared" si="58"/>
        <v/>
      </c>
      <c r="M531" s="8"/>
      <c r="N531" s="8"/>
      <c r="O531" s="8"/>
      <c r="P531" s="8"/>
      <c r="Q531" s="8"/>
      <c r="R531" s="8"/>
      <c r="S531" s="8"/>
      <c r="T531" s="8"/>
      <c r="U531" s="8"/>
      <c r="V531" s="7"/>
      <c r="W531" s="6" t="str">
        <f t="array" ref="W531">IF(NOT(ISBLANK(D531)),_xludf.XLOOKUP(D531,[2]CODE!$A$4:$A$100,[2]CODE!$D$4:$D$100),"")</f>
        <v/>
      </c>
      <c r="X531" s="5" t="str">
        <f t="array" ref="X531">IF(NOT(AND(ISBLANK(D531),ISBLANK(C531))),_xludf.XLOOKUP(D531,[2]CODE!$A$4:$A$100,[2]CODE!$E$4:$E$100),"")</f>
        <v/>
      </c>
      <c r="Y531" s="5" t="str">
        <f t="shared" si="59"/>
        <v/>
      </c>
      <c r="Z531" s="5" t="str">
        <f t="shared" si="60"/>
        <v/>
      </c>
      <c r="AA531" s="4">
        <f t="shared" si="61"/>
        <v>0</v>
      </c>
      <c r="AC531" s="2"/>
    </row>
    <row r="532" spans="1:29" ht="15.5">
      <c r="A532" s="13" t="str">
        <f>IF(OR(ISBLANK(C532),ISBLANK(D532),ISBLANK(F532),ISBLANK(G532)),"",COUNTIF($B$5:B532,"JAMBUTU"))</f>
        <v/>
      </c>
      <c r="B532" s="8" t="str">
        <f t="shared" si="62"/>
        <v/>
      </c>
      <c r="C532" s="8"/>
      <c r="D532" s="8"/>
      <c r="E532" s="13"/>
      <c r="F532" s="12"/>
      <c r="G532" s="15"/>
      <c r="H532" s="12"/>
      <c r="I532" s="15"/>
      <c r="J532" s="10">
        <f t="shared" si="56"/>
        <v>0</v>
      </c>
      <c r="K532" s="10">
        <f t="shared" si="57"/>
        <v>0</v>
      </c>
      <c r="L532" s="9" t="str">
        <f t="shared" si="58"/>
        <v/>
      </c>
      <c r="M532" s="8"/>
      <c r="N532" s="8"/>
      <c r="O532" s="8"/>
      <c r="P532" s="8"/>
      <c r="Q532" s="8"/>
      <c r="R532" s="8"/>
      <c r="S532" s="8"/>
      <c r="T532" s="8"/>
      <c r="U532" s="8"/>
      <c r="V532" s="7"/>
      <c r="W532" s="6" t="str">
        <f t="array" ref="W532">IF(NOT(ISBLANK(D532)),_xludf.XLOOKUP(D532,[2]CODE!$A$4:$A$100,[2]CODE!$D$4:$D$100),"")</f>
        <v/>
      </c>
      <c r="X532" s="5" t="str">
        <f t="array" ref="X532">IF(NOT(AND(ISBLANK(D532),ISBLANK(C532))),_xludf.XLOOKUP(D532,[2]CODE!$A$4:$A$100,[2]CODE!$E$4:$E$100),"")</f>
        <v/>
      </c>
      <c r="Y532" s="5" t="str">
        <f t="shared" si="59"/>
        <v/>
      </c>
      <c r="Z532" s="5" t="str">
        <f t="shared" si="60"/>
        <v/>
      </c>
      <c r="AA532" s="4">
        <f t="shared" si="61"/>
        <v>0</v>
      </c>
      <c r="AC532" s="2"/>
    </row>
    <row r="533" spans="1:29" ht="15.5">
      <c r="A533" s="13" t="str">
        <f>IF(OR(ISBLANK(C533),ISBLANK(D533),ISBLANK(F533),ISBLANK(G533)),"",COUNTIF($B$5:B533,"JAMBUTU"))</f>
        <v/>
      </c>
      <c r="B533" s="8" t="str">
        <f t="shared" si="62"/>
        <v/>
      </c>
      <c r="C533" s="8"/>
      <c r="D533" s="8"/>
      <c r="E533" s="13"/>
      <c r="F533" s="12"/>
      <c r="G533" s="11"/>
      <c r="H533" s="12"/>
      <c r="I533" s="15"/>
      <c r="J533" s="10">
        <f t="shared" si="56"/>
        <v>0</v>
      </c>
      <c r="K533" s="10">
        <f t="shared" si="57"/>
        <v>0</v>
      </c>
      <c r="L533" s="9" t="str">
        <f t="shared" si="58"/>
        <v/>
      </c>
      <c r="M533" s="8"/>
      <c r="N533" s="8"/>
      <c r="O533" s="8"/>
      <c r="P533" s="8"/>
      <c r="Q533" s="8"/>
      <c r="R533" s="8"/>
      <c r="S533" s="8"/>
      <c r="T533" s="8"/>
      <c r="U533" s="8"/>
      <c r="V533" s="7"/>
      <c r="W533" s="6" t="str">
        <f t="array" ref="W533">IF(NOT(ISBLANK(D533)),_xludf.XLOOKUP(D533,[2]CODE!$A$4:$A$100,[2]CODE!$D$4:$D$100),"")</f>
        <v/>
      </c>
      <c r="X533" s="5" t="str">
        <f t="array" ref="X533">IF(NOT(AND(ISBLANK(D533),ISBLANK(C533))),_xludf.XLOOKUP(D533,[2]CODE!$A$4:$A$100,[2]CODE!$E$4:$E$100),"")</f>
        <v/>
      </c>
      <c r="Y533" s="5" t="str">
        <f t="shared" si="59"/>
        <v/>
      </c>
      <c r="Z533" s="5" t="str">
        <f t="shared" si="60"/>
        <v/>
      </c>
      <c r="AA533" s="4">
        <f t="shared" si="61"/>
        <v>0</v>
      </c>
      <c r="AC533" s="2"/>
    </row>
    <row r="534" spans="1:29" ht="15.5">
      <c r="A534" s="13" t="str">
        <f>IF(OR(ISBLANK(C534),ISBLANK(D534),ISBLANK(F534),ISBLANK(G534)),"",COUNTIF($B$5:B534,"JAMBUTU"))</f>
        <v/>
      </c>
      <c r="B534" s="8" t="str">
        <f t="shared" si="62"/>
        <v/>
      </c>
      <c r="C534" s="8"/>
      <c r="D534" s="8"/>
      <c r="E534" s="13"/>
      <c r="F534" s="12"/>
      <c r="G534" s="11"/>
      <c r="H534" s="12"/>
      <c r="I534" s="15"/>
      <c r="J534" s="10">
        <f t="shared" si="56"/>
        <v>0</v>
      </c>
      <c r="K534" s="10">
        <f t="shared" si="57"/>
        <v>0</v>
      </c>
      <c r="L534" s="9" t="str">
        <f t="shared" si="58"/>
        <v/>
      </c>
      <c r="M534" s="8"/>
      <c r="N534" s="8"/>
      <c r="O534" s="8"/>
      <c r="P534" s="8"/>
      <c r="Q534" s="8"/>
      <c r="R534" s="8"/>
      <c r="S534" s="8"/>
      <c r="T534" s="8"/>
      <c r="U534" s="8"/>
      <c r="V534" s="7"/>
      <c r="W534" s="6" t="str">
        <f t="array" ref="W534">IF(NOT(ISBLANK(D534)),_xludf.XLOOKUP(D534,[2]CODE!$A$4:$A$100,[2]CODE!$D$4:$D$100),"")</f>
        <v/>
      </c>
      <c r="X534" s="5" t="str">
        <f t="array" ref="X534">IF(NOT(AND(ISBLANK(D534),ISBLANK(C534))),_xludf.XLOOKUP(D534,[2]CODE!$A$4:$A$100,[2]CODE!$E$4:$E$100),"")</f>
        <v/>
      </c>
      <c r="Y534" s="5" t="str">
        <f t="shared" si="59"/>
        <v/>
      </c>
      <c r="Z534" s="5" t="str">
        <f t="shared" si="60"/>
        <v/>
      </c>
      <c r="AA534" s="4">
        <f t="shared" si="61"/>
        <v>0</v>
      </c>
      <c r="AC534" s="2"/>
    </row>
    <row r="535" spans="1:29" ht="15.5">
      <c r="A535" s="13" t="str">
        <f>IF(OR(ISBLANK(C535),ISBLANK(D535),ISBLANK(F535),ISBLANK(G535)),"",COUNTIF($B$5:B535,"JAMBUTU"))</f>
        <v/>
      </c>
      <c r="B535" s="8" t="str">
        <f t="shared" si="62"/>
        <v/>
      </c>
      <c r="C535" s="8"/>
      <c r="D535" s="8"/>
      <c r="E535" s="13"/>
      <c r="F535" s="12"/>
      <c r="G535" s="11"/>
      <c r="H535" s="12"/>
      <c r="I535" s="11"/>
      <c r="J535" s="10">
        <f t="shared" si="56"/>
        <v>0</v>
      </c>
      <c r="K535" s="10">
        <f t="shared" si="57"/>
        <v>0</v>
      </c>
      <c r="L535" s="9" t="str">
        <f t="shared" si="58"/>
        <v/>
      </c>
      <c r="M535" s="8"/>
      <c r="N535" s="8"/>
      <c r="O535" s="8"/>
      <c r="P535" s="8"/>
      <c r="Q535" s="8"/>
      <c r="R535" s="8"/>
      <c r="S535" s="8"/>
      <c r="T535" s="8"/>
      <c r="U535" s="8"/>
      <c r="V535" s="7"/>
      <c r="W535" s="6" t="str">
        <f t="array" ref="W535">IF(NOT(ISBLANK(D535)),_xludf.XLOOKUP(D535,[2]CODE!$A$4:$A$100,[2]CODE!$D$4:$D$100),"")</f>
        <v/>
      </c>
      <c r="X535" s="5" t="str">
        <f t="array" ref="X535">IF(NOT(AND(ISBLANK(D535),ISBLANK(C535))),_xludf.XLOOKUP(D535,[2]CODE!$A$4:$A$100,[2]CODE!$E$4:$E$100),"")</f>
        <v/>
      </c>
      <c r="Y535" s="5" t="str">
        <f t="shared" si="59"/>
        <v/>
      </c>
      <c r="Z535" s="5" t="str">
        <f t="shared" si="60"/>
        <v/>
      </c>
      <c r="AA535" s="4">
        <f t="shared" si="61"/>
        <v>0</v>
      </c>
      <c r="AC535" s="2"/>
    </row>
    <row r="536" spans="1:29" ht="15.5">
      <c r="A536" s="13" t="str">
        <f>IF(OR(ISBLANK(C536),ISBLANK(D536),ISBLANK(F536),ISBLANK(G536)),"",COUNTIF($B$5:B536,"JAMBUTU"))</f>
        <v/>
      </c>
      <c r="B536" s="8" t="str">
        <f t="shared" si="62"/>
        <v/>
      </c>
      <c r="C536" s="8"/>
      <c r="D536" s="8"/>
      <c r="E536" s="13"/>
      <c r="F536" s="12"/>
      <c r="G536" s="11"/>
      <c r="H536" s="12"/>
      <c r="I536" s="15"/>
      <c r="J536" s="10">
        <f t="shared" si="56"/>
        <v>0</v>
      </c>
      <c r="K536" s="10">
        <f t="shared" si="57"/>
        <v>0</v>
      </c>
      <c r="L536" s="9" t="str">
        <f t="shared" si="58"/>
        <v/>
      </c>
      <c r="M536" s="8"/>
      <c r="N536" s="8"/>
      <c r="O536" s="8"/>
      <c r="P536" s="8"/>
      <c r="Q536" s="8"/>
      <c r="R536" s="8"/>
      <c r="S536" s="8"/>
      <c r="T536" s="8"/>
      <c r="U536" s="8"/>
      <c r="V536" s="7"/>
      <c r="W536" s="6" t="str">
        <f t="array" ref="W536">IF(NOT(ISBLANK(D536)),_xludf.XLOOKUP(D536,[2]CODE!$A$4:$A$100,[2]CODE!$D$4:$D$100),"")</f>
        <v/>
      </c>
      <c r="X536" s="5" t="str">
        <f t="array" ref="X536">IF(NOT(AND(ISBLANK(D536),ISBLANK(C536))),_xludf.XLOOKUP(D536,[2]CODE!$A$4:$A$100,[2]CODE!$E$4:$E$100),"")</f>
        <v/>
      </c>
      <c r="Y536" s="5" t="str">
        <f t="shared" si="59"/>
        <v/>
      </c>
      <c r="Z536" s="5" t="str">
        <f t="shared" si="60"/>
        <v/>
      </c>
      <c r="AA536" s="4">
        <f t="shared" si="61"/>
        <v>0</v>
      </c>
      <c r="AC536" s="2"/>
    </row>
    <row r="537" spans="1:29" ht="15.5">
      <c r="A537" s="13" t="str">
        <f>IF(OR(ISBLANK(C537),ISBLANK(D537),ISBLANK(F537),ISBLANK(G537)),"",COUNTIF($B$5:B537,"JAMBUTU"))</f>
        <v/>
      </c>
      <c r="B537" s="8" t="str">
        <f t="shared" si="62"/>
        <v/>
      </c>
      <c r="C537" s="8"/>
      <c r="D537" s="8"/>
      <c r="E537" s="13"/>
      <c r="F537" s="12"/>
      <c r="G537" s="11"/>
      <c r="H537" s="12"/>
      <c r="I537" s="15"/>
      <c r="J537" s="10">
        <f t="shared" si="56"/>
        <v>0</v>
      </c>
      <c r="K537" s="10">
        <f t="shared" si="57"/>
        <v>0</v>
      </c>
      <c r="L537" s="9" t="str">
        <f t="shared" si="58"/>
        <v/>
      </c>
      <c r="M537" s="8"/>
      <c r="N537" s="8"/>
      <c r="O537" s="8"/>
      <c r="P537" s="8"/>
      <c r="Q537" s="8"/>
      <c r="R537" s="8"/>
      <c r="S537" s="8"/>
      <c r="T537" s="8"/>
      <c r="U537" s="8"/>
      <c r="V537" s="7"/>
      <c r="W537" s="6" t="str">
        <f t="array" ref="W537">IF(NOT(ISBLANK(D537)),_xludf.XLOOKUP(D537,[2]CODE!$A$4:$A$100,[2]CODE!$D$4:$D$100),"")</f>
        <v/>
      </c>
      <c r="X537" s="5" t="str">
        <f t="array" ref="X537">IF(NOT(AND(ISBLANK(D537),ISBLANK(C537))),_xludf.XLOOKUP(D537,[2]CODE!$A$4:$A$100,[2]CODE!$E$4:$E$100),"")</f>
        <v/>
      </c>
      <c r="Y537" s="5" t="str">
        <f t="shared" si="59"/>
        <v/>
      </c>
      <c r="Z537" s="5" t="str">
        <f t="shared" si="60"/>
        <v/>
      </c>
      <c r="AA537" s="4">
        <f t="shared" si="61"/>
        <v>0</v>
      </c>
      <c r="AC537" s="2"/>
    </row>
    <row r="538" spans="1:29" ht="15.5">
      <c r="A538" s="13" t="str">
        <f>IF(OR(ISBLANK(C538),ISBLANK(D538),ISBLANK(F538),ISBLANK(G538)),"",COUNTIF($B$5:B538,"JAMBUTU"))</f>
        <v/>
      </c>
      <c r="B538" s="8" t="str">
        <f t="shared" si="62"/>
        <v/>
      </c>
      <c r="C538" s="8"/>
      <c r="D538" s="8"/>
      <c r="E538" s="13"/>
      <c r="F538" s="12"/>
      <c r="G538" s="11"/>
      <c r="H538" s="12"/>
      <c r="I538" s="11"/>
      <c r="J538" s="10">
        <f t="shared" si="56"/>
        <v>0</v>
      </c>
      <c r="K538" s="10">
        <f t="shared" si="57"/>
        <v>0</v>
      </c>
      <c r="L538" s="9" t="str">
        <f t="shared" si="58"/>
        <v/>
      </c>
      <c r="M538" s="8"/>
      <c r="N538" s="8"/>
      <c r="O538" s="8"/>
      <c r="P538" s="8"/>
      <c r="Q538" s="8"/>
      <c r="R538" s="8"/>
      <c r="S538" s="8"/>
      <c r="T538" s="8"/>
      <c r="U538" s="8"/>
      <c r="V538" s="7"/>
      <c r="W538" s="6" t="str">
        <f t="array" ref="W538">IF(NOT(ISBLANK(D538)),_xludf.XLOOKUP(D538,[2]CODE!$A$4:$A$100,[2]CODE!$D$4:$D$100),"")</f>
        <v/>
      </c>
      <c r="X538" s="5" t="str">
        <f t="array" ref="X538">IF(NOT(AND(ISBLANK(D538),ISBLANK(C538))),_xludf.XLOOKUP(D538,[2]CODE!$A$4:$A$100,[2]CODE!$E$4:$E$100),"")</f>
        <v/>
      </c>
      <c r="Y538" s="5" t="str">
        <f t="shared" si="59"/>
        <v/>
      </c>
      <c r="Z538" s="5" t="str">
        <f t="shared" si="60"/>
        <v/>
      </c>
      <c r="AA538" s="4">
        <f t="shared" si="61"/>
        <v>0</v>
      </c>
      <c r="AC538" s="2"/>
    </row>
    <row r="539" spans="1:29" ht="15.5">
      <c r="A539" s="13" t="str">
        <f>IF(OR(ISBLANK(C539),ISBLANK(D539),ISBLANK(F539),ISBLANK(G539)),"",COUNTIF($B$5:B539,"JAMBUTU"))</f>
        <v/>
      </c>
      <c r="B539" s="8" t="str">
        <f t="shared" si="62"/>
        <v/>
      </c>
      <c r="C539" s="8"/>
      <c r="D539" s="8"/>
      <c r="E539" s="13"/>
      <c r="F539" s="12"/>
      <c r="G539" s="11"/>
      <c r="H539" s="12"/>
      <c r="I539" s="11"/>
      <c r="J539" s="10">
        <f t="shared" si="56"/>
        <v>0</v>
      </c>
      <c r="K539" s="10">
        <f t="shared" si="57"/>
        <v>0</v>
      </c>
      <c r="L539" s="9" t="str">
        <f t="shared" si="58"/>
        <v/>
      </c>
      <c r="M539" s="8"/>
      <c r="N539" s="8"/>
      <c r="O539" s="8"/>
      <c r="P539" s="8"/>
      <c r="Q539" s="8"/>
      <c r="R539" s="8"/>
      <c r="S539" s="8"/>
      <c r="T539" s="8"/>
      <c r="U539" s="8"/>
      <c r="V539" s="7"/>
      <c r="W539" s="6" t="str">
        <f t="array" ref="W539">IF(NOT(ISBLANK(D539)),_xludf.XLOOKUP(D539,[2]CODE!$A$4:$A$100,[2]CODE!$D$4:$D$100),"")</f>
        <v/>
      </c>
      <c r="X539" s="5" t="str">
        <f t="array" ref="X539">IF(NOT(AND(ISBLANK(D539),ISBLANK(C539))),_xludf.XLOOKUP(D539,[2]CODE!$A$4:$A$100,[2]CODE!$E$4:$E$100),"")</f>
        <v/>
      </c>
      <c r="Y539" s="5" t="str">
        <f t="shared" si="59"/>
        <v/>
      </c>
      <c r="Z539" s="5" t="str">
        <f t="shared" si="60"/>
        <v/>
      </c>
      <c r="AA539" s="4">
        <f t="shared" si="61"/>
        <v>0</v>
      </c>
      <c r="AC539" s="2"/>
    </row>
    <row r="540" spans="1:29" ht="15.5">
      <c r="A540" s="13" t="str">
        <f>IF(OR(ISBLANK(C540),ISBLANK(D540),ISBLANK(F540),ISBLANK(G540)),"",COUNTIF($B$5:B540,"JAMBUTU"))</f>
        <v/>
      </c>
      <c r="B540" s="8" t="str">
        <f t="shared" si="62"/>
        <v/>
      </c>
      <c r="C540" s="8"/>
      <c r="D540" s="8"/>
      <c r="E540" s="13"/>
      <c r="F540" s="12"/>
      <c r="G540" s="11"/>
      <c r="H540" s="12"/>
      <c r="I540" s="11"/>
      <c r="J540" s="10">
        <f t="shared" si="56"/>
        <v>0</v>
      </c>
      <c r="K540" s="10">
        <f t="shared" si="57"/>
        <v>0</v>
      </c>
      <c r="L540" s="9" t="str">
        <f t="shared" si="58"/>
        <v/>
      </c>
      <c r="M540" s="8"/>
      <c r="N540" s="8"/>
      <c r="O540" s="8"/>
      <c r="P540" s="8"/>
      <c r="Q540" s="8"/>
      <c r="R540" s="8"/>
      <c r="S540" s="8"/>
      <c r="T540" s="8"/>
      <c r="U540" s="8"/>
      <c r="V540" s="7"/>
      <c r="W540" s="6" t="str">
        <f t="array" ref="W540">IF(NOT(ISBLANK(D540)),_xludf.XLOOKUP(D540,[2]CODE!$A$4:$A$100,[2]CODE!$D$4:$D$100),"")</f>
        <v/>
      </c>
      <c r="X540" s="5" t="str">
        <f t="array" ref="X540">IF(NOT(AND(ISBLANK(D540),ISBLANK(C540))),_xludf.XLOOKUP(D540,[2]CODE!$A$4:$A$100,[2]CODE!$E$4:$E$100),"")</f>
        <v/>
      </c>
      <c r="Y540" s="5" t="str">
        <f t="shared" si="59"/>
        <v/>
      </c>
      <c r="Z540" s="5" t="str">
        <f t="shared" si="60"/>
        <v/>
      </c>
      <c r="AA540" s="4">
        <f t="shared" si="61"/>
        <v>0</v>
      </c>
      <c r="AC540" s="2"/>
    </row>
    <row r="541" spans="1:29" ht="15.5">
      <c r="A541" s="13" t="str">
        <f>IF(OR(ISBLANK(C541),ISBLANK(D541),ISBLANK(F541),ISBLANK(G541)),"",COUNTIF($B$5:B541,"JAMBUTU"))</f>
        <v/>
      </c>
      <c r="B541" s="8" t="str">
        <f t="shared" si="62"/>
        <v/>
      </c>
      <c r="C541" s="8"/>
      <c r="D541" s="8"/>
      <c r="E541" s="13"/>
      <c r="F541" s="12"/>
      <c r="G541" s="11"/>
      <c r="H541" s="12"/>
      <c r="I541" s="11"/>
      <c r="J541" s="10">
        <f t="shared" si="56"/>
        <v>0</v>
      </c>
      <c r="K541" s="10">
        <f t="shared" si="57"/>
        <v>0</v>
      </c>
      <c r="L541" s="9" t="str">
        <f t="shared" si="58"/>
        <v/>
      </c>
      <c r="M541" s="8"/>
      <c r="N541" s="8"/>
      <c r="O541" s="8"/>
      <c r="P541" s="8"/>
      <c r="Q541" s="8"/>
      <c r="R541" s="8"/>
      <c r="S541" s="8"/>
      <c r="T541" s="8"/>
      <c r="U541" s="8"/>
      <c r="V541" s="7"/>
      <c r="W541" s="6" t="str">
        <f t="array" ref="W541">IF(NOT(ISBLANK(D541)),_xludf.XLOOKUP(D541,[2]CODE!$A$4:$A$100,[2]CODE!$D$4:$D$100),"")</f>
        <v/>
      </c>
      <c r="X541" s="5" t="str">
        <f t="array" ref="X541">IF(NOT(AND(ISBLANK(D541),ISBLANK(C541))),_xludf.XLOOKUP(D541,[2]CODE!$A$4:$A$100,[2]CODE!$E$4:$E$100),"")</f>
        <v/>
      </c>
      <c r="Y541" s="5" t="str">
        <f t="shared" si="59"/>
        <v/>
      </c>
      <c r="Z541" s="5" t="str">
        <f t="shared" si="60"/>
        <v/>
      </c>
      <c r="AA541" s="4">
        <f t="shared" si="61"/>
        <v>0</v>
      </c>
      <c r="AC541" s="2"/>
    </row>
    <row r="542" spans="1:29" ht="15.5">
      <c r="A542" s="13" t="str">
        <f>IF(OR(ISBLANK(C542),ISBLANK(D542),ISBLANK(F542),ISBLANK(G542)),"",COUNTIF($B$5:B542,"JAMBUTU"))</f>
        <v/>
      </c>
      <c r="B542" s="8" t="str">
        <f t="shared" si="62"/>
        <v/>
      </c>
      <c r="C542" s="8"/>
      <c r="D542" s="8"/>
      <c r="E542" s="13"/>
      <c r="F542" s="12"/>
      <c r="G542" s="11"/>
      <c r="H542" s="12"/>
      <c r="I542" s="11"/>
      <c r="J542" s="10">
        <f t="shared" si="56"/>
        <v>0</v>
      </c>
      <c r="K542" s="10">
        <f t="shared" si="57"/>
        <v>0</v>
      </c>
      <c r="L542" s="9" t="str">
        <f t="shared" si="58"/>
        <v/>
      </c>
      <c r="M542" s="8"/>
      <c r="N542" s="8"/>
      <c r="O542" s="8"/>
      <c r="P542" s="8"/>
      <c r="Q542" s="8"/>
      <c r="R542" s="8"/>
      <c r="S542" s="8"/>
      <c r="T542" s="8"/>
      <c r="U542" s="8"/>
      <c r="V542" s="7"/>
      <c r="W542" s="6" t="str">
        <f t="array" ref="W542">IF(NOT(ISBLANK(D542)),_xludf.XLOOKUP(D542,[2]CODE!$A$4:$A$100,[2]CODE!$D$4:$D$100),"")</f>
        <v/>
      </c>
      <c r="X542" s="5" t="str">
        <f t="array" ref="X542">IF(NOT(AND(ISBLANK(D542),ISBLANK(C542))),_xludf.XLOOKUP(D542,[2]CODE!$A$4:$A$100,[2]CODE!$E$4:$E$100),"")</f>
        <v/>
      </c>
      <c r="Y542" s="5" t="str">
        <f t="shared" si="59"/>
        <v/>
      </c>
      <c r="Z542" s="5" t="str">
        <f t="shared" si="60"/>
        <v/>
      </c>
      <c r="AA542" s="4">
        <f t="shared" si="61"/>
        <v>0</v>
      </c>
      <c r="AC542" s="2"/>
    </row>
    <row r="543" spans="1:29" ht="15.5">
      <c r="A543" s="13" t="str">
        <f>IF(OR(ISBLANK(C543),ISBLANK(D543),ISBLANK(F543),ISBLANK(G543)),"",COUNTIF($B$5:B543,"JAMBUTU"))</f>
        <v/>
      </c>
      <c r="B543" s="8" t="str">
        <f t="shared" si="62"/>
        <v/>
      </c>
      <c r="C543" s="8"/>
      <c r="D543" s="8"/>
      <c r="E543" s="13"/>
      <c r="F543" s="12"/>
      <c r="G543" s="11"/>
      <c r="H543" s="12"/>
      <c r="I543" s="15"/>
      <c r="J543" s="10">
        <f t="shared" si="56"/>
        <v>0</v>
      </c>
      <c r="K543" s="10">
        <f t="shared" si="57"/>
        <v>0</v>
      </c>
      <c r="L543" s="9" t="str">
        <f t="shared" si="58"/>
        <v/>
      </c>
      <c r="M543" s="8"/>
      <c r="N543" s="8"/>
      <c r="O543" s="8"/>
      <c r="P543" s="8"/>
      <c r="Q543" s="8"/>
      <c r="R543" s="8"/>
      <c r="S543" s="8"/>
      <c r="T543" s="8"/>
      <c r="U543" s="8"/>
      <c r="V543" s="7"/>
      <c r="W543" s="6" t="str">
        <f t="array" ref="W543">IF(NOT(ISBLANK(D543)),_xludf.XLOOKUP(D543,[2]CODE!$A$4:$A$100,[2]CODE!$D$4:$D$100),"")</f>
        <v/>
      </c>
      <c r="X543" s="5" t="str">
        <f t="array" ref="X543">IF(NOT(AND(ISBLANK(D543),ISBLANK(C543))),_xludf.XLOOKUP(D543,[2]CODE!$A$4:$A$100,[2]CODE!$E$4:$E$100),"")</f>
        <v/>
      </c>
      <c r="Y543" s="5" t="str">
        <f t="shared" si="59"/>
        <v/>
      </c>
      <c r="Z543" s="5" t="str">
        <f t="shared" si="60"/>
        <v/>
      </c>
      <c r="AA543" s="4">
        <f t="shared" si="61"/>
        <v>0</v>
      </c>
      <c r="AC543" s="2"/>
    </row>
    <row r="544" spans="1:29" ht="15.5">
      <c r="A544" s="13" t="str">
        <f>IF(OR(ISBLANK(C544),ISBLANK(D544),ISBLANK(F544),ISBLANK(G544)),"",COUNTIF($B$5:B544,"JAMBUTU"))</f>
        <v/>
      </c>
      <c r="B544" s="8" t="str">
        <f t="shared" si="62"/>
        <v/>
      </c>
      <c r="C544" s="8"/>
      <c r="D544" s="8"/>
      <c r="E544" s="13"/>
      <c r="F544" s="12"/>
      <c r="G544" s="11"/>
      <c r="H544" s="12"/>
      <c r="I544" s="15"/>
      <c r="J544" s="10">
        <f t="shared" si="56"/>
        <v>0</v>
      </c>
      <c r="K544" s="10">
        <f t="shared" si="57"/>
        <v>0</v>
      </c>
      <c r="L544" s="9" t="str">
        <f t="shared" si="58"/>
        <v/>
      </c>
      <c r="M544" s="8"/>
      <c r="N544" s="8"/>
      <c r="O544" s="8"/>
      <c r="P544" s="8"/>
      <c r="Q544" s="8"/>
      <c r="R544" s="8"/>
      <c r="S544" s="8"/>
      <c r="T544" s="8"/>
      <c r="U544" s="8"/>
      <c r="V544" s="7"/>
      <c r="W544" s="6" t="str">
        <f t="array" ref="W544">IF(NOT(ISBLANK(D544)),_xludf.XLOOKUP(D544,[2]CODE!$A$4:$A$100,[2]CODE!$D$4:$D$100),"")</f>
        <v/>
      </c>
      <c r="X544" s="5" t="str">
        <f t="array" ref="X544">IF(NOT(AND(ISBLANK(D544),ISBLANK(C544))),_xludf.XLOOKUP(D544,[2]CODE!$A$4:$A$100,[2]CODE!$E$4:$E$100),"")</f>
        <v/>
      </c>
      <c r="Y544" s="5" t="str">
        <f t="shared" si="59"/>
        <v/>
      </c>
      <c r="Z544" s="5" t="str">
        <f t="shared" si="60"/>
        <v/>
      </c>
      <c r="AA544" s="4">
        <f t="shared" si="61"/>
        <v>0</v>
      </c>
      <c r="AC544" s="2"/>
    </row>
    <row r="545" spans="1:29" ht="15.5">
      <c r="A545" s="13" t="str">
        <f>IF(OR(ISBLANK(C545),ISBLANK(D545),ISBLANK(F545),ISBLANK(G545)),"",COUNTIF($B$5:B545,"JAMBUTU"))</f>
        <v/>
      </c>
      <c r="B545" s="8" t="str">
        <f t="shared" si="62"/>
        <v/>
      </c>
      <c r="C545" s="8"/>
      <c r="D545" s="8"/>
      <c r="E545" s="13"/>
      <c r="F545" s="12"/>
      <c r="G545" s="11"/>
      <c r="H545" s="12"/>
      <c r="I545" s="11"/>
      <c r="J545" s="10">
        <f t="shared" si="56"/>
        <v>0</v>
      </c>
      <c r="K545" s="10">
        <f t="shared" si="57"/>
        <v>0</v>
      </c>
      <c r="L545" s="9" t="str">
        <f t="shared" si="58"/>
        <v/>
      </c>
      <c r="M545" s="8"/>
      <c r="N545" s="8"/>
      <c r="O545" s="8"/>
      <c r="P545" s="8"/>
      <c r="Q545" s="8"/>
      <c r="R545" s="8"/>
      <c r="S545" s="8"/>
      <c r="T545" s="8"/>
      <c r="U545" s="8"/>
      <c r="V545" s="7"/>
      <c r="W545" s="6" t="str">
        <f t="array" ref="W545">IF(NOT(ISBLANK(D545)),_xludf.XLOOKUP(D545,[2]CODE!$A$4:$A$100,[2]CODE!$D$4:$D$100),"")</f>
        <v/>
      </c>
      <c r="X545" s="5" t="str">
        <f t="array" ref="X545">IF(NOT(AND(ISBLANK(D545),ISBLANK(C545))),_xludf.XLOOKUP(D545,[2]CODE!$A$4:$A$100,[2]CODE!$E$4:$E$100),"")</f>
        <v/>
      </c>
      <c r="Y545" s="5" t="str">
        <f t="shared" si="59"/>
        <v/>
      </c>
      <c r="Z545" s="5" t="str">
        <f t="shared" si="60"/>
        <v/>
      </c>
      <c r="AA545" s="4">
        <f t="shared" si="61"/>
        <v>0</v>
      </c>
      <c r="AC545" s="2"/>
    </row>
    <row r="546" spans="1:29" ht="15.5">
      <c r="A546" s="13" t="str">
        <f>IF(OR(ISBLANK(C546),ISBLANK(D546),ISBLANK(F546),ISBLANK(G546)),"",COUNTIF($B$5:B546,"JAMBUTU"))</f>
        <v/>
      </c>
      <c r="B546" s="8" t="str">
        <f t="shared" si="62"/>
        <v/>
      </c>
      <c r="C546" s="8"/>
      <c r="D546" s="8"/>
      <c r="E546" s="13"/>
      <c r="F546" s="12"/>
      <c r="G546" s="11"/>
      <c r="H546" s="12"/>
      <c r="I546" s="15"/>
      <c r="J546" s="10">
        <f t="shared" si="56"/>
        <v>0</v>
      </c>
      <c r="K546" s="10">
        <f t="shared" si="57"/>
        <v>0</v>
      </c>
      <c r="L546" s="9" t="str">
        <f t="shared" si="58"/>
        <v/>
      </c>
      <c r="M546" s="8"/>
      <c r="N546" s="8"/>
      <c r="O546" s="8"/>
      <c r="P546" s="8"/>
      <c r="Q546" s="8"/>
      <c r="R546" s="8"/>
      <c r="S546" s="8"/>
      <c r="T546" s="8"/>
      <c r="U546" s="8"/>
      <c r="V546" s="7"/>
      <c r="W546" s="6" t="str">
        <f t="array" ref="W546">IF(NOT(ISBLANK(D546)),_xludf.XLOOKUP(D546,[2]CODE!$A$4:$A$100,[2]CODE!$D$4:$D$100),"")</f>
        <v/>
      </c>
      <c r="X546" s="5" t="str">
        <f t="array" ref="X546">IF(NOT(AND(ISBLANK(D546),ISBLANK(C546))),_xludf.XLOOKUP(D546,[2]CODE!$A$4:$A$100,[2]CODE!$E$4:$E$100),"")</f>
        <v/>
      </c>
      <c r="Y546" s="5" t="str">
        <f t="shared" si="59"/>
        <v/>
      </c>
      <c r="Z546" s="5" t="str">
        <f t="shared" si="60"/>
        <v/>
      </c>
      <c r="AA546" s="4">
        <f t="shared" si="61"/>
        <v>0</v>
      </c>
      <c r="AC546" s="2"/>
    </row>
    <row r="547" spans="1:29" ht="15.5">
      <c r="A547" s="13" t="str">
        <f>IF(OR(ISBLANK(C547),ISBLANK(D547),ISBLANK(F547),ISBLANK(G547)),"",COUNTIF($B$5:B547,"JAMBUTU"))</f>
        <v/>
      </c>
      <c r="B547" s="8" t="str">
        <f t="shared" si="62"/>
        <v/>
      </c>
      <c r="C547" s="8"/>
      <c r="D547" s="8"/>
      <c r="E547" s="13"/>
      <c r="F547" s="12"/>
      <c r="G547" s="11"/>
      <c r="H547" s="12"/>
      <c r="I547" s="11"/>
      <c r="J547" s="10">
        <f t="shared" si="56"/>
        <v>0</v>
      </c>
      <c r="K547" s="10">
        <f t="shared" si="57"/>
        <v>0</v>
      </c>
      <c r="L547" s="9" t="str">
        <f t="shared" si="58"/>
        <v/>
      </c>
      <c r="M547" s="8"/>
      <c r="N547" s="8"/>
      <c r="O547" s="8"/>
      <c r="P547" s="8"/>
      <c r="Q547" s="8"/>
      <c r="R547" s="8"/>
      <c r="S547" s="8"/>
      <c r="T547" s="8"/>
      <c r="U547" s="8"/>
      <c r="V547" s="7"/>
      <c r="W547" s="6" t="str">
        <f t="array" ref="W547">IF(NOT(ISBLANK(D547)),_xludf.XLOOKUP(D547,[2]CODE!$A$4:$A$100,[2]CODE!$D$4:$D$100),"")</f>
        <v/>
      </c>
      <c r="X547" s="5" t="str">
        <f t="array" ref="X547">IF(NOT(AND(ISBLANK(D547),ISBLANK(C547))),_xludf.XLOOKUP(D547,[2]CODE!$A$4:$A$100,[2]CODE!$E$4:$E$100),"")</f>
        <v/>
      </c>
      <c r="Y547" s="5" t="str">
        <f t="shared" si="59"/>
        <v/>
      </c>
      <c r="Z547" s="5" t="str">
        <f t="shared" si="60"/>
        <v/>
      </c>
      <c r="AA547" s="4">
        <f t="shared" si="61"/>
        <v>0</v>
      </c>
      <c r="AC547" s="2"/>
    </row>
    <row r="548" spans="1:29" ht="15.5">
      <c r="A548" s="13" t="str">
        <f>IF(OR(ISBLANK(C548),ISBLANK(D548),ISBLANK(F548),ISBLANK(G548)),"",COUNTIF($B$5:B548,"JAMBUTU"))</f>
        <v/>
      </c>
      <c r="B548" s="8" t="str">
        <f t="shared" si="62"/>
        <v/>
      </c>
      <c r="C548" s="8"/>
      <c r="D548" s="8"/>
      <c r="E548" s="13"/>
      <c r="F548" s="12"/>
      <c r="G548" s="11"/>
      <c r="H548" s="12"/>
      <c r="I548" s="11"/>
      <c r="J548" s="10">
        <f t="shared" si="56"/>
        <v>0</v>
      </c>
      <c r="K548" s="10">
        <f t="shared" si="57"/>
        <v>0</v>
      </c>
      <c r="L548" s="9" t="str">
        <f t="shared" si="58"/>
        <v/>
      </c>
      <c r="M548" s="8"/>
      <c r="N548" s="8"/>
      <c r="O548" s="8"/>
      <c r="P548" s="8"/>
      <c r="Q548" s="8"/>
      <c r="R548" s="8"/>
      <c r="S548" s="8"/>
      <c r="T548" s="8"/>
      <c r="U548" s="8"/>
      <c r="V548" s="7"/>
      <c r="W548" s="6" t="str">
        <f t="array" ref="W548">IF(NOT(ISBLANK(D548)),_xludf.XLOOKUP(D548,[2]CODE!$A$4:$A$100,[2]CODE!$D$4:$D$100),"")</f>
        <v/>
      </c>
      <c r="X548" s="5" t="str">
        <f t="array" ref="X548">IF(NOT(AND(ISBLANK(D548),ISBLANK(C548))),_xludf.XLOOKUP(D548,[2]CODE!$A$4:$A$100,[2]CODE!$E$4:$E$100),"")</f>
        <v/>
      </c>
      <c r="Y548" s="5" t="str">
        <f t="shared" si="59"/>
        <v/>
      </c>
      <c r="Z548" s="5" t="str">
        <f t="shared" si="60"/>
        <v/>
      </c>
      <c r="AA548" s="4">
        <f t="shared" si="61"/>
        <v>0</v>
      </c>
      <c r="AC548" s="2"/>
    </row>
    <row r="549" spans="1:29" ht="15.5">
      <c r="A549" s="13" t="str">
        <f>IF(OR(ISBLANK(C549),ISBLANK(D549),ISBLANK(F549),ISBLANK(G549)),"",COUNTIF($B$5:B549,"JAMBUTU"))</f>
        <v/>
      </c>
      <c r="B549" s="8" t="str">
        <f t="shared" si="62"/>
        <v/>
      </c>
      <c r="C549" s="8"/>
      <c r="D549" s="8"/>
      <c r="E549" s="13"/>
      <c r="F549" s="12"/>
      <c r="G549" s="11"/>
      <c r="H549" s="12"/>
      <c r="I549" s="11"/>
      <c r="J549" s="10">
        <f t="shared" si="56"/>
        <v>0</v>
      </c>
      <c r="K549" s="10">
        <f t="shared" si="57"/>
        <v>0</v>
      </c>
      <c r="L549" s="9" t="str">
        <f t="shared" si="58"/>
        <v/>
      </c>
      <c r="M549" s="8"/>
      <c r="N549" s="8"/>
      <c r="O549" s="8"/>
      <c r="P549" s="8"/>
      <c r="Q549" s="8"/>
      <c r="R549" s="8"/>
      <c r="S549" s="8"/>
      <c r="T549" s="8"/>
      <c r="U549" s="8"/>
      <c r="V549" s="7"/>
      <c r="W549" s="6" t="str">
        <f t="array" ref="W549">IF(NOT(ISBLANK(D549)),_xludf.XLOOKUP(D549,[2]CODE!$A$4:$A$100,[2]CODE!$D$4:$D$100),"")</f>
        <v/>
      </c>
      <c r="X549" s="5" t="str">
        <f t="array" ref="X549">IF(NOT(AND(ISBLANK(D549),ISBLANK(C549))),_xludf.XLOOKUP(D549,[2]CODE!$A$4:$A$100,[2]CODE!$E$4:$E$100),"")</f>
        <v/>
      </c>
      <c r="Y549" s="5" t="str">
        <f t="shared" si="59"/>
        <v/>
      </c>
      <c r="Z549" s="5" t="str">
        <f t="shared" si="60"/>
        <v/>
      </c>
      <c r="AA549" s="4">
        <f t="shared" si="61"/>
        <v>0</v>
      </c>
      <c r="AC549" s="2"/>
    </row>
    <row r="550" spans="1:29" ht="15.5">
      <c r="A550" s="13" t="str">
        <f>IF(OR(ISBLANK(C550),ISBLANK(D550),ISBLANK(F550),ISBLANK(G550)),"",COUNTIF($B$5:B550,"JAMBUTU"))</f>
        <v/>
      </c>
      <c r="B550" s="8" t="str">
        <f t="shared" si="62"/>
        <v/>
      </c>
      <c r="C550" s="8"/>
      <c r="D550" s="8"/>
      <c r="E550" s="13"/>
      <c r="F550" s="12"/>
      <c r="G550" s="11"/>
      <c r="H550" s="12"/>
      <c r="I550" s="11"/>
      <c r="J550" s="10">
        <f t="shared" si="56"/>
        <v>0</v>
      </c>
      <c r="K550" s="10">
        <f t="shared" si="57"/>
        <v>0</v>
      </c>
      <c r="L550" s="9" t="str">
        <f t="shared" si="58"/>
        <v/>
      </c>
      <c r="M550" s="8"/>
      <c r="N550" s="8"/>
      <c r="O550" s="8"/>
      <c r="P550" s="8"/>
      <c r="Q550" s="8"/>
      <c r="R550" s="8"/>
      <c r="S550" s="8"/>
      <c r="T550" s="8"/>
      <c r="U550" s="8"/>
      <c r="V550" s="7"/>
      <c r="W550" s="6" t="str">
        <f t="array" ref="W550">IF(NOT(ISBLANK(D550)),_xludf.XLOOKUP(D550,[2]CODE!$A$4:$A$100,[2]CODE!$D$4:$D$100),"")</f>
        <v/>
      </c>
      <c r="X550" s="5" t="str">
        <f t="array" ref="X550">IF(NOT(AND(ISBLANK(D550),ISBLANK(C550))),_xludf.XLOOKUP(D550,[2]CODE!$A$4:$A$100,[2]CODE!$E$4:$E$100),"")</f>
        <v/>
      </c>
      <c r="Y550" s="5" t="str">
        <f t="shared" si="59"/>
        <v/>
      </c>
      <c r="Z550" s="5" t="str">
        <f t="shared" si="60"/>
        <v/>
      </c>
      <c r="AA550" s="4">
        <f t="shared" si="61"/>
        <v>0</v>
      </c>
      <c r="AC550" s="2"/>
    </row>
    <row r="551" spans="1:29" ht="15.5">
      <c r="A551" s="13" t="str">
        <f>IF(OR(ISBLANK(C551),ISBLANK(D551),ISBLANK(F551),ISBLANK(G551)),"",COUNTIF($B$5:B551,"JAMBUTU"))</f>
        <v/>
      </c>
      <c r="B551" s="8" t="str">
        <f t="shared" si="62"/>
        <v/>
      </c>
      <c r="C551" s="8"/>
      <c r="D551" s="8"/>
      <c r="E551" s="13"/>
      <c r="F551" s="12"/>
      <c r="G551" s="11"/>
      <c r="H551" s="12"/>
      <c r="I551" s="11"/>
      <c r="J551" s="10">
        <f t="shared" si="56"/>
        <v>0</v>
      </c>
      <c r="K551" s="10">
        <f t="shared" si="57"/>
        <v>0</v>
      </c>
      <c r="L551" s="9" t="str">
        <f t="shared" si="58"/>
        <v/>
      </c>
      <c r="M551" s="8"/>
      <c r="N551" s="8"/>
      <c r="O551" s="8"/>
      <c r="P551" s="8"/>
      <c r="Q551" s="8"/>
      <c r="R551" s="8"/>
      <c r="S551" s="8"/>
      <c r="T551" s="8"/>
      <c r="U551" s="8"/>
      <c r="V551" s="7"/>
      <c r="W551" s="6" t="str">
        <f t="array" ref="W551">IF(NOT(ISBLANK(D551)),_xludf.XLOOKUP(D551,[2]CODE!$A$4:$A$100,[2]CODE!$D$4:$D$100),"")</f>
        <v/>
      </c>
      <c r="X551" s="5" t="str">
        <f t="array" ref="X551">IF(NOT(AND(ISBLANK(D551),ISBLANK(C551))),_xludf.XLOOKUP(D551,[2]CODE!$A$4:$A$100,[2]CODE!$E$4:$E$100),"")</f>
        <v/>
      </c>
      <c r="Y551" s="5" t="str">
        <f t="shared" si="59"/>
        <v/>
      </c>
      <c r="Z551" s="5" t="str">
        <f t="shared" si="60"/>
        <v/>
      </c>
      <c r="AA551" s="4">
        <f t="shared" si="61"/>
        <v>0</v>
      </c>
      <c r="AC551" s="2"/>
    </row>
    <row r="552" spans="1:29" ht="15.5">
      <c r="A552" s="13" t="str">
        <f>IF(OR(ISBLANK(C552),ISBLANK(D552),ISBLANK(F552),ISBLANK(G552)),"",COUNTIF($B$5:B552,"JAMBUTU"))</f>
        <v/>
      </c>
      <c r="B552" s="8" t="str">
        <f t="shared" si="62"/>
        <v/>
      </c>
      <c r="C552" s="8"/>
      <c r="D552" s="8"/>
      <c r="E552" s="13"/>
      <c r="F552" s="12"/>
      <c r="G552" s="11"/>
      <c r="H552" s="12"/>
      <c r="I552" s="11"/>
      <c r="J552" s="10">
        <f t="shared" si="56"/>
        <v>0</v>
      </c>
      <c r="K552" s="10">
        <f t="shared" si="57"/>
        <v>0</v>
      </c>
      <c r="L552" s="9" t="str">
        <f t="shared" si="58"/>
        <v/>
      </c>
      <c r="M552" s="8"/>
      <c r="N552" s="8"/>
      <c r="O552" s="8"/>
      <c r="P552" s="8"/>
      <c r="Q552" s="8"/>
      <c r="R552" s="8"/>
      <c r="S552" s="8"/>
      <c r="T552" s="8"/>
      <c r="U552" s="8"/>
      <c r="V552" s="7"/>
      <c r="W552" s="6" t="str">
        <f t="array" ref="W552">IF(NOT(ISBLANK(D552)),_xludf.XLOOKUP(D552,[2]CODE!$A$4:$A$100,[2]CODE!$D$4:$D$100),"")</f>
        <v/>
      </c>
      <c r="X552" s="5" t="str">
        <f t="array" ref="X552">IF(NOT(AND(ISBLANK(D552),ISBLANK(C552))),_xludf.XLOOKUP(D552,[2]CODE!$A$4:$A$100,[2]CODE!$E$4:$E$100),"")</f>
        <v/>
      </c>
      <c r="Y552" s="5" t="str">
        <f t="shared" si="59"/>
        <v/>
      </c>
      <c r="Z552" s="5" t="str">
        <f t="shared" si="60"/>
        <v/>
      </c>
      <c r="AA552" s="4">
        <f t="shared" si="61"/>
        <v>0</v>
      </c>
      <c r="AC552" s="2"/>
    </row>
    <row r="553" spans="1:29" ht="15.5">
      <c r="A553" s="13" t="str">
        <f>IF(OR(ISBLANK(C553),ISBLANK(D553),ISBLANK(F553),ISBLANK(G553)),"",COUNTIF($B$5:B553,"JAMBUTU"))</f>
        <v/>
      </c>
      <c r="B553" s="8" t="str">
        <f t="shared" si="62"/>
        <v/>
      </c>
      <c r="C553" s="8"/>
      <c r="D553" s="8"/>
      <c r="E553" s="13"/>
      <c r="F553" s="12"/>
      <c r="G553" s="11"/>
      <c r="H553" s="12"/>
      <c r="I553" s="11"/>
      <c r="J553" s="10">
        <f t="shared" si="56"/>
        <v>0</v>
      </c>
      <c r="K553" s="10">
        <f t="shared" si="57"/>
        <v>0</v>
      </c>
      <c r="L553" s="9" t="str">
        <f t="shared" si="58"/>
        <v/>
      </c>
      <c r="M553" s="8"/>
      <c r="N553" s="8"/>
      <c r="O553" s="8"/>
      <c r="P553" s="8"/>
      <c r="Q553" s="8"/>
      <c r="R553" s="8"/>
      <c r="S553" s="8"/>
      <c r="T553" s="8"/>
      <c r="U553" s="8"/>
      <c r="V553" s="7"/>
      <c r="W553" s="6" t="str">
        <f t="array" ref="W553">IF(NOT(ISBLANK(D553)),_xludf.XLOOKUP(D553,[2]CODE!$A$4:$A$100,[2]CODE!$D$4:$D$100),"")</f>
        <v/>
      </c>
      <c r="X553" s="5" t="str">
        <f t="array" ref="X553">IF(NOT(AND(ISBLANK(D553),ISBLANK(C553))),_xludf.XLOOKUP(D553,[2]CODE!$A$4:$A$100,[2]CODE!$E$4:$E$100),"")</f>
        <v/>
      </c>
      <c r="Y553" s="5" t="str">
        <f t="shared" si="59"/>
        <v/>
      </c>
      <c r="Z553" s="5" t="str">
        <f t="shared" si="60"/>
        <v/>
      </c>
      <c r="AA553" s="4">
        <f t="shared" si="61"/>
        <v>0</v>
      </c>
      <c r="AC553" s="2"/>
    </row>
    <row r="554" spans="1:29" ht="15.5">
      <c r="A554" s="13" t="str">
        <f>IF(OR(ISBLANK(C554),ISBLANK(D554),ISBLANK(F554),ISBLANK(G554)),"",COUNTIF($B$5:B554,"JAMBUTU"))</f>
        <v/>
      </c>
      <c r="B554" s="8" t="str">
        <f t="shared" si="62"/>
        <v/>
      </c>
      <c r="C554" s="8"/>
      <c r="D554" s="8"/>
      <c r="E554" s="13"/>
      <c r="F554" s="12"/>
      <c r="G554" s="11"/>
      <c r="H554" s="12"/>
      <c r="I554" s="11"/>
      <c r="J554" s="10">
        <f t="shared" si="56"/>
        <v>0</v>
      </c>
      <c r="K554" s="10">
        <f t="shared" si="57"/>
        <v>0</v>
      </c>
      <c r="L554" s="9" t="str">
        <f t="shared" si="58"/>
        <v/>
      </c>
      <c r="M554" s="8"/>
      <c r="N554" s="8"/>
      <c r="O554" s="8"/>
      <c r="P554" s="8"/>
      <c r="Q554" s="8"/>
      <c r="R554" s="8"/>
      <c r="S554" s="8"/>
      <c r="T554" s="8"/>
      <c r="U554" s="8"/>
      <c r="V554" s="7"/>
      <c r="W554" s="6" t="str">
        <f t="array" ref="W554">IF(NOT(ISBLANK(D554)),_xludf.XLOOKUP(D554,[2]CODE!$A$4:$A$100,[2]CODE!$D$4:$D$100),"")</f>
        <v/>
      </c>
      <c r="X554" s="5" t="str">
        <f t="array" ref="X554">IF(NOT(AND(ISBLANK(D554),ISBLANK(C554))),_xludf.XLOOKUP(D554,[2]CODE!$A$4:$A$100,[2]CODE!$E$4:$E$100),"")</f>
        <v/>
      </c>
      <c r="Y554" s="5" t="str">
        <f t="shared" si="59"/>
        <v/>
      </c>
      <c r="Z554" s="5" t="str">
        <f t="shared" si="60"/>
        <v/>
      </c>
      <c r="AA554" s="4">
        <f t="shared" si="61"/>
        <v>0</v>
      </c>
      <c r="AC554" s="2"/>
    </row>
    <row r="555" spans="1:29" ht="15.5">
      <c r="A555" s="13" t="str">
        <f>IF(OR(ISBLANK(C555),ISBLANK(D555),ISBLANK(F555),ISBLANK(G555)),"",COUNTIF($B$5:B555,"JAMBUTU"))</f>
        <v/>
      </c>
      <c r="B555" s="8" t="str">
        <f t="shared" si="62"/>
        <v/>
      </c>
      <c r="C555" s="8"/>
      <c r="D555" s="8"/>
      <c r="E555" s="13"/>
      <c r="F555" s="12"/>
      <c r="G555" s="11"/>
      <c r="H555" s="12"/>
      <c r="I555" s="11"/>
      <c r="J555" s="10">
        <f t="shared" si="56"/>
        <v>0</v>
      </c>
      <c r="K555" s="10">
        <f t="shared" si="57"/>
        <v>0</v>
      </c>
      <c r="L555" s="9" t="str">
        <f t="shared" si="58"/>
        <v/>
      </c>
      <c r="M555" s="8"/>
      <c r="N555" s="8"/>
      <c r="O555" s="8"/>
      <c r="P555" s="8"/>
      <c r="Q555" s="8"/>
      <c r="R555" s="8"/>
      <c r="S555" s="8"/>
      <c r="T555" s="8"/>
      <c r="U555" s="8"/>
      <c r="V555" s="7"/>
      <c r="W555" s="6" t="str">
        <f t="array" ref="W555">IF(NOT(ISBLANK(D555)),_xludf.XLOOKUP(D555,[2]CODE!$A$4:$A$100,[2]CODE!$D$4:$D$100),"")</f>
        <v/>
      </c>
      <c r="X555" s="5" t="str">
        <f t="array" ref="X555">IF(NOT(AND(ISBLANK(D555),ISBLANK(C555))),_xludf.XLOOKUP(D555,[2]CODE!$A$4:$A$100,[2]CODE!$E$4:$E$100),"")</f>
        <v/>
      </c>
      <c r="Y555" s="5" t="str">
        <f t="shared" si="59"/>
        <v/>
      </c>
      <c r="Z555" s="5" t="str">
        <f t="shared" si="60"/>
        <v/>
      </c>
      <c r="AA555" s="4">
        <f t="shared" si="61"/>
        <v>0</v>
      </c>
      <c r="AC555" s="2"/>
    </row>
    <row r="556" spans="1:29" ht="15.5">
      <c r="A556" s="13" t="str">
        <f>IF(OR(ISBLANK(C556),ISBLANK(D556),ISBLANK(F556),ISBLANK(G556)),"",COUNTIF($B$5:B556,"JAMBUTU"))</f>
        <v/>
      </c>
      <c r="B556" s="8" t="str">
        <f t="shared" si="62"/>
        <v/>
      </c>
      <c r="C556" s="8"/>
      <c r="D556" s="8"/>
      <c r="E556" s="13"/>
      <c r="F556" s="12"/>
      <c r="G556" s="11"/>
      <c r="H556" s="12"/>
      <c r="I556" s="11"/>
      <c r="J556" s="10">
        <f t="shared" si="56"/>
        <v>0</v>
      </c>
      <c r="K556" s="10">
        <f t="shared" si="57"/>
        <v>0</v>
      </c>
      <c r="L556" s="9" t="str">
        <f t="shared" si="58"/>
        <v/>
      </c>
      <c r="M556" s="8"/>
      <c r="N556" s="8"/>
      <c r="O556" s="8"/>
      <c r="P556" s="8"/>
      <c r="Q556" s="8"/>
      <c r="R556" s="8"/>
      <c r="S556" s="8"/>
      <c r="T556" s="8"/>
      <c r="U556" s="8"/>
      <c r="V556" s="7"/>
      <c r="W556" s="6" t="str">
        <f t="array" ref="W556">IF(NOT(ISBLANK(D556)),_xludf.XLOOKUP(D556,[2]CODE!$A$4:$A$100,[2]CODE!$D$4:$D$100),"")</f>
        <v/>
      </c>
      <c r="X556" s="5" t="str">
        <f t="array" ref="X556">IF(NOT(AND(ISBLANK(D556),ISBLANK(C556))),_xludf.XLOOKUP(D556,[2]CODE!$A$4:$A$100,[2]CODE!$E$4:$E$100),"")</f>
        <v/>
      </c>
      <c r="Y556" s="5" t="str">
        <f t="shared" si="59"/>
        <v/>
      </c>
      <c r="Z556" s="5" t="str">
        <f t="shared" si="60"/>
        <v/>
      </c>
      <c r="AA556" s="4">
        <f t="shared" si="61"/>
        <v>0</v>
      </c>
      <c r="AC556" s="2"/>
    </row>
    <row r="557" spans="1:29" ht="15.5">
      <c r="A557" s="13" t="str">
        <f>IF(OR(ISBLANK(C557),ISBLANK(D557),ISBLANK(F557),ISBLANK(G557)),"",COUNTIF($B$5:B557,"JAMBUTU"))</f>
        <v/>
      </c>
      <c r="B557" s="8" t="str">
        <f t="shared" si="62"/>
        <v/>
      </c>
      <c r="C557" s="8"/>
      <c r="D557" s="8"/>
      <c r="E557" s="13"/>
      <c r="F557" s="12"/>
      <c r="G557" s="11"/>
      <c r="H557" s="12"/>
      <c r="I557" s="11"/>
      <c r="J557" s="10">
        <f t="shared" si="56"/>
        <v>0</v>
      </c>
      <c r="K557" s="10">
        <f t="shared" si="57"/>
        <v>0</v>
      </c>
      <c r="L557" s="9" t="str">
        <f t="shared" si="58"/>
        <v/>
      </c>
      <c r="M557" s="8"/>
      <c r="N557" s="8"/>
      <c r="O557" s="8"/>
      <c r="P557" s="8"/>
      <c r="Q557" s="8"/>
      <c r="R557" s="8"/>
      <c r="S557" s="8"/>
      <c r="T557" s="8"/>
      <c r="U557" s="8"/>
      <c r="V557" s="7"/>
      <c r="W557" s="6" t="str">
        <f t="array" ref="W557">IF(NOT(ISBLANK(D557)),_xludf.XLOOKUP(D557,[2]CODE!$A$4:$A$100,[2]CODE!$D$4:$D$100),"")</f>
        <v/>
      </c>
      <c r="X557" s="5" t="str">
        <f t="array" ref="X557">IF(NOT(AND(ISBLANK(D557),ISBLANK(C557))),_xludf.XLOOKUP(D557,[2]CODE!$A$4:$A$100,[2]CODE!$E$4:$E$100),"")</f>
        <v/>
      </c>
      <c r="Y557" s="5" t="str">
        <f t="shared" si="59"/>
        <v/>
      </c>
      <c r="Z557" s="5" t="str">
        <f t="shared" si="60"/>
        <v/>
      </c>
      <c r="AA557" s="4">
        <f t="shared" si="61"/>
        <v>0</v>
      </c>
      <c r="AC557" s="2"/>
    </row>
    <row r="558" spans="1:29" ht="15.5">
      <c r="A558" s="13" t="str">
        <f>IF(OR(ISBLANK(C558),ISBLANK(D558),ISBLANK(F558),ISBLANK(G558)),"",COUNTIF($B$5:B558,"JAMBUTU"))</f>
        <v/>
      </c>
      <c r="B558" s="8" t="str">
        <f t="shared" si="62"/>
        <v/>
      </c>
      <c r="C558" s="8"/>
      <c r="D558" s="8"/>
      <c r="E558" s="13"/>
      <c r="F558" s="12"/>
      <c r="G558" s="11"/>
      <c r="H558" s="12"/>
      <c r="I558" s="11"/>
      <c r="J558" s="10">
        <f t="shared" si="56"/>
        <v>0</v>
      </c>
      <c r="K558" s="10">
        <f t="shared" si="57"/>
        <v>0</v>
      </c>
      <c r="L558" s="9" t="str">
        <f t="shared" si="58"/>
        <v/>
      </c>
      <c r="M558" s="8"/>
      <c r="N558" s="8"/>
      <c r="O558" s="8"/>
      <c r="P558" s="8"/>
      <c r="Q558" s="8"/>
      <c r="R558" s="8"/>
      <c r="S558" s="8"/>
      <c r="T558" s="8"/>
      <c r="U558" s="8"/>
      <c r="V558" s="7"/>
      <c r="W558" s="6" t="str">
        <f t="array" ref="W558">IF(NOT(ISBLANK(D558)),_xludf.XLOOKUP(D558,[2]CODE!$A$4:$A$100,[2]CODE!$D$4:$D$100),"")</f>
        <v/>
      </c>
      <c r="X558" s="5" t="str">
        <f t="array" ref="X558">IF(NOT(AND(ISBLANK(D558),ISBLANK(C558))),_xludf.XLOOKUP(D558,[2]CODE!$A$4:$A$100,[2]CODE!$E$4:$E$100),"")</f>
        <v/>
      </c>
      <c r="Y558" s="5" t="str">
        <f t="shared" si="59"/>
        <v/>
      </c>
      <c r="Z558" s="5" t="str">
        <f t="shared" si="60"/>
        <v/>
      </c>
      <c r="AA558" s="4">
        <f t="shared" si="61"/>
        <v>0</v>
      </c>
      <c r="AC558" s="2"/>
    </row>
    <row r="559" spans="1:29" ht="15.5">
      <c r="A559" s="13" t="str">
        <f>IF(OR(ISBLANK(C559),ISBLANK(D559),ISBLANK(F559),ISBLANK(G559)),"",COUNTIF($B$5:B559,"JAMBUTU"))</f>
        <v/>
      </c>
      <c r="B559" s="8" t="str">
        <f t="shared" si="62"/>
        <v/>
      </c>
      <c r="C559" s="8"/>
      <c r="D559" s="8"/>
      <c r="E559" s="13"/>
      <c r="F559" s="12"/>
      <c r="G559" s="11"/>
      <c r="H559" s="12"/>
      <c r="I559" s="11"/>
      <c r="J559" s="10">
        <f t="shared" si="56"/>
        <v>0</v>
      </c>
      <c r="K559" s="10">
        <f t="shared" si="57"/>
        <v>0</v>
      </c>
      <c r="L559" s="9" t="str">
        <f t="shared" si="58"/>
        <v/>
      </c>
      <c r="M559" s="8"/>
      <c r="N559" s="8"/>
      <c r="O559" s="8"/>
      <c r="P559" s="8"/>
      <c r="Q559" s="8"/>
      <c r="R559" s="8"/>
      <c r="S559" s="8"/>
      <c r="T559" s="8"/>
      <c r="U559" s="8"/>
      <c r="V559" s="7"/>
      <c r="W559" s="6" t="str">
        <f t="array" ref="W559">IF(NOT(ISBLANK(D559)),_xludf.XLOOKUP(D559,[2]CODE!$A$4:$A$100,[2]CODE!$D$4:$D$100),"")</f>
        <v/>
      </c>
      <c r="X559" s="5" t="str">
        <f t="array" ref="X559">IF(NOT(AND(ISBLANK(D559),ISBLANK(C559))),_xludf.XLOOKUP(D559,[2]CODE!$A$4:$A$100,[2]CODE!$E$4:$E$100),"")</f>
        <v/>
      </c>
      <c r="Y559" s="5" t="str">
        <f t="shared" si="59"/>
        <v/>
      </c>
      <c r="Z559" s="5" t="str">
        <f t="shared" si="60"/>
        <v/>
      </c>
      <c r="AA559" s="4">
        <f t="shared" si="61"/>
        <v>0</v>
      </c>
      <c r="AC559" s="2"/>
    </row>
    <row r="560" spans="1:29" ht="15.5">
      <c r="A560" s="13" t="str">
        <f>IF(OR(ISBLANK(C560),ISBLANK(D560),ISBLANK(F560),ISBLANK(G560)),"",COUNTIF($B$5:B560,"JAMBUTU"))</f>
        <v/>
      </c>
      <c r="B560" s="8" t="str">
        <f t="shared" si="62"/>
        <v/>
      </c>
      <c r="C560" s="8"/>
      <c r="D560" s="8"/>
      <c r="E560" s="13"/>
      <c r="F560" s="12"/>
      <c r="G560" s="11"/>
      <c r="H560" s="12"/>
      <c r="I560" s="11"/>
      <c r="J560" s="10">
        <f t="shared" si="56"/>
        <v>0</v>
      </c>
      <c r="K560" s="10">
        <f t="shared" si="57"/>
        <v>0</v>
      </c>
      <c r="L560" s="9" t="str">
        <f t="shared" si="58"/>
        <v/>
      </c>
      <c r="M560" s="8"/>
      <c r="N560" s="8"/>
      <c r="O560" s="8"/>
      <c r="P560" s="8"/>
      <c r="Q560" s="8"/>
      <c r="R560" s="8"/>
      <c r="S560" s="8"/>
      <c r="T560" s="8"/>
      <c r="U560" s="8"/>
      <c r="V560" s="7"/>
      <c r="W560" s="6" t="str">
        <f t="array" ref="W560">IF(NOT(ISBLANK(D560)),_xludf.XLOOKUP(D560,[2]CODE!$A$4:$A$100,[2]CODE!$D$4:$D$100),"")</f>
        <v/>
      </c>
      <c r="X560" s="5" t="str">
        <f t="array" ref="X560">IF(NOT(AND(ISBLANK(D560),ISBLANK(C560))),_xludf.XLOOKUP(D560,[2]CODE!$A$4:$A$100,[2]CODE!$E$4:$E$100),"")</f>
        <v/>
      </c>
      <c r="Y560" s="5" t="str">
        <f t="shared" si="59"/>
        <v/>
      </c>
      <c r="Z560" s="5" t="str">
        <f t="shared" si="60"/>
        <v/>
      </c>
      <c r="AA560" s="4">
        <f t="shared" si="61"/>
        <v>0</v>
      </c>
      <c r="AC560" s="2"/>
    </row>
    <row r="561" spans="1:29" ht="15.5">
      <c r="A561" s="13" t="str">
        <f>IF(OR(ISBLANK(C561),ISBLANK(D561),ISBLANK(F561),ISBLANK(G561)),"",COUNTIF($B$5:B561,"JAMBUTU"))</f>
        <v/>
      </c>
      <c r="B561" s="8" t="str">
        <f t="shared" si="62"/>
        <v/>
      </c>
      <c r="C561" s="8"/>
      <c r="D561" s="8"/>
      <c r="E561" s="13"/>
      <c r="F561" s="12"/>
      <c r="G561" s="11"/>
      <c r="H561" s="12"/>
      <c r="I561" s="11"/>
      <c r="J561" s="10">
        <f t="shared" si="56"/>
        <v>0</v>
      </c>
      <c r="K561" s="10">
        <f t="shared" si="57"/>
        <v>0</v>
      </c>
      <c r="L561" s="9" t="str">
        <f t="shared" si="58"/>
        <v/>
      </c>
      <c r="M561" s="8"/>
      <c r="N561" s="8"/>
      <c r="O561" s="8"/>
      <c r="P561" s="8"/>
      <c r="Q561" s="8"/>
      <c r="R561" s="8"/>
      <c r="S561" s="8"/>
      <c r="T561" s="8"/>
      <c r="U561" s="8"/>
      <c r="V561" s="7"/>
      <c r="W561" s="6" t="str">
        <f t="array" ref="W561">IF(NOT(ISBLANK(D561)),_xludf.XLOOKUP(D561,[2]CODE!$A$4:$A$100,[2]CODE!$D$4:$D$100),"")</f>
        <v/>
      </c>
      <c r="X561" s="5" t="str">
        <f t="array" ref="X561">IF(NOT(AND(ISBLANK(D561),ISBLANK(C561))),_xludf.XLOOKUP(D561,[2]CODE!$A$4:$A$100,[2]CODE!$E$4:$E$100),"")</f>
        <v/>
      </c>
      <c r="Y561" s="5" t="str">
        <f t="shared" si="59"/>
        <v/>
      </c>
      <c r="Z561" s="5" t="str">
        <f t="shared" si="60"/>
        <v/>
      </c>
      <c r="AA561" s="4">
        <f t="shared" si="61"/>
        <v>0</v>
      </c>
      <c r="AC561" s="2"/>
    </row>
    <row r="562" spans="1:29" ht="15.5">
      <c r="A562" s="13" t="str">
        <f>IF(OR(ISBLANK(C562),ISBLANK(D562),ISBLANK(F562),ISBLANK(G562)),"",COUNTIF($B$5:B562,"JAMBUTU"))</f>
        <v/>
      </c>
      <c r="B562" s="8" t="str">
        <f t="shared" si="62"/>
        <v/>
      </c>
      <c r="C562" s="8"/>
      <c r="D562" s="8"/>
      <c r="E562" s="13"/>
      <c r="F562" s="12"/>
      <c r="G562" s="11"/>
      <c r="H562" s="12"/>
      <c r="I562" s="11"/>
      <c r="J562" s="10">
        <f t="shared" si="56"/>
        <v>0</v>
      </c>
      <c r="K562" s="10">
        <f t="shared" si="57"/>
        <v>0</v>
      </c>
      <c r="L562" s="9" t="str">
        <f t="shared" si="58"/>
        <v/>
      </c>
      <c r="M562" s="8"/>
      <c r="N562" s="8"/>
      <c r="O562" s="8"/>
      <c r="P562" s="8"/>
      <c r="Q562" s="8"/>
      <c r="R562" s="8"/>
      <c r="S562" s="8"/>
      <c r="T562" s="8"/>
      <c r="U562" s="8"/>
      <c r="V562" s="7"/>
      <c r="W562" s="6" t="str">
        <f t="array" ref="W562">IF(NOT(ISBLANK(D562)),_xludf.XLOOKUP(D562,[2]CODE!$A$4:$A$100,[2]CODE!$D$4:$D$100),"")</f>
        <v/>
      </c>
      <c r="X562" s="5" t="str">
        <f t="array" ref="X562">IF(NOT(AND(ISBLANK(D562),ISBLANK(C562))),_xludf.XLOOKUP(D562,[2]CODE!$A$4:$A$100,[2]CODE!$E$4:$E$100),"")</f>
        <v/>
      </c>
      <c r="Y562" s="5" t="str">
        <f t="shared" si="59"/>
        <v/>
      </c>
      <c r="Z562" s="5" t="str">
        <f t="shared" si="60"/>
        <v/>
      </c>
      <c r="AA562" s="4">
        <f t="shared" si="61"/>
        <v>0</v>
      </c>
      <c r="AC562" s="2"/>
    </row>
    <row r="563" spans="1:29" ht="15.5">
      <c r="A563" s="13" t="str">
        <f>IF(OR(ISBLANK(C563),ISBLANK(D563),ISBLANK(F563),ISBLANK(G563)),"",COUNTIF($B$5:B563,"JAMBUTU"))</f>
        <v/>
      </c>
      <c r="B563" s="8" t="str">
        <f t="shared" si="62"/>
        <v/>
      </c>
      <c r="C563" s="8"/>
      <c r="D563" s="8"/>
      <c r="E563" s="13"/>
      <c r="F563" s="12"/>
      <c r="G563" s="11"/>
      <c r="H563" s="12"/>
      <c r="I563" s="11"/>
      <c r="J563" s="10">
        <f t="shared" si="56"/>
        <v>0</v>
      </c>
      <c r="K563" s="10">
        <f t="shared" si="57"/>
        <v>0</v>
      </c>
      <c r="L563" s="9" t="str">
        <f t="shared" si="58"/>
        <v/>
      </c>
      <c r="M563" s="8"/>
      <c r="N563" s="8"/>
      <c r="O563" s="8"/>
      <c r="P563" s="8"/>
      <c r="Q563" s="8"/>
      <c r="R563" s="8"/>
      <c r="S563" s="8"/>
      <c r="T563" s="8"/>
      <c r="U563" s="8"/>
      <c r="V563" s="7"/>
      <c r="W563" s="6" t="str">
        <f t="array" ref="W563">IF(NOT(ISBLANK(D563)),_xludf.XLOOKUP(D563,[2]CODE!$A$4:$A$100,[2]CODE!$D$4:$D$100),"")</f>
        <v/>
      </c>
      <c r="X563" s="5" t="str">
        <f t="array" ref="X563">IF(NOT(AND(ISBLANK(D563),ISBLANK(C563))),_xludf.XLOOKUP(D563,[2]CODE!$A$4:$A$100,[2]CODE!$E$4:$E$100),"")</f>
        <v/>
      </c>
      <c r="Y563" s="5" t="str">
        <f t="shared" si="59"/>
        <v/>
      </c>
      <c r="Z563" s="5" t="str">
        <f t="shared" si="60"/>
        <v/>
      </c>
      <c r="AA563" s="4">
        <f t="shared" si="61"/>
        <v>0</v>
      </c>
      <c r="AC563" s="2"/>
    </row>
    <row r="564" spans="1:29" ht="15.5">
      <c r="A564" s="13" t="str">
        <f>IF(OR(ISBLANK(C564),ISBLANK(D564),ISBLANK(F564),ISBLANK(G564)),"",COUNTIF($B$5:B564,"JAMBUTU"))</f>
        <v/>
      </c>
      <c r="B564" s="8" t="str">
        <f t="shared" si="62"/>
        <v/>
      </c>
      <c r="C564" s="8"/>
      <c r="D564" s="8"/>
      <c r="E564" s="13"/>
      <c r="F564" s="12"/>
      <c r="G564" s="11"/>
      <c r="H564" s="12"/>
      <c r="I564" s="11"/>
      <c r="J564" s="10">
        <f t="shared" si="56"/>
        <v>0</v>
      </c>
      <c r="K564" s="10">
        <f t="shared" si="57"/>
        <v>0</v>
      </c>
      <c r="L564" s="9" t="str">
        <f t="shared" si="58"/>
        <v/>
      </c>
      <c r="M564" s="8"/>
      <c r="N564" s="8"/>
      <c r="O564" s="8"/>
      <c r="P564" s="8"/>
      <c r="Q564" s="8"/>
      <c r="R564" s="8"/>
      <c r="S564" s="8"/>
      <c r="T564" s="8"/>
      <c r="U564" s="8"/>
      <c r="V564" s="7"/>
      <c r="W564" s="6" t="str">
        <f t="array" ref="W564">IF(NOT(ISBLANK(D564)),_xludf.XLOOKUP(D564,[2]CODE!$A$4:$A$100,[2]CODE!$D$4:$D$100),"")</f>
        <v/>
      </c>
      <c r="X564" s="5" t="str">
        <f t="array" ref="X564">IF(NOT(AND(ISBLANK(D564),ISBLANK(C564))),_xludf.XLOOKUP(D564,[2]CODE!$A$4:$A$100,[2]CODE!$E$4:$E$100),"")</f>
        <v/>
      </c>
      <c r="Y564" s="5" t="str">
        <f t="shared" si="59"/>
        <v/>
      </c>
      <c r="Z564" s="5" t="str">
        <f t="shared" si="60"/>
        <v/>
      </c>
      <c r="AA564" s="4">
        <f t="shared" si="61"/>
        <v>0</v>
      </c>
      <c r="AC564" s="2"/>
    </row>
    <row r="565" spans="1:29" ht="15.5">
      <c r="A565" s="13" t="str">
        <f>IF(OR(ISBLANK(C565),ISBLANK(D565),ISBLANK(F565),ISBLANK(G565)),"",COUNTIF($B$5:B565,"JAMBUTU"))</f>
        <v/>
      </c>
      <c r="B565" s="8" t="str">
        <f t="shared" si="62"/>
        <v/>
      </c>
      <c r="C565" s="8"/>
      <c r="D565" s="8"/>
      <c r="E565" s="13"/>
      <c r="F565" s="12"/>
      <c r="G565" s="11"/>
      <c r="H565" s="12"/>
      <c r="I565" s="11"/>
      <c r="J565" s="10">
        <f t="shared" si="56"/>
        <v>0</v>
      </c>
      <c r="K565" s="10">
        <f t="shared" si="57"/>
        <v>0</v>
      </c>
      <c r="L565" s="9" t="str">
        <f t="shared" si="58"/>
        <v/>
      </c>
      <c r="M565" s="8"/>
      <c r="N565" s="8"/>
      <c r="O565" s="8"/>
      <c r="P565" s="8"/>
      <c r="Q565" s="8"/>
      <c r="R565" s="8"/>
      <c r="S565" s="8"/>
      <c r="T565" s="8"/>
      <c r="U565" s="8"/>
      <c r="V565" s="7"/>
      <c r="W565" s="6" t="str">
        <f t="array" ref="W565">IF(NOT(ISBLANK(D565)),_xludf.XLOOKUP(D565,[2]CODE!$A$4:$A$100,[2]CODE!$D$4:$D$100),"")</f>
        <v/>
      </c>
      <c r="X565" s="5" t="str">
        <f t="array" ref="X565">IF(NOT(AND(ISBLANK(D565),ISBLANK(C565))),_xludf.XLOOKUP(D565,[2]CODE!$A$4:$A$100,[2]CODE!$E$4:$E$100),"")</f>
        <v/>
      </c>
      <c r="Y565" s="5" t="str">
        <f t="shared" si="59"/>
        <v/>
      </c>
      <c r="Z565" s="5" t="str">
        <f t="shared" si="60"/>
        <v/>
      </c>
      <c r="AA565" s="4">
        <f t="shared" si="61"/>
        <v>0</v>
      </c>
      <c r="AC565" s="2"/>
    </row>
    <row r="566" spans="1:29" ht="15.5">
      <c r="A566" s="13" t="str">
        <f>IF(OR(ISBLANK(C566),ISBLANK(D566),ISBLANK(F566),ISBLANK(G566)),"",COUNTIF($B$5:B566,"JAMBUTU"))</f>
        <v/>
      </c>
      <c r="B566" s="8" t="str">
        <f t="shared" si="62"/>
        <v/>
      </c>
      <c r="C566" s="8"/>
      <c r="D566" s="8"/>
      <c r="E566" s="13"/>
      <c r="F566" s="12"/>
      <c r="G566" s="11"/>
      <c r="H566" s="12"/>
      <c r="I566" s="11"/>
      <c r="J566" s="10">
        <f t="shared" si="56"/>
        <v>0</v>
      </c>
      <c r="K566" s="10">
        <f t="shared" si="57"/>
        <v>0</v>
      </c>
      <c r="L566" s="9" t="str">
        <f t="shared" si="58"/>
        <v/>
      </c>
      <c r="M566" s="8"/>
      <c r="N566" s="8"/>
      <c r="O566" s="8"/>
      <c r="P566" s="8"/>
      <c r="Q566" s="8"/>
      <c r="R566" s="8"/>
      <c r="S566" s="8"/>
      <c r="T566" s="8"/>
      <c r="U566" s="8"/>
      <c r="V566" s="7"/>
      <c r="W566" s="6" t="str">
        <f t="array" ref="W566">IF(NOT(ISBLANK(D566)),_xludf.XLOOKUP(D566,[2]CODE!$A$4:$A$100,[2]CODE!$D$4:$D$100),"")</f>
        <v/>
      </c>
      <c r="X566" s="5" t="str">
        <f t="array" ref="X566">IF(NOT(AND(ISBLANK(D566),ISBLANK(C566))),_xludf.XLOOKUP(D566,[2]CODE!$A$4:$A$100,[2]CODE!$E$4:$E$100),"")</f>
        <v/>
      </c>
      <c r="Y566" s="5" t="str">
        <f t="shared" si="59"/>
        <v/>
      </c>
      <c r="Z566" s="5" t="str">
        <f t="shared" si="60"/>
        <v/>
      </c>
      <c r="AA566" s="4">
        <f t="shared" si="61"/>
        <v>0</v>
      </c>
      <c r="AC566" s="2"/>
    </row>
    <row r="567" spans="1:29" ht="15.5">
      <c r="A567" s="13" t="str">
        <f>IF(OR(ISBLANK(C567),ISBLANK(D567),ISBLANK(F567),ISBLANK(G567)),"",COUNTIF($B$5:B567,"JAMBUTU"))</f>
        <v/>
      </c>
      <c r="B567" s="8" t="str">
        <f t="shared" si="62"/>
        <v/>
      </c>
      <c r="C567" s="8"/>
      <c r="D567" s="8"/>
      <c r="E567" s="13"/>
      <c r="F567" s="12"/>
      <c r="G567" s="11"/>
      <c r="H567" s="12"/>
      <c r="I567" s="11"/>
      <c r="J567" s="10">
        <f t="shared" si="56"/>
        <v>0</v>
      </c>
      <c r="K567" s="10">
        <f t="shared" si="57"/>
        <v>0</v>
      </c>
      <c r="L567" s="9" t="str">
        <f t="shared" si="58"/>
        <v/>
      </c>
      <c r="M567" s="8"/>
      <c r="N567" s="8"/>
      <c r="O567" s="8"/>
      <c r="P567" s="8"/>
      <c r="Q567" s="8"/>
      <c r="R567" s="8"/>
      <c r="S567" s="8"/>
      <c r="T567" s="8"/>
      <c r="U567" s="8"/>
      <c r="V567" s="7"/>
      <c r="W567" s="6" t="str">
        <f t="array" ref="W567">IF(NOT(ISBLANK(D567)),_xludf.XLOOKUP(D567,[2]CODE!$A$4:$A$100,[2]CODE!$D$4:$D$100),"")</f>
        <v/>
      </c>
      <c r="X567" s="5" t="str">
        <f t="array" ref="X567">IF(NOT(AND(ISBLANK(D567),ISBLANK(C567))),_xludf.XLOOKUP(D567,[2]CODE!$A$4:$A$100,[2]CODE!$E$4:$E$100),"")</f>
        <v/>
      </c>
      <c r="Y567" s="5" t="str">
        <f t="shared" si="59"/>
        <v/>
      </c>
      <c r="Z567" s="5" t="str">
        <f t="shared" si="60"/>
        <v/>
      </c>
      <c r="AA567" s="4">
        <f t="shared" si="61"/>
        <v>0</v>
      </c>
      <c r="AC567" s="2"/>
    </row>
    <row r="568" spans="1:29" ht="15.5">
      <c r="A568" s="13" t="str">
        <f>IF(OR(ISBLANK(C568),ISBLANK(D568),ISBLANK(F568),ISBLANK(G568)),"",COUNTIF($B$5:B568,"JAMBUTU"))</f>
        <v/>
      </c>
      <c r="B568" s="8" t="str">
        <f t="shared" si="62"/>
        <v/>
      </c>
      <c r="C568" s="8"/>
      <c r="D568" s="8"/>
      <c r="E568" s="13"/>
      <c r="F568" s="12"/>
      <c r="G568" s="11"/>
      <c r="H568" s="12"/>
      <c r="I568" s="11"/>
      <c r="J568" s="10">
        <f t="shared" si="56"/>
        <v>0</v>
      </c>
      <c r="K568" s="10">
        <f t="shared" si="57"/>
        <v>0</v>
      </c>
      <c r="L568" s="9" t="str">
        <f t="shared" si="58"/>
        <v/>
      </c>
      <c r="M568" s="8"/>
      <c r="N568" s="8"/>
      <c r="O568" s="8"/>
      <c r="P568" s="8"/>
      <c r="Q568" s="8"/>
      <c r="R568" s="8"/>
      <c r="S568" s="8"/>
      <c r="T568" s="8"/>
      <c r="U568" s="8"/>
      <c r="V568" s="7"/>
      <c r="W568" s="6" t="str">
        <f t="array" ref="W568">IF(NOT(ISBLANK(D568)),_xludf.XLOOKUP(D568,[2]CODE!$A$4:$A$100,[2]CODE!$D$4:$D$100),"")</f>
        <v/>
      </c>
      <c r="X568" s="5" t="str">
        <f t="array" ref="X568">IF(NOT(AND(ISBLANK(D568),ISBLANK(C568))),_xludf.XLOOKUP(D568,[2]CODE!$A$4:$A$100,[2]CODE!$E$4:$E$100),"")</f>
        <v/>
      </c>
      <c r="Y568" s="5" t="str">
        <f t="shared" si="59"/>
        <v/>
      </c>
      <c r="Z568" s="5" t="str">
        <f t="shared" si="60"/>
        <v/>
      </c>
      <c r="AA568" s="4">
        <f t="shared" si="61"/>
        <v>0</v>
      </c>
      <c r="AC568" s="2"/>
    </row>
    <row r="569" spans="1:29" ht="15.5">
      <c r="A569" s="13" t="str">
        <f>IF(OR(ISBLANK(C569),ISBLANK(D569),ISBLANK(F569),ISBLANK(G569)),"",COUNTIF($B$5:B569,"JAMBUTU"))</f>
        <v/>
      </c>
      <c r="B569" s="8" t="str">
        <f t="shared" si="62"/>
        <v/>
      </c>
      <c r="C569" s="8"/>
      <c r="D569" s="8"/>
      <c r="E569" s="13"/>
      <c r="F569" s="12"/>
      <c r="G569" s="11"/>
      <c r="H569" s="12"/>
      <c r="I569" s="11"/>
      <c r="J569" s="10">
        <f t="shared" si="56"/>
        <v>0</v>
      </c>
      <c r="K569" s="10">
        <f t="shared" si="57"/>
        <v>0</v>
      </c>
      <c r="L569" s="9" t="str">
        <f t="shared" si="58"/>
        <v/>
      </c>
      <c r="M569" s="8"/>
      <c r="N569" s="8"/>
      <c r="O569" s="8"/>
      <c r="P569" s="8"/>
      <c r="Q569" s="8"/>
      <c r="R569" s="8"/>
      <c r="S569" s="8"/>
      <c r="T569" s="8"/>
      <c r="U569" s="8"/>
      <c r="V569" s="7"/>
      <c r="W569" s="6" t="str">
        <f t="array" ref="W569">IF(NOT(ISBLANK(D569)),_xludf.XLOOKUP(D569,[2]CODE!$A$4:$A$100,[2]CODE!$D$4:$D$100),"")</f>
        <v/>
      </c>
      <c r="X569" s="5" t="str">
        <f t="array" ref="X569">IF(NOT(AND(ISBLANK(D569),ISBLANK(C569))),_xludf.XLOOKUP(D569,[2]CODE!$A$4:$A$100,[2]CODE!$E$4:$E$100),"")</f>
        <v/>
      </c>
      <c r="Y569" s="5" t="str">
        <f t="shared" si="59"/>
        <v/>
      </c>
      <c r="Z569" s="5" t="str">
        <f t="shared" si="60"/>
        <v/>
      </c>
      <c r="AA569" s="4">
        <f t="shared" si="61"/>
        <v>0</v>
      </c>
      <c r="AC569" s="2"/>
    </row>
    <row r="570" spans="1:29" ht="15.5">
      <c r="A570" s="13" t="str">
        <f>IF(OR(ISBLANK(C570),ISBLANK(D570),ISBLANK(F570),ISBLANK(G570)),"",COUNTIF($B$5:B570,"JAMBUTU"))</f>
        <v/>
      </c>
      <c r="B570" s="8" t="str">
        <f t="shared" si="62"/>
        <v/>
      </c>
      <c r="C570" s="8"/>
      <c r="D570" s="8"/>
      <c r="E570" s="13"/>
      <c r="F570" s="12"/>
      <c r="G570" s="11"/>
      <c r="H570" s="12"/>
      <c r="I570" s="11"/>
      <c r="J570" s="10">
        <f t="shared" si="56"/>
        <v>0</v>
      </c>
      <c r="K570" s="10">
        <f t="shared" si="57"/>
        <v>0</v>
      </c>
      <c r="L570" s="9" t="str">
        <f t="shared" si="58"/>
        <v/>
      </c>
      <c r="M570" s="8"/>
      <c r="N570" s="8"/>
      <c r="O570" s="8"/>
      <c r="P570" s="8"/>
      <c r="Q570" s="8"/>
      <c r="R570" s="8"/>
      <c r="S570" s="8"/>
      <c r="T570" s="8"/>
      <c r="U570" s="8"/>
      <c r="V570" s="7"/>
      <c r="W570" s="6" t="str">
        <f t="array" ref="W570">IF(NOT(ISBLANK(D570)),_xludf.XLOOKUP(D570,[2]CODE!$A$4:$A$100,[2]CODE!$D$4:$D$100),"")</f>
        <v/>
      </c>
      <c r="X570" s="5" t="str">
        <f t="array" ref="X570">IF(NOT(AND(ISBLANK(D570),ISBLANK(C570))),_xludf.XLOOKUP(D570,[2]CODE!$A$4:$A$100,[2]CODE!$E$4:$E$100),"")</f>
        <v/>
      </c>
      <c r="Y570" s="5" t="str">
        <f t="shared" si="59"/>
        <v/>
      </c>
      <c r="Z570" s="5" t="str">
        <f t="shared" si="60"/>
        <v/>
      </c>
      <c r="AA570" s="4">
        <f t="shared" si="61"/>
        <v>0</v>
      </c>
      <c r="AC570" s="2"/>
    </row>
    <row r="571" spans="1:29" ht="15.5">
      <c r="A571" s="13" t="str">
        <f>IF(OR(ISBLANK(C571),ISBLANK(D571),ISBLANK(F571),ISBLANK(G571)),"",COUNTIF($B$5:B571,"JAMBUTU"))</f>
        <v/>
      </c>
      <c r="B571" s="8" t="str">
        <f t="shared" si="62"/>
        <v/>
      </c>
      <c r="C571" s="8"/>
      <c r="D571" s="8"/>
      <c r="E571" s="13"/>
      <c r="F571" s="12"/>
      <c r="G571" s="11"/>
      <c r="H571" s="12"/>
      <c r="I571" s="11"/>
      <c r="J571" s="10">
        <f t="shared" si="56"/>
        <v>0</v>
      </c>
      <c r="K571" s="10">
        <f t="shared" si="57"/>
        <v>0</v>
      </c>
      <c r="L571" s="9" t="str">
        <f t="shared" si="58"/>
        <v/>
      </c>
      <c r="M571" s="8"/>
      <c r="N571" s="8"/>
      <c r="O571" s="8"/>
      <c r="P571" s="8"/>
      <c r="Q571" s="8"/>
      <c r="R571" s="8"/>
      <c r="S571" s="8"/>
      <c r="T571" s="8"/>
      <c r="U571" s="8"/>
      <c r="V571" s="7"/>
      <c r="W571" s="6" t="str">
        <f t="array" ref="W571">IF(NOT(ISBLANK(D571)),_xludf.XLOOKUP(D571,[2]CODE!$A$4:$A$100,[2]CODE!$D$4:$D$100),"")</f>
        <v/>
      </c>
      <c r="X571" s="5" t="str">
        <f t="array" ref="X571">IF(NOT(AND(ISBLANK(D571),ISBLANK(C571))),_xludf.XLOOKUP(D571,[2]CODE!$A$4:$A$100,[2]CODE!$E$4:$E$100),"")</f>
        <v/>
      </c>
      <c r="Y571" s="5" t="str">
        <f t="shared" si="59"/>
        <v/>
      </c>
      <c r="Z571" s="5" t="str">
        <f t="shared" si="60"/>
        <v/>
      </c>
      <c r="AA571" s="4">
        <f t="shared" si="61"/>
        <v>0</v>
      </c>
      <c r="AC571" s="2"/>
    </row>
    <row r="572" spans="1:29" ht="15.5">
      <c r="A572" s="13" t="str">
        <f>IF(OR(ISBLANK(C572),ISBLANK(D572),ISBLANK(F572),ISBLANK(G572)),"",COUNTIF($B$5:B572,"JAMBUTU"))</f>
        <v/>
      </c>
      <c r="B572" s="8" t="str">
        <f t="shared" si="62"/>
        <v/>
      </c>
      <c r="C572" s="8"/>
      <c r="D572" s="8"/>
      <c r="E572" s="13"/>
      <c r="F572" s="12"/>
      <c r="G572" s="11"/>
      <c r="H572" s="12"/>
      <c r="I572" s="11"/>
      <c r="J572" s="10">
        <f t="shared" si="56"/>
        <v>0</v>
      </c>
      <c r="K572" s="10">
        <f t="shared" si="57"/>
        <v>0</v>
      </c>
      <c r="L572" s="9" t="str">
        <f t="shared" si="58"/>
        <v/>
      </c>
      <c r="M572" s="8"/>
      <c r="N572" s="8"/>
      <c r="O572" s="8"/>
      <c r="P572" s="8"/>
      <c r="Q572" s="8"/>
      <c r="R572" s="8"/>
      <c r="S572" s="8"/>
      <c r="T572" s="8"/>
      <c r="U572" s="8"/>
      <c r="V572" s="7"/>
      <c r="W572" s="6" t="str">
        <f t="array" ref="W572">IF(NOT(ISBLANK(D572)),_xludf.XLOOKUP(D572,[2]CODE!$A$4:$A$100,[2]CODE!$D$4:$D$100),"")</f>
        <v/>
      </c>
      <c r="X572" s="5" t="str">
        <f t="array" ref="X572">IF(NOT(AND(ISBLANK(D572),ISBLANK(C572))),_xludf.XLOOKUP(D572,[2]CODE!$A$4:$A$100,[2]CODE!$E$4:$E$100),"")</f>
        <v/>
      </c>
      <c r="Y572" s="5" t="str">
        <f t="shared" si="59"/>
        <v/>
      </c>
      <c r="Z572" s="5" t="str">
        <f t="shared" si="60"/>
        <v/>
      </c>
      <c r="AA572" s="4">
        <f t="shared" si="61"/>
        <v>0</v>
      </c>
      <c r="AC572" s="2"/>
    </row>
    <row r="573" spans="1:29" ht="15.5">
      <c r="A573" s="13" t="str">
        <f>IF(OR(ISBLANK(C573),ISBLANK(D573),ISBLANK(F573),ISBLANK(G573)),"",COUNTIF($B$5:B573,"JAMBUTU"))</f>
        <v/>
      </c>
      <c r="B573" s="8" t="str">
        <f t="shared" si="62"/>
        <v/>
      </c>
      <c r="C573" s="8"/>
      <c r="D573" s="8"/>
      <c r="E573" s="13"/>
      <c r="F573" s="12"/>
      <c r="G573" s="11"/>
      <c r="H573" s="12"/>
      <c r="I573" s="11"/>
      <c r="J573" s="10">
        <f t="shared" si="56"/>
        <v>0</v>
      </c>
      <c r="K573" s="10">
        <f t="shared" si="57"/>
        <v>0</v>
      </c>
      <c r="L573" s="9" t="str">
        <f t="shared" si="58"/>
        <v/>
      </c>
      <c r="M573" s="8"/>
      <c r="N573" s="8"/>
      <c r="O573" s="8"/>
      <c r="P573" s="8"/>
      <c r="Q573" s="8"/>
      <c r="R573" s="8"/>
      <c r="S573" s="8"/>
      <c r="T573" s="8"/>
      <c r="U573" s="8"/>
      <c r="V573" s="7"/>
      <c r="W573" s="6" t="str">
        <f t="array" ref="W573">IF(NOT(ISBLANK(D573)),_xludf.XLOOKUP(D573,[2]CODE!$A$4:$A$100,[2]CODE!$D$4:$D$100),"")</f>
        <v/>
      </c>
      <c r="X573" s="5" t="str">
        <f t="array" ref="X573">IF(NOT(AND(ISBLANK(D573),ISBLANK(C573))),_xludf.XLOOKUP(D573,[2]CODE!$A$4:$A$100,[2]CODE!$E$4:$E$100),"")</f>
        <v/>
      </c>
      <c r="Y573" s="5" t="str">
        <f t="shared" si="59"/>
        <v/>
      </c>
      <c r="Z573" s="5" t="str">
        <f t="shared" si="60"/>
        <v/>
      </c>
      <c r="AA573" s="4">
        <f t="shared" si="61"/>
        <v>0</v>
      </c>
      <c r="AC573" s="2"/>
    </row>
    <row r="574" spans="1:29" ht="15.5">
      <c r="A574" s="13" t="str">
        <f>IF(OR(ISBLANK(C574),ISBLANK(D574),ISBLANK(F574),ISBLANK(G574)),"",COUNTIF($B$5:B574,"JAMBUTU"))</f>
        <v/>
      </c>
      <c r="B574" s="8" t="str">
        <f t="shared" si="62"/>
        <v/>
      </c>
      <c r="C574" s="8"/>
      <c r="D574" s="8"/>
      <c r="E574" s="13"/>
      <c r="F574" s="12"/>
      <c r="G574" s="11"/>
      <c r="H574" s="12"/>
      <c r="I574" s="11"/>
      <c r="J574" s="10">
        <f t="shared" si="56"/>
        <v>0</v>
      </c>
      <c r="K574" s="10">
        <f t="shared" si="57"/>
        <v>0</v>
      </c>
      <c r="L574" s="9" t="str">
        <f t="shared" si="58"/>
        <v/>
      </c>
      <c r="M574" s="8"/>
      <c r="N574" s="8"/>
      <c r="O574" s="8"/>
      <c r="P574" s="8"/>
      <c r="Q574" s="8"/>
      <c r="R574" s="8"/>
      <c r="S574" s="8"/>
      <c r="T574" s="8"/>
      <c r="U574" s="8"/>
      <c r="V574" s="7"/>
      <c r="W574" s="6" t="str">
        <f t="array" ref="W574">IF(NOT(ISBLANK(D574)),_xludf.XLOOKUP(D574,[2]CODE!$A$4:$A$100,[2]CODE!$D$4:$D$100),"")</f>
        <v/>
      </c>
      <c r="X574" s="5" t="str">
        <f t="array" ref="X574">IF(NOT(AND(ISBLANK(D574),ISBLANK(C574))),_xludf.XLOOKUP(D574,[2]CODE!$A$4:$A$100,[2]CODE!$E$4:$E$100),"")</f>
        <v/>
      </c>
      <c r="Y574" s="5" t="str">
        <f t="shared" si="59"/>
        <v/>
      </c>
      <c r="Z574" s="5" t="str">
        <f t="shared" si="60"/>
        <v/>
      </c>
      <c r="AA574" s="4">
        <f t="shared" si="61"/>
        <v>0</v>
      </c>
      <c r="AC574" s="2"/>
    </row>
    <row r="575" spans="1:29" ht="15.5">
      <c r="A575" s="13" t="str">
        <f>IF(OR(ISBLANK(C575),ISBLANK(D575),ISBLANK(F575),ISBLANK(G575)),"",COUNTIF($B$5:B575,"JAMBUTU"))</f>
        <v/>
      </c>
      <c r="B575" s="8" t="str">
        <f t="shared" si="62"/>
        <v/>
      </c>
      <c r="C575" s="8"/>
      <c r="D575" s="8"/>
      <c r="E575" s="13"/>
      <c r="F575" s="12"/>
      <c r="G575" s="11"/>
      <c r="H575" s="12"/>
      <c r="I575" s="11"/>
      <c r="J575" s="10">
        <f t="shared" si="56"/>
        <v>0</v>
      </c>
      <c r="K575" s="10">
        <f t="shared" si="57"/>
        <v>0</v>
      </c>
      <c r="L575" s="9" t="str">
        <f t="shared" si="58"/>
        <v/>
      </c>
      <c r="M575" s="8"/>
      <c r="N575" s="8"/>
      <c r="O575" s="8"/>
      <c r="P575" s="8"/>
      <c r="Q575" s="8"/>
      <c r="R575" s="8"/>
      <c r="S575" s="8"/>
      <c r="T575" s="8"/>
      <c r="U575" s="8"/>
      <c r="V575" s="7"/>
      <c r="W575" s="6" t="str">
        <f t="array" ref="W575">IF(NOT(ISBLANK(D575)),_xludf.XLOOKUP(D575,[2]CODE!$A$4:$A$100,[2]CODE!$D$4:$D$100),"")</f>
        <v/>
      </c>
      <c r="X575" s="5" t="str">
        <f t="array" ref="X575">IF(NOT(AND(ISBLANK(D575),ISBLANK(C575))),_xludf.XLOOKUP(D575,[2]CODE!$A$4:$A$100,[2]CODE!$E$4:$E$100),"")</f>
        <v/>
      </c>
      <c r="Y575" s="5" t="str">
        <f t="shared" si="59"/>
        <v/>
      </c>
      <c r="Z575" s="5" t="str">
        <f t="shared" si="60"/>
        <v/>
      </c>
      <c r="AA575" s="4">
        <f t="shared" si="61"/>
        <v>0</v>
      </c>
      <c r="AC575" s="2"/>
    </row>
    <row r="576" spans="1:29" ht="15.5">
      <c r="A576" s="13" t="str">
        <f>IF(OR(ISBLANK(C576),ISBLANK(D576),ISBLANK(F576),ISBLANK(G576)),"",COUNTIF($B$5:B576,"JAMBUTU"))</f>
        <v/>
      </c>
      <c r="B576" s="8" t="str">
        <f t="shared" si="62"/>
        <v/>
      </c>
      <c r="C576" s="8"/>
      <c r="D576" s="8"/>
      <c r="E576" s="13"/>
      <c r="F576" s="12"/>
      <c r="G576" s="11"/>
      <c r="H576" s="12"/>
      <c r="I576" s="11"/>
      <c r="J576" s="10">
        <f t="shared" si="56"/>
        <v>0</v>
      </c>
      <c r="K576" s="10">
        <f t="shared" si="57"/>
        <v>0</v>
      </c>
      <c r="L576" s="9" t="str">
        <f t="shared" si="58"/>
        <v/>
      </c>
      <c r="M576" s="8"/>
      <c r="N576" s="8"/>
      <c r="O576" s="8"/>
      <c r="P576" s="8"/>
      <c r="Q576" s="8"/>
      <c r="R576" s="8"/>
      <c r="S576" s="8"/>
      <c r="T576" s="8"/>
      <c r="U576" s="8"/>
      <c r="V576" s="7"/>
      <c r="W576" s="6" t="str">
        <f t="array" ref="W576">IF(NOT(ISBLANK(D576)),_xludf.XLOOKUP(D576,[2]CODE!$A$4:$A$100,[2]CODE!$D$4:$D$100),"")</f>
        <v/>
      </c>
      <c r="X576" s="5" t="str">
        <f t="array" ref="X576">IF(NOT(AND(ISBLANK(D576),ISBLANK(C576))),_xludf.XLOOKUP(D576,[2]CODE!$A$4:$A$100,[2]CODE!$E$4:$E$100),"")</f>
        <v/>
      </c>
      <c r="Y576" s="5" t="str">
        <f t="shared" si="59"/>
        <v/>
      </c>
      <c r="Z576" s="5" t="str">
        <f t="shared" si="60"/>
        <v/>
      </c>
      <c r="AA576" s="4">
        <f t="shared" si="61"/>
        <v>0</v>
      </c>
      <c r="AC576" s="2"/>
    </row>
    <row r="577" spans="1:29" ht="15.5">
      <c r="A577" s="13" t="str">
        <f>IF(OR(ISBLANK(C577),ISBLANK(D577),ISBLANK(F577),ISBLANK(G577)),"",COUNTIF($B$5:B577,"JAMBUTU"))</f>
        <v/>
      </c>
      <c r="B577" s="8" t="str">
        <f t="shared" si="62"/>
        <v/>
      </c>
      <c r="C577" s="8"/>
      <c r="D577" s="8"/>
      <c r="E577" s="13"/>
      <c r="F577" s="12"/>
      <c r="G577" s="11"/>
      <c r="H577" s="12"/>
      <c r="I577" s="11"/>
      <c r="J577" s="10">
        <f t="shared" si="56"/>
        <v>0</v>
      </c>
      <c r="K577" s="10">
        <f t="shared" si="57"/>
        <v>0</v>
      </c>
      <c r="L577" s="9" t="str">
        <f t="shared" si="58"/>
        <v/>
      </c>
      <c r="M577" s="8"/>
      <c r="N577" s="8"/>
      <c r="O577" s="8"/>
      <c r="P577" s="8"/>
      <c r="Q577" s="8"/>
      <c r="R577" s="8"/>
      <c r="S577" s="8"/>
      <c r="T577" s="8"/>
      <c r="U577" s="8"/>
      <c r="V577" s="7"/>
      <c r="W577" s="6" t="str">
        <f t="array" ref="W577">IF(NOT(ISBLANK(D577)),_xludf.XLOOKUP(D577,[2]CODE!$A$4:$A$100,[2]CODE!$D$4:$D$100),"")</f>
        <v/>
      </c>
      <c r="X577" s="5" t="str">
        <f t="array" ref="X577">IF(NOT(AND(ISBLANK(D577),ISBLANK(C577))),_xludf.XLOOKUP(D577,[2]CODE!$A$4:$A$100,[2]CODE!$E$4:$E$100),"")</f>
        <v/>
      </c>
      <c r="Y577" s="5" t="str">
        <f t="shared" si="59"/>
        <v/>
      </c>
      <c r="Z577" s="5" t="str">
        <f t="shared" si="60"/>
        <v/>
      </c>
      <c r="AA577" s="4">
        <f t="shared" si="61"/>
        <v>0</v>
      </c>
      <c r="AC577" s="2"/>
    </row>
    <row r="578" spans="1:29" ht="15.5">
      <c r="A578" s="13" t="str">
        <f>IF(OR(ISBLANK(C578),ISBLANK(D578),ISBLANK(F578),ISBLANK(G578)),"",COUNTIF($B$5:B578,"JAMBUTU"))</f>
        <v/>
      </c>
      <c r="B578" s="8" t="str">
        <f t="shared" si="62"/>
        <v/>
      </c>
      <c r="C578" s="8"/>
      <c r="D578" s="8"/>
      <c r="E578" s="13"/>
      <c r="F578" s="12"/>
      <c r="G578" s="11"/>
      <c r="H578" s="12"/>
      <c r="I578" s="11"/>
      <c r="J578" s="10">
        <f t="shared" si="56"/>
        <v>0</v>
      </c>
      <c r="K578" s="10">
        <f t="shared" si="57"/>
        <v>0</v>
      </c>
      <c r="L578" s="9" t="str">
        <f t="shared" si="58"/>
        <v/>
      </c>
      <c r="M578" s="8"/>
      <c r="N578" s="8"/>
      <c r="O578" s="8"/>
      <c r="P578" s="8"/>
      <c r="Q578" s="8"/>
      <c r="R578" s="8"/>
      <c r="S578" s="8"/>
      <c r="T578" s="8"/>
      <c r="U578" s="8"/>
      <c r="V578" s="7"/>
      <c r="W578" s="6" t="str">
        <f t="array" ref="W578">IF(NOT(ISBLANK(D578)),_xludf.XLOOKUP(D578,[2]CODE!$A$4:$A$100,[2]CODE!$D$4:$D$100),"")</f>
        <v/>
      </c>
      <c r="X578" s="5" t="str">
        <f t="array" ref="X578">IF(NOT(AND(ISBLANK(D578),ISBLANK(C578))),_xludf.XLOOKUP(D578,[2]CODE!$A$4:$A$100,[2]CODE!$E$4:$E$100),"")</f>
        <v/>
      </c>
      <c r="Y578" s="5" t="str">
        <f t="shared" si="59"/>
        <v/>
      </c>
      <c r="Z578" s="5" t="str">
        <f t="shared" si="60"/>
        <v/>
      </c>
      <c r="AA578" s="4">
        <f t="shared" si="61"/>
        <v>0</v>
      </c>
      <c r="AC578" s="2"/>
    </row>
    <row r="579" spans="1:29" ht="15.5">
      <c r="A579" s="13" t="str">
        <f>IF(OR(ISBLANK(C579),ISBLANK(D579),ISBLANK(F579),ISBLANK(G579)),"",COUNTIF($B$5:B579,"JAMBUTU"))</f>
        <v/>
      </c>
      <c r="B579" s="8" t="str">
        <f t="shared" si="62"/>
        <v/>
      </c>
      <c r="C579" s="8"/>
      <c r="D579" s="8"/>
      <c r="E579" s="13"/>
      <c r="F579" s="12"/>
      <c r="G579" s="11"/>
      <c r="H579" s="12"/>
      <c r="I579" s="11"/>
      <c r="J579" s="10">
        <f t="shared" si="56"/>
        <v>0</v>
      </c>
      <c r="K579" s="10">
        <f t="shared" si="57"/>
        <v>0</v>
      </c>
      <c r="L579" s="9" t="str">
        <f t="shared" si="58"/>
        <v/>
      </c>
      <c r="M579" s="8"/>
      <c r="N579" s="8"/>
      <c r="O579" s="8"/>
      <c r="P579" s="8"/>
      <c r="Q579" s="8"/>
      <c r="R579" s="8"/>
      <c r="S579" s="8"/>
      <c r="T579" s="8"/>
      <c r="U579" s="8"/>
      <c r="V579" s="7"/>
      <c r="W579" s="6" t="str">
        <f t="array" ref="W579">IF(NOT(ISBLANK(D579)),_xludf.XLOOKUP(D579,[2]CODE!$A$4:$A$100,[2]CODE!$D$4:$D$100),"")</f>
        <v/>
      </c>
      <c r="X579" s="5" t="str">
        <f t="array" ref="X579">IF(NOT(AND(ISBLANK(D579),ISBLANK(C579))),_xludf.XLOOKUP(D579,[2]CODE!$A$4:$A$100,[2]CODE!$E$4:$E$100),"")</f>
        <v/>
      </c>
      <c r="Y579" s="5" t="str">
        <f t="shared" si="59"/>
        <v/>
      </c>
      <c r="Z579" s="5" t="str">
        <f t="shared" si="60"/>
        <v/>
      </c>
      <c r="AA579" s="4">
        <f t="shared" si="61"/>
        <v>0</v>
      </c>
      <c r="AC579" s="2"/>
    </row>
    <row r="580" spans="1:29" ht="15.5">
      <c r="A580" s="13" t="str">
        <f>IF(OR(ISBLANK(C580),ISBLANK(D580),ISBLANK(F580),ISBLANK(G580)),"",COUNTIF($B$5:B580,"JAMBUTU"))</f>
        <v/>
      </c>
      <c r="B580" s="8" t="str">
        <f t="shared" si="62"/>
        <v/>
      </c>
      <c r="C580" s="8"/>
      <c r="D580" s="8"/>
      <c r="E580" s="13"/>
      <c r="F580" s="12"/>
      <c r="G580" s="11"/>
      <c r="H580" s="12"/>
      <c r="I580" s="11"/>
      <c r="J580" s="10">
        <f t="shared" si="56"/>
        <v>0</v>
      </c>
      <c r="K580" s="10">
        <f t="shared" si="57"/>
        <v>0</v>
      </c>
      <c r="L580" s="9" t="str">
        <f t="shared" si="58"/>
        <v/>
      </c>
      <c r="M580" s="8"/>
      <c r="N580" s="8"/>
      <c r="O580" s="8"/>
      <c r="P580" s="8"/>
      <c r="Q580" s="8"/>
      <c r="R580" s="8"/>
      <c r="S580" s="8"/>
      <c r="T580" s="8"/>
      <c r="U580" s="8"/>
      <c r="V580" s="7"/>
      <c r="W580" s="6" t="str">
        <f t="array" ref="W580">IF(NOT(ISBLANK(D580)),_xludf.XLOOKUP(D580,[2]CODE!$A$4:$A$100,[2]CODE!$D$4:$D$100),"")</f>
        <v/>
      </c>
      <c r="X580" s="5" t="str">
        <f t="array" ref="X580">IF(NOT(AND(ISBLANK(D580),ISBLANK(C580))),_xludf.XLOOKUP(D580,[2]CODE!$A$4:$A$100,[2]CODE!$E$4:$E$100),"")</f>
        <v/>
      </c>
      <c r="Y580" s="5" t="str">
        <f t="shared" si="59"/>
        <v/>
      </c>
      <c r="Z580" s="5" t="str">
        <f t="shared" si="60"/>
        <v/>
      </c>
      <c r="AA580" s="4">
        <f t="shared" si="61"/>
        <v>0</v>
      </c>
      <c r="AC580" s="2"/>
    </row>
    <row r="581" spans="1:29" ht="15.5">
      <c r="A581" s="13" t="str">
        <f>IF(OR(ISBLANK(C581),ISBLANK(D581),ISBLANK(F581),ISBLANK(G581)),"",COUNTIF($B$5:B581,"JAMBUTU"))</f>
        <v/>
      </c>
      <c r="B581" s="8" t="str">
        <f t="shared" si="62"/>
        <v/>
      </c>
      <c r="C581" s="8"/>
      <c r="D581" s="8"/>
      <c r="E581" s="13"/>
      <c r="F581" s="12"/>
      <c r="G581" s="11"/>
      <c r="H581" s="12"/>
      <c r="I581" s="11"/>
      <c r="J581" s="10">
        <f t="shared" ref="J581:J598" si="63">DATE(YEAR(F581),MONTH(F581),DAY(F581))+TIME(HOUR(G581),MINUTE(G581), SECOND(G581))</f>
        <v>0</v>
      </c>
      <c r="K581" s="10">
        <f t="shared" ref="K581:K598" si="64">DATE(YEAR(H581),MONTH(H581),DAY(H581))+TIME(HOUR(I581),MINUTE(I581), SECOND(I581))</f>
        <v>0</v>
      </c>
      <c r="L581" s="9" t="str">
        <f t="shared" ref="L581:L598" si="65">IF(ISBLANK(I581),"",IF(J581&gt;K581,(K581+1)-J581,K581-J581))</f>
        <v/>
      </c>
      <c r="M581" s="8"/>
      <c r="N581" s="8"/>
      <c r="O581" s="8"/>
      <c r="P581" s="8"/>
      <c r="Q581" s="8"/>
      <c r="R581" s="8"/>
      <c r="S581" s="8"/>
      <c r="T581" s="8"/>
      <c r="U581" s="8"/>
      <c r="V581" s="7"/>
      <c r="W581" s="6" t="str">
        <f t="array" ref="W581">IF(NOT(ISBLANK(D581)),_xludf.XLOOKUP(D581,[2]CODE!$A$4:$A$100,[2]CODE!$D$4:$D$100),"")</f>
        <v/>
      </c>
      <c r="X581" s="5" t="str">
        <f t="array" ref="X581">IF(NOT(AND(ISBLANK(D581),ISBLANK(C581))),_xludf.XLOOKUP(D581,[2]CODE!$A$4:$A$100,[2]CODE!$E$4:$E$100),"")</f>
        <v/>
      </c>
      <c r="Y581" s="5" t="str">
        <f t="shared" ref="Y581:Y598" si="66">LEFT(C581,4)</f>
        <v/>
      </c>
      <c r="Z581" s="5" t="str">
        <f t="shared" ref="Z581:Z598" si="67">IF(NOT(ISBLANK(C581)), IF(K581&gt;J581,"YES","NO"),"")</f>
        <v/>
      </c>
      <c r="AA581" s="4">
        <f t="shared" ref="AA581:AA598" si="68">IF(AND(F581=H581,Z581="NO"),1+H581,H581)</f>
        <v>0</v>
      </c>
      <c r="AC581" s="2"/>
    </row>
    <row r="582" spans="1:29" ht="15.5">
      <c r="A582" s="13" t="str">
        <f>IF(OR(ISBLANK(C582),ISBLANK(D582),ISBLANK(F582),ISBLANK(G582)),"",COUNTIF($B$5:B582,"JAMBUTU"))</f>
        <v/>
      </c>
      <c r="B582" s="8" t="str">
        <f t="shared" si="62"/>
        <v/>
      </c>
      <c r="C582" s="8"/>
      <c r="D582" s="8"/>
      <c r="E582" s="13"/>
      <c r="F582" s="12"/>
      <c r="G582" s="11"/>
      <c r="H582" s="12"/>
      <c r="I582" s="11"/>
      <c r="J582" s="10">
        <f t="shared" si="63"/>
        <v>0</v>
      </c>
      <c r="K582" s="10">
        <f t="shared" si="64"/>
        <v>0</v>
      </c>
      <c r="L582" s="9" t="str">
        <f t="shared" si="65"/>
        <v/>
      </c>
      <c r="M582" s="8"/>
      <c r="N582" s="8"/>
      <c r="O582" s="8"/>
      <c r="P582" s="8"/>
      <c r="Q582" s="8"/>
      <c r="R582" s="8"/>
      <c r="S582" s="8"/>
      <c r="T582" s="8"/>
      <c r="U582" s="8"/>
      <c r="V582" s="7"/>
      <c r="W582" s="6" t="str">
        <f t="array" ref="W582">IF(NOT(ISBLANK(D582)),_xludf.XLOOKUP(D582,[2]CODE!$A$4:$A$100,[2]CODE!$D$4:$D$100),"")</f>
        <v/>
      </c>
      <c r="X582" s="5" t="str">
        <f t="array" ref="X582">IF(NOT(AND(ISBLANK(D582),ISBLANK(C582))),_xludf.XLOOKUP(D582,[2]CODE!$A$4:$A$100,[2]CODE!$E$4:$E$100),"")</f>
        <v/>
      </c>
      <c r="Y582" s="5" t="str">
        <f t="shared" si="66"/>
        <v/>
      </c>
      <c r="Z582" s="5" t="str">
        <f t="shared" si="67"/>
        <v/>
      </c>
      <c r="AA582" s="4">
        <f t="shared" si="68"/>
        <v>0</v>
      </c>
      <c r="AC582" s="2"/>
    </row>
    <row r="583" spans="1:29" ht="15.5">
      <c r="A583" s="13" t="str">
        <f>IF(OR(ISBLANK(C583),ISBLANK(D583),ISBLANK(F583),ISBLANK(G583)),"",COUNTIF($B$5:B583,"JAMBUTU"))</f>
        <v/>
      </c>
      <c r="B583" s="8" t="str">
        <f t="shared" si="62"/>
        <v/>
      </c>
      <c r="C583" s="8"/>
      <c r="D583" s="8"/>
      <c r="E583" s="13"/>
      <c r="F583" s="12"/>
      <c r="G583" s="11"/>
      <c r="H583" s="12"/>
      <c r="I583" s="11"/>
      <c r="J583" s="10">
        <f t="shared" si="63"/>
        <v>0</v>
      </c>
      <c r="K583" s="10">
        <f t="shared" si="64"/>
        <v>0</v>
      </c>
      <c r="L583" s="9" t="str">
        <f t="shared" si="65"/>
        <v/>
      </c>
      <c r="M583" s="8"/>
      <c r="N583" s="8"/>
      <c r="O583" s="8"/>
      <c r="P583" s="8"/>
      <c r="Q583" s="8"/>
      <c r="R583" s="8"/>
      <c r="S583" s="8"/>
      <c r="T583" s="8"/>
      <c r="U583" s="8"/>
      <c r="V583" s="7"/>
      <c r="W583" s="6" t="str">
        <f t="array" ref="W583">IF(NOT(ISBLANK(D583)),_xludf.XLOOKUP(D583,[2]CODE!$A$4:$A$100,[2]CODE!$D$4:$D$100),"")</f>
        <v/>
      </c>
      <c r="X583" s="5" t="str">
        <f t="array" ref="X583">IF(NOT(AND(ISBLANK(D583),ISBLANK(C583))),_xludf.XLOOKUP(D583,[2]CODE!$A$4:$A$100,[2]CODE!$E$4:$E$100),"")</f>
        <v/>
      </c>
      <c r="Y583" s="5" t="str">
        <f t="shared" si="66"/>
        <v/>
      </c>
      <c r="Z583" s="5" t="str">
        <f t="shared" si="67"/>
        <v/>
      </c>
      <c r="AA583" s="4">
        <f t="shared" si="68"/>
        <v>0</v>
      </c>
      <c r="AC583" s="2"/>
    </row>
    <row r="584" spans="1:29" ht="15.5">
      <c r="A584" s="13" t="str">
        <f>IF(OR(ISBLANK(C584),ISBLANK(D584),ISBLANK(F584),ISBLANK(G584)),"",COUNTIF($B$5:B584,"JAMBUTU"))</f>
        <v/>
      </c>
      <c r="B584" s="8" t="str">
        <f t="shared" si="62"/>
        <v/>
      </c>
      <c r="C584" s="8"/>
      <c r="D584" s="8"/>
      <c r="E584" s="13"/>
      <c r="F584" s="12"/>
      <c r="G584" s="11"/>
      <c r="H584" s="12"/>
      <c r="I584" s="11"/>
      <c r="J584" s="10">
        <f t="shared" si="63"/>
        <v>0</v>
      </c>
      <c r="K584" s="10">
        <f t="shared" si="64"/>
        <v>0</v>
      </c>
      <c r="L584" s="9" t="str">
        <f t="shared" si="65"/>
        <v/>
      </c>
      <c r="M584" s="8"/>
      <c r="N584" s="8"/>
      <c r="O584" s="8"/>
      <c r="P584" s="8"/>
      <c r="Q584" s="8"/>
      <c r="R584" s="8"/>
      <c r="S584" s="8"/>
      <c r="T584" s="8"/>
      <c r="U584" s="8"/>
      <c r="V584" s="7"/>
      <c r="W584" s="6" t="str">
        <f t="array" ref="W584">IF(NOT(ISBLANK(D584)),_xludf.XLOOKUP(D584,[2]CODE!$A$4:$A$100,[2]CODE!$D$4:$D$100),"")</f>
        <v/>
      </c>
      <c r="X584" s="5" t="str">
        <f t="array" ref="X584">IF(NOT(AND(ISBLANK(D584),ISBLANK(C584))),_xludf.XLOOKUP(D584,[2]CODE!$A$4:$A$100,[2]CODE!$E$4:$E$100),"")</f>
        <v/>
      </c>
      <c r="Y584" s="5" t="str">
        <f t="shared" si="66"/>
        <v/>
      </c>
      <c r="Z584" s="5" t="str">
        <f t="shared" si="67"/>
        <v/>
      </c>
      <c r="AA584" s="4">
        <f t="shared" si="68"/>
        <v>0</v>
      </c>
      <c r="AC584" s="2"/>
    </row>
    <row r="585" spans="1:29" ht="15.5">
      <c r="A585" s="13" t="str">
        <f>IF(OR(ISBLANK(C585),ISBLANK(D585),ISBLANK(F585),ISBLANK(G585)),"",COUNTIF($B$5:B585,"JAMBUTU"))</f>
        <v/>
      </c>
      <c r="B585" s="8" t="str">
        <f t="shared" si="62"/>
        <v/>
      </c>
      <c r="C585" s="8"/>
      <c r="D585" s="8"/>
      <c r="E585" s="13"/>
      <c r="F585" s="12"/>
      <c r="G585" s="11"/>
      <c r="H585" s="12"/>
      <c r="I585" s="11"/>
      <c r="J585" s="10">
        <f t="shared" si="63"/>
        <v>0</v>
      </c>
      <c r="K585" s="10">
        <f t="shared" si="64"/>
        <v>0</v>
      </c>
      <c r="L585" s="9" t="str">
        <f t="shared" si="65"/>
        <v/>
      </c>
      <c r="M585" s="8"/>
      <c r="N585" s="8"/>
      <c r="O585" s="8"/>
      <c r="P585" s="8"/>
      <c r="Q585" s="8"/>
      <c r="R585" s="8"/>
      <c r="S585" s="8"/>
      <c r="T585" s="8"/>
      <c r="U585" s="8"/>
      <c r="V585" s="7"/>
      <c r="W585" s="6" t="str">
        <f t="array" ref="W585">IF(NOT(ISBLANK(D585)),_xludf.XLOOKUP(D585,[2]CODE!$A$4:$A$100,[2]CODE!$D$4:$D$100),"")</f>
        <v/>
      </c>
      <c r="X585" s="5" t="str">
        <f t="array" ref="X585">IF(NOT(AND(ISBLANK(D585),ISBLANK(C585))),_xludf.XLOOKUP(D585,[2]CODE!$A$4:$A$100,[2]CODE!$E$4:$E$100),"")</f>
        <v/>
      </c>
      <c r="Y585" s="5" t="str">
        <f t="shared" si="66"/>
        <v/>
      </c>
      <c r="Z585" s="5" t="str">
        <f t="shared" si="67"/>
        <v/>
      </c>
      <c r="AA585" s="4">
        <f t="shared" si="68"/>
        <v>0</v>
      </c>
      <c r="AC585" s="2"/>
    </row>
    <row r="586" spans="1:29" ht="15.5">
      <c r="A586" s="13" t="str">
        <f>IF(OR(ISBLANK(C586),ISBLANK(D586),ISBLANK(F586),ISBLANK(G586)),"",COUNTIF($B$5:B586,"JAMBUTU"))</f>
        <v/>
      </c>
      <c r="B586" s="8" t="str">
        <f t="shared" si="62"/>
        <v/>
      </c>
      <c r="C586" s="8"/>
      <c r="D586" s="8"/>
      <c r="E586" s="13"/>
      <c r="F586" s="12"/>
      <c r="G586" s="11"/>
      <c r="H586" s="12"/>
      <c r="I586" s="11"/>
      <c r="J586" s="10">
        <f t="shared" si="63"/>
        <v>0</v>
      </c>
      <c r="K586" s="10">
        <f t="shared" si="64"/>
        <v>0</v>
      </c>
      <c r="L586" s="9" t="str">
        <f t="shared" si="65"/>
        <v/>
      </c>
      <c r="M586" s="8"/>
      <c r="N586" s="8"/>
      <c r="O586" s="8"/>
      <c r="P586" s="8"/>
      <c r="Q586" s="8"/>
      <c r="R586" s="8"/>
      <c r="S586" s="8"/>
      <c r="T586" s="8"/>
      <c r="U586" s="8"/>
      <c r="V586" s="7"/>
      <c r="W586" s="6" t="str">
        <f t="array" ref="W586">IF(NOT(ISBLANK(D586)),_xludf.XLOOKUP(D586,[2]CODE!$A$4:$A$100,[2]CODE!$D$4:$D$100),"")</f>
        <v/>
      </c>
      <c r="X586" s="5" t="str">
        <f t="array" ref="X586">IF(NOT(AND(ISBLANK(D586),ISBLANK(C586))),_xludf.XLOOKUP(D586,[2]CODE!$A$4:$A$100,[2]CODE!$E$4:$E$100),"")</f>
        <v/>
      </c>
      <c r="Y586" s="5" t="str">
        <f t="shared" si="66"/>
        <v/>
      </c>
      <c r="Z586" s="5" t="str">
        <f t="shared" si="67"/>
        <v/>
      </c>
      <c r="AA586" s="4">
        <f t="shared" si="68"/>
        <v>0</v>
      </c>
      <c r="AC586" s="2"/>
    </row>
    <row r="587" spans="1:29" ht="15.5">
      <c r="A587" s="13" t="str">
        <f>IF(OR(ISBLANK(C587),ISBLANK(D587),ISBLANK(F587),ISBLANK(G587)),"",COUNTIF($B$5:B587,"JAMBUTU"))</f>
        <v/>
      </c>
      <c r="B587" s="8" t="str">
        <f t="shared" si="62"/>
        <v/>
      </c>
      <c r="C587" s="8"/>
      <c r="D587" s="8"/>
      <c r="E587" s="13"/>
      <c r="F587" s="12"/>
      <c r="G587" s="11"/>
      <c r="H587" s="12"/>
      <c r="I587" s="11"/>
      <c r="J587" s="10">
        <f t="shared" si="63"/>
        <v>0</v>
      </c>
      <c r="K587" s="10">
        <f t="shared" si="64"/>
        <v>0</v>
      </c>
      <c r="L587" s="9" t="str">
        <f t="shared" si="65"/>
        <v/>
      </c>
      <c r="M587" s="8"/>
      <c r="N587" s="8"/>
      <c r="O587" s="8"/>
      <c r="P587" s="8"/>
      <c r="Q587" s="8"/>
      <c r="R587" s="8"/>
      <c r="S587" s="8"/>
      <c r="T587" s="8"/>
      <c r="U587" s="8"/>
      <c r="V587" s="7"/>
      <c r="W587" s="6" t="str">
        <f t="array" ref="W587">IF(NOT(ISBLANK(D587)),_xludf.XLOOKUP(D587,[2]CODE!$A$4:$A$100,[2]CODE!$D$4:$D$100),"")</f>
        <v/>
      </c>
      <c r="X587" s="5" t="str">
        <f t="array" ref="X587">IF(NOT(AND(ISBLANK(D587),ISBLANK(C587))),_xludf.XLOOKUP(D587,[2]CODE!$A$4:$A$100,[2]CODE!$E$4:$E$100),"")</f>
        <v/>
      </c>
      <c r="Y587" s="5" t="str">
        <f t="shared" si="66"/>
        <v/>
      </c>
      <c r="Z587" s="5" t="str">
        <f t="shared" si="67"/>
        <v/>
      </c>
      <c r="AA587" s="4">
        <f t="shared" si="68"/>
        <v>0</v>
      </c>
      <c r="AC587" s="2"/>
    </row>
    <row r="588" spans="1:29" ht="15.5">
      <c r="A588" s="13" t="str">
        <f>IF(OR(ISBLANK(C588),ISBLANK(D588),ISBLANK(F588),ISBLANK(G588)),"",COUNTIF($B$5:B588,"JAMBUTU"))</f>
        <v/>
      </c>
      <c r="B588" s="8" t="str">
        <f t="shared" si="62"/>
        <v/>
      </c>
      <c r="C588" s="8"/>
      <c r="D588" s="8"/>
      <c r="E588" s="13"/>
      <c r="F588" s="12"/>
      <c r="G588" s="14"/>
      <c r="H588" s="12"/>
      <c r="I588" s="11"/>
      <c r="J588" s="10">
        <f t="shared" si="63"/>
        <v>0</v>
      </c>
      <c r="K588" s="10">
        <f t="shared" si="64"/>
        <v>0</v>
      </c>
      <c r="L588" s="9" t="str">
        <f t="shared" si="65"/>
        <v/>
      </c>
      <c r="M588" s="8"/>
      <c r="N588" s="8"/>
      <c r="O588" s="8"/>
      <c r="P588" s="8"/>
      <c r="Q588" s="8"/>
      <c r="R588" s="8"/>
      <c r="S588" s="8"/>
      <c r="T588" s="8"/>
      <c r="U588" s="8"/>
      <c r="V588" s="7"/>
      <c r="W588" s="6" t="str">
        <f t="array" ref="W588">IF(NOT(ISBLANK(D588)),_xludf.XLOOKUP(D588,[2]CODE!$A$4:$A$100,[2]CODE!$D$4:$D$100),"")</f>
        <v/>
      </c>
      <c r="X588" s="5" t="str">
        <f t="array" ref="X588">IF(NOT(AND(ISBLANK(D588),ISBLANK(C588))),_xludf.XLOOKUP(D588,[2]CODE!$A$4:$A$100,[2]CODE!$E$4:$E$100),"")</f>
        <v/>
      </c>
      <c r="Y588" s="5" t="str">
        <f t="shared" si="66"/>
        <v/>
      </c>
      <c r="Z588" s="5" t="str">
        <f t="shared" si="67"/>
        <v/>
      </c>
      <c r="AA588" s="4">
        <f t="shared" si="68"/>
        <v>0</v>
      </c>
      <c r="AC588" s="2"/>
    </row>
    <row r="589" spans="1:29" ht="15.5">
      <c r="A589" s="13" t="str">
        <f>IF(OR(ISBLANK(C589),ISBLANK(D589),ISBLANK(F589),ISBLANK(G589)),"",COUNTIF($B$5:B589,"JAMBUTU"))</f>
        <v/>
      </c>
      <c r="B589" s="8" t="str">
        <f t="shared" si="62"/>
        <v/>
      </c>
      <c r="C589" s="8"/>
      <c r="D589" s="8"/>
      <c r="E589" s="13"/>
      <c r="F589" s="12"/>
      <c r="G589" s="11"/>
      <c r="H589" s="12"/>
      <c r="I589" s="11"/>
      <c r="J589" s="10">
        <f t="shared" si="63"/>
        <v>0</v>
      </c>
      <c r="K589" s="10">
        <f t="shared" si="64"/>
        <v>0</v>
      </c>
      <c r="L589" s="9" t="str">
        <f t="shared" si="65"/>
        <v/>
      </c>
      <c r="M589" s="8"/>
      <c r="N589" s="8"/>
      <c r="O589" s="8"/>
      <c r="P589" s="8"/>
      <c r="Q589" s="8"/>
      <c r="R589" s="8"/>
      <c r="S589" s="8"/>
      <c r="T589" s="8"/>
      <c r="U589" s="8"/>
      <c r="V589" s="7"/>
      <c r="W589" s="6" t="str">
        <f t="array" ref="W589">IF(NOT(ISBLANK(D589)),_xludf.XLOOKUP(D589,[2]CODE!$A$4:$A$100,[2]CODE!$D$4:$D$100),"")</f>
        <v/>
      </c>
      <c r="X589" s="5" t="str">
        <f t="array" ref="X589">IF(NOT(AND(ISBLANK(D589),ISBLANK(C589))),_xludf.XLOOKUP(D589,[2]CODE!$A$4:$A$100,[2]CODE!$E$4:$E$100),"")</f>
        <v/>
      </c>
      <c r="Y589" s="5" t="str">
        <f t="shared" si="66"/>
        <v/>
      </c>
      <c r="Z589" s="5" t="str">
        <f t="shared" si="67"/>
        <v/>
      </c>
      <c r="AA589" s="4">
        <f t="shared" si="68"/>
        <v>0</v>
      </c>
      <c r="AC589" s="2"/>
    </row>
    <row r="590" spans="1:29" ht="15.5">
      <c r="A590" s="13" t="str">
        <f>IF(OR(ISBLANK(C590),ISBLANK(D590),ISBLANK(F590),ISBLANK(G590)),"",COUNTIF($B$5:B590,"JAMBUTU"))</f>
        <v/>
      </c>
      <c r="B590" s="8" t="str">
        <f t="shared" si="62"/>
        <v/>
      </c>
      <c r="C590" s="8"/>
      <c r="D590" s="8"/>
      <c r="E590" s="13"/>
      <c r="F590" s="12"/>
      <c r="G590" s="11"/>
      <c r="H590" s="12"/>
      <c r="I590" s="11"/>
      <c r="J590" s="10">
        <f t="shared" si="63"/>
        <v>0</v>
      </c>
      <c r="K590" s="10">
        <f t="shared" si="64"/>
        <v>0</v>
      </c>
      <c r="L590" s="9" t="str">
        <f t="shared" si="65"/>
        <v/>
      </c>
      <c r="M590" s="8"/>
      <c r="N590" s="8"/>
      <c r="O590" s="8"/>
      <c r="P590" s="8"/>
      <c r="Q590" s="8"/>
      <c r="R590" s="8"/>
      <c r="S590" s="8"/>
      <c r="T590" s="8"/>
      <c r="U590" s="8"/>
      <c r="V590" s="7"/>
      <c r="W590" s="6" t="str">
        <f t="array" ref="W590">IF(NOT(ISBLANK(D590)),_xludf.XLOOKUP(D590,[2]CODE!$A$4:$A$100,[2]CODE!$D$4:$D$100),"")</f>
        <v/>
      </c>
      <c r="X590" s="5" t="str">
        <f t="array" ref="X590">IF(NOT(AND(ISBLANK(D590),ISBLANK(C590))),_xludf.XLOOKUP(D590,[2]CODE!$A$4:$A$100,[2]CODE!$E$4:$E$100),"")</f>
        <v/>
      </c>
      <c r="Y590" s="5" t="str">
        <f t="shared" si="66"/>
        <v/>
      </c>
      <c r="Z590" s="5" t="str">
        <f t="shared" si="67"/>
        <v/>
      </c>
      <c r="AA590" s="4">
        <f t="shared" si="68"/>
        <v>0</v>
      </c>
      <c r="AC590" s="2"/>
    </row>
    <row r="591" spans="1:29" ht="15.5">
      <c r="A591" s="13" t="str">
        <f>IF(OR(ISBLANK(C591),ISBLANK(D591),ISBLANK(F591),ISBLANK(G591)),"",COUNTIF($B$5:B591,"JAMBUTU"))</f>
        <v/>
      </c>
      <c r="B591" s="8" t="str">
        <f t="shared" si="62"/>
        <v/>
      </c>
      <c r="C591" s="8"/>
      <c r="D591" s="8"/>
      <c r="E591" s="13"/>
      <c r="F591" s="12"/>
      <c r="G591" s="11"/>
      <c r="H591" s="12"/>
      <c r="I591" s="11"/>
      <c r="J591" s="10">
        <f t="shared" si="63"/>
        <v>0</v>
      </c>
      <c r="K591" s="10">
        <f t="shared" si="64"/>
        <v>0</v>
      </c>
      <c r="L591" s="9" t="str">
        <f t="shared" si="65"/>
        <v/>
      </c>
      <c r="M591" s="8"/>
      <c r="N591" s="8"/>
      <c r="O591" s="8"/>
      <c r="P591" s="8"/>
      <c r="Q591" s="8"/>
      <c r="R591" s="8"/>
      <c r="S591" s="8"/>
      <c r="T591" s="8"/>
      <c r="U591" s="8"/>
      <c r="V591" s="7"/>
      <c r="W591" s="6" t="str">
        <f t="array" ref="W591">IF(NOT(ISBLANK(D591)),_xludf.XLOOKUP(D591,[2]CODE!$A$4:$A$100,[2]CODE!$D$4:$D$100),"")</f>
        <v/>
      </c>
      <c r="X591" s="5" t="str">
        <f t="array" ref="X591">IF(NOT(AND(ISBLANK(D591),ISBLANK(C591))),_xludf.XLOOKUP(D591,[2]CODE!$A$4:$A$100,[2]CODE!$E$4:$E$100),"")</f>
        <v/>
      </c>
      <c r="Y591" s="5" t="str">
        <f t="shared" si="66"/>
        <v/>
      </c>
      <c r="Z591" s="5" t="str">
        <f t="shared" si="67"/>
        <v/>
      </c>
      <c r="AA591" s="4">
        <f t="shared" si="68"/>
        <v>0</v>
      </c>
      <c r="AC591" s="2"/>
    </row>
    <row r="592" spans="1:29" ht="15.5">
      <c r="A592" s="13" t="str">
        <f>IF(OR(ISBLANK(C592),ISBLANK(D592),ISBLANK(F592),ISBLANK(G592)),"",COUNTIF($B$5:B592,"JAMBUTU"))</f>
        <v/>
      </c>
      <c r="B592" s="8" t="str">
        <f t="shared" si="62"/>
        <v/>
      </c>
      <c r="C592" s="8"/>
      <c r="D592" s="8"/>
      <c r="E592" s="13"/>
      <c r="F592" s="12"/>
      <c r="G592" s="11"/>
      <c r="H592" s="12"/>
      <c r="I592" s="11"/>
      <c r="J592" s="10">
        <f t="shared" si="63"/>
        <v>0</v>
      </c>
      <c r="K592" s="10">
        <f t="shared" si="64"/>
        <v>0</v>
      </c>
      <c r="L592" s="9" t="str">
        <f t="shared" si="65"/>
        <v/>
      </c>
      <c r="M592" s="8"/>
      <c r="N592" s="8"/>
      <c r="O592" s="8"/>
      <c r="P592" s="8"/>
      <c r="Q592" s="8"/>
      <c r="R592" s="8"/>
      <c r="S592" s="8"/>
      <c r="T592" s="8"/>
      <c r="U592" s="8"/>
      <c r="V592" s="7"/>
      <c r="W592" s="6" t="str">
        <f t="array" ref="W592">IF(NOT(ISBLANK(D592)),_xludf.XLOOKUP(D592,[2]CODE!$A$4:$A$100,[2]CODE!$D$4:$D$100),"")</f>
        <v/>
      </c>
      <c r="X592" s="5" t="str">
        <f t="array" ref="X592">IF(NOT(AND(ISBLANK(D592),ISBLANK(C592))),_xludf.XLOOKUP(D592,[2]CODE!$A$4:$A$100,[2]CODE!$E$4:$E$100),"")</f>
        <v/>
      </c>
      <c r="Y592" s="5" t="str">
        <f t="shared" si="66"/>
        <v/>
      </c>
      <c r="Z592" s="5" t="str">
        <f t="shared" si="67"/>
        <v/>
      </c>
      <c r="AA592" s="4">
        <f t="shared" si="68"/>
        <v>0</v>
      </c>
      <c r="AC592" s="2"/>
    </row>
    <row r="593" spans="1:29" ht="15.5">
      <c r="A593" s="13" t="str">
        <f>IF(OR(ISBLANK(C593),ISBLANK(D593),ISBLANK(F593),ISBLANK(G593)),"",COUNTIF($B$5:B593,"JAMBUTU"))</f>
        <v/>
      </c>
      <c r="B593" s="8" t="str">
        <f t="shared" si="62"/>
        <v/>
      </c>
      <c r="C593" s="8"/>
      <c r="D593" s="8"/>
      <c r="E593" s="13"/>
      <c r="F593" s="12"/>
      <c r="G593" s="11"/>
      <c r="H593" s="12"/>
      <c r="I593" s="11"/>
      <c r="J593" s="10">
        <f t="shared" si="63"/>
        <v>0</v>
      </c>
      <c r="K593" s="10">
        <f t="shared" si="64"/>
        <v>0</v>
      </c>
      <c r="L593" s="9" t="str">
        <f t="shared" si="65"/>
        <v/>
      </c>
      <c r="M593" s="8"/>
      <c r="N593" s="8"/>
      <c r="O593" s="8"/>
      <c r="P593" s="8"/>
      <c r="Q593" s="8"/>
      <c r="R593" s="8"/>
      <c r="S593" s="8"/>
      <c r="T593" s="8"/>
      <c r="U593" s="8"/>
      <c r="V593" s="7"/>
      <c r="W593" s="6" t="str">
        <f t="array" ref="W593">IF(NOT(ISBLANK(D593)),_xludf.XLOOKUP(D593,[2]CODE!$A$4:$A$100,[2]CODE!$D$4:$D$100),"")</f>
        <v/>
      </c>
      <c r="X593" s="5" t="str">
        <f t="array" ref="X593">IF(NOT(AND(ISBLANK(D593),ISBLANK(C593))),_xludf.XLOOKUP(D593,[2]CODE!$A$4:$A$100,[2]CODE!$E$4:$E$100),"")</f>
        <v/>
      </c>
      <c r="Y593" s="5" t="str">
        <f t="shared" si="66"/>
        <v/>
      </c>
      <c r="Z593" s="5" t="str">
        <f t="shared" si="67"/>
        <v/>
      </c>
      <c r="AA593" s="4">
        <f t="shared" si="68"/>
        <v>0</v>
      </c>
      <c r="AC593" s="2"/>
    </row>
    <row r="594" spans="1:29" ht="15.5">
      <c r="A594" s="13" t="str">
        <f>IF(OR(ISBLANK(C594),ISBLANK(D594),ISBLANK(F594),ISBLANK(G594)),"",COUNTIF($B$5:B594,"JAMBUTU"))</f>
        <v/>
      </c>
      <c r="B594" s="8" t="str">
        <f t="shared" si="62"/>
        <v/>
      </c>
      <c r="C594" s="8"/>
      <c r="D594" s="8"/>
      <c r="E594" s="13"/>
      <c r="F594" s="12"/>
      <c r="G594" s="11"/>
      <c r="H594" s="12"/>
      <c r="I594" s="11"/>
      <c r="J594" s="10">
        <f t="shared" si="63"/>
        <v>0</v>
      </c>
      <c r="K594" s="10">
        <f t="shared" si="64"/>
        <v>0</v>
      </c>
      <c r="L594" s="9" t="str">
        <f t="shared" si="65"/>
        <v/>
      </c>
      <c r="M594" s="8"/>
      <c r="N594" s="8"/>
      <c r="O594" s="8"/>
      <c r="P594" s="8"/>
      <c r="Q594" s="8"/>
      <c r="R594" s="8"/>
      <c r="S594" s="8"/>
      <c r="T594" s="8"/>
      <c r="U594" s="8"/>
      <c r="V594" s="7"/>
      <c r="W594" s="6" t="str">
        <f t="array" ref="W594">IF(NOT(ISBLANK(D594)),_xludf.XLOOKUP(D594,[2]CODE!$A$4:$A$100,[2]CODE!$D$4:$D$100),"")</f>
        <v/>
      </c>
      <c r="X594" s="5" t="str">
        <f t="array" ref="X594">IF(NOT(AND(ISBLANK(D594),ISBLANK(C594))),_xludf.XLOOKUP(D594,[2]CODE!$A$4:$A$100,[2]CODE!$E$4:$E$100),"")</f>
        <v/>
      </c>
      <c r="Y594" s="5" t="str">
        <f t="shared" si="66"/>
        <v/>
      </c>
      <c r="Z594" s="5" t="str">
        <f t="shared" si="67"/>
        <v/>
      </c>
      <c r="AA594" s="4">
        <f t="shared" si="68"/>
        <v>0</v>
      </c>
      <c r="AC594" s="2"/>
    </row>
    <row r="595" spans="1:29" ht="15.5">
      <c r="A595" s="13" t="str">
        <f>IF(OR(ISBLANK(C595),ISBLANK(D595),ISBLANK(F595),ISBLANK(G595)),"",COUNTIF($B$5:B595,"JAMBUTU"))</f>
        <v/>
      </c>
      <c r="B595" s="8" t="str">
        <f t="shared" ref="B595:B598" si="69">IF(C595&lt;&gt;"","Jambutu","")</f>
        <v/>
      </c>
      <c r="C595" s="8"/>
      <c r="D595" s="8"/>
      <c r="E595" s="13"/>
      <c r="F595" s="12"/>
      <c r="G595" s="11"/>
      <c r="H595" s="12"/>
      <c r="I595" s="11"/>
      <c r="J595" s="10">
        <f t="shared" si="63"/>
        <v>0</v>
      </c>
      <c r="K595" s="10">
        <f t="shared" si="64"/>
        <v>0</v>
      </c>
      <c r="L595" s="9" t="str">
        <f t="shared" si="65"/>
        <v/>
      </c>
      <c r="M595" s="8"/>
      <c r="N595" s="8"/>
      <c r="O595" s="8"/>
      <c r="P595" s="8"/>
      <c r="Q595" s="8"/>
      <c r="R595" s="8"/>
      <c r="S595" s="8"/>
      <c r="T595" s="8"/>
      <c r="U595" s="8"/>
      <c r="V595" s="7"/>
      <c r="W595" s="6" t="str">
        <f t="array" ref="W595">IF(NOT(ISBLANK(D595)),_xludf.XLOOKUP(D595,[2]CODE!$A$4:$A$100,[2]CODE!$D$4:$D$100),"")</f>
        <v/>
      </c>
      <c r="X595" s="5" t="str">
        <f t="array" ref="X595">IF(NOT(AND(ISBLANK(D595),ISBLANK(C595))),_xludf.XLOOKUP(D595,[2]CODE!$A$4:$A$100,[2]CODE!$E$4:$E$100),"")</f>
        <v/>
      </c>
      <c r="Y595" s="5" t="str">
        <f t="shared" si="66"/>
        <v/>
      </c>
      <c r="Z595" s="5" t="str">
        <f t="shared" si="67"/>
        <v/>
      </c>
      <c r="AA595" s="4">
        <f t="shared" si="68"/>
        <v>0</v>
      </c>
      <c r="AC595" s="2"/>
    </row>
    <row r="596" spans="1:29" ht="15.5">
      <c r="A596" s="13" t="str">
        <f>IF(OR(ISBLANK(C596),ISBLANK(D596),ISBLANK(F596),ISBLANK(G596)),"",COUNTIF($B$5:B596,"JAMBUTU"))</f>
        <v/>
      </c>
      <c r="B596" s="8" t="str">
        <f t="shared" si="69"/>
        <v/>
      </c>
      <c r="C596" s="8"/>
      <c r="D596" s="8"/>
      <c r="E596" s="13"/>
      <c r="F596" s="12"/>
      <c r="G596" s="11"/>
      <c r="H596" s="12"/>
      <c r="I596" s="11"/>
      <c r="J596" s="10">
        <f t="shared" si="63"/>
        <v>0</v>
      </c>
      <c r="K596" s="10">
        <f t="shared" si="64"/>
        <v>0</v>
      </c>
      <c r="L596" s="9" t="str">
        <f t="shared" si="65"/>
        <v/>
      </c>
      <c r="M596" s="8"/>
      <c r="N596" s="8"/>
      <c r="O596" s="8"/>
      <c r="P596" s="8"/>
      <c r="Q596" s="8"/>
      <c r="R596" s="8"/>
      <c r="S596" s="8"/>
      <c r="T596" s="8"/>
      <c r="U596" s="8"/>
      <c r="V596" s="7"/>
      <c r="W596" s="6" t="str">
        <f t="array" ref="W596">IF(NOT(ISBLANK(D596)),_xludf.XLOOKUP(D596,[2]CODE!$A$4:$A$100,[2]CODE!$D$4:$D$100),"")</f>
        <v/>
      </c>
      <c r="X596" s="5" t="str">
        <f t="array" ref="X596">IF(NOT(AND(ISBLANK(D596),ISBLANK(C596))),_xludf.XLOOKUP(D596,[2]CODE!$A$4:$A$100,[2]CODE!$E$4:$E$100),"")</f>
        <v/>
      </c>
      <c r="Y596" s="5" t="str">
        <f t="shared" si="66"/>
        <v/>
      </c>
      <c r="Z596" s="5" t="str">
        <f t="shared" si="67"/>
        <v/>
      </c>
      <c r="AA596" s="4">
        <f t="shared" si="68"/>
        <v>0</v>
      </c>
      <c r="AC596" s="2"/>
    </row>
    <row r="597" spans="1:29" ht="15.5">
      <c r="A597" s="13" t="str">
        <f>IF(OR(ISBLANK(C597),ISBLANK(D597),ISBLANK(F597),ISBLANK(G597)),"",COUNTIF($B$5:B597,"JAMBUTU"))</f>
        <v/>
      </c>
      <c r="B597" s="8" t="str">
        <f t="shared" si="69"/>
        <v/>
      </c>
      <c r="C597" s="8"/>
      <c r="D597" s="8"/>
      <c r="E597" s="13"/>
      <c r="F597" s="12"/>
      <c r="G597" s="11"/>
      <c r="H597" s="12"/>
      <c r="I597" s="11"/>
      <c r="J597" s="10">
        <f t="shared" si="63"/>
        <v>0</v>
      </c>
      <c r="K597" s="10">
        <f t="shared" si="64"/>
        <v>0</v>
      </c>
      <c r="L597" s="9" t="str">
        <f t="shared" si="65"/>
        <v/>
      </c>
      <c r="M597" s="8"/>
      <c r="N597" s="8"/>
      <c r="O597" s="8"/>
      <c r="P597" s="8"/>
      <c r="Q597" s="8"/>
      <c r="R597" s="8"/>
      <c r="S597" s="8"/>
      <c r="T597" s="8"/>
      <c r="U597" s="8"/>
      <c r="V597" s="7"/>
      <c r="W597" s="6" t="str">
        <f t="array" ref="W597">IF(NOT(ISBLANK(D597)),_xludf.XLOOKUP(D597,[2]CODE!$A$4:$A$100,[2]CODE!$D$4:$D$100),"")</f>
        <v/>
      </c>
      <c r="X597" s="5" t="str">
        <f t="array" ref="X597">IF(NOT(AND(ISBLANK(D597),ISBLANK(C597))),_xludf.XLOOKUP(D597,[2]CODE!$A$4:$A$100,[2]CODE!$E$4:$E$100),"")</f>
        <v/>
      </c>
      <c r="Y597" s="5" t="str">
        <f t="shared" si="66"/>
        <v/>
      </c>
      <c r="Z597" s="5" t="str">
        <f t="shared" si="67"/>
        <v/>
      </c>
      <c r="AA597" s="4">
        <f t="shared" si="68"/>
        <v>0</v>
      </c>
      <c r="AC597" s="2"/>
    </row>
    <row r="598" spans="1:29" ht="15.5">
      <c r="A598" s="13" t="str">
        <f>IF(OR(ISBLANK(C598),ISBLANK(D598),ISBLANK(F598),ISBLANK(G598)),"",COUNTIF($B$5:B598,"JAMBUTU"))</f>
        <v/>
      </c>
      <c r="B598" s="8" t="str">
        <f t="shared" si="69"/>
        <v/>
      </c>
      <c r="C598" s="8"/>
      <c r="D598" s="8"/>
      <c r="E598" s="13"/>
      <c r="F598" s="12"/>
      <c r="G598" s="11"/>
      <c r="H598" s="12"/>
      <c r="I598" s="11"/>
      <c r="J598" s="10">
        <f t="shared" si="63"/>
        <v>0</v>
      </c>
      <c r="K598" s="10">
        <f t="shared" si="64"/>
        <v>0</v>
      </c>
      <c r="L598" s="9" t="str">
        <f t="shared" si="65"/>
        <v/>
      </c>
      <c r="M598" s="8"/>
      <c r="N598" s="8"/>
      <c r="O598" s="8"/>
      <c r="P598" s="8"/>
      <c r="Q598" s="8"/>
      <c r="R598" s="8"/>
      <c r="S598" s="8"/>
      <c r="T598" s="8"/>
      <c r="U598" s="8"/>
      <c r="V598" s="7"/>
      <c r="W598" s="6" t="str">
        <f t="array" ref="W598">IF(NOT(ISBLANK(D598)),_xludf.XLOOKUP(D598,[2]CODE!$A$4:$A$100,[2]CODE!$D$4:$D$100),"")</f>
        <v/>
      </c>
      <c r="X598" s="5" t="str">
        <f t="array" ref="X598">IF(NOT(AND(ISBLANK(D598),ISBLANK(C598))),_xludf.XLOOKUP(D598,[2]CODE!$A$4:$A$100,[2]CODE!$E$4:$E$100),"")</f>
        <v/>
      </c>
      <c r="Y598" s="5" t="str">
        <f t="shared" si="66"/>
        <v/>
      </c>
      <c r="Z598" s="5" t="str">
        <f t="shared" si="67"/>
        <v/>
      </c>
      <c r="AA598" s="4">
        <f t="shared" si="68"/>
        <v>0</v>
      </c>
      <c r="AC598" s="2"/>
    </row>
    <row r="599" spans="1:29" ht="13">
      <c r="E599" s="2"/>
      <c r="F599" s="2"/>
      <c r="G599" s="2"/>
      <c r="H599" s="2"/>
      <c r="I599" s="2"/>
    </row>
    <row r="600" spans="1:29" ht="13">
      <c r="E600" s="2"/>
      <c r="F600" s="2"/>
      <c r="G600" s="2"/>
      <c r="H600" s="2"/>
      <c r="I600" s="2"/>
      <c r="L600" s="3">
        <f>SUBTOTAL(9,L5:L598)*24</f>
        <v>44.950000000011642</v>
      </c>
    </row>
    <row r="601" spans="1:29" ht="13">
      <c r="E601" s="2"/>
      <c r="F601" s="2"/>
      <c r="G601" s="2"/>
      <c r="H601" s="2"/>
      <c r="I601" s="2"/>
    </row>
    <row r="602" spans="1:29" ht="13">
      <c r="E602" s="2"/>
      <c r="F602" s="2"/>
      <c r="G602" s="2"/>
      <c r="H602" s="2"/>
      <c r="I602" s="2"/>
    </row>
    <row r="603" spans="1:29" ht="13">
      <c r="E603" s="2"/>
      <c r="F603" s="2"/>
      <c r="G603" s="2"/>
      <c r="H603" s="2"/>
      <c r="I603" s="2"/>
    </row>
    <row r="604" spans="1:29" ht="13">
      <c r="E604" s="2"/>
      <c r="F604" s="2"/>
      <c r="G604" s="2"/>
      <c r="H604" s="2"/>
      <c r="I604" s="2"/>
    </row>
    <row r="605" spans="1:29" ht="13">
      <c r="E605" s="2"/>
      <c r="F605" s="2"/>
      <c r="G605" s="2"/>
      <c r="H605" s="2"/>
      <c r="I605" s="2"/>
    </row>
    <row r="606" spans="1:29" ht="13">
      <c r="E606" s="2"/>
      <c r="F606" s="2"/>
      <c r="G606" s="2"/>
      <c r="H606" s="2"/>
      <c r="I606" s="2"/>
    </row>
    <row r="607" spans="1:29" ht="13">
      <c r="E607" s="2"/>
      <c r="F607" s="2"/>
      <c r="G607" s="2"/>
      <c r="H607" s="2"/>
      <c r="I607" s="2"/>
    </row>
    <row r="608" spans="1:29" ht="13">
      <c r="E608" s="2"/>
      <c r="F608" s="2"/>
      <c r="G608" s="2"/>
      <c r="H608" s="2"/>
      <c r="I608" s="2"/>
    </row>
    <row r="609" spans="5:9" ht="13">
      <c r="E609" s="2"/>
      <c r="F609" s="2"/>
      <c r="G609" s="2"/>
      <c r="H609" s="2"/>
      <c r="I609" s="2"/>
    </row>
    <row r="610" spans="5:9" ht="13">
      <c r="E610" s="2"/>
      <c r="F610" s="2"/>
      <c r="G610" s="2"/>
      <c r="H610" s="2"/>
      <c r="I610" s="2"/>
    </row>
    <row r="611" spans="5:9" ht="13">
      <c r="E611" s="2"/>
      <c r="F611" s="2"/>
      <c r="G611" s="2"/>
      <c r="H611" s="2"/>
      <c r="I611" s="2"/>
    </row>
    <row r="612" spans="5:9" ht="13">
      <c r="E612" s="2"/>
      <c r="F612" s="2"/>
      <c r="G612" s="2"/>
      <c r="H612" s="2"/>
      <c r="I612" s="2"/>
    </row>
    <row r="613" spans="5:9" ht="13">
      <c r="E613" s="2"/>
      <c r="F613" s="2"/>
      <c r="G613" s="2"/>
      <c r="H613" s="2"/>
      <c r="I613" s="2"/>
    </row>
    <row r="614" spans="5:9" ht="13">
      <c r="E614" s="2"/>
      <c r="F614" s="2"/>
      <c r="G614" s="2"/>
      <c r="H614" s="2"/>
      <c r="I614" s="2"/>
    </row>
    <row r="615" spans="5:9" ht="13">
      <c r="E615" s="2"/>
      <c r="F615" s="2"/>
      <c r="G615" s="2"/>
      <c r="H615" s="2"/>
      <c r="I615" s="2"/>
    </row>
    <row r="616" spans="5:9" ht="13">
      <c r="E616" s="2"/>
      <c r="F616" s="2"/>
      <c r="G616" s="2"/>
      <c r="H616" s="2"/>
      <c r="I616" s="2"/>
    </row>
    <row r="617" spans="5:9" ht="13">
      <c r="E617" s="2"/>
      <c r="F617" s="2"/>
      <c r="G617" s="2"/>
      <c r="H617" s="2"/>
      <c r="I617" s="2"/>
    </row>
    <row r="618" spans="5:9" ht="13">
      <c r="E618" s="2"/>
      <c r="F618" s="2"/>
      <c r="G618" s="2"/>
      <c r="H618" s="2"/>
      <c r="I618" s="2"/>
    </row>
    <row r="619" spans="5:9" ht="13">
      <c r="E619" s="2"/>
      <c r="F619" s="2"/>
      <c r="G619" s="2"/>
      <c r="H619" s="2"/>
      <c r="I619" s="2"/>
    </row>
    <row r="620" spans="5:9" ht="13">
      <c r="E620" s="2"/>
      <c r="F620" s="2"/>
      <c r="G620" s="2"/>
      <c r="H620" s="2"/>
      <c r="I620" s="2"/>
    </row>
    <row r="621" spans="5:9" ht="13">
      <c r="E621" s="2"/>
      <c r="F621" s="2"/>
      <c r="G621" s="2"/>
      <c r="H621" s="2"/>
      <c r="I621" s="2"/>
    </row>
    <row r="622" spans="5:9" ht="13">
      <c r="E622" s="2"/>
      <c r="F622" s="2"/>
      <c r="G622" s="2"/>
      <c r="H622" s="2"/>
      <c r="I622" s="2"/>
    </row>
    <row r="623" spans="5:9" ht="13">
      <c r="E623" s="2"/>
      <c r="F623" s="2"/>
      <c r="G623" s="2"/>
      <c r="H623" s="2"/>
      <c r="I623" s="2"/>
    </row>
    <row r="624" spans="5:9" ht="13">
      <c r="E624" s="2"/>
      <c r="F624" s="2"/>
      <c r="G624" s="2"/>
      <c r="H624" s="2"/>
      <c r="I624" s="2"/>
    </row>
    <row r="625" spans="5:9" ht="13">
      <c r="E625" s="2"/>
      <c r="F625" s="2"/>
      <c r="G625" s="2"/>
      <c r="H625" s="2"/>
      <c r="I625" s="2"/>
    </row>
    <row r="626" spans="5:9" ht="13">
      <c r="E626" s="2"/>
      <c r="F626" s="2"/>
      <c r="G626" s="2"/>
      <c r="H626" s="2"/>
      <c r="I626" s="2"/>
    </row>
    <row r="627" spans="5:9" ht="13">
      <c r="E627" s="2"/>
      <c r="F627" s="2"/>
      <c r="G627" s="2"/>
      <c r="H627" s="2"/>
      <c r="I627" s="2"/>
    </row>
    <row r="628" spans="5:9" ht="13">
      <c r="E628" s="2"/>
      <c r="F628" s="2"/>
      <c r="G628" s="2"/>
      <c r="H628" s="2"/>
      <c r="I628" s="2"/>
    </row>
    <row r="629" spans="5:9" ht="13">
      <c r="E629" s="2"/>
      <c r="F629" s="2"/>
      <c r="G629" s="2"/>
      <c r="H629" s="2"/>
      <c r="I629" s="2"/>
    </row>
    <row r="630" spans="5:9" ht="13">
      <c r="E630" s="2"/>
      <c r="F630" s="2"/>
      <c r="G630" s="2"/>
      <c r="H630" s="2"/>
      <c r="I630" s="2"/>
    </row>
    <row r="631" spans="5:9" ht="13">
      <c r="E631" s="2"/>
      <c r="F631" s="2"/>
      <c r="G631" s="2"/>
      <c r="H631" s="2"/>
      <c r="I631" s="2"/>
    </row>
    <row r="632" spans="5:9" ht="13">
      <c r="E632" s="2"/>
      <c r="F632" s="2"/>
      <c r="G632" s="2"/>
      <c r="H632" s="2"/>
      <c r="I632" s="2"/>
    </row>
    <row r="633" spans="5:9" ht="13">
      <c r="E633" s="2"/>
      <c r="F633" s="2"/>
      <c r="G633" s="2"/>
      <c r="H633" s="2"/>
      <c r="I633" s="2"/>
    </row>
    <row r="634" spans="5:9" ht="13">
      <c r="E634" s="2"/>
      <c r="F634" s="2"/>
      <c r="G634" s="2"/>
      <c r="H634" s="2"/>
      <c r="I634" s="2"/>
    </row>
    <row r="635" spans="5:9" ht="13">
      <c r="E635" s="2"/>
      <c r="F635" s="2"/>
      <c r="G635" s="2"/>
      <c r="H635" s="2"/>
      <c r="I635" s="2"/>
    </row>
    <row r="636" spans="5:9" ht="13">
      <c r="E636" s="2"/>
      <c r="F636" s="2"/>
      <c r="G636" s="2"/>
      <c r="H636" s="2"/>
      <c r="I636" s="2"/>
    </row>
    <row r="637" spans="5:9" ht="13">
      <c r="E637" s="2"/>
      <c r="F637" s="2"/>
      <c r="G637" s="2"/>
      <c r="H637" s="2"/>
      <c r="I637" s="2"/>
    </row>
    <row r="638" spans="5:9" ht="13">
      <c r="E638" s="2"/>
      <c r="F638" s="2"/>
      <c r="G638" s="2"/>
      <c r="H638" s="2"/>
      <c r="I638" s="2"/>
    </row>
    <row r="639" spans="5:9" ht="13">
      <c r="E639" s="2"/>
      <c r="F639" s="2"/>
      <c r="G639" s="2"/>
      <c r="H639" s="2"/>
      <c r="I639" s="2"/>
    </row>
    <row r="640" spans="5:9" ht="13">
      <c r="E640" s="2"/>
      <c r="F640" s="2"/>
      <c r="G640" s="2"/>
      <c r="H640" s="2"/>
      <c r="I640" s="2"/>
    </row>
    <row r="641" spans="5:9" ht="13">
      <c r="E641" s="2"/>
      <c r="F641" s="2"/>
      <c r="G641" s="2"/>
      <c r="H641" s="2"/>
      <c r="I641" s="2"/>
    </row>
    <row r="642" spans="5:9" ht="13">
      <c r="E642" s="2"/>
      <c r="F642" s="2"/>
      <c r="G642" s="2"/>
      <c r="H642" s="2"/>
      <c r="I642" s="2"/>
    </row>
    <row r="643" spans="5:9" ht="13">
      <c r="E643" s="2"/>
      <c r="F643" s="2"/>
      <c r="G643" s="2"/>
      <c r="H643" s="2"/>
      <c r="I643" s="2"/>
    </row>
    <row r="644" spans="5:9" ht="13">
      <c r="E644" s="2"/>
      <c r="F644" s="2"/>
      <c r="G644" s="2"/>
      <c r="H644" s="2"/>
      <c r="I644" s="2"/>
    </row>
    <row r="645" spans="5:9" ht="13">
      <c r="E645" s="2"/>
      <c r="F645" s="2"/>
      <c r="G645" s="2"/>
      <c r="H645" s="2"/>
      <c r="I645" s="2"/>
    </row>
    <row r="646" spans="5:9" ht="13">
      <c r="E646" s="2"/>
      <c r="F646" s="2"/>
      <c r="G646" s="2"/>
      <c r="H646" s="2"/>
      <c r="I646" s="2"/>
    </row>
    <row r="647" spans="5:9" ht="13">
      <c r="E647" s="2"/>
      <c r="F647" s="2"/>
      <c r="G647" s="2"/>
      <c r="H647" s="2"/>
      <c r="I647" s="2"/>
    </row>
    <row r="648" spans="5:9" ht="13">
      <c r="E648" s="2"/>
      <c r="F648" s="2"/>
      <c r="G648" s="2"/>
      <c r="H648" s="2"/>
      <c r="I648" s="2"/>
    </row>
    <row r="649" spans="5:9" ht="13">
      <c r="E649" s="2"/>
      <c r="F649" s="2"/>
      <c r="G649" s="2"/>
      <c r="H649" s="2"/>
      <c r="I649" s="2"/>
    </row>
    <row r="650" spans="5:9" ht="13">
      <c r="E650" s="2"/>
      <c r="F650" s="2"/>
      <c r="G650" s="2"/>
      <c r="H650" s="2"/>
      <c r="I650" s="2"/>
    </row>
    <row r="651" spans="5:9" ht="13">
      <c r="E651" s="2"/>
      <c r="F651" s="2"/>
      <c r="G651" s="2"/>
      <c r="H651" s="2"/>
      <c r="I651" s="2"/>
    </row>
    <row r="652" spans="5:9" ht="13">
      <c r="E652" s="2"/>
      <c r="F652" s="2"/>
      <c r="G652" s="2"/>
      <c r="H652" s="2"/>
      <c r="I652" s="2"/>
    </row>
    <row r="653" spans="5:9" ht="13">
      <c r="E653" s="2"/>
      <c r="F653" s="2"/>
      <c r="G653" s="2"/>
      <c r="H653" s="2"/>
      <c r="I653" s="2"/>
    </row>
    <row r="654" spans="5:9" ht="13">
      <c r="E654" s="2"/>
      <c r="F654" s="2"/>
      <c r="G654" s="2"/>
      <c r="H654" s="2"/>
      <c r="I654" s="2"/>
    </row>
    <row r="655" spans="5:9" ht="13">
      <c r="E655" s="2"/>
      <c r="F655" s="2"/>
      <c r="G655" s="2"/>
      <c r="H655" s="2"/>
      <c r="I655" s="2"/>
    </row>
    <row r="656" spans="5:9" ht="13">
      <c r="E656" s="2"/>
      <c r="F656" s="2"/>
      <c r="G656" s="2"/>
      <c r="H656" s="2"/>
      <c r="I656" s="2"/>
    </row>
    <row r="657" spans="5:9" ht="13">
      <c r="E657" s="2"/>
      <c r="F657" s="2"/>
      <c r="G657" s="2"/>
      <c r="H657" s="2"/>
      <c r="I657" s="2"/>
    </row>
    <row r="658" spans="5:9" ht="13">
      <c r="E658" s="2"/>
      <c r="F658" s="2"/>
      <c r="G658" s="2"/>
      <c r="H658" s="2"/>
      <c r="I658" s="2"/>
    </row>
    <row r="659" spans="5:9" ht="13">
      <c r="E659" s="2"/>
      <c r="F659" s="2"/>
      <c r="G659" s="2"/>
      <c r="H659" s="2"/>
      <c r="I659" s="2"/>
    </row>
    <row r="660" spans="5:9" ht="13">
      <c r="E660" s="2"/>
      <c r="F660" s="2"/>
      <c r="G660" s="2"/>
      <c r="H660" s="2"/>
      <c r="I660" s="2"/>
    </row>
    <row r="661" spans="5:9" ht="13">
      <c r="E661" s="2"/>
      <c r="F661" s="2"/>
      <c r="G661" s="2"/>
      <c r="H661" s="2"/>
      <c r="I661" s="2"/>
    </row>
    <row r="662" spans="5:9" ht="13">
      <c r="E662" s="2"/>
      <c r="F662" s="2"/>
      <c r="G662" s="2"/>
      <c r="H662" s="2"/>
      <c r="I662" s="2"/>
    </row>
    <row r="663" spans="5:9" ht="13">
      <c r="E663" s="2"/>
      <c r="F663" s="2"/>
      <c r="G663" s="2"/>
      <c r="H663" s="2"/>
      <c r="I663" s="2"/>
    </row>
    <row r="664" spans="5:9" ht="13">
      <c r="E664" s="2"/>
      <c r="F664" s="2"/>
      <c r="G664" s="2"/>
      <c r="H664" s="2"/>
      <c r="I664" s="2"/>
    </row>
    <row r="665" spans="5:9" ht="13">
      <c r="E665" s="2"/>
      <c r="F665" s="2"/>
      <c r="G665" s="2"/>
      <c r="H665" s="2"/>
      <c r="I665" s="2"/>
    </row>
    <row r="666" spans="5:9" ht="13">
      <c r="E666" s="2"/>
      <c r="F666" s="2"/>
      <c r="G666" s="2"/>
      <c r="H666" s="2"/>
      <c r="I666" s="2"/>
    </row>
    <row r="667" spans="5:9" ht="13">
      <c r="E667" s="2"/>
      <c r="F667" s="2"/>
      <c r="G667" s="2"/>
      <c r="H667" s="2"/>
      <c r="I667" s="2"/>
    </row>
    <row r="668" spans="5:9" ht="13">
      <c r="E668" s="2"/>
      <c r="F668" s="2"/>
      <c r="G668" s="2"/>
      <c r="H668" s="2"/>
      <c r="I668" s="2"/>
    </row>
    <row r="669" spans="5:9" ht="13">
      <c r="E669" s="2"/>
      <c r="F669" s="2"/>
      <c r="G669" s="2"/>
      <c r="H669" s="2"/>
      <c r="I669" s="2"/>
    </row>
    <row r="670" spans="5:9" ht="13">
      <c r="E670" s="2"/>
      <c r="F670" s="2"/>
      <c r="G670" s="2"/>
      <c r="H670" s="2"/>
      <c r="I670" s="2"/>
    </row>
    <row r="671" spans="5:9" ht="13">
      <c r="E671" s="2"/>
      <c r="F671" s="2"/>
      <c r="G671" s="2"/>
      <c r="H671" s="2"/>
      <c r="I671" s="2"/>
    </row>
    <row r="672" spans="5:9" ht="13">
      <c r="E672" s="2"/>
      <c r="F672" s="2"/>
      <c r="G672" s="2"/>
      <c r="H672" s="2"/>
      <c r="I672" s="2"/>
    </row>
    <row r="673" spans="5:9" ht="13">
      <c r="E673" s="2"/>
      <c r="F673" s="2"/>
      <c r="G673" s="2"/>
      <c r="H673" s="2"/>
      <c r="I673" s="2"/>
    </row>
    <row r="674" spans="5:9" ht="13">
      <c r="E674" s="2"/>
      <c r="F674" s="2"/>
      <c r="G674" s="2"/>
      <c r="H674" s="2"/>
      <c r="I674" s="2"/>
    </row>
    <row r="675" spans="5:9" ht="13">
      <c r="E675" s="2"/>
      <c r="F675" s="2"/>
      <c r="G675" s="2"/>
      <c r="H675" s="2"/>
      <c r="I675" s="2"/>
    </row>
    <row r="676" spans="5:9" ht="13">
      <c r="E676" s="2"/>
      <c r="F676" s="2"/>
      <c r="G676" s="2"/>
      <c r="H676" s="2"/>
      <c r="I676" s="2"/>
    </row>
    <row r="677" spans="5:9" ht="13">
      <c r="E677" s="2"/>
      <c r="F677" s="2"/>
      <c r="G677" s="2"/>
      <c r="H677" s="2"/>
      <c r="I677" s="2"/>
    </row>
    <row r="678" spans="5:9" ht="13">
      <c r="E678" s="2"/>
      <c r="F678" s="2"/>
      <c r="G678" s="2"/>
      <c r="H678" s="2"/>
      <c r="I678" s="2"/>
    </row>
    <row r="679" spans="5:9" ht="13">
      <c r="E679" s="2"/>
      <c r="F679" s="2"/>
      <c r="G679" s="2"/>
      <c r="H679" s="2"/>
      <c r="I679" s="2"/>
    </row>
    <row r="680" spans="5:9" ht="13">
      <c r="E680" s="2"/>
      <c r="F680" s="2"/>
      <c r="G680" s="2"/>
      <c r="H680" s="2"/>
      <c r="I680" s="2"/>
    </row>
    <row r="681" spans="5:9" ht="13">
      <c r="E681" s="2"/>
      <c r="F681" s="2"/>
      <c r="G681" s="2"/>
      <c r="H681" s="2"/>
      <c r="I681" s="2"/>
    </row>
    <row r="682" spans="5:9" ht="13">
      <c r="E682" s="2"/>
      <c r="F682" s="2"/>
      <c r="G682" s="2"/>
      <c r="H682" s="2"/>
      <c r="I682" s="2"/>
    </row>
    <row r="683" spans="5:9" ht="13">
      <c r="E683" s="2"/>
      <c r="F683" s="2"/>
      <c r="G683" s="2"/>
      <c r="H683" s="2"/>
      <c r="I683" s="2"/>
    </row>
    <row r="684" spans="5:9" ht="13">
      <c r="E684" s="2"/>
      <c r="F684" s="2"/>
      <c r="G684" s="2"/>
      <c r="H684" s="2"/>
      <c r="I684" s="2"/>
    </row>
    <row r="685" spans="5:9" ht="13">
      <c r="E685" s="2"/>
      <c r="F685" s="2"/>
      <c r="G685" s="2"/>
      <c r="H685" s="2"/>
      <c r="I685" s="2"/>
    </row>
    <row r="686" spans="5:9" ht="13">
      <c r="E686" s="2"/>
      <c r="F686" s="2"/>
      <c r="G686" s="2"/>
      <c r="H686" s="2"/>
      <c r="I686" s="2"/>
    </row>
    <row r="687" spans="5:9" ht="13">
      <c r="E687" s="2"/>
      <c r="F687" s="2"/>
      <c r="G687" s="2"/>
      <c r="H687" s="2"/>
      <c r="I687" s="2"/>
    </row>
    <row r="688" spans="5:9" ht="13">
      <c r="E688" s="2"/>
      <c r="F688" s="2"/>
      <c r="G688" s="2"/>
      <c r="H688" s="2"/>
      <c r="I688" s="2"/>
    </row>
    <row r="689" spans="5:9" ht="13">
      <c r="E689" s="2"/>
      <c r="F689" s="2"/>
      <c r="G689" s="2"/>
      <c r="H689" s="2"/>
      <c r="I689" s="2"/>
    </row>
    <row r="690" spans="5:9" ht="13">
      <c r="E690" s="2"/>
      <c r="F690" s="2"/>
      <c r="G690" s="2"/>
      <c r="H690" s="2"/>
      <c r="I690" s="2"/>
    </row>
    <row r="691" spans="5:9" ht="13">
      <c r="E691" s="2"/>
      <c r="F691" s="2"/>
      <c r="G691" s="2"/>
      <c r="H691" s="2"/>
      <c r="I691" s="2"/>
    </row>
    <row r="692" spans="5:9" ht="13">
      <c r="E692" s="2"/>
      <c r="F692" s="2"/>
      <c r="G692" s="2"/>
      <c r="H692" s="2"/>
      <c r="I692" s="2"/>
    </row>
    <row r="693" spans="5:9" ht="13">
      <c r="E693" s="2"/>
      <c r="F693" s="2"/>
      <c r="G693" s="2"/>
      <c r="H693" s="2"/>
      <c r="I693" s="2"/>
    </row>
    <row r="694" spans="5:9" ht="13">
      <c r="E694" s="2"/>
      <c r="F694" s="2"/>
      <c r="G694" s="2"/>
      <c r="H694" s="2"/>
      <c r="I694" s="2"/>
    </row>
    <row r="695" spans="5:9" ht="13">
      <c r="E695" s="2"/>
      <c r="F695" s="2"/>
      <c r="G695" s="2"/>
      <c r="H695" s="2"/>
      <c r="I695" s="2"/>
    </row>
    <row r="696" spans="5:9" ht="13">
      <c r="E696" s="2"/>
      <c r="F696" s="2"/>
      <c r="G696" s="2"/>
      <c r="H696" s="2"/>
      <c r="I696" s="2"/>
    </row>
    <row r="697" spans="5:9" ht="13">
      <c r="E697" s="2"/>
      <c r="F697" s="2"/>
      <c r="G697" s="2"/>
      <c r="H697" s="2"/>
      <c r="I697" s="2"/>
    </row>
    <row r="698" spans="5:9" ht="13">
      <c r="E698" s="2"/>
      <c r="F698" s="2"/>
      <c r="G698" s="2"/>
      <c r="H698" s="2"/>
      <c r="I698" s="2"/>
    </row>
    <row r="699" spans="5:9" ht="13">
      <c r="E699" s="2"/>
      <c r="F699" s="2"/>
      <c r="G699" s="2"/>
      <c r="H699" s="2"/>
      <c r="I699" s="2"/>
    </row>
    <row r="700" spans="5:9" ht="13">
      <c r="E700" s="2"/>
      <c r="F700" s="2"/>
      <c r="G700" s="2"/>
      <c r="H700" s="2"/>
      <c r="I700" s="2"/>
    </row>
    <row r="701" spans="5:9" ht="13">
      <c r="E701" s="2"/>
      <c r="F701" s="2"/>
      <c r="G701" s="2"/>
      <c r="H701" s="2"/>
      <c r="I701" s="2"/>
    </row>
    <row r="702" spans="5:9" ht="13">
      <c r="E702" s="2"/>
      <c r="F702" s="2"/>
      <c r="G702" s="2"/>
      <c r="H702" s="2"/>
      <c r="I702" s="2"/>
    </row>
    <row r="703" spans="5:9" ht="13">
      <c r="E703" s="2"/>
      <c r="F703" s="2"/>
      <c r="G703" s="2"/>
      <c r="H703" s="2"/>
      <c r="I703" s="2"/>
    </row>
    <row r="704" spans="5:9" ht="13">
      <c r="E704" s="2"/>
      <c r="F704" s="2"/>
      <c r="G704" s="2"/>
      <c r="H704" s="2"/>
      <c r="I704" s="2"/>
    </row>
    <row r="705" spans="5:9" ht="13">
      <c r="E705" s="2"/>
      <c r="F705" s="2"/>
      <c r="G705" s="2"/>
      <c r="H705" s="2"/>
      <c r="I705" s="2"/>
    </row>
    <row r="706" spans="5:9" ht="13">
      <c r="E706" s="2"/>
      <c r="F706" s="2"/>
      <c r="G706" s="2"/>
      <c r="H706" s="2"/>
      <c r="I706" s="2"/>
    </row>
    <row r="707" spans="5:9" ht="13">
      <c r="E707" s="2"/>
      <c r="F707" s="2"/>
      <c r="G707" s="2"/>
      <c r="H707" s="2"/>
      <c r="I707" s="2"/>
    </row>
    <row r="708" spans="5:9" ht="13">
      <c r="E708" s="2"/>
      <c r="F708" s="2"/>
      <c r="G708" s="2"/>
      <c r="H708" s="2"/>
      <c r="I708" s="2"/>
    </row>
    <row r="709" spans="5:9" ht="13">
      <c r="E709" s="2"/>
      <c r="F709" s="2"/>
      <c r="G709" s="2"/>
      <c r="H709" s="2"/>
      <c r="I709" s="2"/>
    </row>
    <row r="710" spans="5:9" ht="13">
      <c r="E710" s="2"/>
      <c r="F710" s="2"/>
      <c r="G710" s="2"/>
      <c r="H710" s="2"/>
      <c r="I710" s="2"/>
    </row>
    <row r="711" spans="5:9" ht="13">
      <c r="E711" s="2"/>
      <c r="F711" s="2"/>
      <c r="G711" s="2"/>
      <c r="H711" s="2"/>
      <c r="I711" s="2"/>
    </row>
    <row r="712" spans="5:9" ht="13">
      <c r="E712" s="2"/>
      <c r="F712" s="2"/>
      <c r="G712" s="2"/>
      <c r="H712" s="2"/>
      <c r="I712" s="2"/>
    </row>
    <row r="713" spans="5:9" ht="13">
      <c r="E713" s="2"/>
      <c r="F713" s="2"/>
      <c r="G713" s="2"/>
      <c r="H713" s="2"/>
      <c r="I713" s="2"/>
    </row>
    <row r="714" spans="5:9" ht="13">
      <c r="E714" s="2"/>
      <c r="F714" s="2"/>
      <c r="G714" s="2"/>
      <c r="H714" s="2"/>
      <c r="I714" s="2"/>
    </row>
    <row r="715" spans="5:9" ht="13">
      <c r="E715" s="2"/>
      <c r="F715" s="2"/>
      <c r="G715" s="2"/>
      <c r="H715" s="2"/>
      <c r="I715" s="2"/>
    </row>
    <row r="716" spans="5:9" ht="13">
      <c r="E716" s="2"/>
      <c r="F716" s="2"/>
      <c r="G716" s="2"/>
      <c r="H716" s="2"/>
      <c r="I716" s="2"/>
    </row>
    <row r="717" spans="5:9" ht="13">
      <c r="E717" s="2"/>
      <c r="F717" s="2"/>
      <c r="G717" s="2"/>
      <c r="H717" s="2"/>
      <c r="I717" s="2"/>
    </row>
    <row r="718" spans="5:9" ht="13">
      <c r="E718" s="2"/>
      <c r="F718" s="2"/>
      <c r="G718" s="2"/>
      <c r="H718" s="2"/>
      <c r="I718" s="2"/>
    </row>
    <row r="719" spans="5:9" ht="13">
      <c r="E719" s="2"/>
      <c r="F719" s="2"/>
      <c r="G719" s="2"/>
      <c r="H719" s="2"/>
      <c r="I719" s="2"/>
    </row>
    <row r="720" spans="5:9" ht="13">
      <c r="E720" s="2"/>
      <c r="F720" s="2"/>
      <c r="G720" s="2"/>
      <c r="H720" s="2"/>
      <c r="I720" s="2"/>
    </row>
    <row r="721" spans="5:9" ht="13">
      <c r="E721" s="2"/>
      <c r="F721" s="2"/>
      <c r="G721" s="2"/>
      <c r="H721" s="2"/>
      <c r="I721" s="2"/>
    </row>
    <row r="722" spans="5:9" ht="13">
      <c r="E722" s="2"/>
      <c r="F722" s="2"/>
      <c r="G722" s="2"/>
      <c r="H722" s="2"/>
      <c r="I722" s="2"/>
    </row>
    <row r="723" spans="5:9" ht="13">
      <c r="E723" s="2"/>
      <c r="F723" s="2"/>
      <c r="G723" s="2"/>
      <c r="H723" s="2"/>
      <c r="I723" s="2"/>
    </row>
    <row r="724" spans="5:9" ht="13">
      <c r="E724" s="2"/>
      <c r="F724" s="2"/>
      <c r="G724" s="2"/>
      <c r="H724" s="2"/>
      <c r="I724" s="2"/>
    </row>
    <row r="725" spans="5:9" ht="13">
      <c r="E725" s="2"/>
      <c r="F725" s="2"/>
      <c r="G725" s="2"/>
      <c r="H725" s="2"/>
      <c r="I725" s="2"/>
    </row>
    <row r="726" spans="5:9" ht="13">
      <c r="E726" s="2"/>
      <c r="F726" s="2"/>
      <c r="G726" s="2"/>
      <c r="H726" s="2"/>
      <c r="I726" s="2"/>
    </row>
    <row r="727" spans="5:9" ht="13">
      <c r="E727" s="2"/>
      <c r="F727" s="2"/>
      <c r="G727" s="2"/>
      <c r="H727" s="2"/>
      <c r="I727" s="2"/>
    </row>
    <row r="728" spans="5:9" ht="13">
      <c r="E728" s="2"/>
      <c r="F728" s="2"/>
      <c r="G728" s="2"/>
      <c r="H728" s="2"/>
      <c r="I728" s="2"/>
    </row>
    <row r="729" spans="5:9" ht="13">
      <c r="E729" s="2"/>
      <c r="F729" s="2"/>
      <c r="G729" s="2"/>
      <c r="H729" s="2"/>
      <c r="I729" s="2"/>
    </row>
    <row r="730" spans="5:9" ht="13">
      <c r="E730" s="2"/>
      <c r="F730" s="2"/>
      <c r="G730" s="2"/>
      <c r="H730" s="2"/>
      <c r="I730" s="2"/>
    </row>
    <row r="731" spans="5:9" ht="13">
      <c r="E731" s="2"/>
      <c r="F731" s="2"/>
      <c r="G731" s="2"/>
      <c r="H731" s="2"/>
      <c r="I731" s="2"/>
    </row>
    <row r="732" spans="5:9" ht="13">
      <c r="E732" s="2"/>
      <c r="F732" s="2"/>
      <c r="G732" s="2"/>
      <c r="H732" s="2"/>
      <c r="I732" s="2"/>
    </row>
    <row r="733" spans="5:9" ht="13">
      <c r="E733" s="2"/>
      <c r="F733" s="2"/>
      <c r="G733" s="2"/>
      <c r="H733" s="2"/>
      <c r="I733" s="2"/>
    </row>
    <row r="734" spans="5:9" ht="13">
      <c r="E734" s="2"/>
      <c r="F734" s="2"/>
      <c r="G734" s="2"/>
      <c r="H734" s="2"/>
      <c r="I734" s="2"/>
    </row>
    <row r="735" spans="5:9" ht="13">
      <c r="E735" s="2"/>
      <c r="F735" s="2"/>
      <c r="G735" s="2"/>
      <c r="H735" s="2"/>
      <c r="I735" s="2"/>
    </row>
    <row r="736" spans="5:9" ht="13">
      <c r="E736" s="2"/>
      <c r="F736" s="2"/>
      <c r="G736" s="2"/>
      <c r="H736" s="2"/>
      <c r="I736" s="2"/>
    </row>
    <row r="737" spans="5:9" ht="13">
      <c r="E737" s="2"/>
      <c r="F737" s="2"/>
      <c r="G737" s="2"/>
      <c r="H737" s="2"/>
      <c r="I737" s="2"/>
    </row>
    <row r="738" spans="5:9" ht="13">
      <c r="E738" s="2"/>
      <c r="F738" s="2"/>
      <c r="G738" s="2"/>
      <c r="H738" s="2"/>
      <c r="I738" s="2"/>
    </row>
    <row r="739" spans="5:9" ht="13">
      <c r="E739" s="2"/>
      <c r="F739" s="2"/>
      <c r="G739" s="2"/>
      <c r="H739" s="2"/>
      <c r="I739" s="2"/>
    </row>
    <row r="740" spans="5:9" ht="13">
      <c r="E740" s="2"/>
      <c r="F740" s="2"/>
      <c r="G740" s="2"/>
      <c r="H740" s="2"/>
      <c r="I740" s="2"/>
    </row>
    <row r="741" spans="5:9" ht="13">
      <c r="E741" s="2"/>
      <c r="F741" s="2"/>
      <c r="G741" s="2"/>
      <c r="H741" s="2"/>
      <c r="I741" s="2"/>
    </row>
    <row r="742" spans="5:9" ht="13">
      <c r="E742" s="2"/>
      <c r="F742" s="2"/>
      <c r="G742" s="2"/>
      <c r="H742" s="2"/>
      <c r="I742" s="2"/>
    </row>
    <row r="743" spans="5:9" ht="13">
      <c r="E743" s="2"/>
      <c r="F743" s="2"/>
      <c r="G743" s="2"/>
      <c r="H743" s="2"/>
      <c r="I743" s="2"/>
    </row>
    <row r="744" spans="5:9" ht="13">
      <c r="E744" s="2"/>
      <c r="F744" s="2"/>
      <c r="G744" s="2"/>
      <c r="H744" s="2"/>
      <c r="I744" s="2"/>
    </row>
    <row r="745" spans="5:9" ht="13">
      <c r="E745" s="2"/>
      <c r="F745" s="2"/>
      <c r="G745" s="2"/>
      <c r="H745" s="2"/>
      <c r="I745" s="2"/>
    </row>
    <row r="746" spans="5:9" ht="13">
      <c r="E746" s="2"/>
      <c r="F746" s="2"/>
      <c r="G746" s="2"/>
      <c r="H746" s="2"/>
      <c r="I746" s="2"/>
    </row>
    <row r="747" spans="5:9" ht="13">
      <c r="E747" s="2"/>
      <c r="F747" s="2"/>
      <c r="G747" s="2"/>
      <c r="H747" s="2"/>
      <c r="I747" s="2"/>
    </row>
    <row r="748" spans="5:9" ht="13">
      <c r="E748" s="2"/>
      <c r="F748" s="2"/>
      <c r="G748" s="2"/>
      <c r="H748" s="2"/>
      <c r="I748" s="2"/>
    </row>
    <row r="749" spans="5:9" ht="13">
      <c r="E749" s="2"/>
      <c r="F749" s="2"/>
      <c r="G749" s="2"/>
      <c r="H749" s="2"/>
      <c r="I749" s="2"/>
    </row>
    <row r="750" spans="5:9" ht="13">
      <c r="E750" s="2"/>
      <c r="F750" s="2"/>
      <c r="G750" s="2"/>
      <c r="H750" s="2"/>
      <c r="I750" s="2"/>
    </row>
    <row r="751" spans="5:9" ht="13">
      <c r="E751" s="2"/>
      <c r="F751" s="2"/>
      <c r="G751" s="2"/>
      <c r="H751" s="2"/>
      <c r="I751" s="2"/>
    </row>
    <row r="752" spans="5:9" ht="13">
      <c r="E752" s="2"/>
      <c r="F752" s="2"/>
      <c r="G752" s="2"/>
      <c r="H752" s="2"/>
      <c r="I752" s="2"/>
    </row>
    <row r="753" spans="5:9" ht="13">
      <c r="E753" s="2"/>
      <c r="F753" s="2"/>
      <c r="G753" s="2"/>
      <c r="H753" s="2"/>
      <c r="I753" s="2"/>
    </row>
    <row r="754" spans="5:9" ht="13">
      <c r="E754" s="2"/>
      <c r="F754" s="2"/>
      <c r="G754" s="2"/>
      <c r="H754" s="2"/>
      <c r="I754" s="2"/>
    </row>
    <row r="755" spans="5:9" ht="13">
      <c r="E755" s="2"/>
      <c r="F755" s="2"/>
      <c r="G755" s="2"/>
      <c r="H755" s="2"/>
      <c r="I755" s="2"/>
    </row>
    <row r="756" spans="5:9" ht="13">
      <c r="E756" s="2"/>
      <c r="F756" s="2"/>
      <c r="G756" s="2"/>
      <c r="H756" s="2"/>
      <c r="I756" s="2"/>
    </row>
    <row r="757" spans="5:9" ht="13">
      <c r="E757" s="2"/>
      <c r="F757" s="2"/>
      <c r="G757" s="2"/>
      <c r="H757" s="2"/>
      <c r="I757" s="2"/>
    </row>
    <row r="758" spans="5:9" ht="13">
      <c r="E758" s="2"/>
      <c r="F758" s="2"/>
      <c r="G758" s="2"/>
      <c r="H758" s="2"/>
      <c r="I758" s="2"/>
    </row>
    <row r="759" spans="5:9" ht="13">
      <c r="E759" s="2"/>
      <c r="F759" s="2"/>
      <c r="G759" s="2"/>
      <c r="H759" s="2"/>
      <c r="I759" s="2"/>
    </row>
    <row r="760" spans="5:9" ht="13">
      <c r="E760" s="2"/>
      <c r="F760" s="2"/>
      <c r="G760" s="2"/>
      <c r="H760" s="2"/>
      <c r="I760" s="2"/>
    </row>
    <row r="761" spans="5:9" ht="13">
      <c r="E761" s="2"/>
      <c r="F761" s="2"/>
      <c r="G761" s="2"/>
      <c r="H761" s="2"/>
      <c r="I761" s="2"/>
    </row>
    <row r="762" spans="5:9" ht="13">
      <c r="E762" s="2"/>
      <c r="F762" s="2"/>
      <c r="G762" s="2"/>
      <c r="H762" s="2"/>
      <c r="I762" s="2"/>
    </row>
    <row r="763" spans="5:9" ht="13">
      <c r="E763" s="2"/>
      <c r="F763" s="2"/>
      <c r="G763" s="2"/>
      <c r="H763" s="2"/>
      <c r="I763" s="2"/>
    </row>
    <row r="764" spans="5:9" ht="13">
      <c r="E764" s="2"/>
      <c r="F764" s="2"/>
      <c r="G764" s="2"/>
      <c r="H764" s="2"/>
      <c r="I764" s="2"/>
    </row>
    <row r="765" spans="5:9" ht="13">
      <c r="E765" s="2"/>
      <c r="F765" s="2"/>
      <c r="G765" s="2"/>
      <c r="H765" s="2"/>
      <c r="I765" s="2"/>
    </row>
    <row r="766" spans="5:9" ht="13">
      <c r="E766" s="2"/>
      <c r="F766" s="2"/>
      <c r="G766" s="2"/>
      <c r="H766" s="2"/>
      <c r="I766" s="2"/>
    </row>
    <row r="767" spans="5:9" ht="13">
      <c r="E767" s="2"/>
      <c r="F767" s="2"/>
      <c r="G767" s="2"/>
      <c r="H767" s="2"/>
      <c r="I767" s="2"/>
    </row>
    <row r="768" spans="5:9" ht="13">
      <c r="E768" s="2"/>
      <c r="F768" s="2"/>
      <c r="G768" s="2"/>
      <c r="H768" s="2"/>
      <c r="I768" s="2"/>
    </row>
    <row r="769" spans="5:9" ht="13">
      <c r="E769" s="2"/>
      <c r="F769" s="2"/>
      <c r="G769" s="2"/>
      <c r="H769" s="2"/>
      <c r="I769" s="2"/>
    </row>
    <row r="770" spans="5:9" ht="13">
      <c r="E770" s="2"/>
      <c r="F770" s="2"/>
      <c r="G770" s="2"/>
      <c r="H770" s="2"/>
      <c r="I770" s="2"/>
    </row>
    <row r="771" spans="5:9" ht="13">
      <c r="E771" s="2"/>
      <c r="F771" s="2"/>
      <c r="G771" s="2"/>
      <c r="H771" s="2"/>
      <c r="I771" s="2"/>
    </row>
    <row r="772" spans="5:9" ht="13">
      <c r="E772" s="2"/>
      <c r="F772" s="2"/>
      <c r="G772" s="2"/>
      <c r="H772" s="2"/>
      <c r="I772" s="2"/>
    </row>
    <row r="773" spans="5:9" ht="13">
      <c r="E773" s="2"/>
      <c r="F773" s="2"/>
      <c r="G773" s="2"/>
      <c r="H773" s="2"/>
      <c r="I773" s="2"/>
    </row>
    <row r="774" spans="5:9" ht="13">
      <c r="E774" s="2"/>
      <c r="F774" s="2"/>
      <c r="G774" s="2"/>
      <c r="H774" s="2"/>
      <c r="I774" s="2"/>
    </row>
    <row r="775" spans="5:9" ht="13">
      <c r="E775" s="2"/>
      <c r="F775" s="2"/>
      <c r="G775" s="2"/>
      <c r="H775" s="2"/>
      <c r="I775" s="2"/>
    </row>
    <row r="776" spans="5:9" ht="13">
      <c r="E776" s="2"/>
      <c r="F776" s="2"/>
      <c r="G776" s="2"/>
      <c r="H776" s="2"/>
      <c r="I776" s="2"/>
    </row>
    <row r="777" spans="5:9" ht="13">
      <c r="E777" s="2"/>
      <c r="F777" s="2"/>
      <c r="G777" s="2"/>
      <c r="H777" s="2"/>
      <c r="I777" s="2"/>
    </row>
    <row r="778" spans="5:9" ht="13">
      <c r="E778" s="2"/>
      <c r="F778" s="2"/>
      <c r="G778" s="2"/>
      <c r="H778" s="2"/>
      <c r="I778" s="2"/>
    </row>
    <row r="779" spans="5:9" ht="13">
      <c r="E779" s="2"/>
      <c r="F779" s="2"/>
      <c r="G779" s="2"/>
      <c r="H779" s="2"/>
      <c r="I779" s="2"/>
    </row>
    <row r="780" spans="5:9" ht="13">
      <c r="E780" s="2"/>
      <c r="F780" s="2"/>
      <c r="G780" s="2"/>
      <c r="H780" s="2"/>
      <c r="I780" s="2"/>
    </row>
    <row r="781" spans="5:9" ht="13">
      <c r="E781" s="2"/>
      <c r="F781" s="2"/>
      <c r="G781" s="2"/>
      <c r="H781" s="2"/>
      <c r="I781" s="2"/>
    </row>
    <row r="782" spans="5:9" ht="13">
      <c r="E782" s="2"/>
      <c r="F782" s="2"/>
      <c r="G782" s="2"/>
      <c r="H782" s="2"/>
      <c r="I782" s="2"/>
    </row>
    <row r="783" spans="5:9" ht="13">
      <c r="E783" s="2"/>
      <c r="F783" s="2"/>
      <c r="G783" s="2"/>
      <c r="H783" s="2"/>
      <c r="I783" s="2"/>
    </row>
    <row r="784" spans="5:9" ht="13">
      <c r="E784" s="2"/>
      <c r="F784" s="2"/>
      <c r="G784" s="2"/>
      <c r="H784" s="2"/>
      <c r="I784" s="2"/>
    </row>
    <row r="785" spans="5:9" ht="13">
      <c r="E785" s="2"/>
      <c r="F785" s="2"/>
      <c r="G785" s="2"/>
      <c r="H785" s="2"/>
      <c r="I785" s="2"/>
    </row>
    <row r="786" spans="5:9" ht="13">
      <c r="E786" s="2"/>
      <c r="F786" s="2"/>
      <c r="G786" s="2"/>
      <c r="H786" s="2"/>
      <c r="I786" s="2"/>
    </row>
    <row r="787" spans="5:9" ht="13">
      <c r="E787" s="2"/>
      <c r="F787" s="2"/>
      <c r="G787" s="2"/>
      <c r="H787" s="2"/>
      <c r="I787" s="2"/>
    </row>
    <row r="788" spans="5:9" ht="13">
      <c r="E788" s="2"/>
      <c r="F788" s="2"/>
      <c r="G788" s="2"/>
      <c r="H788" s="2"/>
      <c r="I788" s="2"/>
    </row>
    <row r="789" spans="5:9" ht="13">
      <c r="E789" s="2"/>
      <c r="F789" s="2"/>
      <c r="G789" s="2"/>
      <c r="H789" s="2"/>
      <c r="I789" s="2"/>
    </row>
    <row r="790" spans="5:9" ht="13">
      <c r="E790" s="2"/>
      <c r="F790" s="2"/>
      <c r="G790" s="2"/>
      <c r="H790" s="2"/>
      <c r="I790" s="2"/>
    </row>
    <row r="791" spans="5:9" ht="13">
      <c r="E791" s="2"/>
      <c r="F791" s="2"/>
      <c r="G791" s="2"/>
      <c r="H791" s="2"/>
      <c r="I791" s="2"/>
    </row>
    <row r="792" spans="5:9" ht="13">
      <c r="E792" s="2"/>
      <c r="F792" s="2"/>
      <c r="G792" s="2"/>
      <c r="H792" s="2"/>
      <c r="I792" s="2"/>
    </row>
    <row r="793" spans="5:9" ht="13">
      <c r="E793" s="2"/>
      <c r="F793" s="2"/>
      <c r="G793" s="2"/>
      <c r="H793" s="2"/>
      <c r="I793" s="2"/>
    </row>
    <row r="794" spans="5:9" ht="13">
      <c r="E794" s="2"/>
      <c r="F794" s="2"/>
      <c r="G794" s="2"/>
      <c r="H794" s="2"/>
      <c r="I794" s="2"/>
    </row>
    <row r="795" spans="5:9" ht="13">
      <c r="E795" s="2"/>
      <c r="F795" s="2"/>
      <c r="G795" s="2"/>
      <c r="H795" s="2"/>
      <c r="I795" s="2"/>
    </row>
    <row r="796" spans="5:9" ht="13">
      <c r="E796" s="2"/>
      <c r="F796" s="2"/>
      <c r="G796" s="2"/>
      <c r="H796" s="2"/>
      <c r="I796" s="2"/>
    </row>
    <row r="797" spans="5:9" ht="13">
      <c r="E797" s="2"/>
      <c r="F797" s="2"/>
      <c r="G797" s="2"/>
      <c r="H797" s="2"/>
      <c r="I797" s="2"/>
    </row>
    <row r="798" spans="5:9" ht="13">
      <c r="E798" s="2"/>
      <c r="F798" s="2"/>
      <c r="G798" s="2"/>
      <c r="H798" s="2"/>
      <c r="I798" s="2"/>
    </row>
    <row r="799" spans="5:9" ht="13">
      <c r="E799" s="2"/>
      <c r="F799" s="2"/>
      <c r="G799" s="2"/>
      <c r="H799" s="2"/>
      <c r="I799" s="2"/>
    </row>
    <row r="800" spans="5:9" ht="13">
      <c r="E800" s="2"/>
      <c r="F800" s="2"/>
      <c r="G800" s="2"/>
      <c r="H800" s="2"/>
      <c r="I800" s="2"/>
    </row>
    <row r="801" spans="5:9" ht="13">
      <c r="E801" s="2"/>
      <c r="F801" s="2"/>
      <c r="G801" s="2"/>
      <c r="H801" s="2"/>
      <c r="I801" s="2"/>
    </row>
    <row r="802" spans="5:9" ht="13">
      <c r="E802" s="2"/>
      <c r="F802" s="2"/>
      <c r="G802" s="2"/>
      <c r="H802" s="2"/>
      <c r="I802" s="2"/>
    </row>
    <row r="803" spans="5:9" ht="13">
      <c r="E803" s="2"/>
      <c r="F803" s="2"/>
      <c r="G803" s="2"/>
      <c r="H803" s="2"/>
      <c r="I803" s="2"/>
    </row>
    <row r="804" spans="5:9" ht="13">
      <c r="E804" s="2"/>
      <c r="F804" s="2"/>
      <c r="G804" s="2"/>
      <c r="H804" s="2"/>
      <c r="I804" s="2"/>
    </row>
    <row r="805" spans="5:9" ht="13">
      <c r="E805" s="2"/>
      <c r="F805" s="2"/>
      <c r="G805" s="2"/>
      <c r="H805" s="2"/>
      <c r="I805" s="2"/>
    </row>
    <row r="806" spans="5:9" ht="13">
      <c r="E806" s="2"/>
      <c r="F806" s="2"/>
      <c r="G806" s="2"/>
      <c r="H806" s="2"/>
      <c r="I806" s="2"/>
    </row>
    <row r="807" spans="5:9" ht="13">
      <c r="E807" s="2"/>
      <c r="F807" s="2"/>
      <c r="G807" s="2"/>
      <c r="H807" s="2"/>
      <c r="I807" s="2"/>
    </row>
    <row r="808" spans="5:9" ht="13">
      <c r="E808" s="2"/>
      <c r="F808" s="2"/>
      <c r="G808" s="2"/>
      <c r="H808" s="2"/>
      <c r="I808" s="2"/>
    </row>
    <row r="809" spans="5:9" ht="13">
      <c r="E809" s="2"/>
      <c r="F809" s="2"/>
      <c r="G809" s="2"/>
      <c r="H809" s="2"/>
      <c r="I809" s="2"/>
    </row>
    <row r="810" spans="5:9" ht="13">
      <c r="E810" s="2"/>
      <c r="F810" s="2"/>
      <c r="G810" s="2"/>
      <c r="H810" s="2"/>
      <c r="I810" s="2"/>
    </row>
    <row r="811" spans="5:9" ht="13">
      <c r="E811" s="2"/>
      <c r="F811" s="2"/>
      <c r="G811" s="2"/>
      <c r="H811" s="2"/>
      <c r="I811" s="2"/>
    </row>
    <row r="812" spans="5:9" ht="13">
      <c r="E812" s="2"/>
      <c r="F812" s="2"/>
      <c r="G812" s="2"/>
      <c r="H812" s="2"/>
      <c r="I812" s="2"/>
    </row>
    <row r="813" spans="5:9" ht="13">
      <c r="E813" s="2"/>
      <c r="F813" s="2"/>
      <c r="G813" s="2"/>
      <c r="H813" s="2"/>
      <c r="I813" s="2"/>
    </row>
    <row r="814" spans="5:9" ht="13">
      <c r="E814" s="2"/>
      <c r="F814" s="2"/>
      <c r="G814" s="2"/>
      <c r="H814" s="2"/>
      <c r="I814" s="2"/>
    </row>
    <row r="815" spans="5:9" ht="13">
      <c r="E815" s="2"/>
      <c r="F815" s="2"/>
      <c r="G815" s="2"/>
      <c r="H815" s="2"/>
      <c r="I815" s="2"/>
    </row>
    <row r="816" spans="5:9" ht="13">
      <c r="E816" s="2"/>
      <c r="F816" s="2"/>
      <c r="G816" s="2"/>
      <c r="H816" s="2"/>
      <c r="I816" s="2"/>
    </row>
    <row r="817" spans="5:9" ht="13">
      <c r="E817" s="2"/>
      <c r="F817" s="2"/>
      <c r="G817" s="2"/>
      <c r="H817" s="2"/>
      <c r="I817" s="2"/>
    </row>
    <row r="818" spans="5:9" ht="13">
      <c r="E818" s="2"/>
      <c r="F818" s="2"/>
      <c r="G818" s="2"/>
      <c r="H818" s="2"/>
      <c r="I818" s="2"/>
    </row>
    <row r="819" spans="5:9" ht="13">
      <c r="E819" s="2"/>
      <c r="F819" s="2"/>
      <c r="G819" s="2"/>
      <c r="H819" s="2"/>
      <c r="I819" s="2"/>
    </row>
    <row r="820" spans="5:9" ht="13">
      <c r="E820" s="2"/>
      <c r="F820" s="2"/>
      <c r="G820" s="2"/>
      <c r="H820" s="2"/>
      <c r="I820" s="2"/>
    </row>
    <row r="821" spans="5:9" ht="13">
      <c r="E821" s="2"/>
      <c r="F821" s="2"/>
      <c r="G821" s="2"/>
      <c r="H821" s="2"/>
      <c r="I821" s="2"/>
    </row>
    <row r="822" spans="5:9" ht="13">
      <c r="E822" s="2"/>
      <c r="F822" s="2"/>
      <c r="G822" s="2"/>
      <c r="H822" s="2"/>
      <c r="I822" s="2"/>
    </row>
    <row r="823" spans="5:9" ht="13">
      <c r="E823" s="2"/>
      <c r="F823" s="2"/>
      <c r="G823" s="2"/>
      <c r="H823" s="2"/>
      <c r="I823" s="2"/>
    </row>
    <row r="824" spans="5:9" ht="13">
      <c r="E824" s="2"/>
      <c r="F824" s="2"/>
      <c r="G824" s="2"/>
      <c r="H824" s="2"/>
      <c r="I824" s="2"/>
    </row>
    <row r="825" spans="5:9" ht="13">
      <c r="E825" s="2"/>
      <c r="F825" s="2"/>
      <c r="G825" s="2"/>
      <c r="H825" s="2"/>
      <c r="I825" s="2"/>
    </row>
    <row r="826" spans="5:9" ht="13">
      <c r="E826" s="2"/>
      <c r="F826" s="2"/>
      <c r="G826" s="2"/>
      <c r="H826" s="2"/>
      <c r="I826" s="2"/>
    </row>
    <row r="827" spans="5:9" ht="13">
      <c r="E827" s="2"/>
      <c r="F827" s="2"/>
      <c r="G827" s="2"/>
      <c r="H827" s="2"/>
      <c r="I827" s="2"/>
    </row>
    <row r="828" spans="5:9" ht="13">
      <c r="E828" s="2"/>
      <c r="F828" s="2"/>
      <c r="G828" s="2"/>
      <c r="H828" s="2"/>
      <c r="I828" s="2"/>
    </row>
    <row r="829" spans="5:9" ht="13">
      <c r="E829" s="2"/>
      <c r="F829" s="2"/>
      <c r="G829" s="2"/>
      <c r="H829" s="2"/>
      <c r="I829" s="2"/>
    </row>
    <row r="830" spans="5:9" ht="13">
      <c r="E830" s="2"/>
      <c r="F830" s="2"/>
      <c r="G830" s="2"/>
      <c r="H830" s="2"/>
      <c r="I830" s="2"/>
    </row>
    <row r="831" spans="5:9" ht="13">
      <c r="E831" s="2"/>
      <c r="F831" s="2"/>
      <c r="G831" s="2"/>
      <c r="H831" s="2"/>
      <c r="I831" s="2"/>
    </row>
    <row r="832" spans="5:9" ht="13">
      <c r="E832" s="2"/>
      <c r="F832" s="2"/>
      <c r="G832" s="2"/>
      <c r="H832" s="2"/>
      <c r="I832" s="2"/>
    </row>
    <row r="833" spans="5:9" ht="13">
      <c r="E833" s="2"/>
      <c r="F833" s="2"/>
      <c r="G833" s="2"/>
      <c r="H833" s="2"/>
      <c r="I833" s="2"/>
    </row>
    <row r="834" spans="5:9" ht="13">
      <c r="E834" s="2"/>
      <c r="F834" s="2"/>
      <c r="G834" s="2"/>
      <c r="H834" s="2"/>
      <c r="I834" s="2"/>
    </row>
    <row r="835" spans="5:9" ht="13">
      <c r="E835" s="2"/>
      <c r="F835" s="2"/>
      <c r="G835" s="2"/>
      <c r="H835" s="2"/>
      <c r="I835" s="2"/>
    </row>
    <row r="836" spans="5:9" ht="13">
      <c r="E836" s="2"/>
      <c r="F836" s="2"/>
      <c r="G836" s="2"/>
      <c r="H836" s="2"/>
      <c r="I836" s="2"/>
    </row>
    <row r="837" spans="5:9" ht="13">
      <c r="E837" s="2"/>
      <c r="F837" s="2"/>
      <c r="G837" s="2"/>
      <c r="H837" s="2"/>
      <c r="I837" s="2"/>
    </row>
    <row r="838" spans="5:9" ht="13">
      <c r="E838" s="2"/>
      <c r="F838" s="2"/>
      <c r="G838" s="2"/>
      <c r="H838" s="2"/>
      <c r="I838" s="2"/>
    </row>
    <row r="839" spans="5:9" ht="13">
      <c r="E839" s="2"/>
      <c r="F839" s="2"/>
      <c r="G839" s="2"/>
      <c r="H839" s="2"/>
      <c r="I839" s="2"/>
    </row>
    <row r="840" spans="5:9" ht="13">
      <c r="E840" s="2"/>
      <c r="F840" s="2"/>
      <c r="G840" s="2"/>
      <c r="H840" s="2"/>
      <c r="I840" s="2"/>
    </row>
    <row r="841" spans="5:9" ht="13">
      <c r="E841" s="2"/>
      <c r="F841" s="2"/>
      <c r="G841" s="2"/>
      <c r="H841" s="2"/>
      <c r="I841" s="2"/>
    </row>
    <row r="842" spans="5:9" ht="13">
      <c r="E842" s="2"/>
      <c r="F842" s="2"/>
      <c r="G842" s="2"/>
      <c r="H842" s="2"/>
      <c r="I842" s="2"/>
    </row>
    <row r="843" spans="5:9" ht="13">
      <c r="E843" s="2"/>
      <c r="F843" s="2"/>
      <c r="G843" s="2"/>
      <c r="H843" s="2"/>
      <c r="I843" s="2"/>
    </row>
    <row r="844" spans="5:9" ht="13">
      <c r="E844" s="2"/>
      <c r="F844" s="2"/>
      <c r="G844" s="2"/>
      <c r="H844" s="2"/>
      <c r="I844" s="2"/>
    </row>
    <row r="845" spans="5:9" ht="13">
      <c r="E845" s="2"/>
      <c r="F845" s="2"/>
      <c r="G845" s="2"/>
      <c r="H845" s="2"/>
      <c r="I845" s="2"/>
    </row>
    <row r="846" spans="5:9" ht="13">
      <c r="E846" s="2"/>
      <c r="F846" s="2"/>
      <c r="G846" s="2"/>
      <c r="H846" s="2"/>
      <c r="I846" s="2"/>
    </row>
    <row r="847" spans="5:9" ht="13">
      <c r="E847" s="2"/>
      <c r="F847" s="2"/>
      <c r="G847" s="2"/>
      <c r="H847" s="2"/>
      <c r="I847" s="2"/>
    </row>
    <row r="848" spans="5:9" ht="13">
      <c r="E848" s="2"/>
      <c r="F848" s="2"/>
      <c r="G848" s="2"/>
      <c r="H848" s="2"/>
      <c r="I848" s="2"/>
    </row>
    <row r="849" spans="5:9" ht="13">
      <c r="E849" s="2"/>
      <c r="F849" s="2"/>
      <c r="G849" s="2"/>
      <c r="H849" s="2"/>
      <c r="I849" s="2"/>
    </row>
    <row r="850" spans="5:9" ht="13">
      <c r="E850" s="2"/>
      <c r="F850" s="2"/>
      <c r="G850" s="2"/>
      <c r="H850" s="2"/>
      <c r="I850" s="2"/>
    </row>
    <row r="851" spans="5:9" ht="13">
      <c r="E851" s="2"/>
      <c r="F851" s="2"/>
      <c r="G851" s="2"/>
      <c r="H851" s="2"/>
      <c r="I851" s="2"/>
    </row>
    <row r="852" spans="5:9" ht="13">
      <c r="E852" s="2"/>
      <c r="F852" s="2"/>
      <c r="G852" s="2"/>
      <c r="H852" s="2"/>
      <c r="I852" s="2"/>
    </row>
    <row r="853" spans="5:9" ht="13">
      <c r="E853" s="2"/>
      <c r="F853" s="2"/>
      <c r="G853" s="2"/>
      <c r="H853" s="2"/>
      <c r="I853" s="2"/>
    </row>
    <row r="854" spans="5:9" ht="13">
      <c r="E854" s="2"/>
      <c r="F854" s="2"/>
      <c r="G854" s="2"/>
      <c r="H854" s="2"/>
      <c r="I854" s="2"/>
    </row>
    <row r="855" spans="5:9" ht="13">
      <c r="E855" s="2"/>
      <c r="F855" s="2"/>
      <c r="G855" s="2"/>
      <c r="H855" s="2"/>
      <c r="I855" s="2"/>
    </row>
    <row r="856" spans="5:9" ht="13">
      <c r="E856" s="2"/>
      <c r="F856" s="2"/>
      <c r="G856" s="2"/>
      <c r="H856" s="2"/>
      <c r="I856" s="2"/>
    </row>
    <row r="857" spans="5:9" ht="13">
      <c r="E857" s="2"/>
      <c r="F857" s="2"/>
      <c r="G857" s="2"/>
      <c r="H857" s="2"/>
      <c r="I857" s="2"/>
    </row>
    <row r="858" spans="5:9" ht="13">
      <c r="E858" s="2"/>
      <c r="F858" s="2"/>
      <c r="G858" s="2"/>
      <c r="H858" s="2"/>
      <c r="I858" s="2"/>
    </row>
    <row r="859" spans="5:9" ht="13">
      <c r="E859" s="2"/>
      <c r="F859" s="2"/>
      <c r="G859" s="2"/>
      <c r="H859" s="2"/>
      <c r="I859" s="2"/>
    </row>
    <row r="860" spans="5:9" ht="13">
      <c r="E860" s="2"/>
      <c r="F860" s="2"/>
      <c r="G860" s="2"/>
      <c r="H860" s="2"/>
      <c r="I860" s="2"/>
    </row>
    <row r="861" spans="5:9" ht="13">
      <c r="E861" s="2"/>
      <c r="F861" s="2"/>
      <c r="G861" s="2"/>
      <c r="H861" s="2"/>
      <c r="I861" s="2"/>
    </row>
    <row r="862" spans="5:9" ht="13">
      <c r="E862" s="2"/>
      <c r="F862" s="2"/>
      <c r="G862" s="2"/>
      <c r="H862" s="2"/>
      <c r="I862" s="2"/>
    </row>
    <row r="863" spans="5:9" ht="13">
      <c r="E863" s="2"/>
      <c r="F863" s="2"/>
      <c r="G863" s="2"/>
      <c r="H863" s="2"/>
      <c r="I863" s="2"/>
    </row>
    <row r="864" spans="5:9" ht="13">
      <c r="E864" s="2"/>
      <c r="F864" s="2"/>
      <c r="G864" s="2"/>
      <c r="H864" s="2"/>
      <c r="I864" s="2"/>
    </row>
    <row r="865" spans="5:9" ht="13">
      <c r="E865" s="2"/>
      <c r="F865" s="2"/>
      <c r="G865" s="2"/>
      <c r="H865" s="2"/>
      <c r="I865" s="2"/>
    </row>
    <row r="866" spans="5:9" ht="13">
      <c r="E866" s="2"/>
      <c r="F866" s="2"/>
      <c r="G866" s="2"/>
      <c r="H866" s="2"/>
      <c r="I866" s="2"/>
    </row>
    <row r="867" spans="5:9" ht="13">
      <c r="E867" s="2"/>
      <c r="F867" s="2"/>
      <c r="G867" s="2"/>
      <c r="H867" s="2"/>
      <c r="I867" s="2"/>
    </row>
    <row r="868" spans="5:9" ht="13">
      <c r="E868" s="2"/>
      <c r="F868" s="2"/>
      <c r="G868" s="2"/>
      <c r="H868" s="2"/>
      <c r="I868" s="2"/>
    </row>
    <row r="869" spans="5:9" ht="13">
      <c r="E869" s="2"/>
      <c r="F869" s="2"/>
      <c r="G869" s="2"/>
      <c r="H869" s="2"/>
      <c r="I869" s="2"/>
    </row>
    <row r="870" spans="5:9" ht="13">
      <c r="E870" s="2"/>
      <c r="F870" s="2"/>
      <c r="G870" s="2"/>
      <c r="H870" s="2"/>
      <c r="I870" s="2"/>
    </row>
    <row r="871" spans="5:9" ht="13">
      <c r="E871" s="2"/>
      <c r="F871" s="2"/>
      <c r="G871" s="2"/>
      <c r="H871" s="2"/>
      <c r="I871" s="2"/>
    </row>
    <row r="872" spans="5:9" ht="13">
      <c r="E872" s="2"/>
      <c r="F872" s="2"/>
      <c r="G872" s="2"/>
      <c r="H872" s="2"/>
      <c r="I872" s="2"/>
    </row>
    <row r="873" spans="5:9" ht="13">
      <c r="E873" s="2"/>
      <c r="F873" s="2"/>
      <c r="G873" s="2"/>
      <c r="H873" s="2"/>
      <c r="I873" s="2"/>
    </row>
    <row r="874" spans="5:9" ht="13">
      <c r="E874" s="2"/>
      <c r="F874" s="2"/>
      <c r="G874" s="2"/>
      <c r="H874" s="2"/>
      <c r="I874" s="2"/>
    </row>
    <row r="875" spans="5:9" ht="13">
      <c r="E875" s="2"/>
      <c r="F875" s="2"/>
      <c r="G875" s="2"/>
      <c r="H875" s="2"/>
      <c r="I875" s="2"/>
    </row>
    <row r="876" spans="5:9" ht="13">
      <c r="E876" s="2"/>
      <c r="F876" s="2"/>
      <c r="G876" s="2"/>
      <c r="H876" s="2"/>
      <c r="I876" s="2"/>
    </row>
    <row r="877" spans="5:9" ht="13">
      <c r="E877" s="2"/>
      <c r="F877" s="2"/>
      <c r="G877" s="2"/>
      <c r="H877" s="2"/>
      <c r="I877" s="2"/>
    </row>
    <row r="878" spans="5:9" ht="13">
      <c r="E878" s="2"/>
      <c r="F878" s="2"/>
      <c r="G878" s="2"/>
      <c r="H878" s="2"/>
      <c r="I878" s="2"/>
    </row>
    <row r="879" spans="5:9" ht="13">
      <c r="E879" s="2"/>
      <c r="F879" s="2"/>
      <c r="G879" s="2"/>
      <c r="H879" s="2"/>
      <c r="I879" s="2"/>
    </row>
    <row r="880" spans="5:9" ht="13">
      <c r="E880" s="2"/>
      <c r="F880" s="2"/>
      <c r="G880" s="2"/>
      <c r="H880" s="2"/>
      <c r="I880" s="2"/>
    </row>
    <row r="881" spans="5:9" ht="13">
      <c r="E881" s="2"/>
      <c r="F881" s="2"/>
      <c r="G881" s="2"/>
      <c r="H881" s="2"/>
      <c r="I881" s="2"/>
    </row>
    <row r="882" spans="5:9" ht="13">
      <c r="E882" s="2"/>
      <c r="F882" s="2"/>
      <c r="G882" s="2"/>
      <c r="H882" s="2"/>
      <c r="I882" s="2"/>
    </row>
    <row r="883" spans="5:9" ht="13">
      <c r="E883" s="2"/>
      <c r="F883" s="2"/>
      <c r="G883" s="2"/>
      <c r="H883" s="2"/>
      <c r="I883" s="2"/>
    </row>
    <row r="884" spans="5:9" ht="13">
      <c r="E884" s="2"/>
      <c r="F884" s="2"/>
      <c r="G884" s="2"/>
      <c r="H884" s="2"/>
      <c r="I884" s="2"/>
    </row>
    <row r="885" spans="5:9" ht="13">
      <c r="E885" s="2"/>
      <c r="F885" s="2"/>
      <c r="G885" s="2"/>
      <c r="H885" s="2"/>
      <c r="I885" s="2"/>
    </row>
    <row r="886" spans="5:9" ht="13">
      <c r="E886" s="2"/>
      <c r="F886" s="2"/>
      <c r="G886" s="2"/>
      <c r="H886" s="2"/>
      <c r="I886" s="2"/>
    </row>
    <row r="887" spans="5:9" ht="13">
      <c r="E887" s="2"/>
      <c r="F887" s="2"/>
      <c r="G887" s="2"/>
      <c r="H887" s="2"/>
      <c r="I887" s="2"/>
    </row>
    <row r="888" spans="5:9" ht="13">
      <c r="E888" s="2"/>
      <c r="F888" s="2"/>
      <c r="G888" s="2"/>
      <c r="H888" s="2"/>
      <c r="I888" s="2"/>
    </row>
    <row r="889" spans="5:9" ht="13">
      <c r="E889" s="2"/>
      <c r="F889" s="2"/>
      <c r="G889" s="2"/>
      <c r="H889" s="2"/>
      <c r="I889" s="2"/>
    </row>
    <row r="890" spans="5:9" ht="13">
      <c r="E890" s="2"/>
      <c r="F890" s="2"/>
      <c r="G890" s="2"/>
      <c r="H890" s="2"/>
      <c r="I890" s="2"/>
    </row>
    <row r="891" spans="5:9" ht="13">
      <c r="E891" s="2"/>
      <c r="F891" s="2"/>
      <c r="G891" s="2"/>
      <c r="H891" s="2"/>
      <c r="I891" s="2"/>
    </row>
    <row r="892" spans="5:9" ht="13">
      <c r="E892" s="2"/>
      <c r="F892" s="2"/>
      <c r="G892" s="2"/>
      <c r="H892" s="2"/>
      <c r="I892" s="2"/>
    </row>
    <row r="893" spans="5:9" ht="13">
      <c r="E893" s="2"/>
      <c r="F893" s="2"/>
      <c r="G893" s="2"/>
      <c r="H893" s="2"/>
      <c r="I893" s="2"/>
    </row>
    <row r="894" spans="5:9" ht="13">
      <c r="E894" s="2"/>
      <c r="F894" s="2"/>
      <c r="G894" s="2"/>
      <c r="H894" s="2"/>
      <c r="I894" s="2"/>
    </row>
    <row r="895" spans="5:9" ht="13">
      <c r="E895" s="2"/>
      <c r="F895" s="2"/>
      <c r="G895" s="2"/>
      <c r="H895" s="2"/>
      <c r="I895" s="2"/>
    </row>
    <row r="896" spans="5:9" ht="13">
      <c r="E896" s="2"/>
      <c r="F896" s="2"/>
      <c r="G896" s="2"/>
      <c r="H896" s="2"/>
      <c r="I896" s="2"/>
    </row>
    <row r="897" spans="5:9" ht="13">
      <c r="E897" s="2"/>
      <c r="F897" s="2"/>
      <c r="G897" s="2"/>
      <c r="H897" s="2"/>
      <c r="I897" s="2"/>
    </row>
    <row r="898" spans="5:9" ht="13">
      <c r="E898" s="2"/>
      <c r="F898" s="2"/>
      <c r="G898" s="2"/>
      <c r="H898" s="2"/>
      <c r="I898" s="2"/>
    </row>
    <row r="899" spans="5:9" ht="13">
      <c r="E899" s="2"/>
      <c r="F899" s="2"/>
      <c r="G899" s="2"/>
      <c r="H899" s="2"/>
      <c r="I899" s="2"/>
    </row>
    <row r="900" spans="5:9" ht="13">
      <c r="E900" s="2"/>
      <c r="F900" s="2"/>
      <c r="G900" s="2"/>
      <c r="H900" s="2"/>
      <c r="I900" s="2"/>
    </row>
    <row r="901" spans="5:9" ht="13">
      <c r="E901" s="2"/>
      <c r="F901" s="2"/>
      <c r="G901" s="2"/>
      <c r="H901" s="2"/>
      <c r="I901" s="2"/>
    </row>
    <row r="902" spans="5:9" ht="13">
      <c r="E902" s="2"/>
      <c r="F902" s="2"/>
      <c r="G902" s="2"/>
      <c r="H902" s="2"/>
      <c r="I902" s="2"/>
    </row>
    <row r="903" spans="5:9" ht="13">
      <c r="E903" s="2"/>
      <c r="F903" s="2"/>
      <c r="G903" s="2"/>
      <c r="H903" s="2"/>
      <c r="I903" s="2"/>
    </row>
    <row r="904" spans="5:9" ht="13">
      <c r="E904" s="2"/>
      <c r="F904" s="2"/>
      <c r="G904" s="2"/>
      <c r="H904" s="2"/>
      <c r="I904" s="2"/>
    </row>
    <row r="905" spans="5:9" ht="13">
      <c r="E905" s="2"/>
      <c r="F905" s="2"/>
      <c r="G905" s="2"/>
      <c r="H905" s="2"/>
      <c r="I905" s="2"/>
    </row>
    <row r="906" spans="5:9" ht="13">
      <c r="E906" s="2"/>
      <c r="F906" s="2"/>
      <c r="G906" s="2"/>
      <c r="H906" s="2"/>
      <c r="I906" s="2"/>
    </row>
    <row r="907" spans="5:9" ht="13">
      <c r="E907" s="2"/>
      <c r="F907" s="2"/>
      <c r="G907" s="2"/>
      <c r="H907" s="2"/>
      <c r="I907" s="2"/>
    </row>
    <row r="908" spans="5:9" ht="13">
      <c r="E908" s="2"/>
      <c r="F908" s="2"/>
      <c r="G908" s="2"/>
      <c r="H908" s="2"/>
      <c r="I908" s="2"/>
    </row>
    <row r="909" spans="5:9" ht="13">
      <c r="E909" s="2"/>
      <c r="F909" s="2"/>
      <c r="G909" s="2"/>
      <c r="H909" s="2"/>
      <c r="I909" s="2"/>
    </row>
    <row r="910" spans="5:9" ht="13">
      <c r="E910" s="2"/>
      <c r="F910" s="2"/>
      <c r="G910" s="2"/>
      <c r="H910" s="2"/>
      <c r="I910" s="2"/>
    </row>
    <row r="911" spans="5:9" ht="13">
      <c r="E911" s="2"/>
      <c r="F911" s="2"/>
      <c r="G911" s="2"/>
      <c r="H911" s="2"/>
      <c r="I911" s="2"/>
    </row>
    <row r="912" spans="5:9" ht="13">
      <c r="E912" s="2"/>
      <c r="F912" s="2"/>
      <c r="G912" s="2"/>
      <c r="H912" s="2"/>
      <c r="I912" s="2"/>
    </row>
    <row r="913" spans="5:9" ht="13">
      <c r="E913" s="2"/>
      <c r="F913" s="2"/>
      <c r="G913" s="2"/>
      <c r="H913" s="2"/>
      <c r="I913" s="2"/>
    </row>
    <row r="914" spans="5:9" ht="13">
      <c r="E914" s="2"/>
      <c r="F914" s="2"/>
      <c r="G914" s="2"/>
      <c r="H914" s="2"/>
      <c r="I914" s="2"/>
    </row>
    <row r="915" spans="5:9" ht="13">
      <c r="E915" s="2"/>
      <c r="F915" s="2"/>
      <c r="G915" s="2"/>
      <c r="H915" s="2"/>
      <c r="I915" s="2"/>
    </row>
    <row r="916" spans="5:9" ht="13">
      <c r="E916" s="2"/>
      <c r="F916" s="2"/>
      <c r="G916" s="2"/>
      <c r="H916" s="2"/>
      <c r="I916" s="2"/>
    </row>
    <row r="917" spans="5:9" ht="13">
      <c r="E917" s="2"/>
      <c r="F917" s="2"/>
      <c r="G917" s="2"/>
      <c r="H917" s="2"/>
      <c r="I917" s="2"/>
    </row>
    <row r="918" spans="5:9" ht="13">
      <c r="E918" s="2"/>
      <c r="F918" s="2"/>
      <c r="G918" s="2"/>
      <c r="H918" s="2"/>
      <c r="I918" s="2"/>
    </row>
    <row r="919" spans="5:9" ht="13">
      <c r="E919" s="2"/>
      <c r="F919" s="2"/>
      <c r="G919" s="2"/>
      <c r="H919" s="2"/>
      <c r="I919" s="2"/>
    </row>
    <row r="920" spans="5:9" ht="13">
      <c r="E920" s="2"/>
      <c r="F920" s="2"/>
      <c r="G920" s="2"/>
      <c r="H920" s="2"/>
      <c r="I920" s="2"/>
    </row>
    <row r="921" spans="5:9" ht="13">
      <c r="E921" s="2"/>
      <c r="F921" s="2"/>
      <c r="G921" s="2"/>
      <c r="H921" s="2"/>
      <c r="I921" s="2"/>
    </row>
    <row r="922" spans="5:9" ht="13">
      <c r="E922" s="2"/>
      <c r="F922" s="2"/>
      <c r="G922" s="2"/>
      <c r="H922" s="2"/>
      <c r="I922" s="2"/>
    </row>
    <row r="923" spans="5:9" ht="13">
      <c r="E923" s="2"/>
      <c r="F923" s="2"/>
      <c r="G923" s="2"/>
      <c r="H923" s="2"/>
      <c r="I923" s="2"/>
    </row>
    <row r="924" spans="5:9" ht="13">
      <c r="E924" s="2"/>
      <c r="F924" s="2"/>
      <c r="G924" s="2"/>
      <c r="H924" s="2"/>
      <c r="I924" s="2"/>
    </row>
    <row r="925" spans="5:9" ht="13">
      <c r="E925" s="2"/>
      <c r="F925" s="2"/>
      <c r="G925" s="2"/>
      <c r="H925" s="2"/>
      <c r="I925" s="2"/>
    </row>
    <row r="926" spans="5:9" ht="13">
      <c r="E926" s="2"/>
      <c r="F926" s="2"/>
      <c r="G926" s="2"/>
      <c r="H926" s="2"/>
      <c r="I926" s="2"/>
    </row>
    <row r="927" spans="5:9" ht="13">
      <c r="E927" s="2"/>
      <c r="F927" s="2"/>
      <c r="G927" s="2"/>
      <c r="H927" s="2"/>
      <c r="I927" s="2"/>
    </row>
    <row r="928" spans="5:9" ht="13">
      <c r="E928" s="2"/>
      <c r="F928" s="2"/>
      <c r="G928" s="2"/>
      <c r="H928" s="2"/>
      <c r="I928" s="2"/>
    </row>
    <row r="929" spans="5:9" ht="13">
      <c r="E929" s="2"/>
      <c r="F929" s="2"/>
      <c r="G929" s="2"/>
      <c r="H929" s="2"/>
      <c r="I929" s="2"/>
    </row>
    <row r="930" spans="5:9" ht="13">
      <c r="E930" s="2"/>
      <c r="F930" s="2"/>
      <c r="G930" s="2"/>
      <c r="H930" s="2"/>
      <c r="I930" s="2"/>
    </row>
    <row r="931" spans="5:9" ht="13">
      <c r="E931" s="2"/>
      <c r="F931" s="2"/>
      <c r="G931" s="2"/>
      <c r="H931" s="2"/>
      <c r="I931" s="2"/>
    </row>
    <row r="932" spans="5:9" ht="13">
      <c r="E932" s="2"/>
      <c r="F932" s="2"/>
      <c r="G932" s="2"/>
      <c r="H932" s="2"/>
      <c r="I932" s="2"/>
    </row>
    <row r="933" spans="5:9" ht="13">
      <c r="E933" s="2"/>
      <c r="F933" s="2"/>
      <c r="G933" s="2"/>
      <c r="H933" s="2"/>
      <c r="I933" s="2"/>
    </row>
    <row r="934" spans="5:9" ht="13">
      <c r="E934" s="2"/>
      <c r="F934" s="2"/>
      <c r="G934" s="2"/>
      <c r="H934" s="2"/>
      <c r="I934" s="2"/>
    </row>
    <row r="935" spans="5:9" ht="13">
      <c r="E935" s="2"/>
      <c r="F935" s="2"/>
      <c r="G935" s="2"/>
      <c r="H935" s="2"/>
      <c r="I935" s="2"/>
    </row>
    <row r="936" spans="5:9" ht="13">
      <c r="E936" s="2"/>
      <c r="F936" s="2"/>
      <c r="G936" s="2"/>
      <c r="H936" s="2"/>
      <c r="I936" s="2"/>
    </row>
    <row r="937" spans="5:9" ht="13">
      <c r="E937" s="2"/>
      <c r="F937" s="2"/>
      <c r="G937" s="2"/>
      <c r="H937" s="2"/>
      <c r="I937" s="2"/>
    </row>
    <row r="938" spans="5:9" ht="13">
      <c r="E938" s="2"/>
      <c r="F938" s="2"/>
      <c r="G938" s="2"/>
      <c r="H938" s="2"/>
      <c r="I938" s="2"/>
    </row>
    <row r="939" spans="5:9" ht="13">
      <c r="E939" s="2"/>
      <c r="F939" s="2"/>
      <c r="G939" s="2"/>
      <c r="H939" s="2"/>
      <c r="I939" s="2"/>
    </row>
    <row r="940" spans="5:9" ht="13">
      <c r="E940" s="2"/>
      <c r="F940" s="2"/>
      <c r="G940" s="2"/>
      <c r="H940" s="2"/>
      <c r="I940" s="2"/>
    </row>
    <row r="941" spans="5:9" ht="13">
      <c r="E941" s="2"/>
      <c r="F941" s="2"/>
      <c r="G941" s="2"/>
      <c r="H941" s="2"/>
      <c r="I941" s="2"/>
    </row>
    <row r="942" spans="5:9" ht="13">
      <c r="E942" s="2"/>
      <c r="F942" s="2"/>
      <c r="G942" s="2"/>
      <c r="H942" s="2"/>
      <c r="I942" s="2"/>
    </row>
    <row r="943" spans="5:9" ht="13">
      <c r="E943" s="2"/>
      <c r="F943" s="2"/>
      <c r="G943" s="2"/>
      <c r="H943" s="2"/>
      <c r="I943" s="2"/>
    </row>
    <row r="944" spans="5:9" ht="13">
      <c r="E944" s="2"/>
      <c r="F944" s="2"/>
      <c r="G944" s="2"/>
      <c r="H944" s="2"/>
      <c r="I944" s="2"/>
    </row>
    <row r="945" spans="5:9" ht="13">
      <c r="E945" s="2"/>
      <c r="F945" s="2"/>
      <c r="G945" s="2"/>
      <c r="H945" s="2"/>
      <c r="I945" s="2"/>
    </row>
    <row r="946" spans="5:9" ht="13">
      <c r="E946" s="2"/>
      <c r="F946" s="2"/>
      <c r="G946" s="2"/>
      <c r="H946" s="2"/>
      <c r="I946" s="2"/>
    </row>
    <row r="947" spans="5:9" ht="13">
      <c r="E947" s="2"/>
      <c r="F947" s="2"/>
      <c r="G947" s="2"/>
      <c r="H947" s="2"/>
      <c r="I947" s="2"/>
    </row>
    <row r="948" spans="5:9" ht="13">
      <c r="E948" s="2"/>
      <c r="F948" s="2"/>
      <c r="G948" s="2"/>
      <c r="H948" s="2"/>
      <c r="I948" s="2"/>
    </row>
    <row r="949" spans="5:9" ht="13">
      <c r="E949" s="2"/>
      <c r="F949" s="2"/>
      <c r="G949" s="2"/>
      <c r="H949" s="2"/>
      <c r="I949" s="2"/>
    </row>
    <row r="950" spans="5:9" ht="13">
      <c r="E950" s="2"/>
      <c r="F950" s="2"/>
      <c r="G950" s="2"/>
      <c r="H950" s="2"/>
      <c r="I950" s="2"/>
    </row>
    <row r="951" spans="5:9" ht="13">
      <c r="E951" s="2"/>
      <c r="F951" s="2"/>
      <c r="G951" s="2"/>
      <c r="H951" s="2"/>
      <c r="I951" s="2"/>
    </row>
    <row r="952" spans="5:9" ht="13">
      <c r="E952" s="2"/>
      <c r="F952" s="2"/>
      <c r="G952" s="2"/>
      <c r="H952" s="2"/>
      <c r="I952" s="2"/>
    </row>
    <row r="953" spans="5:9" ht="13">
      <c r="E953" s="2"/>
      <c r="F953" s="2"/>
      <c r="G953" s="2"/>
      <c r="H953" s="2"/>
      <c r="I953" s="2"/>
    </row>
    <row r="954" spans="5:9" ht="13">
      <c r="E954" s="2"/>
      <c r="F954" s="2"/>
      <c r="G954" s="2"/>
      <c r="H954" s="2"/>
      <c r="I954" s="2"/>
    </row>
    <row r="955" spans="5:9" ht="13">
      <c r="E955" s="2"/>
      <c r="F955" s="2"/>
      <c r="G955" s="2"/>
      <c r="H955" s="2"/>
      <c r="I955" s="2"/>
    </row>
    <row r="956" spans="5:9" ht="13">
      <c r="E956" s="2"/>
      <c r="F956" s="2"/>
      <c r="G956" s="2"/>
      <c r="H956" s="2"/>
      <c r="I956" s="2"/>
    </row>
    <row r="957" spans="5:9" ht="13">
      <c r="E957" s="2"/>
      <c r="F957" s="2"/>
      <c r="G957" s="2"/>
      <c r="H957" s="2"/>
      <c r="I957" s="2"/>
    </row>
    <row r="958" spans="5:9" ht="13">
      <c r="E958" s="2"/>
      <c r="F958" s="2"/>
      <c r="G958" s="2"/>
      <c r="H958" s="2"/>
      <c r="I958" s="2"/>
    </row>
    <row r="959" spans="5:9" ht="13">
      <c r="E959" s="2"/>
      <c r="F959" s="2"/>
      <c r="G959" s="2"/>
      <c r="H959" s="2"/>
      <c r="I959" s="2"/>
    </row>
    <row r="960" spans="5:9" ht="13">
      <c r="E960" s="2"/>
      <c r="F960" s="2"/>
      <c r="G960" s="2"/>
      <c r="H960" s="2"/>
      <c r="I960" s="2"/>
    </row>
    <row r="961" spans="5:9" ht="13">
      <c r="E961" s="2"/>
      <c r="F961" s="2"/>
      <c r="G961" s="2"/>
      <c r="H961" s="2"/>
      <c r="I961" s="2"/>
    </row>
    <row r="962" spans="5:9" ht="13">
      <c r="E962" s="2"/>
      <c r="F962" s="2"/>
      <c r="G962" s="2"/>
      <c r="H962" s="2"/>
      <c r="I962" s="2"/>
    </row>
    <row r="963" spans="5:9" ht="13">
      <c r="E963" s="2"/>
      <c r="F963" s="2"/>
      <c r="G963" s="2"/>
      <c r="H963" s="2"/>
      <c r="I963" s="2"/>
    </row>
    <row r="964" spans="5:9" ht="13">
      <c r="E964" s="2"/>
      <c r="F964" s="2"/>
      <c r="G964" s="2"/>
      <c r="H964" s="2"/>
      <c r="I964" s="2"/>
    </row>
    <row r="965" spans="5:9" ht="13">
      <c r="E965" s="2"/>
      <c r="F965" s="2"/>
      <c r="G965" s="2"/>
      <c r="H965" s="2"/>
      <c r="I965" s="2"/>
    </row>
    <row r="966" spans="5:9" ht="13">
      <c r="E966" s="2"/>
      <c r="F966" s="2"/>
      <c r="G966" s="2"/>
      <c r="H966" s="2"/>
      <c r="I966" s="2"/>
    </row>
    <row r="967" spans="5:9" ht="13">
      <c r="E967" s="2"/>
      <c r="F967" s="2"/>
      <c r="G967" s="2"/>
      <c r="H967" s="2"/>
      <c r="I967" s="2"/>
    </row>
    <row r="968" spans="5:9" ht="13">
      <c r="E968" s="2"/>
      <c r="F968" s="2"/>
      <c r="G968" s="2"/>
      <c r="H968" s="2"/>
      <c r="I968" s="2"/>
    </row>
    <row r="969" spans="5:9" ht="13">
      <c r="E969" s="2"/>
      <c r="F969" s="2"/>
      <c r="G969" s="2"/>
      <c r="H969" s="2"/>
      <c r="I969" s="2"/>
    </row>
    <row r="970" spans="5:9" ht="13">
      <c r="E970" s="2"/>
      <c r="F970" s="2"/>
      <c r="G970" s="2"/>
      <c r="H970" s="2"/>
      <c r="I970" s="2"/>
    </row>
    <row r="971" spans="5:9" ht="13">
      <c r="E971" s="2"/>
      <c r="F971" s="2"/>
      <c r="G971" s="2"/>
      <c r="H971" s="2"/>
      <c r="I971" s="2"/>
    </row>
    <row r="972" spans="5:9" ht="13">
      <c r="E972" s="2"/>
      <c r="F972" s="2"/>
      <c r="G972" s="2"/>
      <c r="H972" s="2"/>
      <c r="I972" s="2"/>
    </row>
    <row r="973" spans="5:9" ht="13">
      <c r="E973" s="2"/>
      <c r="F973" s="2"/>
      <c r="G973" s="2"/>
      <c r="H973" s="2"/>
      <c r="I973" s="2"/>
    </row>
    <row r="974" spans="5:9" ht="13">
      <c r="E974" s="2"/>
      <c r="F974" s="2"/>
      <c r="G974" s="2"/>
      <c r="H974" s="2"/>
      <c r="I974" s="2"/>
    </row>
    <row r="975" spans="5:9" ht="13">
      <c r="E975" s="2"/>
      <c r="F975" s="2"/>
      <c r="G975" s="2"/>
      <c r="H975" s="2"/>
      <c r="I975" s="2"/>
    </row>
    <row r="976" spans="5:9" ht="13">
      <c r="E976" s="2"/>
      <c r="F976" s="2"/>
      <c r="G976" s="2"/>
      <c r="H976" s="2"/>
      <c r="I976" s="2"/>
    </row>
    <row r="977" spans="5:9" ht="13">
      <c r="E977" s="2"/>
      <c r="F977" s="2"/>
      <c r="G977" s="2"/>
      <c r="H977" s="2"/>
      <c r="I977" s="2"/>
    </row>
    <row r="978" spans="5:9" ht="13">
      <c r="E978" s="2"/>
      <c r="F978" s="2"/>
      <c r="G978" s="2"/>
      <c r="H978" s="2"/>
      <c r="I978" s="2"/>
    </row>
    <row r="979" spans="5:9" ht="13">
      <c r="E979" s="2"/>
      <c r="F979" s="2"/>
      <c r="G979" s="2"/>
      <c r="H979" s="2"/>
      <c r="I979" s="2"/>
    </row>
    <row r="980" spans="5:9" ht="13">
      <c r="E980" s="2"/>
      <c r="F980" s="2"/>
      <c r="G980" s="2"/>
      <c r="H980" s="2"/>
      <c r="I980" s="2"/>
    </row>
    <row r="981" spans="5:9" ht="13">
      <c r="E981" s="2"/>
      <c r="F981" s="2"/>
      <c r="G981" s="2"/>
      <c r="H981" s="2"/>
      <c r="I981" s="2"/>
    </row>
    <row r="982" spans="5:9" ht="13">
      <c r="E982" s="2"/>
      <c r="F982" s="2"/>
      <c r="G982" s="2"/>
      <c r="H982" s="2"/>
      <c r="I982" s="2"/>
    </row>
    <row r="983" spans="5:9" ht="13">
      <c r="E983" s="2"/>
      <c r="F983" s="2"/>
      <c r="G983" s="2"/>
      <c r="H983" s="2"/>
      <c r="I983" s="2"/>
    </row>
    <row r="984" spans="5:9" ht="13">
      <c r="E984" s="2"/>
      <c r="F984" s="2"/>
      <c r="G984" s="2"/>
      <c r="H984" s="2"/>
      <c r="I984" s="2"/>
    </row>
    <row r="985" spans="5:9" ht="13">
      <c r="E985" s="2"/>
      <c r="F985" s="2"/>
      <c r="G985" s="2"/>
      <c r="H985" s="2"/>
      <c r="I985" s="2"/>
    </row>
    <row r="986" spans="5:9" ht="13">
      <c r="E986" s="2"/>
      <c r="F986" s="2"/>
      <c r="G986" s="2"/>
      <c r="H986" s="2"/>
      <c r="I986" s="2"/>
    </row>
    <row r="987" spans="5:9" ht="13">
      <c r="E987" s="2"/>
      <c r="F987" s="2"/>
      <c r="G987" s="2"/>
      <c r="H987" s="2"/>
      <c r="I987" s="2"/>
    </row>
    <row r="988" spans="5:9" ht="13">
      <c r="E988" s="2"/>
      <c r="F988" s="2"/>
      <c r="G988" s="2"/>
      <c r="H988" s="2"/>
      <c r="I988" s="2"/>
    </row>
    <row r="989" spans="5:9" ht="13">
      <c r="E989" s="2"/>
      <c r="F989" s="2"/>
      <c r="G989" s="2"/>
      <c r="H989" s="2"/>
      <c r="I989" s="2"/>
    </row>
    <row r="990" spans="5:9" ht="13">
      <c r="E990" s="2"/>
      <c r="F990" s="2"/>
      <c r="G990" s="2"/>
      <c r="H990" s="2"/>
      <c r="I990" s="2"/>
    </row>
    <row r="991" spans="5:9" ht="13">
      <c r="E991" s="2"/>
      <c r="F991" s="2"/>
      <c r="G991" s="2"/>
      <c r="H991" s="2"/>
      <c r="I991" s="2"/>
    </row>
    <row r="992" spans="5:9" ht="13">
      <c r="E992" s="2"/>
      <c r="F992" s="2"/>
      <c r="G992" s="2"/>
      <c r="H992" s="2"/>
      <c r="I992" s="2"/>
    </row>
    <row r="993" spans="5:9" ht="13">
      <c r="E993" s="2"/>
      <c r="F993" s="2"/>
      <c r="G993" s="2"/>
      <c r="H993" s="2"/>
      <c r="I993" s="2"/>
    </row>
    <row r="994" spans="5:9" ht="13">
      <c r="E994" s="2"/>
      <c r="F994" s="2"/>
      <c r="G994" s="2"/>
      <c r="H994" s="2"/>
      <c r="I994" s="2"/>
    </row>
    <row r="995" spans="5:9" ht="13">
      <c r="E995" s="2"/>
      <c r="F995" s="2"/>
      <c r="G995" s="2"/>
      <c r="H995" s="2"/>
      <c r="I995" s="2"/>
    </row>
    <row r="996" spans="5:9" ht="13">
      <c r="E996" s="2"/>
      <c r="F996" s="2"/>
      <c r="G996" s="2"/>
      <c r="H996" s="2"/>
      <c r="I996" s="2"/>
    </row>
    <row r="997" spans="5:9" ht="13">
      <c r="E997" s="2"/>
      <c r="F997" s="2"/>
      <c r="G997" s="2"/>
      <c r="H997" s="2"/>
      <c r="I997" s="2"/>
    </row>
    <row r="998" spans="5:9" ht="13">
      <c r="E998" s="2"/>
      <c r="F998" s="2"/>
      <c r="G998" s="2"/>
      <c r="H998" s="2"/>
      <c r="I998" s="2"/>
    </row>
    <row r="999" spans="5:9" ht="13">
      <c r="E999" s="2"/>
      <c r="F999" s="2"/>
      <c r="G999" s="2"/>
      <c r="H999" s="2"/>
      <c r="I999" s="2"/>
    </row>
    <row r="1000" spans="5:9" ht="13">
      <c r="E1000" s="2"/>
      <c r="F1000" s="2"/>
      <c r="G1000" s="2"/>
      <c r="H1000" s="2"/>
      <c r="I1000" s="2"/>
    </row>
  </sheetData>
  <autoFilter ref="A4:AA598" xr:uid="{00000000-0009-0000-0000-000003000000}"/>
  <mergeCells count="6">
    <mergeCell ref="A1:A3"/>
    <mergeCell ref="B1:AA3"/>
    <mergeCell ref="AC5:AC6"/>
    <mergeCell ref="AD5:AF6"/>
    <mergeCell ref="AG5:AI6"/>
    <mergeCell ref="AJ5:AL6"/>
  </mergeCells>
  <conditionalFormatting sqref="AF7:AF37 AI7:AI37 AL7:AL37">
    <cfRule type="cellIs" dxfId="17" priority="1" operator="equal">
      <formula>"✅✅✅✅✅"</formula>
    </cfRule>
  </conditionalFormatting>
  <conditionalFormatting sqref="AF7:AF37 AI7:AI37 AL7:AL37">
    <cfRule type="cellIs" dxfId="16" priority="2" operator="equal">
      <formula>"❌❌❌❌❌"</formula>
    </cfRule>
  </conditionalFormatting>
  <conditionalFormatting sqref="AF7:AF37 AI7:AI37 AL7:AL37">
    <cfRule type="cellIs" dxfId="15" priority="3" operator="between">
      <formula>23.995</formula>
      <formula>24.01</formula>
    </cfRule>
  </conditionalFormatting>
  <conditionalFormatting sqref="AF7:AF37 AI7:AI37 AL7:AL37">
    <cfRule type="cellIs" dxfId="14" priority="4" operator="between">
      <formula>0.1</formula>
      <formula>23.984</formula>
    </cfRule>
  </conditionalFormatting>
  <conditionalFormatting sqref="AF7:AF37 AI7:AI37 AL7:AL37">
    <cfRule type="cellIs" dxfId="13" priority="5" operator="equal">
      <formula>0</formula>
    </cfRule>
  </conditionalFormatting>
  <conditionalFormatting sqref="L5:L598">
    <cfRule type="cellIs" dxfId="12" priority="6" operator="greaterThanOrEqual">
      <formula>"3:00:00 AM"</formula>
    </cfRule>
  </conditionalFormatting>
  <conditionalFormatting sqref="L5:L598">
    <cfRule type="cellIs" dxfId="11" priority="7" operator="greaterThanOrEqual">
      <formula>"3:00"</formula>
    </cfRule>
  </conditionalFormatting>
  <conditionalFormatting sqref="L5:L598">
    <cfRule type="cellIs" dxfId="10" priority="8" operator="greaterThanOrEqual">
      <formula>"3:00"</formula>
    </cfRule>
  </conditionalFormatting>
  <conditionalFormatting sqref="AF7:AF37 AI7:AI37 AL7:AL37">
    <cfRule type="cellIs" dxfId="9" priority="9" operator="greaterThan">
      <formula>24.01</formula>
    </cfRule>
  </conditionalFormatting>
  <dataValidations count="2">
    <dataValidation type="decimal" operator="notEqual" allowBlank="1" showDropDown="1" showInputMessage="1" showErrorMessage="1" prompt="Load loss CANNOT be Zero (0)" sqref="E5:E1000" xr:uid="{56EA0D07-BE5A-4408-B599-ABD3AC81B1BF}">
      <formula1>0</formula1>
    </dataValidation>
    <dataValidation type="custom" allowBlank="1" showDropDown="1" showErrorMessage="1" sqref="F5:F194 H5:H194 F195:H196 F197 H197 F198:H199 F200:F598 H200:H598" xr:uid="{4297DA0D-5ED4-477B-BFD9-BA622FC1EB07}">
      <formula1>OR(NOT(ISERROR(DATEVALUE(F5))), AND(ISNUMBER(F5), LEFT(CELL("format", F5))="D"))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C242-CFF4-462A-8F2E-0A3284ABBE32}">
  <sheetPr>
    <outlinePr summaryBelow="0" summaryRight="0"/>
  </sheetPr>
  <dimension ref="A1:AM1000"/>
  <sheetViews>
    <sheetView tabSelected="1" topLeftCell="E15" workbookViewId="0">
      <selection activeCell="G20" sqref="G20"/>
    </sheetView>
  </sheetViews>
  <sheetFormatPr defaultColWidth="12.6328125" defaultRowHeight="15.75" customHeight="1" outlineLevelCol="1"/>
  <cols>
    <col min="1" max="1" width="5.90625" style="49" customWidth="1"/>
    <col min="2" max="2" width="17.08984375" style="49" customWidth="1"/>
    <col min="3" max="3" width="18.36328125" style="49" customWidth="1"/>
    <col min="4" max="4" width="15.453125" style="49" customWidth="1"/>
    <col min="5" max="5" width="11.7265625" style="49" customWidth="1"/>
    <col min="6" max="6" width="13.90625" style="49" customWidth="1"/>
    <col min="7" max="7" width="14" style="49" customWidth="1"/>
    <col min="8" max="9" width="12.6328125" style="49"/>
    <col min="10" max="10" width="17.36328125" style="49" bestFit="1" customWidth="1" outlineLevel="1"/>
    <col min="11" max="11" width="15.54296875" style="49" bestFit="1" customWidth="1" outlineLevel="1"/>
    <col min="12" max="12" width="12.6328125" style="49"/>
    <col min="13" max="13" width="60.26953125" style="49" customWidth="1"/>
    <col min="14" max="14" width="14.6328125" style="49" customWidth="1"/>
    <col min="15" max="15" width="20.36328125" style="49" customWidth="1"/>
    <col min="16" max="16" width="12.6328125" style="49" outlineLevel="1"/>
    <col min="17" max="17" width="15.26953125" style="49" customWidth="1" outlineLevel="1"/>
    <col min="18" max="18" width="14.08984375" style="49" customWidth="1" outlineLevel="1"/>
    <col min="19" max="21" width="12.6328125" style="49" outlineLevel="1"/>
    <col min="22" max="22" width="14.6328125" style="49" customWidth="1" outlineLevel="1"/>
    <col min="23" max="23" width="18.90625" style="49" customWidth="1"/>
    <col min="24" max="28" width="12.6328125" style="49"/>
    <col min="29" max="29" width="14.36328125" style="49" customWidth="1"/>
    <col min="30" max="31" width="12.6328125" style="49" outlineLevel="1"/>
    <col min="32" max="32" width="12.6328125" style="49"/>
    <col min="33" max="34" width="12.6328125" style="49" outlineLevel="1"/>
    <col min="35" max="35" width="12.6328125" style="49"/>
    <col min="36" max="37" width="12.6328125" style="49" outlineLevel="1"/>
    <col min="38" max="16384" width="12.6328125" style="49"/>
  </cols>
  <sheetData>
    <row r="1" spans="1:39" ht="15.75" customHeight="1">
      <c r="A1" s="56"/>
      <c r="B1" s="59" t="s">
        <v>52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  <c r="AB1" s="47"/>
      <c r="AC1" s="48"/>
      <c r="AD1" s="47"/>
      <c r="AE1" s="47"/>
      <c r="AF1" s="47"/>
      <c r="AG1" s="47"/>
      <c r="AH1" s="47"/>
      <c r="AI1" s="47"/>
      <c r="AJ1" s="47"/>
      <c r="AK1" s="47"/>
      <c r="AL1" s="47"/>
      <c r="AM1" s="47"/>
    </row>
    <row r="2" spans="1:39" ht="15.75" customHeight="1">
      <c r="A2" s="57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3"/>
      <c r="AB2" s="47"/>
      <c r="AC2" s="48"/>
      <c r="AD2" s="47"/>
      <c r="AE2" s="47"/>
      <c r="AF2" s="47"/>
      <c r="AG2" s="47"/>
      <c r="AH2" s="47"/>
      <c r="AI2" s="47"/>
      <c r="AJ2" s="47"/>
      <c r="AK2" s="47"/>
      <c r="AL2" s="47"/>
      <c r="AM2" s="47"/>
    </row>
    <row r="3" spans="1:39" ht="15.75" customHeight="1">
      <c r="A3" s="58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5"/>
      <c r="AB3" s="47"/>
      <c r="AC3" s="48"/>
      <c r="AD3" s="47"/>
      <c r="AE3" s="47"/>
      <c r="AF3" s="47"/>
      <c r="AG3" s="47"/>
      <c r="AH3" s="47"/>
      <c r="AI3" s="47"/>
      <c r="AJ3" s="47"/>
      <c r="AK3" s="47"/>
      <c r="AL3" s="47"/>
      <c r="AM3" s="47"/>
    </row>
    <row r="4" spans="1:39" ht="15.75" customHeight="1" thickBot="1">
      <c r="A4" s="46" t="s">
        <v>51</v>
      </c>
      <c r="B4" s="40" t="s">
        <v>50</v>
      </c>
      <c r="C4" s="40" t="s">
        <v>49</v>
      </c>
      <c r="D4" s="45" t="s">
        <v>48</v>
      </c>
      <c r="E4" s="45" t="s">
        <v>47</v>
      </c>
      <c r="F4" s="44" t="s">
        <v>46</v>
      </c>
      <c r="G4" s="43" t="s">
        <v>45</v>
      </c>
      <c r="H4" s="44" t="s">
        <v>44</v>
      </c>
      <c r="I4" s="43" t="s">
        <v>43</v>
      </c>
      <c r="J4" s="42" t="s">
        <v>42</v>
      </c>
      <c r="K4" s="42" t="s">
        <v>41</v>
      </c>
      <c r="L4" s="41" t="s">
        <v>40</v>
      </c>
      <c r="M4" s="40" t="s">
        <v>39</v>
      </c>
      <c r="N4" s="40" t="s">
        <v>38</v>
      </c>
      <c r="O4" s="39" t="s">
        <v>37</v>
      </c>
      <c r="P4" s="38" t="s">
        <v>36</v>
      </c>
      <c r="Q4" s="38" t="s">
        <v>35</v>
      </c>
      <c r="R4" s="38" t="s">
        <v>34</v>
      </c>
      <c r="S4" s="38" t="s">
        <v>33</v>
      </c>
      <c r="T4" s="38" t="s">
        <v>32</v>
      </c>
      <c r="U4" s="38" t="s">
        <v>31</v>
      </c>
      <c r="V4" s="37" t="s">
        <v>30</v>
      </c>
      <c r="W4" s="36" t="s">
        <v>29</v>
      </c>
      <c r="X4" s="35" t="s">
        <v>28</v>
      </c>
      <c r="Y4" s="35" t="s">
        <v>27</v>
      </c>
      <c r="Z4" s="34" t="s">
        <v>26</v>
      </c>
      <c r="AA4" s="34" t="s">
        <v>25</v>
      </c>
      <c r="AB4" s="32"/>
      <c r="AC4" s="33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pans="1:39" ht="15.75" customHeight="1">
      <c r="A5" s="13">
        <f>IF(OR(ISBLANK(C5),ISBLANK(D5),ISBLANK(F5),ISBLANK(G5)),"",COUNTIF($B$5:B5,"JAMBUTU"))</f>
        <v>1</v>
      </c>
      <c r="B5" s="8" t="s">
        <v>78</v>
      </c>
      <c r="C5" s="8" t="s">
        <v>4</v>
      </c>
      <c r="D5" s="8" t="s">
        <v>6</v>
      </c>
      <c r="E5" s="13">
        <v>3.6</v>
      </c>
      <c r="F5" s="12">
        <v>46114</v>
      </c>
      <c r="G5" s="11">
        <v>0.64513888888905058</v>
      </c>
      <c r="H5" s="12">
        <v>46114</v>
      </c>
      <c r="I5" s="11">
        <v>0.64861111111167702</v>
      </c>
      <c r="J5" s="10">
        <f t="shared" ref="J5:J68" si="0">DATE(YEAR(F5),MONTH(F5),DAY(F5))+TIME(HOUR(G5),MINUTE(G5), SECOND(G5))</f>
        <v>46114.645138888889</v>
      </c>
      <c r="K5" s="10">
        <f t="shared" ref="K5:K68" si="1">DATE(YEAR(H5),MONTH(H5),DAY(H5))+TIME(HOUR(I5),MINUTE(I5), SECOND(I5))</f>
        <v>46114.648611111108</v>
      </c>
      <c r="L5" s="9">
        <f t="shared" ref="L5:L68" si="2">IF(ISBLANK(I5),"",IF(J5&gt;K5,(K5+1)-J5,K5-J5))</f>
        <v>3.4722222189884633E-3</v>
      </c>
      <c r="M5" s="8" t="s">
        <v>9</v>
      </c>
      <c r="N5" s="8" t="s">
        <v>1</v>
      </c>
      <c r="O5" s="8" t="s">
        <v>0</v>
      </c>
      <c r="P5" s="8"/>
      <c r="Q5" s="8"/>
      <c r="R5" s="8"/>
      <c r="S5" s="8"/>
      <c r="T5" s="8"/>
      <c r="U5" s="8"/>
      <c r="V5" s="7"/>
      <c r="W5" s="6" t="e">
        <f t="array" aca="1" ref="W5" ca="1">IF(NOT(ISBLANK(D5)),_xludf.XLOOKUP(D5,[2]CODE!$A$4:$A$100,[2]CODE!$D$4:$D$100),"")</f>
        <v>#NAME?</v>
      </c>
      <c r="X5" s="5" t="e">
        <f t="array" aca="1" ref="X5" ca="1">IF(NOT(AND(ISBLANK(D5),ISBLANK(C5))),_xludf.XLOOKUP(D5,[2]CODE!$A$4:$A$100,[2]CODE!$E$4:$E$100),"")</f>
        <v>#NAME?</v>
      </c>
      <c r="Y5" s="5" t="str">
        <f t="shared" ref="Y5:Y68" si="3">LEFT(C5,4)</f>
        <v>33KV</v>
      </c>
      <c r="Z5" s="5" t="str">
        <f t="shared" ref="Z5:Z68" si="4">IF(NOT(ISBLANK(C5)), IF(K5&gt;J5,"YES","NO"),"")</f>
        <v>YES</v>
      </c>
      <c r="AA5" s="4">
        <f t="shared" ref="AA5:AA68" si="5">IF(AND(F5=H5,Z5="NO"),1+H5,H5)</f>
        <v>46114</v>
      </c>
      <c r="AC5" s="66" t="s">
        <v>24</v>
      </c>
      <c r="AD5" s="50" t="s">
        <v>23</v>
      </c>
      <c r="AE5" s="51"/>
      <c r="AF5" s="52"/>
      <c r="AG5" s="50" t="s">
        <v>22</v>
      </c>
      <c r="AH5" s="51"/>
      <c r="AI5" s="52"/>
      <c r="AJ5" s="50" t="s">
        <v>21</v>
      </c>
      <c r="AK5" s="51"/>
      <c r="AL5" s="52"/>
    </row>
    <row r="6" spans="1:39" ht="15.75" customHeight="1" thickBot="1">
      <c r="A6" s="13">
        <f>IF(OR(ISBLANK(C6),ISBLANK(D6),ISBLANK(F6),ISBLANK(G6)),"",COUNTIF($B$5:B6,"JAMBUTU"))</f>
        <v>2</v>
      </c>
      <c r="B6" s="8" t="s">
        <v>78</v>
      </c>
      <c r="C6" s="8" t="s">
        <v>4</v>
      </c>
      <c r="D6" s="8" t="s">
        <v>6</v>
      </c>
      <c r="E6" s="13">
        <v>4.0999999999999996</v>
      </c>
      <c r="F6" s="12">
        <v>46115</v>
      </c>
      <c r="G6" s="11">
        <v>0.62152777777737356</v>
      </c>
      <c r="H6" s="12">
        <v>46116</v>
      </c>
      <c r="I6" s="11">
        <v>0</v>
      </c>
      <c r="J6" s="10">
        <f t="shared" si="0"/>
        <v>46115.621527777781</v>
      </c>
      <c r="K6" s="10">
        <f t="shared" si="1"/>
        <v>46116</v>
      </c>
      <c r="L6" s="9">
        <f t="shared" si="2"/>
        <v>0.37847222221898846</v>
      </c>
      <c r="M6" s="8" t="s">
        <v>77</v>
      </c>
      <c r="N6" s="8" t="s">
        <v>1</v>
      </c>
      <c r="O6" s="8" t="s">
        <v>0</v>
      </c>
      <c r="P6" s="8"/>
      <c r="Q6" s="8"/>
      <c r="R6" s="8"/>
      <c r="S6" s="8"/>
      <c r="T6" s="8"/>
      <c r="U6" s="8"/>
      <c r="V6" s="7"/>
      <c r="W6" s="6" t="e">
        <f t="array" aca="1" ref="W6" ca="1">IF(NOT(ISBLANK(D6)),_xludf.XLOOKUP(D6,[2]CODE!$A$4:$A$100,[2]CODE!$D$4:$D$100),"")</f>
        <v>#NAME?</v>
      </c>
      <c r="X6" s="5" t="e">
        <f t="array" aca="1" ref="X6" ca="1">IF(NOT(AND(ISBLANK(D6),ISBLANK(C6))),_xludf.XLOOKUP(D6,[2]CODE!$A$4:$A$100,[2]CODE!$E$4:$E$100),"")</f>
        <v>#NAME?</v>
      </c>
      <c r="Y6" s="5" t="str">
        <f t="shared" si="3"/>
        <v>33KV</v>
      </c>
      <c r="Z6" s="5" t="str">
        <f t="shared" si="4"/>
        <v>YES</v>
      </c>
      <c r="AA6" s="4">
        <f t="shared" si="5"/>
        <v>46116</v>
      </c>
      <c r="AC6" s="67"/>
      <c r="AD6" s="53"/>
      <c r="AE6" s="54"/>
      <c r="AF6" s="55"/>
      <c r="AG6" s="53"/>
      <c r="AH6" s="54"/>
      <c r="AI6" s="55"/>
      <c r="AJ6" s="53"/>
      <c r="AK6" s="54"/>
      <c r="AL6" s="55"/>
    </row>
    <row r="7" spans="1:39" ht="15.75" customHeight="1">
      <c r="A7" s="13">
        <f>IF(OR(ISBLANK(C7),ISBLANK(D7),ISBLANK(F7),ISBLANK(G7)),"",COUNTIF($B$5:B7,"JAMBUTU"))</f>
        <v>3</v>
      </c>
      <c r="B7" s="8" t="s">
        <v>78</v>
      </c>
      <c r="C7" s="8" t="s">
        <v>4</v>
      </c>
      <c r="D7" s="8" t="s">
        <v>6</v>
      </c>
      <c r="E7" s="13">
        <v>4.0999999999999996</v>
      </c>
      <c r="F7" s="12">
        <v>46116</v>
      </c>
      <c r="G7" s="11">
        <v>0</v>
      </c>
      <c r="H7" s="12">
        <v>46116</v>
      </c>
      <c r="I7" s="11">
        <v>0.41249999999854481</v>
      </c>
      <c r="J7" s="10">
        <f t="shared" si="0"/>
        <v>46116</v>
      </c>
      <c r="K7" s="10">
        <f t="shared" si="1"/>
        <v>46116.412499999999</v>
      </c>
      <c r="L7" s="9">
        <f t="shared" si="2"/>
        <v>0.41249999999854481</v>
      </c>
      <c r="M7" s="8" t="s">
        <v>64</v>
      </c>
      <c r="N7" s="8" t="s">
        <v>1</v>
      </c>
      <c r="O7" s="8" t="s">
        <v>0</v>
      </c>
      <c r="P7" s="8"/>
      <c r="Q7" s="8"/>
      <c r="R7" s="8"/>
      <c r="S7" s="8"/>
      <c r="T7" s="8"/>
      <c r="U7" s="8"/>
      <c r="V7" s="7"/>
      <c r="W7" s="6" t="e">
        <f t="array" aca="1" ref="W7" ca="1">IF(NOT(ISBLANK(D7)),_xludf.XLOOKUP(D7,[2]CODE!$A$4:$A$100,[2]CODE!$D$4:$D$100),"")</f>
        <v>#NAME?</v>
      </c>
      <c r="X7" s="5" t="e">
        <f t="array" aca="1" ref="X7" ca="1">IF(NOT(AND(ISBLANK(D7),ISBLANK(C7))),_xludf.XLOOKUP(D7,[2]CODE!$A$4:$A$100,[2]CODE!$E$4:$E$100),"")</f>
        <v>#NAME?</v>
      </c>
      <c r="Y7" s="5" t="str">
        <f t="shared" si="3"/>
        <v>33KV</v>
      </c>
      <c r="Z7" s="5" t="str">
        <f t="shared" si="4"/>
        <v>YES</v>
      </c>
      <c r="AA7" s="4">
        <f t="shared" si="5"/>
        <v>46116</v>
      </c>
      <c r="AC7" s="26">
        <v>46054</v>
      </c>
      <c r="AD7" s="25">
        <f ca="1">IFERROR(__xludf.DUMMYFUNCTION("IFERROR(SUM(FILTER($L$5:$L$1002,$C$5:$C$1002=$AD$5,$F$5:$F$1002=AC7))*24,0)"),0)</f>
        <v>0</v>
      </c>
      <c r="AE7" s="30">
        <f t="array" ref="AE7:AE37">TRANSPOSE('[2]ENERGY ACCOUNT'!E19:AI19)</f>
        <v>24</v>
      </c>
      <c r="AF7" s="29" t="str">
        <f t="shared" ref="AF7:AF37" ca="1" si="6">IF(SUM(AD7+AE7)=0,"",IF(ABS(24-SUM(AD7+AE7))&lt;0.004,REPT("✅",5),REPT("❌",5)))</f>
        <v>✅✅✅✅✅</v>
      </c>
      <c r="AG7" s="25">
        <f ca="1">IFERROR(__xludf.DUMMYFUNCTION("IFERROR(SUM(FILTER($L$5:$L$1002,$C$5:$C$1002=$AG$5,$F$5:$F$1002=AC7))*24,0)"),20.9999999998253)</f>
        <v>20.999999999825299</v>
      </c>
      <c r="AH7" s="31">
        <f t="array" ref="AH7:AH37">TRANSPOSE('[2]ENERGY ACCOUNT'!E22:AI22)</f>
        <v>3</v>
      </c>
      <c r="AI7" s="29" t="str">
        <f t="shared" ref="AI7:AI37" ca="1" si="7">IF(SUM(AG7+AH7)=0,"",IF(ABS(24-SUM(AG7+AH7))&lt;0.004,REPT("✅",5),REPT("❌",5)))</f>
        <v>✅✅✅✅✅</v>
      </c>
      <c r="AJ7" s="25">
        <f ca="1">IFERROR(__xludf.DUMMYFUNCTION("IFERROR(SUM(FILTER($L$5:$L$1002,$C$5:$C$1002=$AJ$5,$F$5:$F$1002=AC7))*24,0)"),21.9999999999417)</f>
        <v>21.9999999999417</v>
      </c>
      <c r="AK7" s="30">
        <f t="array" ref="AK7:AK37">TRANSPOSE('[2]ENERGY ACCOUNT'!E25:AI25)</f>
        <v>2</v>
      </c>
      <c r="AL7" s="29" t="str">
        <f t="shared" ref="AL7:AL37" ca="1" si="8">IF(SUM(AJ7+AK7)=0,"",IF(ABS(24-SUM(AJ7+AK7))&lt;0.004,REPT("✅",5),REPT("❌",5)))</f>
        <v>✅✅✅✅✅</v>
      </c>
    </row>
    <row r="8" spans="1:39" ht="15.75" customHeight="1">
      <c r="A8" s="13">
        <f>IF(OR(ISBLANK(C8),ISBLANK(D8),ISBLANK(F8),ISBLANK(G8)),"",COUNTIF($B$5:B8,"JAMBUTU"))</f>
        <v>4</v>
      </c>
      <c r="B8" s="8" t="s">
        <v>78</v>
      </c>
      <c r="C8" s="8" t="s">
        <v>4</v>
      </c>
      <c r="D8" s="8" t="s">
        <v>75</v>
      </c>
      <c r="E8" s="13">
        <v>3.7</v>
      </c>
      <c r="F8" s="12">
        <v>46118</v>
      </c>
      <c r="G8" s="11">
        <v>0.63541666666787933</v>
      </c>
      <c r="H8" s="12">
        <v>46119</v>
      </c>
      <c r="I8" s="11">
        <v>0</v>
      </c>
      <c r="J8" s="10">
        <f t="shared" si="0"/>
        <v>46118.635416666664</v>
      </c>
      <c r="K8" s="10">
        <f t="shared" si="1"/>
        <v>46119</v>
      </c>
      <c r="L8" s="9">
        <f t="shared" si="2"/>
        <v>0.36458333333575865</v>
      </c>
      <c r="M8" s="8" t="s">
        <v>76</v>
      </c>
      <c r="N8" s="8" t="s">
        <v>1</v>
      </c>
      <c r="O8" s="8" t="s">
        <v>0</v>
      </c>
      <c r="P8" s="8"/>
      <c r="Q8" s="8"/>
      <c r="R8" s="8"/>
      <c r="S8" s="8"/>
      <c r="T8" s="8"/>
      <c r="U8" s="8"/>
      <c r="V8" s="7"/>
      <c r="W8" s="6" t="e">
        <f t="array" aca="1" ref="W8" ca="1">IF(NOT(ISBLANK(D8)),_xludf.XLOOKUP(D8,[2]CODE!$A$4:$A$100,[2]CODE!$D$4:$D$100),"")</f>
        <v>#NAME?</v>
      </c>
      <c r="X8" s="5" t="e">
        <f t="array" aca="1" ref="X8" ca="1">IF(NOT(AND(ISBLANK(D8),ISBLANK(C8))),_xludf.XLOOKUP(D8,[2]CODE!$A$4:$A$100,[2]CODE!$E$4:$E$100),"")</f>
        <v>#NAME?</v>
      </c>
      <c r="Y8" s="5" t="str">
        <f t="shared" si="3"/>
        <v>33KV</v>
      </c>
      <c r="Z8" s="5" t="str">
        <f t="shared" si="4"/>
        <v>YES</v>
      </c>
      <c r="AA8" s="4">
        <f t="shared" si="5"/>
        <v>46119</v>
      </c>
      <c r="AC8" s="26">
        <v>46055</v>
      </c>
      <c r="AD8" s="25">
        <f ca="1">IFERROR(__xludf.DUMMYFUNCTION("IFERROR(SUM(FILTER($L$5:$L$1002,$C$5:$C$1002=$AD$5,$F$5:$F$1002=AC8))*24,0)"),0.250000000116415)</f>
        <v>0.25000000011641499</v>
      </c>
      <c r="AE8" s="28">
        <v>23.75</v>
      </c>
      <c r="AF8" s="27" t="str">
        <f t="shared" ca="1" si="6"/>
        <v>✅✅✅✅✅</v>
      </c>
      <c r="AG8" s="25">
        <f ca="1">IFERROR(__xludf.DUMMYFUNCTION("IFERROR(SUM(FILTER($L$5:$L$1002,$C$5:$C$1002=$AG$5,$F$5:$F$1002=AC8))*24,0)"),21.166666666686)</f>
        <v>21.166666666686002</v>
      </c>
      <c r="AH8" s="28">
        <v>2.8333333333333335</v>
      </c>
      <c r="AI8" s="27" t="str">
        <f t="shared" ca="1" si="7"/>
        <v>✅✅✅✅✅</v>
      </c>
      <c r="AJ8" s="25">
        <f ca="1">IFERROR(__xludf.DUMMYFUNCTION("IFERROR(SUM(FILTER($L$5:$L$1002,$C$5:$C$1002=$AJ$5,$F$5:$F$1002=AC8))*24,0)"),21.9999999999417)</f>
        <v>21.9999999999417</v>
      </c>
      <c r="AK8" s="28">
        <v>2</v>
      </c>
      <c r="AL8" s="27" t="str">
        <f t="shared" ca="1" si="8"/>
        <v>✅✅✅✅✅</v>
      </c>
    </row>
    <row r="9" spans="1:39" ht="15.75" customHeight="1">
      <c r="A9" s="13">
        <f>IF(OR(ISBLANK(C9),ISBLANK(D9),ISBLANK(F9),ISBLANK(G9)),"",COUNTIF($B$5:B9,"JAMBUTU"))</f>
        <v>5</v>
      </c>
      <c r="B9" s="8" t="s">
        <v>78</v>
      </c>
      <c r="C9" s="8" t="s">
        <v>4</v>
      </c>
      <c r="D9" s="8" t="s">
        <v>75</v>
      </c>
      <c r="E9" s="13">
        <v>3.7</v>
      </c>
      <c r="F9" s="12">
        <v>46119</v>
      </c>
      <c r="G9" s="11">
        <v>0</v>
      </c>
      <c r="H9" s="12">
        <v>46120</v>
      </c>
      <c r="I9" s="11">
        <v>0</v>
      </c>
      <c r="J9" s="10">
        <f t="shared" si="0"/>
        <v>46119</v>
      </c>
      <c r="K9" s="10">
        <f t="shared" si="1"/>
        <v>46120</v>
      </c>
      <c r="L9" s="9">
        <f t="shared" si="2"/>
        <v>1</v>
      </c>
      <c r="M9" s="8" t="s">
        <v>76</v>
      </c>
      <c r="N9" s="8" t="s">
        <v>1</v>
      </c>
      <c r="O9" s="8" t="s">
        <v>0</v>
      </c>
      <c r="P9" s="8"/>
      <c r="Q9" s="8"/>
      <c r="R9" s="8"/>
      <c r="S9" s="8"/>
      <c r="T9" s="8"/>
      <c r="U9" s="8"/>
      <c r="V9" s="7"/>
      <c r="W9" s="6" t="e">
        <f t="array" aca="1" ref="W9" ca="1">IF(NOT(ISBLANK(D9)),_xludf.XLOOKUP(D9,[2]CODE!$A$4:$A$100,[2]CODE!$D$4:$D$100),"")</f>
        <v>#NAME?</v>
      </c>
      <c r="X9" s="5" t="e">
        <f t="array" aca="1" ref="X9" ca="1">IF(NOT(AND(ISBLANK(D9),ISBLANK(C9))),_xludf.XLOOKUP(D9,[2]CODE!$A$4:$A$100,[2]CODE!$E$4:$E$100),"")</f>
        <v>#NAME?</v>
      </c>
      <c r="Y9" s="5" t="str">
        <f t="shared" si="3"/>
        <v>33KV</v>
      </c>
      <c r="Z9" s="5" t="str">
        <f t="shared" si="4"/>
        <v>YES</v>
      </c>
      <c r="AA9" s="4">
        <f t="shared" si="5"/>
        <v>46120</v>
      </c>
      <c r="AC9" s="26">
        <v>46056</v>
      </c>
      <c r="AD9" s="25">
        <f ca="1">IFERROR(__xludf.DUMMYFUNCTION("IFERROR(SUM(FILTER($L$5:$L$1002,$C$5:$C$1002=$AD$5,$F$5:$F$1002=AC9))*24,0)"),9.99999999976716)</f>
        <v>9.9999999997671605</v>
      </c>
      <c r="AE9" s="28">
        <v>14</v>
      </c>
      <c r="AF9" s="27" t="str">
        <f t="shared" ca="1" si="6"/>
        <v>✅✅✅✅✅</v>
      </c>
      <c r="AG9" s="25">
        <f ca="1">IFERROR(__xludf.DUMMYFUNCTION("IFERROR(SUM(FILTER($L$5:$L$1002,$C$5:$C$1002=$AG$5,$F$5:$F$1002=AC9))*24,0)"),23.3333333334303)</f>
        <v>23.3333333334303</v>
      </c>
      <c r="AH9" s="28">
        <v>0.66666666666666663</v>
      </c>
      <c r="AI9" s="27" t="str">
        <f t="shared" ca="1" si="7"/>
        <v>✅✅✅✅✅</v>
      </c>
      <c r="AJ9" s="25">
        <f ca="1">IFERROR(__xludf.DUMMYFUNCTION("IFERROR(SUM(FILTER($L$5:$L$1002,$C$5:$C$1002=$AJ$5,$F$5:$F$1002=AC9))*24,0)"),24)</f>
        <v>24</v>
      </c>
      <c r="AK9" s="28">
        <v>0</v>
      </c>
      <c r="AL9" s="27" t="str">
        <f t="shared" ca="1" si="8"/>
        <v>✅✅✅✅✅</v>
      </c>
    </row>
    <row r="10" spans="1:39" ht="15.75" customHeight="1">
      <c r="A10" s="13">
        <f>IF(OR(ISBLANK(C10),ISBLANK(D10),ISBLANK(F10),ISBLANK(G10)),"",COUNTIF($B$5:B10,"JAMBUTU"))</f>
        <v>6</v>
      </c>
      <c r="B10" s="8" t="s">
        <v>78</v>
      </c>
      <c r="C10" s="8" t="s">
        <v>4</v>
      </c>
      <c r="D10" s="8" t="s">
        <v>75</v>
      </c>
      <c r="E10" s="13">
        <v>3.7</v>
      </c>
      <c r="F10" s="12">
        <v>46120</v>
      </c>
      <c r="G10" s="11">
        <v>0</v>
      </c>
      <c r="H10" s="12">
        <v>46120</v>
      </c>
      <c r="I10" s="11">
        <v>6.9444444452528842E-3</v>
      </c>
      <c r="J10" s="10">
        <f t="shared" si="0"/>
        <v>46120</v>
      </c>
      <c r="K10" s="10">
        <f t="shared" si="1"/>
        <v>46120.006944444445</v>
      </c>
      <c r="L10" s="9">
        <f t="shared" si="2"/>
        <v>6.9444444452528842E-3</v>
      </c>
      <c r="M10" s="8" t="s">
        <v>64</v>
      </c>
      <c r="N10" s="8" t="s">
        <v>1</v>
      </c>
      <c r="O10" s="8" t="s">
        <v>74</v>
      </c>
      <c r="P10" s="8"/>
      <c r="Q10" s="8"/>
      <c r="R10" s="8"/>
      <c r="S10" s="8"/>
      <c r="T10" s="8"/>
      <c r="U10" s="8"/>
      <c r="V10" s="7"/>
      <c r="W10" s="6" t="e">
        <f t="array" aca="1" ref="W10" ca="1">IF(NOT(ISBLANK(D10)),_xludf.XLOOKUP(D10,[2]CODE!$A$4:$A$100,[2]CODE!$D$4:$D$100),"")</f>
        <v>#NAME?</v>
      </c>
      <c r="X10" s="5" t="e">
        <f t="array" aca="1" ref="X10" ca="1">IF(NOT(AND(ISBLANK(D10),ISBLANK(C10))),_xludf.XLOOKUP(D10,[2]CODE!$A$4:$A$100,[2]CODE!$E$4:$E$100),"")</f>
        <v>#NAME?</v>
      </c>
      <c r="Y10" s="5" t="str">
        <f t="shared" si="3"/>
        <v>33KV</v>
      </c>
      <c r="Z10" s="5" t="str">
        <f t="shared" si="4"/>
        <v>YES</v>
      </c>
      <c r="AA10" s="4">
        <f t="shared" si="5"/>
        <v>46120</v>
      </c>
      <c r="AC10" s="26">
        <v>46057</v>
      </c>
      <c r="AD10" s="25">
        <f ca="1">IFERROR(__xludf.DUMMYFUNCTION("IFERROR(SUM(FILTER($L$5:$L$1002,$C$5:$C$1002=$AD$5,$F$5:$F$1002=AC10))*24,0)"),0.383333333360496)</f>
        <v>0.38333333336049602</v>
      </c>
      <c r="AE10" s="28">
        <v>23.616666666666667</v>
      </c>
      <c r="AF10" s="27" t="str">
        <f t="shared" ca="1" si="6"/>
        <v>✅✅✅✅✅</v>
      </c>
      <c r="AG10" s="25">
        <f ca="1">IFERROR(__xludf.DUMMYFUNCTION("IFERROR(SUM(FILTER($L$5:$L$1002,$C$5:$C$1002=$AG$5,$F$5:$F$1002=AC10))*24,0)"),20.966666666558)</f>
        <v>20.966666666558002</v>
      </c>
      <c r="AH10" s="28">
        <v>3.0333333333333332</v>
      </c>
      <c r="AI10" s="27" t="str">
        <f t="shared" ca="1" si="7"/>
        <v>✅✅✅✅✅</v>
      </c>
      <c r="AJ10" s="25">
        <f ca="1">IFERROR(__xludf.DUMMYFUNCTION("IFERROR(SUM(FILTER($L$5:$L$1002,$C$5:$C$1002=$AJ$5,$F$5:$F$1002=AC10))*24,0)"),20.4666666664998)</f>
        <v>20.466666666499801</v>
      </c>
      <c r="AK10" s="28">
        <v>3.5333333333333332</v>
      </c>
      <c r="AL10" s="27" t="str">
        <f t="shared" ca="1" si="8"/>
        <v>✅✅✅✅✅</v>
      </c>
    </row>
    <row r="11" spans="1:39" ht="15.75" customHeight="1">
      <c r="A11" s="13">
        <f>IF(OR(ISBLANK(C11),ISBLANK(D11),ISBLANK(F11),ISBLANK(G11)),"",COUNTIF($B$5:B11,"JAMBUTU"))</f>
        <v>7</v>
      </c>
      <c r="B11" s="8" t="s">
        <v>78</v>
      </c>
      <c r="C11" s="8" t="s">
        <v>4</v>
      </c>
      <c r="D11" s="8" t="s">
        <v>55</v>
      </c>
      <c r="E11" s="13">
        <v>2</v>
      </c>
      <c r="F11" s="12">
        <v>46123</v>
      </c>
      <c r="G11" s="11">
        <v>0.28541666666569654</v>
      </c>
      <c r="H11" s="12">
        <v>46123</v>
      </c>
      <c r="I11" s="11">
        <v>0.3125</v>
      </c>
      <c r="J11" s="10">
        <f t="shared" si="0"/>
        <v>46123.285416666666</v>
      </c>
      <c r="K11" s="10">
        <f t="shared" si="1"/>
        <v>46123.3125</v>
      </c>
      <c r="L11" s="9">
        <f t="shared" si="2"/>
        <v>2.7083333334303461E-2</v>
      </c>
      <c r="M11" s="8" t="s">
        <v>16</v>
      </c>
      <c r="N11" s="8" t="s">
        <v>1</v>
      </c>
      <c r="O11" s="8" t="s">
        <v>0</v>
      </c>
      <c r="P11" s="8"/>
      <c r="Q11" s="8"/>
      <c r="R11" s="8"/>
      <c r="S11" s="8"/>
      <c r="T11" s="8"/>
      <c r="U11" s="8"/>
      <c r="V11" s="7"/>
      <c r="W11" s="6" t="e">
        <f t="array" aca="1" ref="W11" ca="1">IF(NOT(ISBLANK(D11)),_xludf.XLOOKUP(D11,[2]CODE!$A$4:$A$100,[2]CODE!$D$4:$D$100),"")</f>
        <v>#NAME?</v>
      </c>
      <c r="X11" s="5" t="e">
        <f t="array" aca="1" ref="X11" ca="1">IF(NOT(AND(ISBLANK(D11),ISBLANK(C11))),_xludf.XLOOKUP(D11,[2]CODE!$A$4:$A$100,[2]CODE!$E$4:$E$100),"")</f>
        <v>#NAME?</v>
      </c>
      <c r="Y11" s="5" t="str">
        <f t="shared" si="3"/>
        <v>33KV</v>
      </c>
      <c r="Z11" s="5" t="str">
        <f t="shared" si="4"/>
        <v>YES</v>
      </c>
      <c r="AA11" s="4">
        <f t="shared" si="5"/>
        <v>46123</v>
      </c>
      <c r="AC11" s="26">
        <v>46058</v>
      </c>
      <c r="AD11" s="25">
        <f ca="1">IFERROR(__xludf.DUMMYFUNCTION("IFERROR(SUM(FILTER($L$5:$L$1002,$C$5:$C$1002=$AD$5,$F$5:$F$1002=AC11))*24,0)"),0.216666666674427)</f>
        <v>0.21666666667442699</v>
      </c>
      <c r="AE11" s="28">
        <v>23.783333333333335</v>
      </c>
      <c r="AF11" s="27" t="str">
        <f t="shared" ca="1" si="6"/>
        <v>✅✅✅✅✅</v>
      </c>
      <c r="AG11" s="25">
        <f ca="1">IFERROR(__xludf.DUMMYFUNCTION("IFERROR(SUM(FILTER($L$5:$L$1002,$C$5:$C$1002=$AG$5,$F$5:$F$1002=AC11))*24,0)"),21.1000000001513)</f>
        <v>21.100000000151301</v>
      </c>
      <c r="AH11" s="28">
        <v>2.9</v>
      </c>
      <c r="AI11" s="27" t="str">
        <f t="shared" ca="1" si="7"/>
        <v>✅✅✅✅✅</v>
      </c>
      <c r="AJ11" s="25">
        <f ca="1">IFERROR(__xludf.DUMMYFUNCTION("IFERROR(SUM(FILTER($L$5:$L$1002,$C$5:$C$1002=$AJ$5,$F$5:$F$1002=AC11))*24,0)"),21.6166666667559)</f>
        <v>21.616666666755901</v>
      </c>
      <c r="AK11" s="28">
        <v>2.3833333333333333</v>
      </c>
      <c r="AL11" s="27" t="str">
        <f t="shared" ca="1" si="8"/>
        <v>✅✅✅✅✅</v>
      </c>
    </row>
    <row r="12" spans="1:39" ht="15.75" customHeight="1">
      <c r="A12" s="13">
        <f>IF(OR(ISBLANK(C12),ISBLANK(D12),ISBLANK(F12),ISBLANK(G12)),"",COUNTIF($B$5:B12,"JAMBUTU"))</f>
        <v>8</v>
      </c>
      <c r="B12" s="8" t="s">
        <v>78</v>
      </c>
      <c r="C12" s="8" t="s">
        <v>4</v>
      </c>
      <c r="D12" s="8" t="s">
        <v>6</v>
      </c>
      <c r="E12" s="13">
        <v>2.8</v>
      </c>
      <c r="F12" s="12">
        <v>46124</v>
      </c>
      <c r="G12" s="11">
        <v>0.32638888889050577</v>
      </c>
      <c r="H12" s="12">
        <v>46124</v>
      </c>
      <c r="I12" s="11">
        <v>0.76041666666787933</v>
      </c>
      <c r="J12" s="10">
        <f t="shared" si="0"/>
        <v>46124.326388888891</v>
      </c>
      <c r="K12" s="10">
        <f t="shared" si="1"/>
        <v>46124.760416666664</v>
      </c>
      <c r="L12" s="9">
        <f t="shared" si="2"/>
        <v>0.43402777777373558</v>
      </c>
      <c r="M12" s="8" t="s">
        <v>16</v>
      </c>
      <c r="N12" s="8" t="s">
        <v>1</v>
      </c>
      <c r="O12" s="8" t="s">
        <v>0</v>
      </c>
      <c r="P12" s="8"/>
      <c r="Q12" s="8"/>
      <c r="R12" s="8"/>
      <c r="S12" s="8"/>
      <c r="T12" s="8"/>
      <c r="U12" s="8"/>
      <c r="V12" s="7"/>
      <c r="W12" s="6" t="e">
        <f t="array" aca="1" ref="W12" ca="1">IF(NOT(ISBLANK(D12)),_xludf.XLOOKUP(D12,[2]CODE!$A$4:$A$100,[2]CODE!$D$4:$D$100),"")</f>
        <v>#NAME?</v>
      </c>
      <c r="X12" s="5" t="e">
        <f t="array" aca="1" ref="X12" ca="1">IF(NOT(AND(ISBLANK(D12),ISBLANK(C12))),_xludf.XLOOKUP(D12,[2]CODE!$A$4:$A$100,[2]CODE!$E$4:$E$100),"")</f>
        <v>#NAME?</v>
      </c>
      <c r="Y12" s="5" t="str">
        <f t="shared" si="3"/>
        <v>33KV</v>
      </c>
      <c r="Z12" s="5" t="str">
        <f t="shared" si="4"/>
        <v>YES</v>
      </c>
      <c r="AA12" s="4">
        <f t="shared" si="5"/>
        <v>46124</v>
      </c>
      <c r="AC12" s="26">
        <v>46059</v>
      </c>
      <c r="AD12" s="25">
        <f ca="1">IFERROR(__xludf.DUMMYFUNCTION("IFERROR(SUM(FILTER($L$5:$L$1002,$C$5:$C$1002=$AD$5,$F$5:$F$1002=AC12))*24,0)"),0)</f>
        <v>0</v>
      </c>
      <c r="AE12" s="28">
        <v>24</v>
      </c>
      <c r="AF12" s="27" t="str">
        <f t="shared" ca="1" si="6"/>
        <v>✅✅✅✅✅</v>
      </c>
      <c r="AG12" s="25">
        <f ca="1">IFERROR(__xludf.DUMMYFUNCTION("IFERROR(SUM(FILTER($L$5:$L$1002,$C$5:$C$1002=$AG$5,$F$5:$F$1002=AC12))*24,0)"),18.9166666668606)</f>
        <v>18.9166666668606</v>
      </c>
      <c r="AH12" s="28">
        <v>5.083333333333333</v>
      </c>
      <c r="AI12" s="27" t="str">
        <f t="shared" ca="1" si="7"/>
        <v>✅✅✅✅✅</v>
      </c>
      <c r="AJ12" s="25">
        <f ca="1">IFERROR(__xludf.DUMMYFUNCTION("IFERROR(SUM(FILTER($L$5:$L$1002,$C$5:$C$1002=$AJ$5,$F$5:$F$1002=AC12))*24,0)"),21.8166666665347)</f>
        <v>21.816666666534701</v>
      </c>
      <c r="AK12" s="28">
        <v>2.1833333333333331</v>
      </c>
      <c r="AL12" s="27" t="str">
        <f t="shared" ca="1" si="8"/>
        <v>✅✅✅✅✅</v>
      </c>
    </row>
    <row r="13" spans="1:39" ht="15.75" customHeight="1">
      <c r="A13" s="13">
        <f>IF(OR(ISBLANK(C13),ISBLANK(D13),ISBLANK(F13),ISBLANK(G13)),"",COUNTIF($B$5:B13,"JAMBUTU"))</f>
        <v>9</v>
      </c>
      <c r="B13" s="8" t="s">
        <v>78</v>
      </c>
      <c r="C13" s="8" t="s">
        <v>4</v>
      </c>
      <c r="D13" s="8" t="s">
        <v>55</v>
      </c>
      <c r="E13" s="13">
        <v>3.05</v>
      </c>
      <c r="F13" s="12">
        <v>46125</v>
      </c>
      <c r="G13" s="11">
        <v>0.31041666666715173</v>
      </c>
      <c r="H13" s="12">
        <v>46125</v>
      </c>
      <c r="I13" s="11">
        <v>0.52777777777737356</v>
      </c>
      <c r="J13" s="10">
        <f t="shared" si="0"/>
        <v>46125.310416666667</v>
      </c>
      <c r="K13" s="10">
        <f t="shared" si="1"/>
        <v>46125.527777777781</v>
      </c>
      <c r="L13" s="9">
        <f t="shared" si="2"/>
        <v>0.21736111111385981</v>
      </c>
      <c r="M13" s="8" t="s">
        <v>70</v>
      </c>
      <c r="N13" s="8" t="s">
        <v>1</v>
      </c>
      <c r="O13" s="8" t="s">
        <v>0</v>
      </c>
      <c r="P13" s="8"/>
      <c r="Q13" s="8"/>
      <c r="R13" s="8"/>
      <c r="S13" s="8"/>
      <c r="T13" s="8"/>
      <c r="U13" s="8"/>
      <c r="V13" s="7"/>
      <c r="W13" s="6" t="e">
        <f t="array" aca="1" ref="W13" ca="1">IF(NOT(ISBLANK(D13)),_xludf.XLOOKUP(D13,[2]CODE!$A$4:$A$100,[2]CODE!$D$4:$D$100),"")</f>
        <v>#NAME?</v>
      </c>
      <c r="X13" s="5" t="e">
        <f t="array" aca="1" ref="X13" ca="1">IF(NOT(AND(ISBLANK(D13),ISBLANK(C13))),_xludf.XLOOKUP(D13,[2]CODE!$A$4:$A$100,[2]CODE!$E$4:$E$100),"")</f>
        <v>#NAME?</v>
      </c>
      <c r="Y13" s="5" t="str">
        <f t="shared" si="3"/>
        <v>33KV</v>
      </c>
      <c r="Z13" s="5" t="str">
        <f t="shared" si="4"/>
        <v>YES</v>
      </c>
      <c r="AA13" s="4">
        <f t="shared" si="5"/>
        <v>46125</v>
      </c>
      <c r="AC13" s="26">
        <v>46060</v>
      </c>
      <c r="AD13" s="25">
        <f ca="1">IFERROR(__xludf.DUMMYFUNCTION("IFERROR(SUM(FILTER($L$5:$L$1002,$C$5:$C$1002=$AD$5,$F$5:$F$1002=AC13))*24,0)"),8.94999999983701)</f>
        <v>8.9499999998370097</v>
      </c>
      <c r="AE13" s="28">
        <v>15.05</v>
      </c>
      <c r="AF13" s="27" t="str">
        <f t="shared" ca="1" si="6"/>
        <v>✅✅✅✅✅</v>
      </c>
      <c r="AG13" s="25">
        <f ca="1">IFERROR(__xludf.DUMMYFUNCTION("IFERROR(SUM(FILTER($L$5:$L$1002,$C$5:$C$1002=$AG$5,$F$5:$F$1002=AC13))*24,0)"),22.9833333333372)</f>
        <v>22.9833333333372</v>
      </c>
      <c r="AH13" s="28">
        <v>1.0166666666666666</v>
      </c>
      <c r="AI13" s="27" t="str">
        <f t="shared" ca="1" si="7"/>
        <v>✅✅✅✅✅</v>
      </c>
      <c r="AJ13" s="25">
        <f ca="1">IFERROR(__xludf.DUMMYFUNCTION("IFERROR(SUM(FILTER($L$5:$L$1002,$C$5:$C$1002=$AJ$5,$F$5:$F$1002=AC13))*24,0)"),20.1333333333022)</f>
        <v>20.1333333333022</v>
      </c>
      <c r="AK13" s="28">
        <v>3.8666666666666667</v>
      </c>
      <c r="AL13" s="27" t="str">
        <f t="shared" ca="1" si="8"/>
        <v>✅✅✅✅✅</v>
      </c>
    </row>
    <row r="14" spans="1:39" ht="15.75" customHeight="1">
      <c r="A14" s="13">
        <f>IF(OR(ISBLANK(C14),ISBLANK(D14),ISBLANK(F14),ISBLANK(G14)),"",COUNTIF($B$5:B14,"JAMBUTU"))</f>
        <v>10</v>
      </c>
      <c r="B14" s="8" t="s">
        <v>78</v>
      </c>
      <c r="C14" s="8" t="s">
        <v>4</v>
      </c>
      <c r="D14" s="8" t="s">
        <v>55</v>
      </c>
      <c r="E14" s="13">
        <v>2.4</v>
      </c>
      <c r="F14" s="12">
        <v>46125</v>
      </c>
      <c r="G14" s="11">
        <v>0.54513888889050577</v>
      </c>
      <c r="H14" s="12">
        <v>46125</v>
      </c>
      <c r="I14" s="11">
        <v>0.88541666666787933</v>
      </c>
      <c r="J14" s="10">
        <f t="shared" si="0"/>
        <v>46125.545138888891</v>
      </c>
      <c r="K14" s="10">
        <f t="shared" si="1"/>
        <v>46125.885416666664</v>
      </c>
      <c r="L14" s="9">
        <f t="shared" si="2"/>
        <v>0.34027777777373558</v>
      </c>
      <c r="M14" s="8" t="s">
        <v>70</v>
      </c>
      <c r="N14" s="8" t="s">
        <v>1</v>
      </c>
      <c r="O14" s="8" t="s">
        <v>0</v>
      </c>
      <c r="P14" s="8"/>
      <c r="Q14" s="8"/>
      <c r="R14" s="8"/>
      <c r="S14" s="8"/>
      <c r="T14" s="8"/>
      <c r="U14" s="8"/>
      <c r="V14" s="7"/>
      <c r="W14" s="6" t="e">
        <f t="array" aca="1" ref="W14" ca="1">IF(NOT(ISBLANK(D14)),_xludf.XLOOKUP(D14,[2]CODE!$A$4:$A$100,[2]CODE!$D$4:$D$100),"")</f>
        <v>#NAME?</v>
      </c>
      <c r="X14" s="5" t="e">
        <f t="array" aca="1" ref="X14" ca="1">IF(NOT(AND(ISBLANK(D14),ISBLANK(C14))),_xludf.XLOOKUP(D14,[2]CODE!$A$4:$A$100,[2]CODE!$E$4:$E$100),"")</f>
        <v>#NAME?</v>
      </c>
      <c r="Y14" s="5" t="str">
        <f t="shared" si="3"/>
        <v>33KV</v>
      </c>
      <c r="Z14" s="5" t="str">
        <f t="shared" si="4"/>
        <v>YES</v>
      </c>
      <c r="AA14" s="4">
        <f t="shared" si="5"/>
        <v>46125</v>
      </c>
      <c r="AC14" s="26">
        <v>46061</v>
      </c>
      <c r="AD14" s="25">
        <f ca="1">IFERROR(__xludf.DUMMYFUNCTION("IFERROR(SUM(FILTER($L$5:$L$1002,$C$5:$C$1002=$AD$5,$F$5:$F$1002=AC14))*24,0)"),24)</f>
        <v>24</v>
      </c>
      <c r="AE14" s="28">
        <v>0</v>
      </c>
      <c r="AF14" s="27" t="str">
        <f t="shared" ca="1" si="6"/>
        <v>✅✅✅✅✅</v>
      </c>
      <c r="AG14" s="25">
        <f ca="1">IFERROR(__xludf.DUMMYFUNCTION("IFERROR(SUM(FILTER($L$5:$L$1002,$C$5:$C$1002=$AG$5,$F$5:$F$1002=AC14))*24,0)"),24)</f>
        <v>24</v>
      </c>
      <c r="AH14" s="28">
        <v>0</v>
      </c>
      <c r="AI14" s="27" t="str">
        <f t="shared" ca="1" si="7"/>
        <v>✅✅✅✅✅</v>
      </c>
      <c r="AJ14" s="25">
        <f ca="1">IFERROR(__xludf.DUMMYFUNCTION("IFERROR(SUM(FILTER($L$5:$L$1002,$C$5:$C$1002=$AJ$5,$F$5:$F$1002=AC14))*24,0)"),24)</f>
        <v>24</v>
      </c>
      <c r="AK14" s="28">
        <v>0</v>
      </c>
      <c r="AL14" s="27" t="str">
        <f t="shared" ca="1" si="8"/>
        <v>✅✅✅✅✅</v>
      </c>
    </row>
    <row r="15" spans="1:39" ht="15.75" customHeight="1">
      <c r="A15" s="13">
        <f>IF(OR(ISBLANK(C15),ISBLANK(D15),ISBLANK(F15),ISBLANK(G15)),"",COUNTIF($B$5:B15,"JAMBUTU"))</f>
        <v>11</v>
      </c>
      <c r="B15" s="8" t="s">
        <v>78</v>
      </c>
      <c r="C15" s="8" t="s">
        <v>4</v>
      </c>
      <c r="D15" s="8" t="s">
        <v>6</v>
      </c>
      <c r="E15" s="13">
        <v>2.5</v>
      </c>
      <c r="F15" s="12">
        <v>46127</v>
      </c>
      <c r="G15" s="11">
        <v>0.70277777777664596</v>
      </c>
      <c r="H15" s="12">
        <v>46127</v>
      </c>
      <c r="I15" s="11">
        <v>0.75694444444525288</v>
      </c>
      <c r="J15" s="10">
        <f t="shared" si="0"/>
        <v>46127.702777777777</v>
      </c>
      <c r="K15" s="10">
        <f t="shared" si="1"/>
        <v>46127.756944444445</v>
      </c>
      <c r="L15" s="9">
        <f t="shared" si="2"/>
        <v>5.4166666668606922E-2</v>
      </c>
      <c r="M15" s="8" t="s">
        <v>2</v>
      </c>
      <c r="N15" s="8" t="s">
        <v>1</v>
      </c>
      <c r="O15" s="8" t="s">
        <v>0</v>
      </c>
      <c r="P15" s="8"/>
      <c r="Q15" s="8"/>
      <c r="R15" s="8"/>
      <c r="S15" s="8"/>
      <c r="T15" s="8"/>
      <c r="U15" s="8"/>
      <c r="V15" s="7"/>
      <c r="W15" s="6" t="e">
        <f t="array" aca="1" ref="W15" ca="1">IF(NOT(ISBLANK(D15)),_xludf.XLOOKUP(D15,[2]CODE!$A$4:$A$100,[2]CODE!$D$4:$D$100),"")</f>
        <v>#NAME?</v>
      </c>
      <c r="X15" s="5" t="e">
        <f t="array" aca="1" ref="X15" ca="1">IF(NOT(AND(ISBLANK(D15),ISBLANK(C15))),_xludf.XLOOKUP(D15,[2]CODE!$A$4:$A$100,[2]CODE!$E$4:$E$100),"")</f>
        <v>#NAME?</v>
      </c>
      <c r="Y15" s="5" t="str">
        <f t="shared" si="3"/>
        <v>33KV</v>
      </c>
      <c r="Z15" s="5" t="str">
        <f t="shared" si="4"/>
        <v>YES</v>
      </c>
      <c r="AA15" s="4">
        <f t="shared" si="5"/>
        <v>46127</v>
      </c>
      <c r="AC15" s="26">
        <v>46062</v>
      </c>
      <c r="AD15" s="25">
        <f ca="1">IFERROR(__xludf.DUMMYFUNCTION("IFERROR(SUM(FILTER($L$5:$L$1002,$C$5:$C$1002=$AD$5,$F$5:$F$1002=AC15))*24,0)"),18.3166666666511)</f>
        <v>18.316666666651098</v>
      </c>
      <c r="AE15" s="28">
        <v>5.6833333333333336</v>
      </c>
      <c r="AF15" s="27" t="str">
        <f t="shared" ca="1" si="6"/>
        <v>✅✅✅✅✅</v>
      </c>
      <c r="AG15" s="25">
        <f ca="1">IFERROR(__xludf.DUMMYFUNCTION("IFERROR(SUM(FILTER($L$5:$L$1002,$C$5:$C$1002=$AG$5,$F$5:$F$1002=AC15))*24,0)"),20.4999999999417)</f>
        <v>20.4999999999417</v>
      </c>
      <c r="AH15" s="28">
        <v>3.5</v>
      </c>
      <c r="AI15" s="27" t="str">
        <f t="shared" ca="1" si="7"/>
        <v>✅✅✅✅✅</v>
      </c>
      <c r="AJ15" s="25">
        <f ca="1">IFERROR(__xludf.DUMMYFUNCTION("IFERROR(SUM(FILTER($L$5:$L$1002,$C$5:$C$1002=$AJ$5,$F$5:$F$1002=AC15))*24,0)"),21.2333333333954)</f>
        <v>21.2333333333954</v>
      </c>
      <c r="AK15" s="28">
        <v>2.7666666666666666</v>
      </c>
      <c r="AL15" s="27" t="str">
        <f t="shared" ca="1" si="8"/>
        <v>✅✅✅✅✅</v>
      </c>
    </row>
    <row r="16" spans="1:39" ht="15.75" customHeight="1">
      <c r="A16" s="13">
        <f>IF(OR(ISBLANK(C16),ISBLANK(D16),ISBLANK(F16),ISBLANK(G16)),"",COUNTIF($B$5:B16,"JAMBUTU"))</f>
        <v>12</v>
      </c>
      <c r="B16" s="8" t="s">
        <v>78</v>
      </c>
      <c r="C16" s="8" t="s">
        <v>4</v>
      </c>
      <c r="D16" s="8" t="s">
        <v>6</v>
      </c>
      <c r="E16" s="13">
        <v>3.85</v>
      </c>
      <c r="F16" s="12">
        <v>46130</v>
      </c>
      <c r="G16" s="11">
        <v>0.51527777777664596</v>
      </c>
      <c r="H16" s="12">
        <v>46130</v>
      </c>
      <c r="I16" s="11">
        <v>0.51736111110949423</v>
      </c>
      <c r="J16" s="10">
        <f t="shared" si="0"/>
        <v>46130.515277777777</v>
      </c>
      <c r="K16" s="10">
        <f t="shared" si="1"/>
        <v>46130.517361111109</v>
      </c>
      <c r="L16" s="9">
        <f t="shared" si="2"/>
        <v>2.0833333328482695E-3</v>
      </c>
      <c r="M16" s="8" t="s">
        <v>73</v>
      </c>
      <c r="N16" s="8" t="s">
        <v>1</v>
      </c>
      <c r="O16" s="8" t="s">
        <v>0</v>
      </c>
      <c r="P16" s="8"/>
      <c r="Q16" s="8"/>
      <c r="R16" s="8"/>
      <c r="S16" s="8"/>
      <c r="T16" s="8"/>
      <c r="U16" s="8"/>
      <c r="V16" s="7"/>
      <c r="W16" s="6" t="e">
        <f t="array" aca="1" ref="W16" ca="1">IF(NOT(ISBLANK(D16)),_xludf.XLOOKUP(D16,[2]CODE!$A$4:$A$100,[2]CODE!$D$4:$D$100),"")</f>
        <v>#NAME?</v>
      </c>
      <c r="X16" s="5" t="e">
        <f t="array" aca="1" ref="X16" ca="1">IF(NOT(AND(ISBLANK(D16),ISBLANK(C16))),_xludf.XLOOKUP(D16,[2]CODE!$A$4:$A$100,[2]CODE!$E$4:$E$100),"")</f>
        <v>#NAME?</v>
      </c>
      <c r="Y16" s="5" t="str">
        <f t="shared" si="3"/>
        <v>33KV</v>
      </c>
      <c r="Z16" s="5" t="str">
        <f t="shared" si="4"/>
        <v>YES</v>
      </c>
      <c r="AA16" s="4">
        <f t="shared" si="5"/>
        <v>46130</v>
      </c>
      <c r="AC16" s="26">
        <v>46063</v>
      </c>
      <c r="AD16" s="25">
        <f ca="1">IFERROR(__xludf.DUMMYFUNCTION("IFERROR(SUM(FILTER($L$5:$L$1002,$C$5:$C$1002=$AD$5,$F$5:$F$1002=AC16))*24,0)"),0.199999999953433)</f>
        <v>0.19999999995343301</v>
      </c>
      <c r="AE16" s="28">
        <v>23.8</v>
      </c>
      <c r="AF16" s="27" t="str">
        <f t="shared" ca="1" si="6"/>
        <v>✅✅✅✅✅</v>
      </c>
      <c r="AG16" s="25">
        <f ca="1">IFERROR(__xludf.DUMMYFUNCTION("IFERROR(SUM(FILTER($L$5:$L$1002,$C$5:$C$1002=$AG$5,$F$5:$F$1002=AC16))*24,0)"),18.4833333331625)</f>
        <v>18.483333333162498</v>
      </c>
      <c r="AH16" s="28">
        <v>5.5166666666666666</v>
      </c>
      <c r="AI16" s="27" t="str">
        <f t="shared" ca="1" si="7"/>
        <v>✅✅✅✅✅</v>
      </c>
      <c r="AJ16" s="25">
        <f ca="1">IFERROR(__xludf.DUMMYFUNCTION("IFERROR(SUM(FILTER($L$5:$L$1002,$C$5:$C$1002=$AJ$5,$F$5:$F$1002=AC16))*24,0)"),19.9833333333372)</f>
        <v>19.9833333333372</v>
      </c>
      <c r="AK16" s="28">
        <v>4.0166666666666666</v>
      </c>
      <c r="AL16" s="27" t="str">
        <f t="shared" ca="1" si="8"/>
        <v>✅✅✅✅✅</v>
      </c>
    </row>
    <row r="17" spans="1:38" ht="15.5">
      <c r="A17" s="13">
        <f>IF(OR(ISBLANK(C17),ISBLANK(D17),ISBLANK(F17),ISBLANK(G17)),"",COUNTIF($B$5:B17,"JAMBUTU"))</f>
        <v>13</v>
      </c>
      <c r="B17" s="8" t="s">
        <v>78</v>
      </c>
      <c r="C17" s="8" t="s">
        <v>4</v>
      </c>
      <c r="D17" s="8" t="s">
        <v>6</v>
      </c>
      <c r="E17" s="13">
        <v>3.85</v>
      </c>
      <c r="F17" s="12">
        <v>46130</v>
      </c>
      <c r="G17" s="11">
        <v>0.51736111110949423</v>
      </c>
      <c r="H17" s="12">
        <v>46130</v>
      </c>
      <c r="I17" s="11">
        <v>0.53472222222262644</v>
      </c>
      <c r="J17" s="10">
        <f t="shared" si="0"/>
        <v>46130.517361111109</v>
      </c>
      <c r="K17" s="10">
        <f t="shared" si="1"/>
        <v>46130.534722222219</v>
      </c>
      <c r="L17" s="9">
        <f t="shared" si="2"/>
        <v>1.7361111109494232E-2</v>
      </c>
      <c r="M17" s="8" t="s">
        <v>73</v>
      </c>
      <c r="N17" s="8" t="s">
        <v>1</v>
      </c>
      <c r="O17" s="8" t="s">
        <v>0</v>
      </c>
      <c r="P17" s="8"/>
      <c r="Q17" s="8"/>
      <c r="R17" s="8"/>
      <c r="S17" s="8"/>
      <c r="T17" s="8"/>
      <c r="U17" s="8"/>
      <c r="V17" s="7"/>
      <c r="W17" s="6" t="e">
        <f t="array" aca="1" ref="W17" ca="1">IF(NOT(ISBLANK(D17)),_xludf.XLOOKUP(D17,[2]CODE!$A$4:$A$100,[2]CODE!$D$4:$D$100),"")</f>
        <v>#NAME?</v>
      </c>
      <c r="X17" s="5" t="e">
        <f t="array" aca="1" ref="X17" ca="1">IF(NOT(AND(ISBLANK(D17),ISBLANK(C17))),_xludf.XLOOKUP(D17,[2]CODE!$A$4:$A$100,[2]CODE!$E$4:$E$100),"")</f>
        <v>#NAME?</v>
      </c>
      <c r="Y17" s="5" t="str">
        <f t="shared" si="3"/>
        <v>33KV</v>
      </c>
      <c r="Z17" s="5" t="str">
        <f t="shared" si="4"/>
        <v>YES</v>
      </c>
      <c r="AA17" s="4">
        <f t="shared" si="5"/>
        <v>46130</v>
      </c>
      <c r="AC17" s="26">
        <v>46064</v>
      </c>
      <c r="AD17" s="25">
        <f ca="1">IFERROR(__xludf.DUMMYFUNCTION("IFERROR(SUM(FILTER($L$5:$L$1002,$C$5:$C$1002=$AD$5,$F$5:$F$1002=AC17))*24,0)"),1.00000000011641)</f>
        <v>1.00000000011641</v>
      </c>
      <c r="AE17" s="28">
        <v>23</v>
      </c>
      <c r="AF17" s="27" t="str">
        <f t="shared" ca="1" si="6"/>
        <v>✅✅✅✅✅</v>
      </c>
      <c r="AG17" s="25">
        <f ca="1">IFERROR(__xludf.DUMMYFUNCTION("IFERROR(SUM(FILTER($L$5:$L$1002,$C$5:$C$1002=$AG$5,$F$5:$F$1002=AC17))*24,0)"),23.433333333407)</f>
        <v>23.433333333406999</v>
      </c>
      <c r="AH17" s="28">
        <v>0.56666666666666665</v>
      </c>
      <c r="AI17" s="27" t="str">
        <f t="shared" ca="1" si="7"/>
        <v>✅✅✅✅✅</v>
      </c>
      <c r="AJ17" s="25">
        <f ca="1">IFERROR(__xludf.DUMMYFUNCTION("IFERROR(SUM(FILTER($L$5:$L$1002,$C$5:$C$1002=$AJ$5,$F$5:$F$1002=AC17))*24,0)"),24)</f>
        <v>24</v>
      </c>
      <c r="AK17" s="28">
        <v>0</v>
      </c>
      <c r="AL17" s="27" t="str">
        <f t="shared" ca="1" si="8"/>
        <v>✅✅✅✅✅</v>
      </c>
    </row>
    <row r="18" spans="1:38" ht="15.5">
      <c r="A18" s="13">
        <f>IF(OR(ISBLANK(C18),ISBLANK(D18),ISBLANK(F18),ISBLANK(G18)),"",COUNTIF($B$5:B18,"JAMBUTU"))</f>
        <v>14</v>
      </c>
      <c r="B18" s="8" t="s">
        <v>78</v>
      </c>
      <c r="C18" s="8" t="s">
        <v>4</v>
      </c>
      <c r="D18" s="8" t="s">
        <v>55</v>
      </c>
      <c r="E18" s="13">
        <v>3.7</v>
      </c>
      <c r="F18" s="12">
        <v>46131</v>
      </c>
      <c r="G18" s="11">
        <v>0.57638888889050577</v>
      </c>
      <c r="H18" s="12">
        <v>46131</v>
      </c>
      <c r="I18" s="11">
        <v>0.63194444444525288</v>
      </c>
      <c r="J18" s="10">
        <f t="shared" si="0"/>
        <v>46131.576388888891</v>
      </c>
      <c r="K18" s="10">
        <f t="shared" si="1"/>
        <v>46131.631944444445</v>
      </c>
      <c r="L18" s="9">
        <f t="shared" si="2"/>
        <v>5.5555555554747116E-2</v>
      </c>
      <c r="M18" s="8" t="s">
        <v>16</v>
      </c>
      <c r="N18" s="8" t="s">
        <v>1</v>
      </c>
      <c r="O18" s="8" t="s">
        <v>0</v>
      </c>
      <c r="P18" s="8"/>
      <c r="Q18" s="8"/>
      <c r="R18" s="8"/>
      <c r="S18" s="8"/>
      <c r="T18" s="8"/>
      <c r="U18" s="8"/>
      <c r="V18" s="7"/>
      <c r="W18" s="6" t="e">
        <f t="array" aca="1" ref="W18" ca="1">IF(NOT(ISBLANK(D18)),_xludf.XLOOKUP(D18,[2]CODE!$A$4:$A$100,[2]CODE!$D$4:$D$100),"")</f>
        <v>#NAME?</v>
      </c>
      <c r="X18" s="5" t="e">
        <f t="array" aca="1" ref="X18" ca="1">IF(NOT(AND(ISBLANK(D18),ISBLANK(C18))),_xludf.XLOOKUP(D18,[2]CODE!$A$4:$A$100,[2]CODE!$E$4:$E$100),"")</f>
        <v>#NAME?</v>
      </c>
      <c r="Y18" s="5" t="str">
        <f t="shared" si="3"/>
        <v>33KV</v>
      </c>
      <c r="Z18" s="5" t="str">
        <f t="shared" si="4"/>
        <v>YES</v>
      </c>
      <c r="AA18" s="4">
        <f t="shared" si="5"/>
        <v>46131</v>
      </c>
      <c r="AC18" s="26">
        <v>46065</v>
      </c>
      <c r="AD18" s="25">
        <f ca="1">IFERROR(__xludf.DUMMYFUNCTION("IFERROR(SUM(FILTER($L$5:$L$1002,$C$5:$C$1002=$AD$5,$F$5:$F$1002=AC18))*24,0)"),0.666666666569653)</f>
        <v>0.66666666656965301</v>
      </c>
      <c r="AE18" s="28">
        <v>23.333333333333332</v>
      </c>
      <c r="AF18" s="27" t="str">
        <f t="shared" ca="1" si="6"/>
        <v>✅✅✅✅✅</v>
      </c>
      <c r="AG18" s="25">
        <f ca="1">IFERROR(__xludf.DUMMYFUNCTION("IFERROR(SUM(FILTER($L$5:$L$1002,$C$5:$C$1002=$AG$5,$F$5:$F$1002=AC18))*24,0)"),20.233333333279)</f>
        <v>20.233333333278999</v>
      </c>
      <c r="AH18" s="28">
        <v>3.7666666666666666</v>
      </c>
      <c r="AI18" s="27" t="str">
        <f t="shared" ca="1" si="7"/>
        <v>✅✅✅✅✅</v>
      </c>
      <c r="AJ18" s="25">
        <f ca="1">IFERROR(__xludf.DUMMYFUNCTION("IFERROR(SUM(FILTER($L$5:$L$1002,$C$5:$C$1002=$AJ$5,$F$5:$F$1002=AC18))*24,0)"),20.0333333331509)</f>
        <v>20.0333333331509</v>
      </c>
      <c r="AK18" s="28">
        <v>3.9666666666666668</v>
      </c>
      <c r="AL18" s="27" t="str">
        <f t="shared" ca="1" si="8"/>
        <v>✅✅✅✅✅</v>
      </c>
    </row>
    <row r="19" spans="1:38" ht="15.5">
      <c r="A19" s="13">
        <f>IF(OR(ISBLANK(C19),ISBLANK(D19),ISBLANK(F19),ISBLANK(G19)),"",COUNTIF($B$5:B19,"JAMBUTU"))</f>
        <v>15</v>
      </c>
      <c r="B19" s="8" t="s">
        <v>78</v>
      </c>
      <c r="C19" s="8" t="s">
        <v>4</v>
      </c>
      <c r="D19" s="8" t="s">
        <v>55</v>
      </c>
      <c r="E19" s="13">
        <v>3.7</v>
      </c>
      <c r="F19" s="12">
        <v>46131</v>
      </c>
      <c r="G19" s="11">
        <v>0.64236111110949423</v>
      </c>
      <c r="H19" s="12">
        <v>46131</v>
      </c>
      <c r="I19" s="11">
        <v>0.64583333333212067</v>
      </c>
      <c r="J19" s="10">
        <f t="shared" si="0"/>
        <v>46131.642361111109</v>
      </c>
      <c r="K19" s="10">
        <f t="shared" si="1"/>
        <v>46131.645833333336</v>
      </c>
      <c r="L19" s="9">
        <f t="shared" si="2"/>
        <v>3.4722222262644209E-3</v>
      </c>
      <c r="M19" s="8" t="s">
        <v>16</v>
      </c>
      <c r="N19" s="8" t="s">
        <v>1</v>
      </c>
      <c r="O19" s="8" t="s">
        <v>0</v>
      </c>
      <c r="P19" s="8"/>
      <c r="Q19" s="8"/>
      <c r="R19" s="8"/>
      <c r="S19" s="8"/>
      <c r="T19" s="8"/>
      <c r="U19" s="8"/>
      <c r="V19" s="7"/>
      <c r="W19" s="6" t="e">
        <f t="array" aca="1" ref="W19" ca="1">IF(NOT(ISBLANK(D19)),_xludf.XLOOKUP(D19,[2]CODE!$A$4:$A$100,[2]CODE!$D$4:$D$100),"")</f>
        <v>#NAME?</v>
      </c>
      <c r="X19" s="5" t="e">
        <f t="array" aca="1" ref="X19" ca="1">IF(NOT(AND(ISBLANK(D19),ISBLANK(C19))),_xludf.XLOOKUP(D19,[2]CODE!$A$4:$A$100,[2]CODE!$E$4:$E$100),"")</f>
        <v>#NAME?</v>
      </c>
      <c r="Y19" s="5" t="str">
        <f t="shared" si="3"/>
        <v>33KV</v>
      </c>
      <c r="Z19" s="5" t="str">
        <f t="shared" si="4"/>
        <v>YES</v>
      </c>
      <c r="AA19" s="4">
        <f t="shared" si="5"/>
        <v>46131</v>
      </c>
      <c r="AC19" s="26">
        <v>46066</v>
      </c>
      <c r="AD19" s="25">
        <f ca="1">IFERROR(__xludf.DUMMYFUNCTION("IFERROR(SUM(FILTER($L$5:$L$1002,$C$5:$C$1002=$AD$5,$F$5:$F$1002=AC19))*24,0)"),0)</f>
        <v>0</v>
      </c>
      <c r="AE19" s="28">
        <v>24</v>
      </c>
      <c r="AF19" s="27" t="str">
        <f t="shared" ca="1" si="6"/>
        <v>✅✅✅✅✅</v>
      </c>
      <c r="AG19" s="25">
        <f ca="1">IFERROR(__xludf.DUMMYFUNCTION("IFERROR(SUM(FILTER($L$5:$L$1002,$C$5:$C$1002=$AG$5,$F$5:$F$1002=AC19))*24,0)"),19.633333333244)</f>
        <v>19.633333333244</v>
      </c>
      <c r="AH19" s="28">
        <v>4.3666666666666663</v>
      </c>
      <c r="AI19" s="27" t="str">
        <f t="shared" ca="1" si="7"/>
        <v>✅✅✅✅✅</v>
      </c>
      <c r="AJ19" s="25">
        <f ca="1">IFERROR(__xludf.DUMMYFUNCTION("IFERROR(SUM(FILTER($L$5:$L$1002,$C$5:$C$1002=$AJ$5,$F$5:$F$1002=AC19))*24,0)"),21.0166666665463)</f>
        <v>21.0166666665463</v>
      </c>
      <c r="AK19" s="28">
        <v>2.9833333333333334</v>
      </c>
      <c r="AL19" s="27" t="str">
        <f t="shared" ca="1" si="8"/>
        <v>✅✅✅✅✅</v>
      </c>
    </row>
    <row r="20" spans="1:38" ht="15.5">
      <c r="A20" s="13">
        <f>IF(OR(ISBLANK(C20),ISBLANK(D20),ISBLANK(F20),ISBLANK(G20)),"",COUNTIF($B$5:B20,"JAMBUTU"))</f>
        <v>16</v>
      </c>
      <c r="B20" s="8" t="s">
        <v>78</v>
      </c>
      <c r="C20" s="8" t="s">
        <v>4</v>
      </c>
      <c r="D20" s="8" t="s">
        <v>55</v>
      </c>
      <c r="E20" s="13">
        <v>3.7</v>
      </c>
      <c r="F20" s="12">
        <v>46131</v>
      </c>
      <c r="G20" s="11">
        <v>0.65972222222262644</v>
      </c>
      <c r="H20" s="12">
        <v>46131</v>
      </c>
      <c r="I20" s="11">
        <v>0.66319444444525288</v>
      </c>
      <c r="J20" s="10">
        <f t="shared" si="0"/>
        <v>46131.659722222219</v>
      </c>
      <c r="K20" s="10">
        <f t="shared" si="1"/>
        <v>46131.663194444445</v>
      </c>
      <c r="L20" s="9">
        <f t="shared" si="2"/>
        <v>3.4722222262644209E-3</v>
      </c>
      <c r="M20" s="8" t="s">
        <v>16</v>
      </c>
      <c r="N20" s="8" t="s">
        <v>1</v>
      </c>
      <c r="O20" s="8" t="s">
        <v>0</v>
      </c>
      <c r="P20" s="8"/>
      <c r="Q20" s="8"/>
      <c r="R20" s="8"/>
      <c r="S20" s="8"/>
      <c r="T20" s="8"/>
      <c r="U20" s="8"/>
      <c r="V20" s="7"/>
      <c r="W20" s="6" t="e">
        <f t="array" aca="1" ref="W20" ca="1">IF(NOT(ISBLANK(D20)),_xludf.XLOOKUP(D20,[2]CODE!$A$4:$A$100,[2]CODE!$D$4:$D$100),"")</f>
        <v>#NAME?</v>
      </c>
      <c r="X20" s="5" t="e">
        <f t="array" aca="1" ref="X20" ca="1">IF(NOT(AND(ISBLANK(D20),ISBLANK(C20))),_xludf.XLOOKUP(D20,[2]CODE!$A$4:$A$100,[2]CODE!$E$4:$E$100),"")</f>
        <v>#NAME?</v>
      </c>
      <c r="Y20" s="5" t="str">
        <f t="shared" si="3"/>
        <v>33KV</v>
      </c>
      <c r="Z20" s="5" t="str">
        <f t="shared" si="4"/>
        <v>YES</v>
      </c>
      <c r="AA20" s="4">
        <f t="shared" si="5"/>
        <v>46131</v>
      </c>
      <c r="AC20" s="26">
        <v>46067</v>
      </c>
      <c r="AD20" s="25">
        <f ca="1">IFERROR(__xludf.DUMMYFUNCTION("IFERROR(SUM(FILTER($L$5:$L$1002,$C$5:$C$1002=$AD$5,$F$5:$F$1002=AC20))*24,0)"),0)</f>
        <v>0</v>
      </c>
      <c r="AE20" s="28">
        <v>24</v>
      </c>
      <c r="AF20" s="27" t="str">
        <f t="shared" ca="1" si="6"/>
        <v>✅✅✅✅✅</v>
      </c>
      <c r="AG20" s="25">
        <f ca="1">IFERROR(__xludf.DUMMYFUNCTION("IFERROR(SUM(FILTER($L$5:$L$1002,$C$5:$C$1002=$AG$5,$F$5:$F$1002=AC20))*24,0)"),20.0000000000582)</f>
        <v>20.000000000058201</v>
      </c>
      <c r="AH20" s="28">
        <v>4</v>
      </c>
      <c r="AI20" s="27" t="str">
        <f t="shared" ca="1" si="7"/>
        <v>✅✅✅✅✅</v>
      </c>
      <c r="AJ20" s="25">
        <f ca="1">IFERROR(__xludf.DUMMYFUNCTION("IFERROR(SUM(FILTER($L$5:$L$1002,$C$5:$C$1002=$AJ$5,$F$5:$F$1002=AC20))*24,0)"),17.0000000000582)</f>
        <v>17.000000000058201</v>
      </c>
      <c r="AK20" s="28">
        <v>7</v>
      </c>
      <c r="AL20" s="27" t="str">
        <f t="shared" ca="1" si="8"/>
        <v>✅✅✅✅✅</v>
      </c>
    </row>
    <row r="21" spans="1:38" ht="15.5">
      <c r="A21" s="13">
        <f>IF(OR(ISBLANK(C21),ISBLANK(D21),ISBLANK(F21),ISBLANK(G21)),"",COUNTIF($B$5:B21,"JAMBUTU"))</f>
        <v>17</v>
      </c>
      <c r="B21" s="8" t="s">
        <v>78</v>
      </c>
      <c r="C21" s="8" t="s">
        <v>4</v>
      </c>
      <c r="D21" s="8" t="s">
        <v>55</v>
      </c>
      <c r="E21" s="13">
        <v>3.7</v>
      </c>
      <c r="F21" s="12">
        <v>46131</v>
      </c>
      <c r="G21" s="11">
        <v>0.66736111111094942</v>
      </c>
      <c r="H21" s="12">
        <v>46132</v>
      </c>
      <c r="I21" s="11">
        <v>0</v>
      </c>
      <c r="J21" s="10">
        <f t="shared" si="0"/>
        <v>46131.667361111111</v>
      </c>
      <c r="K21" s="10">
        <f t="shared" si="1"/>
        <v>46132</v>
      </c>
      <c r="L21" s="9">
        <f t="shared" si="2"/>
        <v>0.33263888888905058</v>
      </c>
      <c r="M21" s="8" t="s">
        <v>16</v>
      </c>
      <c r="N21" s="8" t="s">
        <v>1</v>
      </c>
      <c r="O21" s="8" t="s">
        <v>0</v>
      </c>
      <c r="P21" s="8"/>
      <c r="Q21" s="8"/>
      <c r="R21" s="8"/>
      <c r="S21" s="8"/>
      <c r="T21" s="8"/>
      <c r="U21" s="8"/>
      <c r="V21" s="7"/>
      <c r="W21" s="6" t="e">
        <f t="array" aca="1" ref="W21" ca="1">IF(NOT(ISBLANK(D21)),_xludf.XLOOKUP(D21,[2]CODE!$A$4:$A$100,[2]CODE!$D$4:$D$100),"")</f>
        <v>#NAME?</v>
      </c>
      <c r="X21" s="5" t="e">
        <f t="array" aca="1" ref="X21" ca="1">IF(NOT(AND(ISBLANK(D21),ISBLANK(C21))),_xludf.XLOOKUP(D21,[2]CODE!$A$4:$A$100,[2]CODE!$E$4:$E$100),"")</f>
        <v>#NAME?</v>
      </c>
      <c r="Y21" s="5" t="str">
        <f t="shared" si="3"/>
        <v>33KV</v>
      </c>
      <c r="Z21" s="5" t="str">
        <f t="shared" si="4"/>
        <v>YES</v>
      </c>
      <c r="AA21" s="4">
        <f t="shared" si="5"/>
        <v>46132</v>
      </c>
      <c r="AC21" s="26">
        <v>46068</v>
      </c>
      <c r="AD21" s="25">
        <f ca="1">IFERROR(__xludf.DUMMYFUNCTION("IFERROR(SUM(FILTER($L$5:$L$1002,$C$5:$C$1002=$AD$5,$F$5:$F$1002=AC21))*24,0)"),0.616666666755918)</f>
        <v>0.61666666675591797</v>
      </c>
      <c r="AE21" s="28">
        <v>23.383333333333333</v>
      </c>
      <c r="AF21" s="27" t="str">
        <f t="shared" ca="1" si="6"/>
        <v>✅✅✅✅✅</v>
      </c>
      <c r="AG21" s="25">
        <f ca="1">IFERROR(__xludf.DUMMYFUNCTION("IFERROR(SUM(FILTER($L$5:$L$1002,$C$5:$C$1002=$AG$5,$F$5:$F$1002=AC21))*24,0)"),20.0000000000582)</f>
        <v>20.000000000058201</v>
      </c>
      <c r="AH21" s="28">
        <v>4</v>
      </c>
      <c r="AI21" s="27" t="str">
        <f t="shared" ca="1" si="7"/>
        <v>✅✅✅✅✅</v>
      </c>
      <c r="AJ21" s="25">
        <f ca="1">IFERROR(__xludf.DUMMYFUNCTION("IFERROR(SUM(FILTER($L$5:$L$1002,$C$5:$C$1002=$AJ$5,$F$5:$F$1002=AC21))*24,0)"),21)</f>
        <v>21</v>
      </c>
      <c r="AK21" s="28">
        <v>3</v>
      </c>
      <c r="AL21" s="27" t="str">
        <f t="shared" ca="1" si="8"/>
        <v>✅✅✅✅✅</v>
      </c>
    </row>
    <row r="22" spans="1:38" ht="15.5">
      <c r="A22" s="13">
        <f>IF(OR(ISBLANK(C22),ISBLANK(D22),ISBLANK(F22),ISBLANK(G22)),"",COUNTIF($B$5:B22,"JAMBUTU"))</f>
        <v>18</v>
      </c>
      <c r="B22" s="8" t="s">
        <v>78</v>
      </c>
      <c r="C22" s="8" t="s">
        <v>4</v>
      </c>
      <c r="D22" s="8" t="s">
        <v>55</v>
      </c>
      <c r="E22" s="13">
        <v>3.7</v>
      </c>
      <c r="F22" s="12">
        <v>46132</v>
      </c>
      <c r="G22" s="11">
        <v>0</v>
      </c>
      <c r="H22" s="12">
        <v>46132</v>
      </c>
      <c r="I22" s="11">
        <v>0.46527777777737356</v>
      </c>
      <c r="J22" s="10">
        <f t="shared" si="0"/>
        <v>46132</v>
      </c>
      <c r="K22" s="10">
        <f t="shared" si="1"/>
        <v>46132.465277777781</v>
      </c>
      <c r="L22" s="9">
        <f t="shared" si="2"/>
        <v>0.46527777778101154</v>
      </c>
      <c r="M22" s="8" t="s">
        <v>2</v>
      </c>
      <c r="N22" s="8" t="s">
        <v>1</v>
      </c>
      <c r="O22" s="8" t="s">
        <v>0</v>
      </c>
      <c r="P22" s="8"/>
      <c r="Q22" s="8"/>
      <c r="R22" s="8"/>
      <c r="S22" s="8"/>
      <c r="T22" s="8"/>
      <c r="U22" s="8"/>
      <c r="V22" s="7"/>
      <c r="W22" s="6" t="e">
        <f t="array" aca="1" ref="W22" ca="1">IF(NOT(ISBLANK(D22)),_xludf.XLOOKUP(D22,[2]CODE!$A$4:$A$100,[2]CODE!$D$4:$D$100),"")</f>
        <v>#NAME?</v>
      </c>
      <c r="X22" s="5" t="e">
        <f t="array" aca="1" ref="X22" ca="1">IF(NOT(AND(ISBLANK(D22),ISBLANK(C22))),_xludf.XLOOKUP(D22,[2]CODE!$A$4:$A$100,[2]CODE!$E$4:$E$100),"")</f>
        <v>#NAME?</v>
      </c>
      <c r="Y22" s="5" t="str">
        <f t="shared" si="3"/>
        <v>33KV</v>
      </c>
      <c r="Z22" s="5" t="str">
        <f t="shared" si="4"/>
        <v>YES</v>
      </c>
      <c r="AA22" s="4">
        <f t="shared" si="5"/>
        <v>46132</v>
      </c>
      <c r="AC22" s="26">
        <v>46069</v>
      </c>
      <c r="AD22" s="25">
        <f ca="1">IFERROR(__xludf.DUMMYFUNCTION("IFERROR(SUM(FILTER($L$5:$L$1002,$C$5:$C$1002=$AD$5,$F$5:$F$1002=AC22))*24,0)"),0.0833333332557231)</f>
        <v>8.3333333255723105E-2</v>
      </c>
      <c r="AE22" s="28">
        <v>23.916666666666668</v>
      </c>
      <c r="AF22" s="27" t="str">
        <f t="shared" ca="1" si="6"/>
        <v>✅✅✅✅✅</v>
      </c>
      <c r="AG22" s="25">
        <f ca="1">IFERROR(__xludf.DUMMYFUNCTION("IFERROR(SUM(FILTER($L$5:$L$1002,$C$5:$C$1002=$AG$5,$F$5:$F$1002=AC22))*24,0)"),21.0000000001746)</f>
        <v>21.000000000174602</v>
      </c>
      <c r="AH22" s="28">
        <v>3</v>
      </c>
      <c r="AI22" s="27" t="str">
        <f t="shared" ca="1" si="7"/>
        <v>✅✅✅✅✅</v>
      </c>
      <c r="AJ22" s="25">
        <f ca="1">IFERROR(__xludf.DUMMYFUNCTION("IFERROR(SUM(FILTER($L$5:$L$1002,$C$5:$C$1002=$AJ$5,$F$5:$F$1002=AC22))*24,0)"),21.0000000001746)</f>
        <v>21.000000000174602</v>
      </c>
      <c r="AK22" s="28">
        <v>3</v>
      </c>
      <c r="AL22" s="27" t="str">
        <f t="shared" ca="1" si="8"/>
        <v>✅✅✅✅✅</v>
      </c>
    </row>
    <row r="23" spans="1:38" ht="15.5">
      <c r="A23" s="13">
        <f>IF(OR(ISBLANK(C23),ISBLANK(D23),ISBLANK(F23),ISBLANK(G23)),"",COUNTIF($B$5:B23,"JAMBUTU"))</f>
        <v>19</v>
      </c>
      <c r="B23" s="8" t="s">
        <v>78</v>
      </c>
      <c r="C23" s="8" t="s">
        <v>4</v>
      </c>
      <c r="D23" s="8" t="s">
        <v>55</v>
      </c>
      <c r="E23" s="13">
        <v>3.5</v>
      </c>
      <c r="F23" s="12">
        <v>46132</v>
      </c>
      <c r="G23" s="11">
        <v>0.52847222222044365</v>
      </c>
      <c r="H23" s="12">
        <v>46132</v>
      </c>
      <c r="I23" s="11">
        <v>0.5319444444430701</v>
      </c>
      <c r="J23" s="10">
        <f t="shared" si="0"/>
        <v>46132.52847222222</v>
      </c>
      <c r="K23" s="10">
        <f t="shared" si="1"/>
        <v>46132.531944444447</v>
      </c>
      <c r="L23" s="9">
        <f t="shared" si="2"/>
        <v>3.4722222262644209E-3</v>
      </c>
      <c r="M23" s="8" t="s">
        <v>16</v>
      </c>
      <c r="N23" s="8" t="s">
        <v>1</v>
      </c>
      <c r="O23" s="8" t="s">
        <v>0</v>
      </c>
      <c r="P23" s="8"/>
      <c r="Q23" s="8"/>
      <c r="R23" s="8"/>
      <c r="S23" s="8"/>
      <c r="T23" s="8"/>
      <c r="U23" s="8"/>
      <c r="V23" s="7"/>
      <c r="W23" s="6" t="e">
        <f t="array" aca="1" ref="W23" ca="1">IF(NOT(ISBLANK(D23)),_xludf.XLOOKUP(D23,[2]CODE!$A$4:$A$100,[2]CODE!$D$4:$D$100),"")</f>
        <v>#NAME?</v>
      </c>
      <c r="X23" s="5" t="e">
        <f t="array" aca="1" ref="X23" ca="1">IF(NOT(AND(ISBLANK(D23),ISBLANK(C23))),_xludf.XLOOKUP(D23,[2]CODE!$A$4:$A$100,[2]CODE!$E$4:$E$100),"")</f>
        <v>#NAME?</v>
      </c>
      <c r="Y23" s="5" t="str">
        <f t="shared" si="3"/>
        <v>33KV</v>
      </c>
      <c r="Z23" s="5" t="str">
        <f t="shared" si="4"/>
        <v>YES</v>
      </c>
      <c r="AA23" s="4">
        <f t="shared" si="5"/>
        <v>46132</v>
      </c>
      <c r="AC23" s="26">
        <v>46070</v>
      </c>
      <c r="AD23" s="25">
        <f ca="1">IFERROR(__xludf.DUMMYFUNCTION("IFERROR(SUM(FILTER($L$5:$L$1002,$C$5:$C$1002=$AD$5,$F$5:$F$1002=AC23))*24,0)"),1.11666666646488)</f>
        <v>1.1166666664648801</v>
      </c>
      <c r="AE23" s="28">
        <v>22.883333333333333</v>
      </c>
      <c r="AF23" s="27" t="str">
        <f t="shared" ca="1" si="6"/>
        <v>✅✅✅✅✅</v>
      </c>
      <c r="AG23" s="25">
        <f ca="1">IFERROR(__xludf.DUMMYFUNCTION("IFERROR(SUM(FILTER($L$5:$L$1002,$C$5:$C$1002=$AG$5,$F$5:$F$1002=AC23))*24,0)"),19.3333333333139)</f>
        <v>19.333333333313899</v>
      </c>
      <c r="AH23" s="28">
        <v>4.666666666666667</v>
      </c>
      <c r="AI23" s="27" t="str">
        <f t="shared" ca="1" si="7"/>
        <v>✅✅✅✅✅</v>
      </c>
      <c r="AJ23" s="25">
        <f ca="1">IFERROR(__xludf.DUMMYFUNCTION("IFERROR(SUM(FILTER($L$5:$L$1002,$C$5:$C$1002=$AJ$5,$F$5:$F$1002=AC23))*24,0)"),20.8333333333139)</f>
        <v>20.833333333313899</v>
      </c>
      <c r="AK23" s="28">
        <v>3.1666666666666665</v>
      </c>
      <c r="AL23" s="27" t="str">
        <f t="shared" ca="1" si="8"/>
        <v>✅✅✅✅✅</v>
      </c>
    </row>
    <row r="24" spans="1:38" ht="15.5">
      <c r="A24" s="13">
        <f>IF(OR(ISBLANK(C24),ISBLANK(D24),ISBLANK(F24),ISBLANK(G24)),"",COUNTIF($B$5:B24,"JAMBUTU"))</f>
        <v>20</v>
      </c>
      <c r="B24" s="8" t="s">
        <v>78</v>
      </c>
      <c r="C24" s="8" t="s">
        <v>4</v>
      </c>
      <c r="D24" s="8" t="s">
        <v>55</v>
      </c>
      <c r="E24" s="13">
        <v>3.5</v>
      </c>
      <c r="F24" s="12">
        <v>46132</v>
      </c>
      <c r="G24" s="11">
        <v>0.55069444444598048</v>
      </c>
      <c r="H24" s="12">
        <v>46132</v>
      </c>
      <c r="I24" s="11">
        <v>0.63888888889050577</v>
      </c>
      <c r="J24" s="10">
        <f t="shared" si="0"/>
        <v>46132.550694444442</v>
      </c>
      <c r="K24" s="10">
        <f t="shared" si="1"/>
        <v>46132.638888888891</v>
      </c>
      <c r="L24" s="9">
        <f t="shared" si="2"/>
        <v>8.8194444448163267E-2</v>
      </c>
      <c r="M24" s="8" t="s">
        <v>16</v>
      </c>
      <c r="N24" s="8" t="s">
        <v>1</v>
      </c>
      <c r="O24" s="8" t="s">
        <v>0</v>
      </c>
      <c r="P24" s="8"/>
      <c r="Q24" s="8"/>
      <c r="R24" s="8"/>
      <c r="S24" s="8"/>
      <c r="T24" s="8"/>
      <c r="U24" s="8"/>
      <c r="V24" s="7"/>
      <c r="W24" s="6" t="e">
        <f t="array" aca="1" ref="W24" ca="1">IF(NOT(ISBLANK(D24)),_xludf.XLOOKUP(D24,[2]CODE!$A$4:$A$100,[2]CODE!$D$4:$D$100),"")</f>
        <v>#NAME?</v>
      </c>
      <c r="X24" s="5" t="e">
        <f t="array" aca="1" ref="X24" ca="1">IF(NOT(AND(ISBLANK(D24),ISBLANK(C24))),_xludf.XLOOKUP(D24,[2]CODE!$A$4:$A$100,[2]CODE!$E$4:$E$100),"")</f>
        <v>#NAME?</v>
      </c>
      <c r="Y24" s="5" t="str">
        <f t="shared" si="3"/>
        <v>33KV</v>
      </c>
      <c r="Z24" s="5" t="str">
        <f t="shared" si="4"/>
        <v>YES</v>
      </c>
      <c r="AA24" s="4">
        <f t="shared" si="5"/>
        <v>46132</v>
      </c>
      <c r="AC24" s="26">
        <v>46071</v>
      </c>
      <c r="AD24" s="25">
        <f ca="1">IFERROR(__xludf.DUMMYFUNCTION("IFERROR(SUM(FILTER($L$5:$L$1002,$C$5:$C$1002=$AD$5,$F$5:$F$1002=AC24))*24,0)"),0)</f>
        <v>0</v>
      </c>
      <c r="AE24" s="28">
        <v>24</v>
      </c>
      <c r="AF24" s="27" t="str">
        <f t="shared" ca="1" si="6"/>
        <v>✅✅✅✅✅</v>
      </c>
      <c r="AG24" s="25">
        <f ca="1">IFERROR(__xludf.DUMMYFUNCTION("IFERROR(SUM(FILTER($L$5:$L$1002,$C$5:$C$1002=$AG$5,$F$5:$F$1002=AC24))*24,0)"),19.9999999998835)</f>
        <v>19.999999999883499</v>
      </c>
      <c r="AH24" s="28">
        <v>4</v>
      </c>
      <c r="AI24" s="27" t="str">
        <f t="shared" ca="1" si="7"/>
        <v>✅✅✅✅✅</v>
      </c>
      <c r="AJ24" s="25">
        <f ca="1">IFERROR(__xludf.DUMMYFUNCTION("IFERROR(SUM(FILTER($L$5:$L$1002,$C$5:$C$1002=$AJ$5,$F$5:$F$1002=AC24))*24,0)"),21.0000000001746)</f>
        <v>21.000000000174602</v>
      </c>
      <c r="AK24" s="28">
        <v>3</v>
      </c>
      <c r="AL24" s="27" t="str">
        <f t="shared" ca="1" si="8"/>
        <v>✅✅✅✅✅</v>
      </c>
    </row>
    <row r="25" spans="1:38" ht="15.5">
      <c r="A25" s="13">
        <f>IF(OR(ISBLANK(C25),ISBLANK(D25),ISBLANK(F25),ISBLANK(G25)),"",COUNTIF($B$5:B25,"JAMBUTU"))</f>
        <v>21</v>
      </c>
      <c r="B25" s="8" t="s">
        <v>78</v>
      </c>
      <c r="C25" s="8" t="s">
        <v>4</v>
      </c>
      <c r="D25" s="8" t="s">
        <v>6</v>
      </c>
      <c r="E25" s="13">
        <v>3.4</v>
      </c>
      <c r="F25" s="12">
        <v>46136</v>
      </c>
      <c r="G25" s="11">
        <v>0.35763888889050577</v>
      </c>
      <c r="H25" s="12">
        <v>46136</v>
      </c>
      <c r="I25" s="11">
        <v>0.36597222222189885</v>
      </c>
      <c r="J25" s="10">
        <f t="shared" si="0"/>
        <v>46136.357638888891</v>
      </c>
      <c r="K25" s="10">
        <f t="shared" si="1"/>
        <v>46136.365972222222</v>
      </c>
      <c r="L25" s="9">
        <f t="shared" si="2"/>
        <v>8.333333331393078E-3</v>
      </c>
      <c r="M25" s="8" t="s">
        <v>73</v>
      </c>
      <c r="N25" s="8" t="s">
        <v>1</v>
      </c>
      <c r="O25" s="8" t="s">
        <v>0</v>
      </c>
      <c r="P25" s="8"/>
      <c r="Q25" s="8"/>
      <c r="R25" s="8"/>
      <c r="S25" s="8"/>
      <c r="T25" s="8"/>
      <c r="U25" s="8"/>
      <c r="V25" s="7"/>
      <c r="W25" s="6" t="e">
        <f t="array" aca="1" ref="W25" ca="1">IF(NOT(ISBLANK(D25)),_xludf.XLOOKUP(D25,[2]CODE!$A$4:$A$100,[2]CODE!$D$4:$D$100),"")</f>
        <v>#NAME?</v>
      </c>
      <c r="X25" s="5" t="e">
        <f t="array" aca="1" ref="X25" ca="1">IF(NOT(AND(ISBLANK(D25),ISBLANK(C25))),_xludf.XLOOKUP(D25,[2]CODE!$A$4:$A$100,[2]CODE!$E$4:$E$100),"")</f>
        <v>#NAME?</v>
      </c>
      <c r="Y25" s="5" t="str">
        <f t="shared" si="3"/>
        <v>33KV</v>
      </c>
      <c r="Z25" s="5" t="str">
        <f t="shared" si="4"/>
        <v>YES</v>
      </c>
      <c r="AA25" s="4">
        <f t="shared" si="5"/>
        <v>46136</v>
      </c>
      <c r="AC25" s="26">
        <v>46072</v>
      </c>
      <c r="AD25" s="25">
        <f ca="1">IFERROR(__xludf.DUMMYFUNCTION("IFERROR(SUM(FILTER($L$5:$L$1002,$C$5:$C$1002=$AD$5,$F$5:$F$1002=AC25))*24,0)"),2.74999999988358)</f>
        <v>2.7499999998835798</v>
      </c>
      <c r="AE25" s="28">
        <v>21.25</v>
      </c>
      <c r="AF25" s="27" t="str">
        <f t="shared" ca="1" si="6"/>
        <v>✅✅✅✅✅</v>
      </c>
      <c r="AG25" s="25">
        <f ca="1">IFERROR(__xludf.DUMMYFUNCTION("IFERROR(SUM(FILTER($L$5:$L$1002,$C$5:$C$1002=$AG$5,$F$5:$F$1002=AC25))*24,0)"),21.916666666686)</f>
        <v>21.916666666686002</v>
      </c>
      <c r="AH25" s="28">
        <v>2.0833333333333335</v>
      </c>
      <c r="AI25" s="27" t="str">
        <f t="shared" ca="1" si="7"/>
        <v>✅✅✅✅✅</v>
      </c>
      <c r="AJ25" s="25">
        <f ca="1">IFERROR(__xludf.DUMMYFUNCTION("IFERROR(SUM(FILTER($L$5:$L$1002,$C$5:$C$1002=$AJ$5,$F$5:$F$1002=AC25))*24,0)"),23.5833333331975)</f>
        <v>23.583333333197501</v>
      </c>
      <c r="AK25" s="28">
        <v>0.41666666666666669</v>
      </c>
      <c r="AL25" s="27" t="str">
        <f t="shared" ca="1" si="8"/>
        <v>✅✅✅✅✅</v>
      </c>
    </row>
    <row r="26" spans="1:38" ht="15.5">
      <c r="A26" s="13">
        <f>IF(OR(ISBLANK(C26),ISBLANK(D26),ISBLANK(F26),ISBLANK(G26)),"",COUNTIF($B$5:B26,"JAMBUTU"))</f>
        <v>22</v>
      </c>
      <c r="B26" s="8" t="s">
        <v>78</v>
      </c>
      <c r="C26" s="8" t="s">
        <v>4</v>
      </c>
      <c r="D26" s="8" t="s">
        <v>6</v>
      </c>
      <c r="E26" s="13">
        <v>3.4</v>
      </c>
      <c r="F26" s="12">
        <v>46136</v>
      </c>
      <c r="G26" s="11">
        <v>0.37638888888977817</v>
      </c>
      <c r="H26" s="12">
        <v>46136</v>
      </c>
      <c r="I26" s="11">
        <v>0.76736111110949423</v>
      </c>
      <c r="J26" s="10">
        <f t="shared" si="0"/>
        <v>46136.376388888886</v>
      </c>
      <c r="K26" s="10">
        <f t="shared" si="1"/>
        <v>46136.767361111109</v>
      </c>
      <c r="L26" s="9">
        <f t="shared" si="2"/>
        <v>0.39097222222335404</v>
      </c>
      <c r="M26" s="8" t="s">
        <v>73</v>
      </c>
      <c r="N26" s="8" t="s">
        <v>1</v>
      </c>
      <c r="O26" s="8" t="s">
        <v>0</v>
      </c>
      <c r="P26" s="8"/>
      <c r="Q26" s="8"/>
      <c r="R26" s="8"/>
      <c r="S26" s="8"/>
      <c r="T26" s="8"/>
      <c r="U26" s="8"/>
      <c r="V26" s="7"/>
      <c r="W26" s="6" t="e">
        <f t="array" aca="1" ref="W26" ca="1">IF(NOT(ISBLANK(D26)),_xludf.XLOOKUP(D26,[2]CODE!$A$4:$A$100,[2]CODE!$D$4:$D$100),"")</f>
        <v>#NAME?</v>
      </c>
      <c r="X26" s="5" t="e">
        <f t="array" aca="1" ref="X26" ca="1">IF(NOT(AND(ISBLANK(D26),ISBLANK(C26))),_xludf.XLOOKUP(D26,[2]CODE!$A$4:$A$100,[2]CODE!$E$4:$E$100),"")</f>
        <v>#NAME?</v>
      </c>
      <c r="Y26" s="5" t="str">
        <f t="shared" si="3"/>
        <v>33KV</v>
      </c>
      <c r="Z26" s="5" t="str">
        <f t="shared" si="4"/>
        <v>YES</v>
      </c>
      <c r="AA26" s="4">
        <f t="shared" si="5"/>
        <v>46136</v>
      </c>
      <c r="AC26" s="26">
        <v>46073</v>
      </c>
      <c r="AD26" s="25">
        <f ca="1">IFERROR(__xludf.DUMMYFUNCTION("IFERROR(SUM(FILTER($L$5:$L$1002,$C$5:$C$1002=$AD$5,$F$5:$F$1002=AC26))*24,0)"),0)</f>
        <v>0</v>
      </c>
      <c r="AE26" s="28">
        <v>24</v>
      </c>
      <c r="AF26" s="27" t="str">
        <f t="shared" ca="1" si="6"/>
        <v>✅✅✅✅✅</v>
      </c>
      <c r="AG26" s="25">
        <f ca="1">IFERROR(__xludf.DUMMYFUNCTION("IFERROR(SUM(FILTER($L$5:$L$1002,$C$5:$C$1002=$AG$5,$F$5:$F$1002=AC26))*24,0)"),19.9999999998835)</f>
        <v>19.999999999883499</v>
      </c>
      <c r="AH26" s="28">
        <v>4</v>
      </c>
      <c r="AI26" s="27" t="str">
        <f t="shared" ca="1" si="7"/>
        <v>✅✅✅✅✅</v>
      </c>
      <c r="AJ26" s="25">
        <f ca="1">IFERROR(__xludf.DUMMYFUNCTION("IFERROR(SUM(FILTER($L$5:$L$1002,$C$5:$C$1002=$AJ$5,$F$5:$F$1002=AC26))*24,0)"),19.9833333333372)</f>
        <v>19.9833333333372</v>
      </c>
      <c r="AK26" s="28">
        <v>4.0166666666666666</v>
      </c>
      <c r="AL26" s="27" t="str">
        <f t="shared" ca="1" si="8"/>
        <v>✅✅✅✅✅</v>
      </c>
    </row>
    <row r="27" spans="1:38" ht="15.5">
      <c r="A27" s="13">
        <f>IF(OR(ISBLANK(C27),ISBLANK(D27),ISBLANK(F27),ISBLANK(G27)),"",COUNTIF($B$5:B27,"JAMBUTU"))</f>
        <v>23</v>
      </c>
      <c r="B27" s="8" t="s">
        <v>78</v>
      </c>
      <c r="C27" s="8" t="s">
        <v>4</v>
      </c>
      <c r="D27" s="8" t="s">
        <v>55</v>
      </c>
      <c r="E27" s="13">
        <v>3</v>
      </c>
      <c r="F27" s="12">
        <v>46137</v>
      </c>
      <c r="G27" s="11">
        <v>0.97916666666787933</v>
      </c>
      <c r="H27" s="12">
        <v>46138</v>
      </c>
      <c r="I27" s="11">
        <v>0</v>
      </c>
      <c r="J27" s="10">
        <f t="shared" si="0"/>
        <v>46137.979166666664</v>
      </c>
      <c r="K27" s="10">
        <f t="shared" si="1"/>
        <v>46138</v>
      </c>
      <c r="L27" s="9">
        <f t="shared" si="2"/>
        <v>2.0833333335758653E-2</v>
      </c>
      <c r="M27" s="8" t="s">
        <v>16</v>
      </c>
      <c r="N27" s="8" t="s">
        <v>1</v>
      </c>
      <c r="O27" s="8" t="s">
        <v>0</v>
      </c>
      <c r="P27" s="8"/>
      <c r="Q27" s="8"/>
      <c r="R27" s="8"/>
      <c r="S27" s="8"/>
      <c r="T27" s="8"/>
      <c r="U27" s="8"/>
      <c r="V27" s="7"/>
      <c r="W27" s="6" t="e">
        <f t="array" aca="1" ref="W27" ca="1">IF(NOT(ISBLANK(D27)),_xludf.XLOOKUP(D27,[2]CODE!$A$4:$A$100,[2]CODE!$D$4:$D$100),"")</f>
        <v>#NAME?</v>
      </c>
      <c r="X27" s="5" t="e">
        <f t="array" aca="1" ref="X27" ca="1">IF(NOT(AND(ISBLANK(D27),ISBLANK(C27))),_xludf.XLOOKUP(D27,[2]CODE!$A$4:$A$100,[2]CODE!$E$4:$E$100),"")</f>
        <v>#NAME?</v>
      </c>
      <c r="Y27" s="5" t="str">
        <f t="shared" si="3"/>
        <v>33KV</v>
      </c>
      <c r="Z27" s="5" t="str">
        <f t="shared" si="4"/>
        <v>YES</v>
      </c>
      <c r="AA27" s="4">
        <f t="shared" si="5"/>
        <v>46138</v>
      </c>
      <c r="AC27" s="26">
        <v>46074</v>
      </c>
      <c r="AD27" s="25">
        <f ca="1">IFERROR(__xludf.DUMMYFUNCTION("IFERROR(SUM(FILTER($L$5:$L$1002,$C$5:$C$1002=$AD$5,$F$5:$F$1002=AC27))*24,0)"),8.23333333345363)</f>
        <v>8.2333333334536292</v>
      </c>
      <c r="AE27" s="28">
        <v>15.766666666666667</v>
      </c>
      <c r="AF27" s="27" t="str">
        <f t="shared" ca="1" si="6"/>
        <v>✅✅✅✅✅</v>
      </c>
      <c r="AG27" s="25">
        <f ca="1">IFERROR(__xludf.DUMMYFUNCTION("IFERROR(SUM(FILTER($L$5:$L$1002,$C$5:$C$1002=$AG$5,$F$5:$F$1002=AC27))*24,0)"),20.0000000000582)</f>
        <v>20.000000000058201</v>
      </c>
      <c r="AH27" s="28">
        <v>4</v>
      </c>
      <c r="AI27" s="27" t="str">
        <f t="shared" ca="1" si="7"/>
        <v>✅✅✅✅✅</v>
      </c>
      <c r="AJ27" s="25">
        <f ca="1">IFERROR(__xludf.DUMMYFUNCTION("IFERROR(SUM(FILTER($L$5:$L$1002,$C$5:$C$1002=$AJ$5,$F$5:$F$1002=AC27))*24,0)"),19.0000000001164)</f>
        <v>19.000000000116401</v>
      </c>
      <c r="AK27" s="28">
        <v>5</v>
      </c>
      <c r="AL27" s="27" t="str">
        <f t="shared" ca="1" si="8"/>
        <v>✅✅✅✅✅</v>
      </c>
    </row>
    <row r="28" spans="1:38" ht="15.5">
      <c r="A28" s="13">
        <f>IF(OR(ISBLANK(C28),ISBLANK(D28),ISBLANK(F28),ISBLANK(G28)),"",COUNTIF($B$5:B28,"JAMBUTU"))</f>
        <v>24</v>
      </c>
      <c r="B28" s="8" t="s">
        <v>78</v>
      </c>
      <c r="C28" s="8" t="s">
        <v>4</v>
      </c>
      <c r="D28" s="8" t="s">
        <v>55</v>
      </c>
      <c r="E28" s="13">
        <v>3</v>
      </c>
      <c r="F28" s="12">
        <v>46138</v>
      </c>
      <c r="G28" s="11">
        <v>0</v>
      </c>
      <c r="H28" s="12">
        <v>46138</v>
      </c>
      <c r="I28" s="11">
        <v>0.25694444444525288</v>
      </c>
      <c r="J28" s="10">
        <f t="shared" si="0"/>
        <v>46138</v>
      </c>
      <c r="K28" s="10">
        <f t="shared" si="1"/>
        <v>46138.256944444445</v>
      </c>
      <c r="L28" s="9">
        <f t="shared" si="2"/>
        <v>0.25694444444525288</v>
      </c>
      <c r="M28" s="8" t="s">
        <v>2</v>
      </c>
      <c r="N28" s="8" t="s">
        <v>1</v>
      </c>
      <c r="O28" s="8" t="s">
        <v>0</v>
      </c>
      <c r="P28" s="8"/>
      <c r="Q28" s="8"/>
      <c r="R28" s="8"/>
      <c r="S28" s="8"/>
      <c r="T28" s="8"/>
      <c r="U28" s="8"/>
      <c r="V28" s="7"/>
      <c r="W28" s="6" t="e">
        <f t="array" aca="1" ref="W28" ca="1">IF(NOT(ISBLANK(D28)),_xludf.XLOOKUP(D28,[2]CODE!$A$4:$A$100,[2]CODE!$D$4:$D$100),"")</f>
        <v>#NAME?</v>
      </c>
      <c r="X28" s="5" t="e">
        <f t="array" aca="1" ref="X28" ca="1">IF(NOT(AND(ISBLANK(D28),ISBLANK(C28))),_xludf.XLOOKUP(D28,[2]CODE!$A$4:$A$100,[2]CODE!$E$4:$E$100),"")</f>
        <v>#NAME?</v>
      </c>
      <c r="Y28" s="5" t="str">
        <f t="shared" si="3"/>
        <v>33KV</v>
      </c>
      <c r="Z28" s="5" t="str">
        <f t="shared" si="4"/>
        <v>YES</v>
      </c>
      <c r="AA28" s="4">
        <f t="shared" si="5"/>
        <v>46138</v>
      </c>
      <c r="AC28" s="26">
        <v>46075</v>
      </c>
      <c r="AD28" s="25">
        <f ca="1">IFERROR(__xludf.DUMMYFUNCTION("IFERROR(SUM(FILTER($L$5:$L$1002,$C$5:$C$1002=$AD$5,$F$5:$F$1002=AC28))*24,0)"),0)</f>
        <v>0</v>
      </c>
      <c r="AE28" s="28">
        <v>24</v>
      </c>
      <c r="AF28" s="27" t="str">
        <f t="shared" ca="1" si="6"/>
        <v>✅✅✅✅✅</v>
      </c>
      <c r="AG28" s="25">
        <f ca="1">IFERROR(__xludf.DUMMYFUNCTION("IFERROR(SUM(FILTER($L$5:$L$1002,$C$5:$C$1002=$AG$5,$F$5:$F$1002=AC28))*24,0)"),20.0166666666045)</f>
        <v>20.0166666666045</v>
      </c>
      <c r="AH28" s="28">
        <v>3.9833333333333334</v>
      </c>
      <c r="AI28" s="27" t="str">
        <f t="shared" ca="1" si="7"/>
        <v>✅✅✅✅✅</v>
      </c>
      <c r="AJ28" s="25">
        <f ca="1">IFERROR(__xludf.DUMMYFUNCTION("IFERROR(SUM(FILTER($L$5:$L$1002,$C$5:$C$1002=$AJ$5,$F$5:$F$1002=AC28))*24,0)"),21)</f>
        <v>21</v>
      </c>
      <c r="AK28" s="28">
        <v>3</v>
      </c>
      <c r="AL28" s="27" t="str">
        <f t="shared" ca="1" si="8"/>
        <v>✅✅✅✅✅</v>
      </c>
    </row>
    <row r="29" spans="1:38" ht="15.5">
      <c r="A29" s="13">
        <f>IF(OR(ISBLANK(C29),ISBLANK(D29),ISBLANK(F29),ISBLANK(G29)),"",COUNTIF($B$5:B29,"JAMBUTU"))</f>
        <v>25</v>
      </c>
      <c r="B29" s="8" t="s">
        <v>78</v>
      </c>
      <c r="C29" s="8" t="s">
        <v>4</v>
      </c>
      <c r="D29" s="8" t="s">
        <v>20</v>
      </c>
      <c r="E29" s="13">
        <v>2.1</v>
      </c>
      <c r="F29" s="12">
        <v>46140</v>
      </c>
      <c r="G29" s="11">
        <v>0.44236111111240461</v>
      </c>
      <c r="H29" s="12">
        <v>46140</v>
      </c>
      <c r="I29" s="11">
        <v>0.73333333333357587</v>
      </c>
      <c r="J29" s="10">
        <f t="shared" si="0"/>
        <v>46140.442361111112</v>
      </c>
      <c r="K29" s="10">
        <f t="shared" si="1"/>
        <v>46140.73333333333</v>
      </c>
      <c r="L29" s="9">
        <f t="shared" si="2"/>
        <v>0.29097222221753327</v>
      </c>
      <c r="M29" s="8" t="s">
        <v>70</v>
      </c>
      <c r="N29" s="8" t="s">
        <v>1</v>
      </c>
      <c r="O29" s="8" t="s">
        <v>0</v>
      </c>
      <c r="P29" s="8"/>
      <c r="Q29" s="8"/>
      <c r="R29" s="8"/>
      <c r="S29" s="8"/>
      <c r="T29" s="8"/>
      <c r="U29" s="8"/>
      <c r="V29" s="7"/>
      <c r="W29" s="6" t="e">
        <f t="array" aca="1" ref="W29" ca="1">IF(NOT(ISBLANK(D29)),_xludf.XLOOKUP(D29,[2]CODE!$A$4:$A$100,[2]CODE!$D$4:$D$100),"")</f>
        <v>#NAME?</v>
      </c>
      <c r="X29" s="5" t="e">
        <f t="array" aca="1" ref="X29" ca="1">IF(NOT(AND(ISBLANK(D29),ISBLANK(C29))),_xludf.XLOOKUP(D29,[2]CODE!$A$4:$A$100,[2]CODE!$E$4:$E$100),"")</f>
        <v>#NAME?</v>
      </c>
      <c r="Y29" s="5" t="str">
        <f t="shared" si="3"/>
        <v>33KV</v>
      </c>
      <c r="Z29" s="5" t="str">
        <f t="shared" si="4"/>
        <v>YES</v>
      </c>
      <c r="AA29" s="4">
        <f t="shared" si="5"/>
        <v>46140</v>
      </c>
      <c r="AC29" s="26">
        <v>46076</v>
      </c>
      <c r="AD29" s="25">
        <f ca="1">IFERROR(__xludf.DUMMYFUNCTION("IFERROR(SUM(FILTER($L$5:$L$1002,$C$5:$C$1002=$AD$5,$F$5:$F$1002=AC29))*24,0)"),0.349999999918509)</f>
        <v>0.349999999918509</v>
      </c>
      <c r="AE29" s="28">
        <v>23.65</v>
      </c>
      <c r="AF29" s="27" t="str">
        <f t="shared" ca="1" si="6"/>
        <v>✅✅✅✅✅</v>
      </c>
      <c r="AG29" s="25">
        <f ca="1">IFERROR(__xludf.DUMMYFUNCTION("IFERROR(SUM(FILTER($L$5:$L$1002,$C$5:$C$1002=$AG$5,$F$5:$F$1002=AC29))*24,0)"),20.0000000000582)</f>
        <v>20.000000000058201</v>
      </c>
      <c r="AH29" s="28">
        <v>4</v>
      </c>
      <c r="AI29" s="27" t="str">
        <f t="shared" ca="1" si="7"/>
        <v>✅✅✅✅✅</v>
      </c>
      <c r="AJ29" s="25">
        <f ca="1">IFERROR(__xludf.DUMMYFUNCTION("IFERROR(SUM(FILTER($L$5:$L$1002,$C$5:$C$1002=$AJ$5,$F$5:$F$1002=AC29))*24,0)"),21)</f>
        <v>21</v>
      </c>
      <c r="AK29" s="28">
        <v>3</v>
      </c>
      <c r="AL29" s="27" t="str">
        <f t="shared" ca="1" si="8"/>
        <v>✅✅✅✅✅</v>
      </c>
    </row>
    <row r="30" spans="1:38" ht="15.5">
      <c r="A30" s="13">
        <f>IF(OR(ISBLANK(C30),ISBLANK(D30),ISBLANK(F30),ISBLANK(G30)),"",COUNTIF($B$5:B30,"JAMBUTU"))</f>
        <v>26</v>
      </c>
      <c r="B30" s="8" t="s">
        <v>78</v>
      </c>
      <c r="C30" s="8" t="s">
        <v>4</v>
      </c>
      <c r="D30" s="8" t="s">
        <v>6</v>
      </c>
      <c r="E30" s="13">
        <v>2.1</v>
      </c>
      <c r="F30" s="12">
        <v>46140</v>
      </c>
      <c r="G30" s="11">
        <v>0.7687499999992724</v>
      </c>
      <c r="H30" s="12">
        <v>46140</v>
      </c>
      <c r="I30" s="11">
        <v>0.77152777777882875</v>
      </c>
      <c r="J30" s="10">
        <f t="shared" si="0"/>
        <v>46140.768750000003</v>
      </c>
      <c r="K30" s="10">
        <f t="shared" si="1"/>
        <v>46140.771527777775</v>
      </c>
      <c r="L30" s="9">
        <f t="shared" si="2"/>
        <v>2.7777777722803876E-3</v>
      </c>
      <c r="M30" s="8" t="s">
        <v>9</v>
      </c>
      <c r="N30" s="8" t="s">
        <v>1</v>
      </c>
      <c r="O30" s="8" t="s">
        <v>0</v>
      </c>
      <c r="P30" s="8"/>
      <c r="Q30" s="8"/>
      <c r="R30" s="8"/>
      <c r="S30" s="8"/>
      <c r="T30" s="8"/>
      <c r="U30" s="8"/>
      <c r="V30" s="7"/>
      <c r="W30" s="6" t="e">
        <f t="array" aca="1" ref="W30" ca="1">IF(NOT(ISBLANK(D30)),_xludf.XLOOKUP(D30,[2]CODE!$A$4:$A$100,[2]CODE!$D$4:$D$100),"")</f>
        <v>#NAME?</v>
      </c>
      <c r="X30" s="5" t="e">
        <f t="array" aca="1" ref="X30" ca="1">IF(NOT(AND(ISBLANK(D30),ISBLANK(C30))),_xludf.XLOOKUP(D30,[2]CODE!$A$4:$A$100,[2]CODE!$E$4:$E$100),"")</f>
        <v>#NAME?</v>
      </c>
      <c r="Y30" s="5" t="str">
        <f t="shared" si="3"/>
        <v>33KV</v>
      </c>
      <c r="Z30" s="5" t="str">
        <f t="shared" si="4"/>
        <v>YES</v>
      </c>
      <c r="AA30" s="4">
        <f t="shared" si="5"/>
        <v>46140</v>
      </c>
      <c r="AC30" s="26">
        <v>46077</v>
      </c>
      <c r="AD30" s="25">
        <f ca="1">IFERROR(__xludf.DUMMYFUNCTION("IFERROR(SUM(FILTER($L$5:$L$1002,$C$5:$C$1002=$AD$5,$F$5:$F$1002=AC30))*24,0)"),0.816666666709352)</f>
        <v>0.81666666670935195</v>
      </c>
      <c r="AE30" s="28">
        <v>23.183333333333334</v>
      </c>
      <c r="AF30" s="27" t="str">
        <f t="shared" ca="1" si="6"/>
        <v>✅✅✅✅✅</v>
      </c>
      <c r="AG30" s="25">
        <f ca="1">IFERROR(__xludf.DUMMYFUNCTION("IFERROR(SUM(FILTER($L$5:$L$1002,$C$5:$C$1002=$AG$5,$F$5:$F$1002=AC30))*24,0)"),19.9166666666278)</f>
        <v>19.916666666627801</v>
      </c>
      <c r="AH30" s="28">
        <v>4.083333333333333</v>
      </c>
      <c r="AI30" s="27" t="str">
        <f t="shared" ca="1" si="7"/>
        <v>✅✅✅✅✅</v>
      </c>
      <c r="AJ30" s="25">
        <f ca="1">IFERROR(__xludf.DUMMYFUNCTION("IFERROR(SUM(FILTER($L$5:$L$1002,$C$5:$C$1002=$AJ$5,$F$5:$F$1002=AC30))*24,0)"),21)</f>
        <v>21</v>
      </c>
      <c r="AK30" s="28">
        <v>3</v>
      </c>
      <c r="AL30" s="27" t="str">
        <f t="shared" ca="1" si="8"/>
        <v>✅✅✅✅✅</v>
      </c>
    </row>
    <row r="31" spans="1:38" ht="15.5">
      <c r="A31" s="13">
        <f>IF(OR(ISBLANK(C31),ISBLANK(D31),ISBLANK(F31),ISBLANK(G31)),"",COUNTIF($B$5:B31,"JAMBUTU"))</f>
        <v>27</v>
      </c>
      <c r="B31" s="8" t="s">
        <v>78</v>
      </c>
      <c r="C31" s="8" t="s">
        <v>4</v>
      </c>
      <c r="D31" s="8" t="s">
        <v>6</v>
      </c>
      <c r="E31" s="13">
        <v>2.5</v>
      </c>
      <c r="F31" s="12">
        <v>46140</v>
      </c>
      <c r="G31" s="11">
        <v>0.83819444444452529</v>
      </c>
      <c r="H31" s="12">
        <v>46140</v>
      </c>
      <c r="I31" s="11">
        <v>0.84652777777955635</v>
      </c>
      <c r="J31" s="10">
        <f t="shared" si="0"/>
        <v>46140.838194444441</v>
      </c>
      <c r="K31" s="10">
        <f t="shared" si="1"/>
        <v>46140.84652777778</v>
      </c>
      <c r="L31" s="9">
        <f t="shared" si="2"/>
        <v>8.3333333386690356E-3</v>
      </c>
      <c r="M31" s="8" t="s">
        <v>9</v>
      </c>
      <c r="N31" s="8" t="s">
        <v>1</v>
      </c>
      <c r="O31" s="8" t="s">
        <v>0</v>
      </c>
      <c r="P31" s="8"/>
      <c r="Q31" s="8"/>
      <c r="R31" s="8"/>
      <c r="S31" s="8"/>
      <c r="T31" s="8"/>
      <c r="U31" s="8"/>
      <c r="V31" s="7"/>
      <c r="W31" s="6" t="e">
        <f t="array" aca="1" ref="W31" ca="1">IF(NOT(ISBLANK(D31)),_xludf.XLOOKUP(D31,[2]CODE!$A$4:$A$100,[2]CODE!$D$4:$D$100),"")</f>
        <v>#NAME?</v>
      </c>
      <c r="X31" s="5" t="e">
        <f t="array" aca="1" ref="X31" ca="1">IF(NOT(AND(ISBLANK(D31),ISBLANK(C31))),_xludf.XLOOKUP(D31,[2]CODE!$A$4:$A$100,[2]CODE!$E$4:$E$100),"")</f>
        <v>#NAME?</v>
      </c>
      <c r="Y31" s="5" t="str">
        <f t="shared" si="3"/>
        <v>33KV</v>
      </c>
      <c r="Z31" s="5" t="str">
        <f t="shared" si="4"/>
        <v>YES</v>
      </c>
      <c r="AA31" s="4">
        <f t="shared" si="5"/>
        <v>46140</v>
      </c>
      <c r="AC31" s="26">
        <v>46078</v>
      </c>
      <c r="AD31" s="25">
        <f ca="1">IFERROR(__xludf.DUMMYFUNCTION("IFERROR(SUM(FILTER($L$5:$L$1002,$C$5:$C$1002=$AD$5,$F$5:$F$1002=AC31))*24,0)"),0.0833333334303461)</f>
        <v>8.3333333430346102E-2</v>
      </c>
      <c r="AE31" s="28">
        <v>23.916666666666668</v>
      </c>
      <c r="AF31" s="27" t="str">
        <f t="shared" ca="1" si="6"/>
        <v>✅✅✅✅✅</v>
      </c>
      <c r="AG31" s="25">
        <f ca="1">IFERROR(__xludf.DUMMYFUNCTION("IFERROR(SUM(FILTER($L$5:$L$1002,$C$5:$C$1002=$AG$5,$F$5:$F$1002=AC31))*24,0)"),19.7333333332208)</f>
        <v>19.733333333220799</v>
      </c>
      <c r="AH31" s="28">
        <v>4.2666666666666666</v>
      </c>
      <c r="AI31" s="27" t="str">
        <f t="shared" ca="1" si="7"/>
        <v>✅✅✅✅✅</v>
      </c>
      <c r="AJ31" s="25">
        <f ca="1">IFERROR(__xludf.DUMMYFUNCTION("IFERROR(SUM(FILTER($L$5:$L$1002,$C$5:$C$1002=$AJ$5,$F$5:$F$1002=AC31))*24,0)"),20.3666666666977)</f>
        <v>20.3666666666977</v>
      </c>
      <c r="AK31" s="28">
        <v>3.6333333333333333</v>
      </c>
      <c r="AL31" s="27" t="str">
        <f t="shared" ca="1" si="8"/>
        <v>✅✅✅✅✅</v>
      </c>
    </row>
    <row r="32" spans="1:38" ht="15.5">
      <c r="A32" s="13">
        <f>IF(OR(ISBLANK(C32),ISBLANK(D32),ISBLANK(F32),ISBLANK(G32)),"",COUNTIF($B$5:B32,"JAMBUTU"))</f>
        <v>28</v>
      </c>
      <c r="B32" s="8" t="s">
        <v>78</v>
      </c>
      <c r="C32" s="8" t="s">
        <v>4</v>
      </c>
      <c r="D32" s="8" t="s">
        <v>6</v>
      </c>
      <c r="E32" s="13">
        <v>2.8</v>
      </c>
      <c r="F32" s="12">
        <v>46141</v>
      </c>
      <c r="G32" s="11">
        <v>0.91458333333503106</v>
      </c>
      <c r="H32" s="12">
        <v>46142</v>
      </c>
      <c r="I32" s="11">
        <v>0</v>
      </c>
      <c r="J32" s="10">
        <f t="shared" si="0"/>
        <v>46141.914583333331</v>
      </c>
      <c r="K32" s="10">
        <f t="shared" si="1"/>
        <v>46142</v>
      </c>
      <c r="L32" s="9">
        <f t="shared" si="2"/>
        <v>8.5416666668606922E-2</v>
      </c>
      <c r="M32" s="8" t="s">
        <v>72</v>
      </c>
      <c r="N32" s="8" t="s">
        <v>1</v>
      </c>
      <c r="O32" s="8" t="s">
        <v>0</v>
      </c>
      <c r="P32" s="8"/>
      <c r="Q32" s="8"/>
      <c r="R32" s="8"/>
      <c r="S32" s="8"/>
      <c r="T32" s="8"/>
      <c r="U32" s="8"/>
      <c r="V32" s="7"/>
      <c r="W32" s="6" t="e">
        <f t="array" aca="1" ref="W32" ca="1">IF(NOT(ISBLANK(D32)),_xludf.XLOOKUP(D32,[2]CODE!$A$4:$A$100,[2]CODE!$D$4:$D$100),"")</f>
        <v>#NAME?</v>
      </c>
      <c r="X32" s="5" t="e">
        <f t="array" aca="1" ref="X32" ca="1">IF(NOT(AND(ISBLANK(D32),ISBLANK(C32))),_xludf.XLOOKUP(D32,[2]CODE!$A$4:$A$100,[2]CODE!$E$4:$E$100),"")</f>
        <v>#NAME?</v>
      </c>
      <c r="Y32" s="5" t="str">
        <f t="shared" si="3"/>
        <v>33KV</v>
      </c>
      <c r="Z32" s="5" t="str">
        <f t="shared" si="4"/>
        <v>YES</v>
      </c>
      <c r="AA32" s="4">
        <f t="shared" si="5"/>
        <v>46142</v>
      </c>
      <c r="AC32" s="26">
        <v>46079</v>
      </c>
      <c r="AD32" s="25">
        <f ca="1">IFERROR(__xludf.DUMMYFUNCTION("IFERROR(SUM(FILTER($L$5:$L$1002,$C$5:$C$1002=$AD$5,$F$5:$F$1002=AC32))*24,0)"),0.533333333325572)</f>
        <v>0.53333333332557198</v>
      </c>
      <c r="AE32" s="28">
        <v>23.466666666666665</v>
      </c>
      <c r="AF32" s="27" t="str">
        <f t="shared" ca="1" si="6"/>
        <v>✅✅✅✅✅</v>
      </c>
      <c r="AG32" s="25">
        <f ca="1">IFERROR(__xludf.DUMMYFUNCTION("IFERROR(SUM(FILTER($L$5:$L$1002,$C$5:$C$1002=$AG$5,$F$5:$F$1002=AC32))*24,0)"),20.0000000000582)</f>
        <v>20.000000000058201</v>
      </c>
      <c r="AH32" s="28">
        <v>4</v>
      </c>
      <c r="AI32" s="27" t="str">
        <f t="shared" ca="1" si="7"/>
        <v>✅✅✅✅✅</v>
      </c>
      <c r="AJ32" s="25">
        <f ca="1">IFERROR(__xludf.DUMMYFUNCTION("IFERROR(SUM(FILTER($L$5:$L$1002,$C$5:$C$1002=$AJ$5,$F$5:$F$1002=AC32))*24,0)"),20.9333333334652)</f>
        <v>20.9333333334652</v>
      </c>
      <c r="AK32" s="28">
        <v>3.0666666666666669</v>
      </c>
      <c r="AL32" s="27" t="str">
        <f t="shared" ca="1" si="8"/>
        <v>✅✅✅✅✅</v>
      </c>
    </row>
    <row r="33" spans="1:38" ht="15.5">
      <c r="A33" s="13">
        <f>IF(OR(ISBLANK(C33),ISBLANK(D33),ISBLANK(F33),ISBLANK(G33)),"",COUNTIF($B$5:B33,"JAMBUTU"))</f>
        <v>29</v>
      </c>
      <c r="B33" s="8" t="s">
        <v>78</v>
      </c>
      <c r="C33" s="8" t="s">
        <v>4</v>
      </c>
      <c r="D33" s="8" t="s">
        <v>6</v>
      </c>
      <c r="E33" s="13">
        <v>2.8</v>
      </c>
      <c r="F33" s="12">
        <v>46142</v>
      </c>
      <c r="G33" s="11">
        <v>0</v>
      </c>
      <c r="H33" s="12">
        <v>46142</v>
      </c>
      <c r="I33" s="11">
        <v>0.85972222222335404</v>
      </c>
      <c r="J33" s="10">
        <f t="shared" si="0"/>
        <v>46142</v>
      </c>
      <c r="K33" s="10">
        <f t="shared" si="1"/>
        <v>46142.859722222223</v>
      </c>
      <c r="L33" s="9">
        <f t="shared" si="2"/>
        <v>0.85972222222335404</v>
      </c>
      <c r="M33" s="8" t="s">
        <v>72</v>
      </c>
      <c r="N33" s="8" t="s">
        <v>1</v>
      </c>
      <c r="O33" s="8" t="s">
        <v>0</v>
      </c>
      <c r="P33" s="8"/>
      <c r="Q33" s="8"/>
      <c r="R33" s="8"/>
      <c r="S33" s="8"/>
      <c r="T33" s="8"/>
      <c r="U33" s="8"/>
      <c r="V33" s="7"/>
      <c r="W33" s="6" t="e">
        <f t="array" aca="1" ref="W33" ca="1">IF(NOT(ISBLANK(D33)),_xludf.XLOOKUP(D33,[2]CODE!$A$4:$A$100,[2]CODE!$D$4:$D$100),"")</f>
        <v>#NAME?</v>
      </c>
      <c r="X33" s="5" t="e">
        <f t="array" aca="1" ref="X33" ca="1">IF(NOT(AND(ISBLANK(D33),ISBLANK(C33))),_xludf.XLOOKUP(D33,[2]CODE!$A$4:$A$100,[2]CODE!$E$4:$E$100),"")</f>
        <v>#NAME?</v>
      </c>
      <c r="Y33" s="5" t="str">
        <f t="shared" si="3"/>
        <v>33KV</v>
      </c>
      <c r="Z33" s="5" t="str">
        <f t="shared" si="4"/>
        <v>YES</v>
      </c>
      <c r="AA33" s="4">
        <f t="shared" si="5"/>
        <v>46142</v>
      </c>
      <c r="AC33" s="26">
        <v>46080</v>
      </c>
      <c r="AD33" s="25">
        <f ca="1">IFERROR(__xludf.DUMMYFUNCTION("IFERROR(SUM(FILTER($L$5:$L$1002,$C$5:$C$1002=$AD$5,$F$5:$F$1002=AC33))*24,0)"),11.0666666665929)</f>
        <v>11.0666666665929</v>
      </c>
      <c r="AE33" s="28">
        <v>12.933333333333334</v>
      </c>
      <c r="AF33" s="27" t="str">
        <f t="shared" ca="1" si="6"/>
        <v>✅✅✅✅✅</v>
      </c>
      <c r="AG33" s="25">
        <f ca="1">IFERROR(__xludf.DUMMYFUNCTION("IFERROR(SUM(FILTER($L$5:$L$1002,$C$5:$C$1002=$AG$5,$F$5:$F$1002=AC33))*24,0)"),20.0166666667792)</f>
        <v>20.016666666779201</v>
      </c>
      <c r="AH33" s="28">
        <v>3.9833333333333334</v>
      </c>
      <c r="AI33" s="27" t="str">
        <f t="shared" ca="1" si="7"/>
        <v>✅✅✅✅✅</v>
      </c>
      <c r="AJ33" s="25">
        <f ca="1">IFERROR(__xludf.DUMMYFUNCTION("IFERROR(SUM(FILTER($L$5:$L$1002,$C$5:$C$1002=$AJ$5,$F$5:$F$1002=AC33))*24,0)"),21.5999999998603)</f>
        <v>21.599999999860302</v>
      </c>
      <c r="AK33" s="28">
        <v>2.4</v>
      </c>
      <c r="AL33" s="27" t="str">
        <f t="shared" ca="1" si="8"/>
        <v>✅✅✅✅✅</v>
      </c>
    </row>
    <row r="34" spans="1:38" ht="15.5">
      <c r="A34" s="13" t="str">
        <f>IF(OR(ISBLANK(C34),ISBLANK(D34),ISBLANK(F34),ISBLANK(G34)),"",COUNTIF($B$5:B34,"JAMBUTU"))</f>
        <v/>
      </c>
      <c r="B34" s="8"/>
      <c r="C34" s="8"/>
      <c r="D34" s="8"/>
      <c r="E34" s="13"/>
      <c r="F34" s="12"/>
      <c r="G34" s="11"/>
      <c r="H34" s="12"/>
      <c r="I34" s="11"/>
      <c r="J34" s="10">
        <f t="shared" si="0"/>
        <v>0</v>
      </c>
      <c r="K34" s="10">
        <f t="shared" si="1"/>
        <v>0</v>
      </c>
      <c r="L34" s="9" t="str">
        <f t="shared" si="2"/>
        <v/>
      </c>
      <c r="M34" s="8"/>
      <c r="N34" s="8"/>
      <c r="O34" s="8"/>
      <c r="P34" s="8"/>
      <c r="Q34" s="8"/>
      <c r="R34" s="8"/>
      <c r="S34" s="8"/>
      <c r="T34" s="8"/>
      <c r="U34" s="8"/>
      <c r="V34" s="7"/>
      <c r="W34" s="6" t="str">
        <f t="array" ref="W34">IF(NOT(ISBLANK(D34)),_xludf.XLOOKUP(D34,[2]CODE!$A$4:$A$100,[2]CODE!$D$4:$D$100),"")</f>
        <v/>
      </c>
      <c r="X34" s="5" t="str">
        <f t="array" ref="X34">IF(NOT(AND(ISBLANK(D34),ISBLANK(C34))),_xludf.XLOOKUP(D34,[2]CODE!$A$4:$A$100,[2]CODE!$E$4:$E$100),"")</f>
        <v/>
      </c>
      <c r="Y34" s="5" t="str">
        <f t="shared" si="3"/>
        <v/>
      </c>
      <c r="Z34" s="5" t="str">
        <f t="shared" si="4"/>
        <v/>
      </c>
      <c r="AA34" s="4">
        <f t="shared" si="5"/>
        <v>0</v>
      </c>
      <c r="AC34" s="26">
        <v>46081</v>
      </c>
      <c r="AD34" s="25">
        <f ca="1">IFERROR(__xludf.DUMMYFUNCTION("IFERROR(SUM(FILTER($L$5:$L$1002,$C$5:$C$1002=$AD$5,$F$5:$F$1002=AC34))*24,0)"),0.249999999941792)</f>
        <v>0.24999999994179201</v>
      </c>
      <c r="AE34" s="28">
        <v>23.75</v>
      </c>
      <c r="AF34" s="27" t="str">
        <f t="shared" ca="1" si="6"/>
        <v>✅✅✅✅✅</v>
      </c>
      <c r="AG34" s="25">
        <f ca="1">IFERROR(__xludf.DUMMYFUNCTION("IFERROR(SUM(FILTER($L$5:$L$1002,$C$5:$C$1002=$AG$5,$F$5:$F$1002=AC34))*24,0)"),19.4999999998253)</f>
        <v>19.499999999825299</v>
      </c>
      <c r="AH34" s="28">
        <v>4.5</v>
      </c>
      <c r="AI34" s="27" t="str">
        <f t="shared" ca="1" si="7"/>
        <v>✅✅✅✅✅</v>
      </c>
      <c r="AJ34" s="25">
        <f ca="1">IFERROR(__xludf.DUMMYFUNCTION("IFERROR(SUM(FILTER($L$5:$L$1002,$C$5:$C$1002=$AJ$5,$F$5:$F$1002=AC34))*24,0)"),16.9999999998835)</f>
        <v>16.999999999883499</v>
      </c>
      <c r="AK34" s="28">
        <v>7</v>
      </c>
      <c r="AL34" s="27" t="str">
        <f t="shared" ca="1" si="8"/>
        <v>✅✅✅✅✅</v>
      </c>
    </row>
    <row r="35" spans="1:38" ht="15.5">
      <c r="A35" s="13" t="str">
        <f>IF(OR(ISBLANK(C35),ISBLANK(D35),ISBLANK(F35),ISBLANK(G35)),"",COUNTIF($B$5:B35,"JAMBUTU"))</f>
        <v/>
      </c>
      <c r="B35" s="8"/>
      <c r="C35" s="8"/>
      <c r="D35" s="8"/>
      <c r="E35" s="13"/>
      <c r="F35" s="12"/>
      <c r="G35" s="11"/>
      <c r="H35" s="12"/>
      <c r="I35" s="11"/>
      <c r="J35" s="10">
        <f t="shared" si="0"/>
        <v>0</v>
      </c>
      <c r="K35" s="10">
        <f t="shared" si="1"/>
        <v>0</v>
      </c>
      <c r="L35" s="9" t="str">
        <f t="shared" si="2"/>
        <v/>
      </c>
      <c r="M35" s="8"/>
      <c r="N35" s="8"/>
      <c r="O35" s="8"/>
      <c r="P35" s="8"/>
      <c r="Q35" s="8"/>
      <c r="R35" s="8"/>
      <c r="S35" s="8"/>
      <c r="T35" s="8"/>
      <c r="U35" s="8"/>
      <c r="V35" s="7"/>
      <c r="W35" s="6" t="str">
        <f t="array" ref="W35">IF(NOT(ISBLANK(D35)),_xludf.XLOOKUP(D35,[2]CODE!$A$4:$A$100,[2]CODE!$D$4:$D$100),"")</f>
        <v/>
      </c>
      <c r="X35" s="5" t="str">
        <f t="array" ref="X35">IF(NOT(AND(ISBLANK(D35),ISBLANK(C35))),_xludf.XLOOKUP(D35,[2]CODE!$A$4:$A$100,[2]CODE!$E$4:$E$100),"")</f>
        <v/>
      </c>
      <c r="Y35" s="5" t="str">
        <f t="shared" si="3"/>
        <v/>
      </c>
      <c r="Z35" s="5" t="str">
        <f t="shared" si="4"/>
        <v/>
      </c>
      <c r="AA35" s="4">
        <f t="shared" si="5"/>
        <v>0</v>
      </c>
      <c r="AC35" s="26"/>
      <c r="AD35" s="25">
        <f ca="1">IFERROR(__xludf.DUMMYFUNCTION("IFERROR(SUM(FILTER($L$5:$L$1002,$C$5:$C$1002=$AD$5,$F$5:$F$1002=AC35))*24,0)"),0)</f>
        <v>0</v>
      </c>
      <c r="AE35" s="28">
        <v>0</v>
      </c>
      <c r="AF35" s="27" t="str">
        <f t="shared" ca="1" si="6"/>
        <v/>
      </c>
      <c r="AG35" s="25">
        <f ca="1">IFERROR(__xludf.DUMMYFUNCTION("IFERROR(SUM(FILTER($L$5:$L$1002,$C$5:$C$1002=$AG$5,$F$5:$F$1002=AC35))*24,0)"),0)</f>
        <v>0</v>
      </c>
      <c r="AH35" s="28">
        <v>0</v>
      </c>
      <c r="AI35" s="27" t="str">
        <f t="shared" ca="1" si="7"/>
        <v/>
      </c>
      <c r="AJ35" s="25">
        <f ca="1">IFERROR(__xludf.DUMMYFUNCTION("IFERROR(SUM(FILTER($L$5:$L$1002,$C$5:$C$1002=$AJ$5,$F$5:$F$1002=AC35))*24,0)"),0)</f>
        <v>0</v>
      </c>
      <c r="AK35" s="28">
        <v>0</v>
      </c>
      <c r="AL35" s="27" t="str">
        <f t="shared" ca="1" si="8"/>
        <v/>
      </c>
    </row>
    <row r="36" spans="1:38" ht="15.5">
      <c r="A36" s="13" t="str">
        <f>IF(OR(ISBLANK(C36),ISBLANK(D36),ISBLANK(F36),ISBLANK(G36)),"",COUNTIF($B$5:B36,"JAMBUTU"))</f>
        <v/>
      </c>
      <c r="B36" s="8"/>
      <c r="C36" s="8"/>
      <c r="D36" s="8"/>
      <c r="E36" s="13"/>
      <c r="F36" s="12"/>
      <c r="G36" s="11"/>
      <c r="H36" s="12"/>
      <c r="I36" s="11"/>
      <c r="J36" s="10">
        <f t="shared" si="0"/>
        <v>0</v>
      </c>
      <c r="K36" s="10">
        <f t="shared" si="1"/>
        <v>0</v>
      </c>
      <c r="L36" s="9" t="str">
        <f t="shared" si="2"/>
        <v/>
      </c>
      <c r="M36" s="8"/>
      <c r="N36" s="8"/>
      <c r="O36" s="8"/>
      <c r="P36" s="8"/>
      <c r="Q36" s="8"/>
      <c r="R36" s="8"/>
      <c r="S36" s="8"/>
      <c r="T36" s="8"/>
      <c r="U36" s="8"/>
      <c r="V36" s="7"/>
      <c r="W36" s="6" t="str">
        <f t="array" ref="W36">IF(NOT(ISBLANK(D36)),_xludf.XLOOKUP(D36,[2]CODE!$A$4:$A$100,[2]CODE!$D$4:$D$100),"")</f>
        <v/>
      </c>
      <c r="X36" s="5" t="str">
        <f t="array" ref="X36">IF(NOT(AND(ISBLANK(D36),ISBLANK(C36))),_xludf.XLOOKUP(D36,[2]CODE!$A$4:$A$100,[2]CODE!$E$4:$E$100),"")</f>
        <v/>
      </c>
      <c r="Y36" s="5" t="str">
        <f t="shared" si="3"/>
        <v/>
      </c>
      <c r="Z36" s="5" t="str">
        <f t="shared" si="4"/>
        <v/>
      </c>
      <c r="AA36" s="4">
        <f t="shared" si="5"/>
        <v>0</v>
      </c>
      <c r="AC36" s="26"/>
      <c r="AD36" s="25">
        <f ca="1">IFERROR(__xludf.DUMMYFUNCTION("IFERROR(SUM(FILTER($L$5:$L$1002,$C$5:$C$1002=$AD$5,$F$5:$F$1002=AC36))*24,0)"),0)</f>
        <v>0</v>
      </c>
      <c r="AE36" s="28">
        <v>0</v>
      </c>
      <c r="AF36" s="27" t="str">
        <f t="shared" ca="1" si="6"/>
        <v/>
      </c>
      <c r="AG36" s="25">
        <f ca="1">IFERROR(__xludf.DUMMYFUNCTION("IFERROR(SUM(FILTER($L$5:$L$1002,$C$5:$C$1002=$AG$5,$F$5:$F$1002=AC36))*24,0)"),0)</f>
        <v>0</v>
      </c>
      <c r="AH36" s="28">
        <v>0</v>
      </c>
      <c r="AI36" s="27" t="str">
        <f t="shared" ca="1" si="7"/>
        <v/>
      </c>
      <c r="AJ36" s="25">
        <f ca="1">IFERROR(__xludf.DUMMYFUNCTION("IFERROR(SUM(FILTER($L$5:$L$1002,$C$5:$C$1002=$AJ$5,$F$5:$F$1002=AC36))*24,0)"),0)</f>
        <v>0</v>
      </c>
      <c r="AK36" s="28">
        <v>0</v>
      </c>
      <c r="AL36" s="27" t="str">
        <f t="shared" ca="1" si="8"/>
        <v/>
      </c>
    </row>
    <row r="37" spans="1:38" ht="16" thickBot="1">
      <c r="A37" s="13" t="str">
        <f>IF(OR(ISBLANK(C37),ISBLANK(D37),ISBLANK(F37),ISBLANK(G37)),"",COUNTIF($B$5:B37,"JAMBUTU"))</f>
        <v/>
      </c>
      <c r="B37" s="8"/>
      <c r="C37" s="8"/>
      <c r="D37" s="8"/>
      <c r="E37" s="13"/>
      <c r="F37" s="12"/>
      <c r="G37" s="11"/>
      <c r="H37" s="12"/>
      <c r="I37" s="11"/>
      <c r="J37" s="10">
        <f t="shared" si="0"/>
        <v>0</v>
      </c>
      <c r="K37" s="10">
        <f t="shared" si="1"/>
        <v>0</v>
      </c>
      <c r="L37" s="9" t="str">
        <f t="shared" si="2"/>
        <v/>
      </c>
      <c r="M37" s="8"/>
      <c r="N37" s="8"/>
      <c r="O37" s="8"/>
      <c r="P37" s="8"/>
      <c r="Q37" s="8"/>
      <c r="R37" s="8"/>
      <c r="S37" s="8"/>
      <c r="T37" s="8"/>
      <c r="U37" s="8"/>
      <c r="V37" s="7"/>
      <c r="W37" s="6" t="str">
        <f t="array" ref="W37">IF(NOT(ISBLANK(D37)),_xludf.XLOOKUP(D37,[2]CODE!$A$4:$A$100,[2]CODE!$D$4:$D$100),"")</f>
        <v/>
      </c>
      <c r="X37" s="5" t="str">
        <f t="array" ref="X37">IF(NOT(AND(ISBLANK(D37),ISBLANK(C37))),_xludf.XLOOKUP(D37,[2]CODE!$A$4:$A$100,[2]CODE!$E$4:$E$100),"")</f>
        <v/>
      </c>
      <c r="Y37" s="5" t="str">
        <f t="shared" si="3"/>
        <v/>
      </c>
      <c r="Z37" s="5" t="str">
        <f t="shared" si="4"/>
        <v/>
      </c>
      <c r="AA37" s="4">
        <f t="shared" si="5"/>
        <v>0</v>
      </c>
      <c r="AC37" s="26"/>
      <c r="AD37" s="25">
        <f ca="1">IFERROR(__xludf.DUMMYFUNCTION("IFERROR(SUM(FILTER($L$5:$L$1002,$C$5:$C$1002=$AD$5,$F$5:$F$1002=AC37))*24,0)"),0)</f>
        <v>0</v>
      </c>
      <c r="AE37" s="24">
        <v>0</v>
      </c>
      <c r="AF37" s="23" t="str">
        <f t="shared" ca="1" si="6"/>
        <v/>
      </c>
      <c r="AG37" s="25">
        <f ca="1">IFERROR(__xludf.DUMMYFUNCTION("IFERROR(SUM(FILTER($L$5:$L$1002,$C$5:$C$1002=$AG$5,$F$5:$F$1002=AC37))*24,0)"),0)</f>
        <v>0</v>
      </c>
      <c r="AH37" s="24">
        <v>0</v>
      </c>
      <c r="AI37" s="23" t="str">
        <f t="shared" ca="1" si="7"/>
        <v/>
      </c>
      <c r="AJ37" s="25">
        <f ca="1">IFERROR(__xludf.DUMMYFUNCTION("IFERROR(SUM(FILTER($L$5:$L$1002,$C$5:$C$1002=$AJ$5,$F$5:$F$1002=AC37))*24,0)"),0)</f>
        <v>0</v>
      </c>
      <c r="AK37" s="24">
        <v>0</v>
      </c>
      <c r="AL37" s="23" t="str">
        <f t="shared" ca="1" si="8"/>
        <v/>
      </c>
    </row>
    <row r="38" spans="1:38" ht="15.5">
      <c r="A38" s="13" t="str">
        <f>IF(OR(ISBLANK(C38),ISBLANK(D38),ISBLANK(F38),ISBLANK(G38)),"",COUNTIF($B$5:B38,"JAMBUTU"))</f>
        <v/>
      </c>
      <c r="B38" s="8"/>
      <c r="C38" s="8"/>
      <c r="D38" s="8"/>
      <c r="E38" s="13"/>
      <c r="F38" s="12"/>
      <c r="G38" s="11"/>
      <c r="H38" s="12"/>
      <c r="I38" s="11"/>
      <c r="J38" s="10">
        <f t="shared" si="0"/>
        <v>0</v>
      </c>
      <c r="K38" s="10">
        <f t="shared" si="1"/>
        <v>0</v>
      </c>
      <c r="L38" s="9" t="str">
        <f t="shared" si="2"/>
        <v/>
      </c>
      <c r="M38" s="8"/>
      <c r="N38" s="8"/>
      <c r="O38" s="8"/>
      <c r="P38" s="8"/>
      <c r="Q38" s="8"/>
      <c r="R38" s="8"/>
      <c r="S38" s="8"/>
      <c r="T38" s="8"/>
      <c r="U38" s="8"/>
      <c r="V38" s="7"/>
      <c r="W38" s="6" t="str">
        <f t="array" ref="W38">IF(NOT(ISBLANK(D38)),_xludf.XLOOKUP(D38,[2]CODE!$A$4:$A$100,[2]CODE!$D$4:$D$100),"")</f>
        <v/>
      </c>
      <c r="X38" s="5" t="str">
        <f t="array" ref="X38">IF(NOT(AND(ISBLANK(D38),ISBLANK(C38))),_xludf.XLOOKUP(D38,[2]CODE!$A$4:$A$100,[2]CODE!$E$4:$E$100),"")</f>
        <v/>
      </c>
      <c r="Y38" s="5" t="str">
        <f t="shared" si="3"/>
        <v/>
      </c>
      <c r="Z38" s="5" t="str">
        <f t="shared" si="4"/>
        <v/>
      </c>
      <c r="AA38" s="4">
        <f t="shared" si="5"/>
        <v>0</v>
      </c>
      <c r="AC38" s="22"/>
    </row>
    <row r="39" spans="1:38" ht="15.5">
      <c r="A39" s="13" t="str">
        <f>IF(OR(ISBLANK(C39),ISBLANK(D39),ISBLANK(F39),ISBLANK(G39)),"",COUNTIF($B$5:B39,"JAMBUTU"))</f>
        <v/>
      </c>
      <c r="B39" s="8"/>
      <c r="C39" s="8"/>
      <c r="D39" s="8"/>
      <c r="E39" s="13"/>
      <c r="F39" s="12"/>
      <c r="G39" s="11"/>
      <c r="H39" s="12"/>
      <c r="I39" s="11"/>
      <c r="J39" s="10">
        <f t="shared" si="0"/>
        <v>0</v>
      </c>
      <c r="K39" s="10">
        <f t="shared" si="1"/>
        <v>0</v>
      </c>
      <c r="L39" s="9" t="str">
        <f t="shared" si="2"/>
        <v/>
      </c>
      <c r="M39" s="8"/>
      <c r="N39" s="8"/>
      <c r="O39" s="8"/>
      <c r="P39" s="8"/>
      <c r="Q39" s="8"/>
      <c r="R39" s="8"/>
      <c r="S39" s="8"/>
      <c r="T39" s="8"/>
      <c r="U39" s="8"/>
      <c r="V39" s="7"/>
      <c r="W39" s="6" t="str">
        <f t="array" ref="W39">IF(NOT(ISBLANK(D39)),_xludf.XLOOKUP(D39,[2]CODE!$A$4:$A$100,[2]CODE!$D$4:$D$100),"")</f>
        <v/>
      </c>
      <c r="X39" s="5" t="str">
        <f t="array" ref="X39">IF(NOT(AND(ISBLANK(D39),ISBLANK(C39))),_xludf.XLOOKUP(D39,[2]CODE!$A$4:$A$100,[2]CODE!$E$4:$E$100),"")</f>
        <v/>
      </c>
      <c r="Y39" s="5" t="str">
        <f t="shared" si="3"/>
        <v/>
      </c>
      <c r="Z39" s="5" t="str">
        <f t="shared" si="4"/>
        <v/>
      </c>
      <c r="AA39" s="4">
        <f t="shared" si="5"/>
        <v>0</v>
      </c>
      <c r="AC39" s="22"/>
    </row>
    <row r="40" spans="1:38" ht="15.5">
      <c r="A40" s="13" t="str">
        <f>IF(OR(ISBLANK(C40),ISBLANK(D40),ISBLANK(F40),ISBLANK(G40)),"",COUNTIF($B$5:B40,"JAMBUTU"))</f>
        <v/>
      </c>
      <c r="B40" s="8"/>
      <c r="C40" s="8"/>
      <c r="D40" s="8"/>
      <c r="E40" s="13"/>
      <c r="F40" s="12"/>
      <c r="G40" s="11"/>
      <c r="H40" s="12"/>
      <c r="I40" s="11"/>
      <c r="J40" s="10">
        <f t="shared" si="0"/>
        <v>0</v>
      </c>
      <c r="K40" s="10">
        <f t="shared" si="1"/>
        <v>0</v>
      </c>
      <c r="L40" s="9" t="str">
        <f t="shared" si="2"/>
        <v/>
      </c>
      <c r="M40" s="8"/>
      <c r="N40" s="8"/>
      <c r="O40" s="8"/>
      <c r="P40" s="8"/>
      <c r="Q40" s="8"/>
      <c r="R40" s="8"/>
      <c r="S40" s="8"/>
      <c r="T40" s="8"/>
      <c r="U40" s="8"/>
      <c r="V40" s="7"/>
      <c r="W40" s="6" t="str">
        <f t="array" ref="W40">IF(NOT(ISBLANK(D40)),_xludf.XLOOKUP(D40,[2]CODE!$A$4:$A$100,[2]CODE!$D$4:$D$100),"")</f>
        <v/>
      </c>
      <c r="X40" s="5" t="str">
        <f t="array" ref="X40">IF(NOT(AND(ISBLANK(D40),ISBLANK(C40))),_xludf.XLOOKUP(D40,[2]CODE!$A$4:$A$100,[2]CODE!$E$4:$E$100),"")</f>
        <v/>
      </c>
      <c r="Y40" s="5" t="str">
        <f t="shared" si="3"/>
        <v/>
      </c>
      <c r="Z40" s="5" t="str">
        <f t="shared" si="4"/>
        <v/>
      </c>
      <c r="AA40" s="4">
        <f t="shared" si="5"/>
        <v>0</v>
      </c>
      <c r="AC40" s="2"/>
    </row>
    <row r="41" spans="1:38" ht="15.5">
      <c r="A41" s="13" t="str">
        <f>IF(OR(ISBLANK(C41),ISBLANK(D41),ISBLANK(F41),ISBLANK(G41)),"",COUNTIF($B$5:B41,"JAMBUTU"))</f>
        <v/>
      </c>
      <c r="B41" s="8"/>
      <c r="C41" s="8"/>
      <c r="D41" s="8"/>
      <c r="E41" s="13"/>
      <c r="F41" s="12"/>
      <c r="G41" s="11"/>
      <c r="H41" s="12"/>
      <c r="I41" s="11"/>
      <c r="J41" s="10">
        <f t="shared" si="0"/>
        <v>0</v>
      </c>
      <c r="K41" s="10">
        <f t="shared" si="1"/>
        <v>0</v>
      </c>
      <c r="L41" s="9" t="str">
        <f t="shared" si="2"/>
        <v/>
      </c>
      <c r="M41" s="8"/>
      <c r="N41" s="8"/>
      <c r="O41" s="8"/>
      <c r="P41" s="8"/>
      <c r="Q41" s="8"/>
      <c r="R41" s="8"/>
      <c r="S41" s="8"/>
      <c r="T41" s="8"/>
      <c r="U41" s="8"/>
      <c r="V41" s="7"/>
      <c r="W41" s="6" t="str">
        <f t="array" ref="W41">IF(NOT(ISBLANK(D41)),_xludf.XLOOKUP(D41,[2]CODE!$A$4:$A$100,[2]CODE!$D$4:$D$100),"")</f>
        <v/>
      </c>
      <c r="X41" s="5" t="str">
        <f t="array" ref="X41">IF(NOT(AND(ISBLANK(D41),ISBLANK(C41))),_xludf.XLOOKUP(D41,[2]CODE!$A$4:$A$100,[2]CODE!$E$4:$E$100),"")</f>
        <v/>
      </c>
      <c r="Y41" s="5" t="str">
        <f t="shared" si="3"/>
        <v/>
      </c>
      <c r="Z41" s="5" t="str">
        <f t="shared" si="4"/>
        <v/>
      </c>
      <c r="AA41" s="4">
        <f t="shared" si="5"/>
        <v>0</v>
      </c>
      <c r="AC41" s="22"/>
    </row>
    <row r="42" spans="1:38" ht="15.5">
      <c r="A42" s="13" t="str">
        <f>IF(OR(ISBLANK(C42),ISBLANK(D42),ISBLANK(F42),ISBLANK(G42)),"",COUNTIF($B$5:B42,"JAMBUTU"))</f>
        <v/>
      </c>
      <c r="B42" s="8"/>
      <c r="C42" s="8"/>
      <c r="D42" s="8"/>
      <c r="E42" s="13"/>
      <c r="F42" s="12"/>
      <c r="G42" s="11"/>
      <c r="H42" s="12"/>
      <c r="I42" s="11"/>
      <c r="J42" s="10">
        <f t="shared" si="0"/>
        <v>0</v>
      </c>
      <c r="K42" s="10">
        <f t="shared" si="1"/>
        <v>0</v>
      </c>
      <c r="L42" s="9" t="str">
        <f t="shared" si="2"/>
        <v/>
      </c>
      <c r="M42" s="8"/>
      <c r="N42" s="8"/>
      <c r="O42" s="8"/>
      <c r="P42" s="8"/>
      <c r="Q42" s="8"/>
      <c r="R42" s="8"/>
      <c r="S42" s="8"/>
      <c r="T42" s="8"/>
      <c r="U42" s="8"/>
      <c r="V42" s="7"/>
      <c r="W42" s="6" t="str">
        <f t="array" ref="W42">IF(NOT(ISBLANK(D42)),_xludf.XLOOKUP(D42,[2]CODE!$A$4:$A$100,[2]CODE!$D$4:$D$100),"")</f>
        <v/>
      </c>
      <c r="X42" s="5" t="str">
        <f t="array" ref="X42">IF(NOT(AND(ISBLANK(D42),ISBLANK(C42))),_xludf.XLOOKUP(D42,[2]CODE!$A$4:$A$100,[2]CODE!$E$4:$E$100),"")</f>
        <v/>
      </c>
      <c r="Y42" s="5" t="str">
        <f t="shared" si="3"/>
        <v/>
      </c>
      <c r="Z42" s="5" t="str">
        <f t="shared" si="4"/>
        <v/>
      </c>
      <c r="AA42" s="4">
        <f t="shared" si="5"/>
        <v>0</v>
      </c>
      <c r="AC42" s="2"/>
    </row>
    <row r="43" spans="1:38" ht="15.5">
      <c r="A43" s="13" t="str">
        <f>IF(OR(ISBLANK(C43),ISBLANK(D43),ISBLANK(F43),ISBLANK(G43)),"",COUNTIF($B$5:B43,"JAMBUTU"))</f>
        <v/>
      </c>
      <c r="B43" s="8"/>
      <c r="C43" s="8"/>
      <c r="D43" s="8"/>
      <c r="E43" s="13"/>
      <c r="F43" s="12"/>
      <c r="G43" s="11"/>
      <c r="H43" s="12"/>
      <c r="I43" s="15"/>
      <c r="J43" s="10">
        <f t="shared" si="0"/>
        <v>0</v>
      </c>
      <c r="K43" s="10">
        <f t="shared" si="1"/>
        <v>0</v>
      </c>
      <c r="L43" s="9" t="str">
        <f t="shared" si="2"/>
        <v/>
      </c>
      <c r="M43" s="8"/>
      <c r="N43" s="8"/>
      <c r="O43" s="8"/>
      <c r="P43" s="8"/>
      <c r="Q43" s="8"/>
      <c r="R43" s="8"/>
      <c r="S43" s="8"/>
      <c r="T43" s="8"/>
      <c r="U43" s="8"/>
      <c r="V43" s="7"/>
      <c r="W43" s="6" t="str">
        <f t="array" ref="W43">IF(NOT(ISBLANK(D43)),_xludf.XLOOKUP(D43,[2]CODE!$A$4:$A$100,[2]CODE!$D$4:$D$100),"")</f>
        <v/>
      </c>
      <c r="X43" s="5" t="str">
        <f t="array" ref="X43">IF(NOT(AND(ISBLANK(D43),ISBLANK(C43))),_xludf.XLOOKUP(D43,[2]CODE!$A$4:$A$100,[2]CODE!$E$4:$E$100),"")</f>
        <v/>
      </c>
      <c r="Y43" s="5" t="str">
        <f t="shared" si="3"/>
        <v/>
      </c>
      <c r="Z43" s="5" t="str">
        <f t="shared" si="4"/>
        <v/>
      </c>
      <c r="AA43" s="4">
        <f t="shared" si="5"/>
        <v>0</v>
      </c>
      <c r="AB43" s="2"/>
      <c r="AC43" s="2"/>
    </row>
    <row r="44" spans="1:38" ht="15.5">
      <c r="A44" s="13" t="str">
        <f>IF(OR(ISBLANK(C44),ISBLANK(D44),ISBLANK(F44),ISBLANK(G44)),"",COUNTIF($B$5:B44,"JAMBUTU"))</f>
        <v/>
      </c>
      <c r="B44" s="8"/>
      <c r="C44" s="8"/>
      <c r="D44" s="8"/>
      <c r="E44" s="13"/>
      <c r="F44" s="12"/>
      <c r="G44" s="11"/>
      <c r="H44" s="12"/>
      <c r="I44" s="11"/>
      <c r="J44" s="10">
        <f t="shared" si="0"/>
        <v>0</v>
      </c>
      <c r="K44" s="10">
        <f t="shared" si="1"/>
        <v>0</v>
      </c>
      <c r="L44" s="9" t="str">
        <f t="shared" si="2"/>
        <v/>
      </c>
      <c r="M44" s="8"/>
      <c r="N44" s="8"/>
      <c r="O44" s="8"/>
      <c r="P44" s="8"/>
      <c r="Q44" s="8"/>
      <c r="R44" s="8"/>
      <c r="S44" s="8"/>
      <c r="T44" s="8"/>
      <c r="U44" s="8"/>
      <c r="V44" s="7"/>
      <c r="W44" s="6" t="str">
        <f t="array" ref="W44">IF(NOT(ISBLANK(D44)),_xludf.XLOOKUP(D44,[2]CODE!$A$4:$A$100,[2]CODE!$D$4:$D$100),"")</f>
        <v/>
      </c>
      <c r="X44" s="5" t="str">
        <f t="array" ref="X44">IF(NOT(AND(ISBLANK(D44),ISBLANK(C44))),_xludf.XLOOKUP(D44,[2]CODE!$A$4:$A$100,[2]CODE!$E$4:$E$100),"")</f>
        <v/>
      </c>
      <c r="Y44" s="5" t="str">
        <f t="shared" si="3"/>
        <v/>
      </c>
      <c r="Z44" s="5" t="str">
        <f t="shared" si="4"/>
        <v/>
      </c>
      <c r="AA44" s="4">
        <f t="shared" si="5"/>
        <v>0</v>
      </c>
      <c r="AC44" s="2"/>
    </row>
    <row r="45" spans="1:38" ht="15.5">
      <c r="A45" s="13" t="str">
        <f>IF(OR(ISBLANK(C45),ISBLANK(D45),ISBLANK(F45),ISBLANK(G45)),"",COUNTIF($B$5:B45,"JAMBUTU"))</f>
        <v/>
      </c>
      <c r="B45" s="8"/>
      <c r="C45" s="8"/>
      <c r="D45" s="8"/>
      <c r="E45" s="13"/>
      <c r="F45" s="12"/>
      <c r="G45" s="11"/>
      <c r="H45" s="12"/>
      <c r="I45" s="11"/>
      <c r="J45" s="10">
        <f t="shared" si="0"/>
        <v>0</v>
      </c>
      <c r="K45" s="10">
        <f t="shared" si="1"/>
        <v>0</v>
      </c>
      <c r="L45" s="9" t="str">
        <f t="shared" si="2"/>
        <v/>
      </c>
      <c r="M45" s="8"/>
      <c r="N45" s="8"/>
      <c r="O45" s="8"/>
      <c r="P45" s="8"/>
      <c r="Q45" s="8"/>
      <c r="R45" s="8"/>
      <c r="S45" s="8"/>
      <c r="T45" s="8"/>
      <c r="U45" s="8"/>
      <c r="V45" s="7"/>
      <c r="W45" s="6" t="str">
        <f t="array" ref="W45">IF(NOT(ISBLANK(D45)),_xludf.XLOOKUP(D45,[2]CODE!$A$4:$A$100,[2]CODE!$D$4:$D$100),"")</f>
        <v/>
      </c>
      <c r="X45" s="5" t="str">
        <f t="array" ref="X45">IF(NOT(AND(ISBLANK(D45),ISBLANK(C45))),_xludf.XLOOKUP(D45,[2]CODE!$A$4:$A$100,[2]CODE!$E$4:$E$100),"")</f>
        <v/>
      </c>
      <c r="Y45" s="5" t="str">
        <f t="shared" si="3"/>
        <v/>
      </c>
      <c r="Z45" s="5" t="str">
        <f t="shared" si="4"/>
        <v/>
      </c>
      <c r="AA45" s="4">
        <f t="shared" si="5"/>
        <v>0</v>
      </c>
      <c r="AC45" s="2"/>
    </row>
    <row r="46" spans="1:38" ht="15.5">
      <c r="A46" s="13" t="str">
        <f>IF(OR(ISBLANK(C46),ISBLANK(D46),ISBLANK(F46),ISBLANK(G46)),"",COUNTIF($B$5:B46,"JAMBUTU"))</f>
        <v/>
      </c>
      <c r="B46" s="8"/>
      <c r="C46" s="8"/>
      <c r="D46" s="8"/>
      <c r="E46" s="13"/>
      <c r="F46" s="12"/>
      <c r="G46" s="11"/>
      <c r="H46" s="12"/>
      <c r="I46" s="11"/>
      <c r="J46" s="10">
        <f t="shared" si="0"/>
        <v>0</v>
      </c>
      <c r="K46" s="10">
        <f t="shared" si="1"/>
        <v>0</v>
      </c>
      <c r="L46" s="9" t="str">
        <f t="shared" si="2"/>
        <v/>
      </c>
      <c r="M46" s="8"/>
      <c r="N46" s="8"/>
      <c r="O46" s="8"/>
      <c r="P46" s="8"/>
      <c r="Q46" s="8"/>
      <c r="R46" s="8"/>
      <c r="S46" s="8"/>
      <c r="T46" s="8"/>
      <c r="U46" s="8"/>
      <c r="V46" s="7"/>
      <c r="W46" s="6" t="str">
        <f t="array" ref="W46">IF(NOT(ISBLANK(D46)),_xludf.XLOOKUP(D46,[2]CODE!$A$4:$A$100,[2]CODE!$D$4:$D$100),"")</f>
        <v/>
      </c>
      <c r="X46" s="5" t="str">
        <f t="array" ref="X46">IF(NOT(AND(ISBLANK(D46),ISBLANK(C46))),_xludf.XLOOKUP(D46,[2]CODE!$A$4:$A$100,[2]CODE!$E$4:$E$100),"")</f>
        <v/>
      </c>
      <c r="Y46" s="5" t="str">
        <f t="shared" si="3"/>
        <v/>
      </c>
      <c r="Z46" s="5" t="str">
        <f t="shared" si="4"/>
        <v/>
      </c>
      <c r="AA46" s="4">
        <f t="shared" si="5"/>
        <v>0</v>
      </c>
      <c r="AC46" s="2"/>
    </row>
    <row r="47" spans="1:38" ht="15.5">
      <c r="A47" s="13" t="str">
        <f>IF(OR(ISBLANK(C47),ISBLANK(D47),ISBLANK(F47),ISBLANK(G47)),"",COUNTIF($B$5:B47,"JAMBUTU"))</f>
        <v/>
      </c>
      <c r="B47" s="8"/>
      <c r="C47" s="8"/>
      <c r="D47" s="8"/>
      <c r="E47" s="13"/>
      <c r="F47" s="12"/>
      <c r="G47" s="11"/>
      <c r="H47" s="12"/>
      <c r="I47" s="11"/>
      <c r="J47" s="10">
        <f t="shared" si="0"/>
        <v>0</v>
      </c>
      <c r="K47" s="10">
        <f t="shared" si="1"/>
        <v>0</v>
      </c>
      <c r="L47" s="9" t="str">
        <f t="shared" si="2"/>
        <v/>
      </c>
      <c r="M47" s="8"/>
      <c r="N47" s="8"/>
      <c r="O47" s="8"/>
      <c r="P47" s="8"/>
      <c r="Q47" s="8"/>
      <c r="R47" s="8"/>
      <c r="S47" s="8"/>
      <c r="T47" s="8"/>
      <c r="U47" s="8"/>
      <c r="V47" s="7"/>
      <c r="W47" s="6" t="str">
        <f t="array" ref="W47">IF(NOT(ISBLANK(D47)),_xludf.XLOOKUP(D47,[2]CODE!$A$4:$A$100,[2]CODE!$D$4:$D$100),"")</f>
        <v/>
      </c>
      <c r="X47" s="5" t="str">
        <f t="array" ref="X47">IF(NOT(AND(ISBLANK(D47),ISBLANK(C47))),_xludf.XLOOKUP(D47,[2]CODE!$A$4:$A$100,[2]CODE!$E$4:$E$100),"")</f>
        <v/>
      </c>
      <c r="Y47" s="5" t="str">
        <f t="shared" si="3"/>
        <v/>
      </c>
      <c r="Z47" s="5" t="str">
        <f t="shared" si="4"/>
        <v/>
      </c>
      <c r="AA47" s="4">
        <f t="shared" si="5"/>
        <v>0</v>
      </c>
      <c r="AC47" s="2"/>
    </row>
    <row r="48" spans="1:38" ht="15.5">
      <c r="A48" s="13" t="str">
        <f>IF(OR(ISBLANK(C48),ISBLANK(D48),ISBLANK(F48),ISBLANK(G48)),"",COUNTIF($B$5:B48,"JAMBUTU"))</f>
        <v/>
      </c>
      <c r="B48" s="8"/>
      <c r="C48" s="8"/>
      <c r="D48" s="8"/>
      <c r="E48" s="13"/>
      <c r="F48" s="12"/>
      <c r="G48" s="11"/>
      <c r="H48" s="12"/>
      <c r="I48" s="11"/>
      <c r="J48" s="10">
        <f t="shared" si="0"/>
        <v>0</v>
      </c>
      <c r="K48" s="10">
        <f t="shared" si="1"/>
        <v>0</v>
      </c>
      <c r="L48" s="9" t="str">
        <f t="shared" si="2"/>
        <v/>
      </c>
      <c r="M48" s="8"/>
      <c r="N48" s="8"/>
      <c r="O48" s="8"/>
      <c r="P48" s="8"/>
      <c r="Q48" s="8"/>
      <c r="R48" s="8"/>
      <c r="S48" s="8"/>
      <c r="T48" s="8"/>
      <c r="U48" s="8"/>
      <c r="V48" s="7"/>
      <c r="W48" s="6" t="str">
        <f t="array" ref="W48">IF(NOT(ISBLANK(D48)),_xludf.XLOOKUP(D48,[2]CODE!$A$4:$A$100,[2]CODE!$D$4:$D$100),"")</f>
        <v/>
      </c>
      <c r="X48" s="5" t="str">
        <f t="array" ref="X48">IF(NOT(AND(ISBLANK(D48),ISBLANK(C48))),_xludf.XLOOKUP(D48,[2]CODE!$A$4:$A$100,[2]CODE!$E$4:$E$100),"")</f>
        <v/>
      </c>
      <c r="Y48" s="5" t="str">
        <f t="shared" si="3"/>
        <v/>
      </c>
      <c r="Z48" s="5" t="str">
        <f t="shared" si="4"/>
        <v/>
      </c>
      <c r="AA48" s="4">
        <f t="shared" si="5"/>
        <v>0</v>
      </c>
      <c r="AC48" s="2"/>
    </row>
    <row r="49" spans="1:29" ht="15.5">
      <c r="A49" s="13" t="str">
        <f>IF(OR(ISBLANK(C49),ISBLANK(D49),ISBLANK(F49),ISBLANK(G49)),"",COUNTIF($B$5:B49,"JAMBUTU"))</f>
        <v/>
      </c>
      <c r="B49" s="8"/>
      <c r="C49" s="8"/>
      <c r="D49" s="8"/>
      <c r="E49" s="13"/>
      <c r="F49" s="12"/>
      <c r="G49" s="11"/>
      <c r="H49" s="12"/>
      <c r="I49" s="11"/>
      <c r="J49" s="10">
        <f t="shared" si="0"/>
        <v>0</v>
      </c>
      <c r="K49" s="10">
        <f t="shared" si="1"/>
        <v>0</v>
      </c>
      <c r="L49" s="9" t="str">
        <f t="shared" si="2"/>
        <v/>
      </c>
      <c r="M49" s="8"/>
      <c r="N49" s="8"/>
      <c r="O49" s="8"/>
      <c r="P49" s="8"/>
      <c r="Q49" s="8"/>
      <c r="R49" s="8"/>
      <c r="S49" s="8"/>
      <c r="T49" s="8"/>
      <c r="U49" s="8"/>
      <c r="V49" s="7"/>
      <c r="W49" s="6" t="str">
        <f t="array" ref="W49">IF(NOT(ISBLANK(D49)),_xludf.XLOOKUP(D49,[2]CODE!$A$4:$A$100,[2]CODE!$D$4:$D$100),"")</f>
        <v/>
      </c>
      <c r="X49" s="5" t="str">
        <f t="array" ref="X49">IF(NOT(AND(ISBLANK(D49),ISBLANK(C49))),_xludf.XLOOKUP(D49,[2]CODE!$A$4:$A$100,[2]CODE!$E$4:$E$100),"")</f>
        <v/>
      </c>
      <c r="Y49" s="5" t="str">
        <f t="shared" si="3"/>
        <v/>
      </c>
      <c r="Z49" s="5" t="str">
        <f t="shared" si="4"/>
        <v/>
      </c>
      <c r="AA49" s="4">
        <f t="shared" si="5"/>
        <v>0</v>
      </c>
      <c r="AC49" s="2"/>
    </row>
    <row r="50" spans="1:29" ht="15.5">
      <c r="A50" s="13" t="str">
        <f>IF(OR(ISBLANK(C50),ISBLANK(D50),ISBLANK(F50),ISBLANK(G50)),"",COUNTIF($B$5:B50,"JAMBUTU"))</f>
        <v/>
      </c>
      <c r="B50" s="8"/>
      <c r="C50" s="8"/>
      <c r="D50" s="8"/>
      <c r="E50" s="13"/>
      <c r="F50" s="12"/>
      <c r="G50" s="11"/>
      <c r="H50" s="12"/>
      <c r="I50" s="11"/>
      <c r="J50" s="10">
        <f t="shared" si="0"/>
        <v>0</v>
      </c>
      <c r="K50" s="10">
        <f t="shared" si="1"/>
        <v>0</v>
      </c>
      <c r="L50" s="9" t="str">
        <f t="shared" si="2"/>
        <v/>
      </c>
      <c r="M50" s="8"/>
      <c r="N50" s="8"/>
      <c r="O50" s="8"/>
      <c r="P50" s="8"/>
      <c r="Q50" s="8"/>
      <c r="R50" s="8"/>
      <c r="S50" s="8"/>
      <c r="T50" s="8"/>
      <c r="U50" s="8"/>
      <c r="V50" s="7"/>
      <c r="W50" s="6" t="str">
        <f t="array" ref="W50">IF(NOT(ISBLANK(D50)),_xludf.XLOOKUP(D50,[2]CODE!$A$4:$A$100,[2]CODE!$D$4:$D$100),"")</f>
        <v/>
      </c>
      <c r="X50" s="5" t="str">
        <f t="array" ref="X50">IF(NOT(AND(ISBLANK(D50),ISBLANK(C50))),_xludf.XLOOKUP(D50,[2]CODE!$A$4:$A$100,[2]CODE!$E$4:$E$100),"")</f>
        <v/>
      </c>
      <c r="Y50" s="5" t="str">
        <f t="shared" si="3"/>
        <v/>
      </c>
      <c r="Z50" s="5" t="str">
        <f t="shared" si="4"/>
        <v/>
      </c>
      <c r="AA50" s="4">
        <f t="shared" si="5"/>
        <v>0</v>
      </c>
      <c r="AC50" s="2"/>
    </row>
    <row r="51" spans="1:29" ht="15.5">
      <c r="A51" s="13" t="str">
        <f>IF(OR(ISBLANK(C51),ISBLANK(D51),ISBLANK(F51),ISBLANK(G51)),"",COUNTIF($B$5:B51,"JAMBUTU"))</f>
        <v/>
      </c>
      <c r="B51" s="8"/>
      <c r="C51" s="8"/>
      <c r="D51" s="8"/>
      <c r="E51" s="13"/>
      <c r="F51" s="12"/>
      <c r="G51" s="11"/>
      <c r="H51" s="12"/>
      <c r="I51" s="11"/>
      <c r="J51" s="10">
        <f t="shared" si="0"/>
        <v>0</v>
      </c>
      <c r="K51" s="10">
        <f t="shared" si="1"/>
        <v>0</v>
      </c>
      <c r="L51" s="9" t="str">
        <f t="shared" si="2"/>
        <v/>
      </c>
      <c r="M51" s="8"/>
      <c r="N51" s="8"/>
      <c r="O51" s="8"/>
      <c r="P51" s="8"/>
      <c r="Q51" s="8"/>
      <c r="R51" s="8"/>
      <c r="S51" s="8"/>
      <c r="T51" s="8"/>
      <c r="U51" s="8"/>
      <c r="V51" s="7"/>
      <c r="W51" s="6" t="str">
        <f t="array" ref="W51">IF(NOT(ISBLANK(D51)),_xludf.XLOOKUP(D51,[2]CODE!$A$4:$A$100,[2]CODE!$D$4:$D$100),"")</f>
        <v/>
      </c>
      <c r="X51" s="5" t="str">
        <f t="array" ref="X51">IF(NOT(AND(ISBLANK(D51),ISBLANK(C51))),_xludf.XLOOKUP(D51,[2]CODE!$A$4:$A$100,[2]CODE!$E$4:$E$100),"")</f>
        <v/>
      </c>
      <c r="Y51" s="5" t="str">
        <f t="shared" si="3"/>
        <v/>
      </c>
      <c r="Z51" s="5" t="str">
        <f t="shared" si="4"/>
        <v/>
      </c>
      <c r="AA51" s="4">
        <f t="shared" si="5"/>
        <v>0</v>
      </c>
      <c r="AC51" s="2"/>
    </row>
    <row r="52" spans="1:29" ht="15.5">
      <c r="A52" s="13" t="str">
        <f>IF(OR(ISBLANK(C52),ISBLANK(D52),ISBLANK(F52),ISBLANK(G52)),"",COUNTIF($B$5:B52,"JAMBUTU"))</f>
        <v/>
      </c>
      <c r="B52" s="8"/>
      <c r="C52" s="8"/>
      <c r="D52" s="8"/>
      <c r="E52" s="13"/>
      <c r="F52" s="12"/>
      <c r="G52" s="11"/>
      <c r="H52" s="12"/>
      <c r="I52" s="11"/>
      <c r="J52" s="10">
        <f t="shared" si="0"/>
        <v>0</v>
      </c>
      <c r="K52" s="10">
        <f t="shared" si="1"/>
        <v>0</v>
      </c>
      <c r="L52" s="9" t="str">
        <f t="shared" si="2"/>
        <v/>
      </c>
      <c r="M52" s="8"/>
      <c r="N52" s="8"/>
      <c r="O52" s="8"/>
      <c r="P52" s="8"/>
      <c r="Q52" s="8"/>
      <c r="R52" s="8"/>
      <c r="S52" s="8"/>
      <c r="T52" s="8"/>
      <c r="U52" s="8"/>
      <c r="V52" s="7"/>
      <c r="W52" s="6" t="str">
        <f t="array" ref="W52">IF(NOT(ISBLANK(D52)),_xludf.XLOOKUP(D52,[2]CODE!$A$4:$A$100,[2]CODE!$D$4:$D$100),"")</f>
        <v/>
      </c>
      <c r="X52" s="5" t="str">
        <f t="array" ref="X52">IF(NOT(AND(ISBLANK(D52),ISBLANK(C52))),_xludf.XLOOKUP(D52,[2]CODE!$A$4:$A$100,[2]CODE!$E$4:$E$100),"")</f>
        <v/>
      </c>
      <c r="Y52" s="5" t="str">
        <f t="shared" si="3"/>
        <v/>
      </c>
      <c r="Z52" s="5" t="str">
        <f t="shared" si="4"/>
        <v/>
      </c>
      <c r="AA52" s="4">
        <f t="shared" si="5"/>
        <v>0</v>
      </c>
      <c r="AC52" s="2"/>
    </row>
    <row r="53" spans="1:29" ht="15.5">
      <c r="A53" s="13" t="str">
        <f>IF(OR(ISBLANK(C53),ISBLANK(D53),ISBLANK(F53),ISBLANK(G53)),"",COUNTIF($B$5:B53,"JAMBUTU"))</f>
        <v/>
      </c>
      <c r="B53" s="8"/>
      <c r="C53" s="8"/>
      <c r="D53" s="8"/>
      <c r="E53" s="13"/>
      <c r="F53" s="12"/>
      <c r="G53" s="11"/>
      <c r="H53" s="12"/>
      <c r="I53" s="11"/>
      <c r="J53" s="10">
        <f t="shared" si="0"/>
        <v>0</v>
      </c>
      <c r="K53" s="10">
        <f t="shared" si="1"/>
        <v>0</v>
      </c>
      <c r="L53" s="9" t="str">
        <f t="shared" si="2"/>
        <v/>
      </c>
      <c r="M53" s="8"/>
      <c r="N53" s="8"/>
      <c r="O53" s="8"/>
      <c r="P53" s="8"/>
      <c r="Q53" s="8"/>
      <c r="R53" s="8"/>
      <c r="S53" s="8"/>
      <c r="T53" s="8"/>
      <c r="U53" s="8"/>
      <c r="V53" s="7"/>
      <c r="W53" s="6" t="str">
        <f t="array" ref="W53">IF(NOT(ISBLANK(D53)),_xludf.XLOOKUP(D53,[2]CODE!$A$4:$A$100,[2]CODE!$D$4:$D$100),"")</f>
        <v/>
      </c>
      <c r="X53" s="5" t="str">
        <f t="array" ref="X53">IF(NOT(AND(ISBLANK(D53),ISBLANK(C53))),_xludf.XLOOKUP(D53,[2]CODE!$A$4:$A$100,[2]CODE!$E$4:$E$100),"")</f>
        <v/>
      </c>
      <c r="Y53" s="5" t="str">
        <f t="shared" si="3"/>
        <v/>
      </c>
      <c r="Z53" s="5" t="str">
        <f t="shared" si="4"/>
        <v/>
      </c>
      <c r="AA53" s="4">
        <f t="shared" si="5"/>
        <v>0</v>
      </c>
      <c r="AC53" s="2"/>
    </row>
    <row r="54" spans="1:29" ht="15.5">
      <c r="A54" s="13" t="str">
        <f>IF(OR(ISBLANK(C54),ISBLANK(D54),ISBLANK(F54),ISBLANK(G54)),"",COUNTIF($B$5:B54,"JAMBUTU"))</f>
        <v/>
      </c>
      <c r="B54" s="8"/>
      <c r="C54" s="8"/>
      <c r="D54" s="8"/>
      <c r="E54" s="13"/>
      <c r="F54" s="12"/>
      <c r="G54" s="11"/>
      <c r="H54" s="12"/>
      <c r="I54" s="11"/>
      <c r="J54" s="10">
        <f t="shared" si="0"/>
        <v>0</v>
      </c>
      <c r="K54" s="10">
        <f t="shared" si="1"/>
        <v>0</v>
      </c>
      <c r="L54" s="9" t="str">
        <f t="shared" si="2"/>
        <v/>
      </c>
      <c r="M54" s="8"/>
      <c r="N54" s="8"/>
      <c r="O54" s="8"/>
      <c r="P54" s="8"/>
      <c r="Q54" s="8"/>
      <c r="R54" s="8"/>
      <c r="S54" s="8"/>
      <c r="T54" s="8"/>
      <c r="U54" s="8"/>
      <c r="V54" s="7"/>
      <c r="W54" s="6" t="str">
        <f t="array" ref="W54">IF(NOT(ISBLANK(D54)),_xludf.XLOOKUP(D54,[2]CODE!$A$4:$A$100,[2]CODE!$D$4:$D$100),"")</f>
        <v/>
      </c>
      <c r="X54" s="5" t="str">
        <f t="array" ref="X54">IF(NOT(AND(ISBLANK(D54),ISBLANK(C54))),_xludf.XLOOKUP(D54,[2]CODE!$A$4:$A$100,[2]CODE!$E$4:$E$100),"")</f>
        <v/>
      </c>
      <c r="Y54" s="5" t="str">
        <f t="shared" si="3"/>
        <v/>
      </c>
      <c r="Z54" s="5" t="str">
        <f t="shared" si="4"/>
        <v/>
      </c>
      <c r="AA54" s="4">
        <f t="shared" si="5"/>
        <v>0</v>
      </c>
      <c r="AC54" s="2"/>
    </row>
    <row r="55" spans="1:29" ht="15.5">
      <c r="A55" s="13" t="str">
        <f>IF(OR(ISBLANK(C55),ISBLANK(D55),ISBLANK(F55),ISBLANK(G55)),"",COUNTIF($B$5:B55,"JAMBUTU"))</f>
        <v/>
      </c>
      <c r="B55" s="8"/>
      <c r="C55" s="8"/>
      <c r="D55" s="8"/>
      <c r="E55" s="13"/>
      <c r="F55" s="12"/>
      <c r="G55" s="11"/>
      <c r="H55" s="12"/>
      <c r="I55" s="11"/>
      <c r="J55" s="10">
        <f t="shared" si="0"/>
        <v>0</v>
      </c>
      <c r="K55" s="10">
        <f t="shared" si="1"/>
        <v>0</v>
      </c>
      <c r="L55" s="9" t="str">
        <f t="shared" si="2"/>
        <v/>
      </c>
      <c r="M55" s="8"/>
      <c r="N55" s="8"/>
      <c r="O55" s="8"/>
      <c r="P55" s="8"/>
      <c r="Q55" s="8"/>
      <c r="R55" s="8"/>
      <c r="S55" s="8"/>
      <c r="T55" s="8"/>
      <c r="U55" s="8"/>
      <c r="V55" s="7"/>
      <c r="W55" s="6" t="str">
        <f t="array" ref="W55">IF(NOT(ISBLANK(D55)),_xludf.XLOOKUP(D55,[2]CODE!$A$4:$A$100,[2]CODE!$D$4:$D$100),"")</f>
        <v/>
      </c>
      <c r="X55" s="5" t="str">
        <f t="array" ref="X55">IF(NOT(AND(ISBLANK(D55),ISBLANK(C55))),_xludf.XLOOKUP(D55,[2]CODE!$A$4:$A$100,[2]CODE!$E$4:$E$100),"")</f>
        <v/>
      </c>
      <c r="Y55" s="5" t="str">
        <f t="shared" si="3"/>
        <v/>
      </c>
      <c r="Z55" s="5" t="str">
        <f t="shared" si="4"/>
        <v/>
      </c>
      <c r="AA55" s="4">
        <f t="shared" si="5"/>
        <v>0</v>
      </c>
      <c r="AC55" s="2"/>
    </row>
    <row r="56" spans="1:29" ht="15.5">
      <c r="A56" s="13" t="str">
        <f>IF(OR(ISBLANK(C56),ISBLANK(D56),ISBLANK(F56),ISBLANK(G56)),"",COUNTIF($B$5:B56,"JAMBUTU"))</f>
        <v/>
      </c>
      <c r="B56" s="8"/>
      <c r="C56" s="8"/>
      <c r="D56" s="8"/>
      <c r="E56" s="13"/>
      <c r="F56" s="12"/>
      <c r="G56" s="11"/>
      <c r="H56" s="12"/>
      <c r="I56" s="11"/>
      <c r="J56" s="10">
        <f t="shared" si="0"/>
        <v>0</v>
      </c>
      <c r="K56" s="10">
        <f t="shared" si="1"/>
        <v>0</v>
      </c>
      <c r="L56" s="9" t="str">
        <f t="shared" si="2"/>
        <v/>
      </c>
      <c r="M56" s="8"/>
      <c r="N56" s="8"/>
      <c r="O56" s="8"/>
      <c r="P56" s="8"/>
      <c r="Q56" s="8"/>
      <c r="R56" s="8"/>
      <c r="S56" s="8"/>
      <c r="T56" s="8"/>
      <c r="U56" s="8"/>
      <c r="V56" s="7"/>
      <c r="W56" s="6" t="str">
        <f t="array" ref="W56">IF(NOT(ISBLANK(D56)),_xludf.XLOOKUP(D56,[2]CODE!$A$4:$A$100,[2]CODE!$D$4:$D$100),"")</f>
        <v/>
      </c>
      <c r="X56" s="5" t="str">
        <f t="array" ref="X56">IF(NOT(AND(ISBLANK(D56),ISBLANK(C56))),_xludf.XLOOKUP(D56,[2]CODE!$A$4:$A$100,[2]CODE!$E$4:$E$100),"")</f>
        <v/>
      </c>
      <c r="Y56" s="5" t="str">
        <f t="shared" si="3"/>
        <v/>
      </c>
      <c r="Z56" s="5" t="str">
        <f t="shared" si="4"/>
        <v/>
      </c>
      <c r="AA56" s="4">
        <f t="shared" si="5"/>
        <v>0</v>
      </c>
      <c r="AC56" s="2"/>
    </row>
    <row r="57" spans="1:29" ht="15.5">
      <c r="A57" s="13" t="str">
        <f>IF(OR(ISBLANK(C57),ISBLANK(D57),ISBLANK(F57),ISBLANK(G57)),"",COUNTIF($B$5:B57,"JAMBUTU"))</f>
        <v/>
      </c>
      <c r="B57" s="8"/>
      <c r="C57" s="8"/>
      <c r="D57" s="8"/>
      <c r="E57" s="13"/>
      <c r="F57" s="12"/>
      <c r="G57" s="11"/>
      <c r="H57" s="12"/>
      <c r="I57" s="11"/>
      <c r="J57" s="10">
        <f t="shared" si="0"/>
        <v>0</v>
      </c>
      <c r="K57" s="10">
        <f t="shared" si="1"/>
        <v>0</v>
      </c>
      <c r="L57" s="9" t="str">
        <f t="shared" si="2"/>
        <v/>
      </c>
      <c r="M57" s="8"/>
      <c r="N57" s="8"/>
      <c r="O57" s="8"/>
      <c r="P57" s="8"/>
      <c r="Q57" s="8"/>
      <c r="R57" s="8"/>
      <c r="S57" s="8"/>
      <c r="T57" s="8"/>
      <c r="U57" s="8"/>
      <c r="V57" s="7"/>
      <c r="W57" s="6" t="str">
        <f t="array" ref="W57">IF(NOT(ISBLANK(D57)),_xludf.XLOOKUP(D57,[2]CODE!$A$4:$A$100,[2]CODE!$D$4:$D$100),"")</f>
        <v/>
      </c>
      <c r="X57" s="5" t="str">
        <f t="array" ref="X57">IF(NOT(AND(ISBLANK(D57),ISBLANK(C57))),_xludf.XLOOKUP(D57,[2]CODE!$A$4:$A$100,[2]CODE!$E$4:$E$100),"")</f>
        <v/>
      </c>
      <c r="Y57" s="5" t="str">
        <f t="shared" si="3"/>
        <v/>
      </c>
      <c r="Z57" s="5" t="str">
        <f t="shared" si="4"/>
        <v/>
      </c>
      <c r="AA57" s="4">
        <f t="shared" si="5"/>
        <v>0</v>
      </c>
      <c r="AC57" s="2"/>
    </row>
    <row r="58" spans="1:29" ht="15.5">
      <c r="A58" s="13" t="str">
        <f>IF(OR(ISBLANK(C58),ISBLANK(D58),ISBLANK(F58),ISBLANK(G58)),"",COUNTIF($B$5:B58,"JAMBUTU"))</f>
        <v/>
      </c>
      <c r="B58" s="8"/>
      <c r="C58" s="8"/>
      <c r="D58" s="8"/>
      <c r="E58" s="13"/>
      <c r="F58" s="12"/>
      <c r="G58" s="11"/>
      <c r="H58" s="12"/>
      <c r="I58" s="11"/>
      <c r="J58" s="10">
        <f t="shared" si="0"/>
        <v>0</v>
      </c>
      <c r="K58" s="10">
        <f t="shared" si="1"/>
        <v>0</v>
      </c>
      <c r="L58" s="9" t="str">
        <f t="shared" si="2"/>
        <v/>
      </c>
      <c r="M58" s="8"/>
      <c r="N58" s="8"/>
      <c r="O58" s="8"/>
      <c r="P58" s="8"/>
      <c r="Q58" s="8"/>
      <c r="R58" s="8"/>
      <c r="S58" s="8"/>
      <c r="T58" s="8"/>
      <c r="U58" s="8"/>
      <c r="V58" s="7"/>
      <c r="W58" s="6" t="str">
        <f t="array" ref="W58">IF(NOT(ISBLANK(D58)),_xludf.XLOOKUP(D58,[2]CODE!$A$4:$A$100,[2]CODE!$D$4:$D$100),"")</f>
        <v/>
      </c>
      <c r="X58" s="5" t="str">
        <f t="array" ref="X58">IF(NOT(AND(ISBLANK(D58),ISBLANK(C58))),_xludf.XLOOKUP(D58,[2]CODE!$A$4:$A$100,[2]CODE!$E$4:$E$100),"")</f>
        <v/>
      </c>
      <c r="Y58" s="5" t="str">
        <f t="shared" si="3"/>
        <v/>
      </c>
      <c r="Z58" s="5" t="str">
        <f t="shared" si="4"/>
        <v/>
      </c>
      <c r="AA58" s="4">
        <f t="shared" si="5"/>
        <v>0</v>
      </c>
      <c r="AC58" s="2"/>
    </row>
    <row r="59" spans="1:29" ht="15.5">
      <c r="A59" s="13" t="str">
        <f>IF(OR(ISBLANK(C59),ISBLANK(D59),ISBLANK(F59),ISBLANK(G59)),"",COUNTIF($B$5:B59,"JAMBUTU"))</f>
        <v/>
      </c>
      <c r="B59" s="8"/>
      <c r="C59" s="8"/>
      <c r="D59" s="8"/>
      <c r="E59" s="13"/>
      <c r="F59" s="12"/>
      <c r="G59" s="11"/>
      <c r="H59" s="12"/>
      <c r="I59" s="11"/>
      <c r="J59" s="10">
        <f t="shared" si="0"/>
        <v>0</v>
      </c>
      <c r="K59" s="10">
        <f t="shared" si="1"/>
        <v>0</v>
      </c>
      <c r="L59" s="9" t="str">
        <f t="shared" si="2"/>
        <v/>
      </c>
      <c r="M59" s="8"/>
      <c r="N59" s="8"/>
      <c r="O59" s="8"/>
      <c r="P59" s="8"/>
      <c r="Q59" s="8"/>
      <c r="R59" s="8"/>
      <c r="S59" s="8"/>
      <c r="T59" s="8"/>
      <c r="U59" s="8"/>
      <c r="V59" s="7"/>
      <c r="W59" s="6" t="str">
        <f t="array" ref="W59">IF(NOT(ISBLANK(D59)),_xludf.XLOOKUP(D59,[2]CODE!$A$4:$A$100,[2]CODE!$D$4:$D$100),"")</f>
        <v/>
      </c>
      <c r="X59" s="5" t="str">
        <f t="array" ref="X59">IF(NOT(AND(ISBLANK(D59),ISBLANK(C59))),_xludf.XLOOKUP(D59,[2]CODE!$A$4:$A$100,[2]CODE!$E$4:$E$100),"")</f>
        <v/>
      </c>
      <c r="Y59" s="5" t="str">
        <f t="shared" si="3"/>
        <v/>
      </c>
      <c r="Z59" s="5" t="str">
        <f t="shared" si="4"/>
        <v/>
      </c>
      <c r="AA59" s="4">
        <f t="shared" si="5"/>
        <v>0</v>
      </c>
      <c r="AC59" s="2"/>
    </row>
    <row r="60" spans="1:29" ht="15.5">
      <c r="A60" s="13" t="str">
        <f>IF(OR(ISBLANK(C60),ISBLANK(D60),ISBLANK(F60),ISBLANK(G60)),"",COUNTIF($B$5:B60,"JAMBUTU"))</f>
        <v/>
      </c>
      <c r="B60" s="8"/>
      <c r="C60" s="8"/>
      <c r="D60" s="8"/>
      <c r="E60" s="13"/>
      <c r="F60" s="12"/>
      <c r="G60" s="11"/>
      <c r="H60" s="12"/>
      <c r="I60" s="11"/>
      <c r="J60" s="10">
        <f t="shared" si="0"/>
        <v>0</v>
      </c>
      <c r="K60" s="10">
        <f t="shared" si="1"/>
        <v>0</v>
      </c>
      <c r="L60" s="9" t="str">
        <f t="shared" si="2"/>
        <v/>
      </c>
      <c r="M60" s="8"/>
      <c r="N60" s="8"/>
      <c r="O60" s="8"/>
      <c r="P60" s="8"/>
      <c r="Q60" s="8"/>
      <c r="R60" s="8"/>
      <c r="S60" s="8"/>
      <c r="T60" s="8"/>
      <c r="U60" s="8"/>
      <c r="V60" s="7"/>
      <c r="W60" s="6" t="str">
        <f t="array" ref="W60">IF(NOT(ISBLANK(D60)),_xludf.XLOOKUP(D60,[2]CODE!$A$4:$A$100,[2]CODE!$D$4:$D$100),"")</f>
        <v/>
      </c>
      <c r="X60" s="5" t="str">
        <f t="array" ref="X60">IF(NOT(AND(ISBLANK(D60),ISBLANK(C60))),_xludf.XLOOKUP(D60,[2]CODE!$A$4:$A$100,[2]CODE!$E$4:$E$100),"")</f>
        <v/>
      </c>
      <c r="Y60" s="5" t="str">
        <f t="shared" si="3"/>
        <v/>
      </c>
      <c r="Z60" s="5" t="str">
        <f t="shared" si="4"/>
        <v/>
      </c>
      <c r="AA60" s="4">
        <f t="shared" si="5"/>
        <v>0</v>
      </c>
      <c r="AC60" s="2"/>
    </row>
    <row r="61" spans="1:29" ht="15.5">
      <c r="A61" s="13" t="str">
        <f>IF(OR(ISBLANK(C61),ISBLANK(D61),ISBLANK(F61),ISBLANK(G61)),"",COUNTIF($B$5:B61,"JAMBUTU"))</f>
        <v/>
      </c>
      <c r="B61" s="8"/>
      <c r="C61" s="8"/>
      <c r="D61" s="8"/>
      <c r="E61" s="13"/>
      <c r="F61" s="12"/>
      <c r="G61" s="11"/>
      <c r="H61" s="12"/>
      <c r="I61" s="11"/>
      <c r="J61" s="10">
        <f t="shared" si="0"/>
        <v>0</v>
      </c>
      <c r="K61" s="10">
        <f t="shared" si="1"/>
        <v>0</v>
      </c>
      <c r="L61" s="9" t="str">
        <f t="shared" si="2"/>
        <v/>
      </c>
      <c r="M61" s="8"/>
      <c r="N61" s="8"/>
      <c r="O61" s="8"/>
      <c r="P61" s="8"/>
      <c r="Q61" s="8"/>
      <c r="R61" s="8"/>
      <c r="S61" s="8"/>
      <c r="T61" s="8"/>
      <c r="U61" s="8"/>
      <c r="V61" s="7"/>
      <c r="W61" s="6" t="str">
        <f t="array" ref="W61">IF(NOT(ISBLANK(D61)),_xludf.XLOOKUP(D61,[2]CODE!$A$4:$A$100,[2]CODE!$D$4:$D$100),"")</f>
        <v/>
      </c>
      <c r="X61" s="5" t="str">
        <f t="array" ref="X61">IF(NOT(AND(ISBLANK(D61),ISBLANK(C61))),_xludf.XLOOKUP(D61,[2]CODE!$A$4:$A$100,[2]CODE!$E$4:$E$100),"")</f>
        <v/>
      </c>
      <c r="Y61" s="5" t="str">
        <f t="shared" si="3"/>
        <v/>
      </c>
      <c r="Z61" s="5" t="str">
        <f t="shared" si="4"/>
        <v/>
      </c>
      <c r="AA61" s="4">
        <f t="shared" si="5"/>
        <v>0</v>
      </c>
      <c r="AC61" s="2"/>
    </row>
    <row r="62" spans="1:29" ht="15.5">
      <c r="A62" s="13" t="str">
        <f>IF(OR(ISBLANK(C62),ISBLANK(D62),ISBLANK(F62),ISBLANK(G62)),"",COUNTIF($B$5:B62,"JAMBUTU"))</f>
        <v/>
      </c>
      <c r="B62" s="8"/>
      <c r="C62" s="8"/>
      <c r="D62" s="8"/>
      <c r="E62" s="13"/>
      <c r="F62" s="12"/>
      <c r="G62" s="11"/>
      <c r="H62" s="12"/>
      <c r="I62" s="11"/>
      <c r="J62" s="10">
        <f t="shared" si="0"/>
        <v>0</v>
      </c>
      <c r="K62" s="10">
        <f t="shared" si="1"/>
        <v>0</v>
      </c>
      <c r="L62" s="9" t="str">
        <f t="shared" si="2"/>
        <v/>
      </c>
      <c r="M62" s="8"/>
      <c r="N62" s="8"/>
      <c r="O62" s="8"/>
      <c r="P62" s="8"/>
      <c r="Q62" s="8"/>
      <c r="R62" s="8"/>
      <c r="S62" s="8"/>
      <c r="T62" s="8"/>
      <c r="U62" s="8"/>
      <c r="V62" s="7"/>
      <c r="W62" s="6" t="str">
        <f t="array" ref="W62">IF(NOT(ISBLANK(D62)),_xludf.XLOOKUP(D62,[2]CODE!$A$4:$A$100,[2]CODE!$D$4:$D$100),"")</f>
        <v/>
      </c>
      <c r="X62" s="5" t="str">
        <f t="array" ref="X62">IF(NOT(AND(ISBLANK(D62),ISBLANK(C62))),_xludf.XLOOKUP(D62,[2]CODE!$A$4:$A$100,[2]CODE!$E$4:$E$100),"")</f>
        <v/>
      </c>
      <c r="Y62" s="5" t="str">
        <f t="shared" si="3"/>
        <v/>
      </c>
      <c r="Z62" s="5" t="str">
        <f t="shared" si="4"/>
        <v/>
      </c>
      <c r="AA62" s="4">
        <f t="shared" si="5"/>
        <v>0</v>
      </c>
      <c r="AC62" s="2"/>
    </row>
    <row r="63" spans="1:29" ht="15.5">
      <c r="A63" s="13" t="str">
        <f>IF(OR(ISBLANK(C63),ISBLANK(D63),ISBLANK(F63),ISBLANK(G63)),"",COUNTIF($B$5:B63,"JAMBUTU"))</f>
        <v/>
      </c>
      <c r="B63" s="8"/>
      <c r="C63" s="8"/>
      <c r="D63" s="8"/>
      <c r="E63" s="13"/>
      <c r="F63" s="12"/>
      <c r="G63" s="11"/>
      <c r="H63" s="12"/>
      <c r="I63" s="11"/>
      <c r="J63" s="10">
        <f t="shared" si="0"/>
        <v>0</v>
      </c>
      <c r="K63" s="10">
        <f t="shared" si="1"/>
        <v>0</v>
      </c>
      <c r="L63" s="9" t="str">
        <f t="shared" si="2"/>
        <v/>
      </c>
      <c r="M63" s="8"/>
      <c r="N63" s="8"/>
      <c r="O63" s="8"/>
      <c r="P63" s="8"/>
      <c r="Q63" s="8"/>
      <c r="R63" s="8"/>
      <c r="S63" s="8"/>
      <c r="T63" s="8"/>
      <c r="U63" s="8"/>
      <c r="V63" s="7"/>
      <c r="W63" s="6" t="str">
        <f t="array" ref="W63">IF(NOT(ISBLANK(D63)),_xludf.XLOOKUP(D63,[2]CODE!$A$4:$A$100,[2]CODE!$D$4:$D$100),"")</f>
        <v/>
      </c>
      <c r="X63" s="5" t="str">
        <f t="array" ref="X63">IF(NOT(AND(ISBLANK(D63),ISBLANK(C63))),_xludf.XLOOKUP(D63,[2]CODE!$A$4:$A$100,[2]CODE!$E$4:$E$100),"")</f>
        <v/>
      </c>
      <c r="Y63" s="5" t="str">
        <f t="shared" si="3"/>
        <v/>
      </c>
      <c r="Z63" s="5" t="str">
        <f t="shared" si="4"/>
        <v/>
      </c>
      <c r="AA63" s="4">
        <f t="shared" si="5"/>
        <v>0</v>
      </c>
      <c r="AC63" s="2"/>
    </row>
    <row r="64" spans="1:29" ht="15.5">
      <c r="A64" s="13" t="str">
        <f>IF(OR(ISBLANK(C64),ISBLANK(D64),ISBLANK(F64),ISBLANK(G64)),"",COUNTIF($B$5:B64,"JAMBUTU"))</f>
        <v/>
      </c>
      <c r="B64" s="8"/>
      <c r="C64" s="8"/>
      <c r="D64" s="8"/>
      <c r="E64" s="13"/>
      <c r="F64" s="12"/>
      <c r="G64" s="11"/>
      <c r="H64" s="12"/>
      <c r="I64" s="11"/>
      <c r="J64" s="10">
        <f t="shared" si="0"/>
        <v>0</v>
      </c>
      <c r="K64" s="10">
        <f t="shared" si="1"/>
        <v>0</v>
      </c>
      <c r="L64" s="9" t="str">
        <f t="shared" si="2"/>
        <v/>
      </c>
      <c r="M64" s="8"/>
      <c r="N64" s="8"/>
      <c r="O64" s="8"/>
      <c r="P64" s="8"/>
      <c r="Q64" s="8"/>
      <c r="R64" s="8"/>
      <c r="S64" s="8"/>
      <c r="T64" s="8"/>
      <c r="U64" s="8"/>
      <c r="V64" s="7"/>
      <c r="W64" s="6" t="str">
        <f t="array" ref="W64">IF(NOT(ISBLANK(D64)),_xludf.XLOOKUP(D64,[2]CODE!$A$4:$A$100,[2]CODE!$D$4:$D$100),"")</f>
        <v/>
      </c>
      <c r="X64" s="5" t="str">
        <f t="array" ref="X64">IF(NOT(AND(ISBLANK(D64),ISBLANK(C64))),_xludf.XLOOKUP(D64,[2]CODE!$A$4:$A$100,[2]CODE!$E$4:$E$100),"")</f>
        <v/>
      </c>
      <c r="Y64" s="5" t="str">
        <f t="shared" si="3"/>
        <v/>
      </c>
      <c r="Z64" s="5" t="str">
        <f t="shared" si="4"/>
        <v/>
      </c>
      <c r="AA64" s="4">
        <f t="shared" si="5"/>
        <v>0</v>
      </c>
      <c r="AC64" s="2"/>
    </row>
    <row r="65" spans="1:29" ht="15.5">
      <c r="A65" s="13" t="str">
        <f>IF(OR(ISBLANK(C65),ISBLANK(D65),ISBLANK(F65),ISBLANK(G65)),"",COUNTIF($B$5:B65,"JAMBUTU"))</f>
        <v/>
      </c>
      <c r="B65" s="8"/>
      <c r="C65" s="8"/>
      <c r="D65" s="8"/>
      <c r="E65" s="13"/>
      <c r="F65" s="12"/>
      <c r="G65" s="11"/>
      <c r="H65" s="12"/>
      <c r="I65" s="11"/>
      <c r="J65" s="10">
        <f t="shared" si="0"/>
        <v>0</v>
      </c>
      <c r="K65" s="10">
        <f t="shared" si="1"/>
        <v>0</v>
      </c>
      <c r="L65" s="9" t="str">
        <f t="shared" si="2"/>
        <v/>
      </c>
      <c r="M65" s="8"/>
      <c r="N65" s="8"/>
      <c r="O65" s="8"/>
      <c r="P65" s="8"/>
      <c r="Q65" s="8"/>
      <c r="R65" s="8"/>
      <c r="S65" s="8"/>
      <c r="T65" s="8"/>
      <c r="U65" s="8"/>
      <c r="V65" s="7"/>
      <c r="W65" s="6" t="str">
        <f t="array" ref="W65">IF(NOT(ISBLANK(D65)),_xludf.XLOOKUP(D65,[2]CODE!$A$4:$A$100,[2]CODE!$D$4:$D$100),"")</f>
        <v/>
      </c>
      <c r="X65" s="5" t="str">
        <f t="array" ref="X65">IF(NOT(AND(ISBLANK(D65),ISBLANK(C65))),_xludf.XLOOKUP(D65,[2]CODE!$A$4:$A$100,[2]CODE!$E$4:$E$100),"")</f>
        <v/>
      </c>
      <c r="Y65" s="5" t="str">
        <f t="shared" si="3"/>
        <v/>
      </c>
      <c r="Z65" s="5" t="str">
        <f t="shared" si="4"/>
        <v/>
      </c>
      <c r="AA65" s="4">
        <f t="shared" si="5"/>
        <v>0</v>
      </c>
      <c r="AC65" s="2"/>
    </row>
    <row r="66" spans="1:29" ht="15.5">
      <c r="A66" s="13" t="str">
        <f>IF(OR(ISBLANK(C66),ISBLANK(D66),ISBLANK(F66),ISBLANK(G66)),"",COUNTIF($B$5:B66,"JAMBUTU"))</f>
        <v/>
      </c>
      <c r="B66" s="8"/>
      <c r="C66" s="8"/>
      <c r="D66" s="8"/>
      <c r="E66" s="13"/>
      <c r="F66" s="12"/>
      <c r="G66" s="11"/>
      <c r="H66" s="12"/>
      <c r="I66" s="11"/>
      <c r="J66" s="10">
        <f t="shared" si="0"/>
        <v>0</v>
      </c>
      <c r="K66" s="10">
        <f t="shared" si="1"/>
        <v>0</v>
      </c>
      <c r="L66" s="9" t="str">
        <f t="shared" si="2"/>
        <v/>
      </c>
      <c r="M66" s="8"/>
      <c r="N66" s="8"/>
      <c r="O66" s="8"/>
      <c r="P66" s="8"/>
      <c r="Q66" s="8"/>
      <c r="R66" s="8"/>
      <c r="S66" s="8"/>
      <c r="T66" s="8"/>
      <c r="U66" s="8"/>
      <c r="V66" s="7"/>
      <c r="W66" s="6" t="str">
        <f t="array" ref="W66">IF(NOT(ISBLANK(D66)),_xludf.XLOOKUP(D66,[2]CODE!$A$4:$A$100,[2]CODE!$D$4:$D$100),"")</f>
        <v/>
      </c>
      <c r="X66" s="5" t="str">
        <f t="array" ref="X66">IF(NOT(AND(ISBLANK(D66),ISBLANK(C66))),_xludf.XLOOKUP(D66,[2]CODE!$A$4:$A$100,[2]CODE!$E$4:$E$100),"")</f>
        <v/>
      </c>
      <c r="Y66" s="5" t="str">
        <f t="shared" si="3"/>
        <v/>
      </c>
      <c r="Z66" s="5" t="str">
        <f t="shared" si="4"/>
        <v/>
      </c>
      <c r="AA66" s="4">
        <f t="shared" si="5"/>
        <v>0</v>
      </c>
      <c r="AC66" s="2"/>
    </row>
    <row r="67" spans="1:29" ht="15.5">
      <c r="A67" s="13" t="str">
        <f>IF(OR(ISBLANK(C67),ISBLANK(D67),ISBLANK(F67),ISBLANK(G67)),"",COUNTIF($B$5:B67,"JAMBUTU"))</f>
        <v/>
      </c>
      <c r="B67" s="8"/>
      <c r="C67" s="8"/>
      <c r="D67" s="8"/>
      <c r="E67" s="13"/>
      <c r="F67" s="12"/>
      <c r="G67" s="11"/>
      <c r="H67" s="12"/>
      <c r="I67" s="11"/>
      <c r="J67" s="10">
        <f t="shared" si="0"/>
        <v>0</v>
      </c>
      <c r="K67" s="10">
        <f t="shared" si="1"/>
        <v>0</v>
      </c>
      <c r="L67" s="9" t="str">
        <f t="shared" si="2"/>
        <v/>
      </c>
      <c r="M67" s="8"/>
      <c r="N67" s="8"/>
      <c r="O67" s="8"/>
      <c r="P67" s="8"/>
      <c r="Q67" s="8"/>
      <c r="R67" s="8"/>
      <c r="S67" s="8"/>
      <c r="T67" s="8"/>
      <c r="U67" s="8"/>
      <c r="V67" s="7"/>
      <c r="W67" s="6" t="str">
        <f t="array" ref="W67">IF(NOT(ISBLANK(D67)),_xludf.XLOOKUP(D67,[2]CODE!$A$4:$A$100,[2]CODE!$D$4:$D$100),"")</f>
        <v/>
      </c>
      <c r="X67" s="5" t="str">
        <f t="array" ref="X67">IF(NOT(AND(ISBLANK(D67),ISBLANK(C67))),_xludf.XLOOKUP(D67,[2]CODE!$A$4:$A$100,[2]CODE!$E$4:$E$100),"")</f>
        <v/>
      </c>
      <c r="Y67" s="5" t="str">
        <f t="shared" si="3"/>
        <v/>
      </c>
      <c r="Z67" s="5" t="str">
        <f t="shared" si="4"/>
        <v/>
      </c>
      <c r="AA67" s="4">
        <f t="shared" si="5"/>
        <v>0</v>
      </c>
      <c r="AC67" s="2"/>
    </row>
    <row r="68" spans="1:29" ht="15.5">
      <c r="A68" s="13" t="str">
        <f>IF(OR(ISBLANK(C68),ISBLANK(D68),ISBLANK(F68),ISBLANK(G68)),"",COUNTIF($B$5:B68,"JAMBUTU"))</f>
        <v/>
      </c>
      <c r="B68" s="8"/>
      <c r="C68" s="8"/>
      <c r="D68" s="8"/>
      <c r="E68" s="13"/>
      <c r="F68" s="12"/>
      <c r="G68" s="11"/>
      <c r="H68" s="12"/>
      <c r="I68" s="11"/>
      <c r="J68" s="10">
        <f t="shared" si="0"/>
        <v>0</v>
      </c>
      <c r="K68" s="10">
        <f t="shared" si="1"/>
        <v>0</v>
      </c>
      <c r="L68" s="9" t="str">
        <f t="shared" si="2"/>
        <v/>
      </c>
      <c r="M68" s="8"/>
      <c r="N68" s="8"/>
      <c r="O68" s="8"/>
      <c r="P68" s="8"/>
      <c r="Q68" s="8"/>
      <c r="R68" s="8"/>
      <c r="S68" s="8"/>
      <c r="T68" s="8"/>
      <c r="U68" s="8"/>
      <c r="V68" s="7"/>
      <c r="W68" s="6" t="str">
        <f t="array" ref="W68">IF(NOT(ISBLANK(D68)),_xludf.XLOOKUP(D68,[2]CODE!$A$4:$A$100,[2]CODE!$D$4:$D$100),"")</f>
        <v/>
      </c>
      <c r="X68" s="5" t="str">
        <f t="array" ref="X68">IF(NOT(AND(ISBLANK(D68),ISBLANK(C68))),_xludf.XLOOKUP(D68,[2]CODE!$A$4:$A$100,[2]CODE!$E$4:$E$100),"")</f>
        <v/>
      </c>
      <c r="Y68" s="5" t="str">
        <f t="shared" si="3"/>
        <v/>
      </c>
      <c r="Z68" s="5" t="str">
        <f t="shared" si="4"/>
        <v/>
      </c>
      <c r="AA68" s="4">
        <f t="shared" si="5"/>
        <v>0</v>
      </c>
      <c r="AC68" s="2"/>
    </row>
    <row r="69" spans="1:29" ht="15.5">
      <c r="A69" s="13" t="str">
        <f>IF(OR(ISBLANK(C69),ISBLANK(D69),ISBLANK(F69),ISBLANK(G69)),"",COUNTIF($B$5:B69,"JAMBUTU"))</f>
        <v/>
      </c>
      <c r="B69" s="8"/>
      <c r="C69" s="8"/>
      <c r="D69" s="8"/>
      <c r="E69" s="13"/>
      <c r="F69" s="12"/>
      <c r="G69" s="11"/>
      <c r="H69" s="12"/>
      <c r="I69" s="11"/>
      <c r="J69" s="10">
        <f t="shared" ref="J69:J132" si="9">DATE(YEAR(F69),MONTH(F69),DAY(F69))+TIME(HOUR(G69),MINUTE(G69), SECOND(G69))</f>
        <v>0</v>
      </c>
      <c r="K69" s="10">
        <f t="shared" ref="K69:K132" si="10">DATE(YEAR(H69),MONTH(H69),DAY(H69))+TIME(HOUR(I69),MINUTE(I69), SECOND(I69))</f>
        <v>0</v>
      </c>
      <c r="L69" s="9" t="str">
        <f t="shared" ref="L69:L132" si="11">IF(ISBLANK(I69),"",IF(J69&gt;K69,(K69+1)-J69,K69-J69))</f>
        <v/>
      </c>
      <c r="M69" s="8"/>
      <c r="N69" s="8"/>
      <c r="O69" s="8"/>
      <c r="P69" s="8"/>
      <c r="Q69" s="8"/>
      <c r="R69" s="8"/>
      <c r="S69" s="8"/>
      <c r="T69" s="8"/>
      <c r="U69" s="8"/>
      <c r="V69" s="7"/>
      <c r="W69" s="6" t="str">
        <f t="array" ref="W69">IF(NOT(ISBLANK(D69)),_xludf.XLOOKUP(D69,[2]CODE!$A$4:$A$100,[2]CODE!$D$4:$D$100),"")</f>
        <v/>
      </c>
      <c r="X69" s="5" t="str">
        <f t="array" ref="X69">IF(NOT(AND(ISBLANK(D69),ISBLANK(C69))),_xludf.XLOOKUP(D69,[2]CODE!$A$4:$A$100,[2]CODE!$E$4:$E$100),"")</f>
        <v/>
      </c>
      <c r="Y69" s="5" t="str">
        <f t="shared" ref="Y69:Y132" si="12">LEFT(C69,4)</f>
        <v/>
      </c>
      <c r="Z69" s="5" t="str">
        <f t="shared" ref="Z69:Z132" si="13">IF(NOT(ISBLANK(C69)), IF(K69&gt;J69,"YES","NO"),"")</f>
        <v/>
      </c>
      <c r="AA69" s="4">
        <f t="shared" ref="AA69:AA132" si="14">IF(AND(F69=H69,Z69="NO"),1+H69,H69)</f>
        <v>0</v>
      </c>
      <c r="AC69" s="2"/>
    </row>
    <row r="70" spans="1:29" ht="15.5">
      <c r="A70" s="13" t="str">
        <f>IF(OR(ISBLANK(C70),ISBLANK(D70),ISBLANK(F70),ISBLANK(G70)),"",COUNTIF($B$5:B70,"JAMBUTU"))</f>
        <v/>
      </c>
      <c r="B70" s="8"/>
      <c r="C70" s="8"/>
      <c r="D70" s="8"/>
      <c r="E70" s="13"/>
      <c r="F70" s="12"/>
      <c r="G70" s="11"/>
      <c r="H70" s="12"/>
      <c r="I70" s="11"/>
      <c r="J70" s="10">
        <f t="shared" si="9"/>
        <v>0</v>
      </c>
      <c r="K70" s="10">
        <f t="shared" si="10"/>
        <v>0</v>
      </c>
      <c r="L70" s="9" t="str">
        <f t="shared" si="11"/>
        <v/>
      </c>
      <c r="M70" s="8"/>
      <c r="N70" s="8"/>
      <c r="O70" s="8"/>
      <c r="P70" s="8"/>
      <c r="Q70" s="8"/>
      <c r="R70" s="8"/>
      <c r="S70" s="8"/>
      <c r="T70" s="8"/>
      <c r="U70" s="8"/>
      <c r="V70" s="7"/>
      <c r="W70" s="6" t="str">
        <f t="array" ref="W70">IF(NOT(ISBLANK(D70)),_xludf.XLOOKUP(D70,[2]CODE!$A$4:$A$100,[2]CODE!$D$4:$D$100),"")</f>
        <v/>
      </c>
      <c r="X70" s="5" t="str">
        <f t="array" ref="X70">IF(NOT(AND(ISBLANK(D70),ISBLANK(C70))),_xludf.XLOOKUP(D70,[2]CODE!$A$4:$A$100,[2]CODE!$E$4:$E$100),"")</f>
        <v/>
      </c>
      <c r="Y70" s="5" t="str">
        <f t="shared" si="12"/>
        <v/>
      </c>
      <c r="Z70" s="5" t="str">
        <f t="shared" si="13"/>
        <v/>
      </c>
      <c r="AA70" s="4">
        <f t="shared" si="14"/>
        <v>0</v>
      </c>
      <c r="AC70" s="2"/>
    </row>
    <row r="71" spans="1:29" ht="15.5">
      <c r="A71" s="13" t="str">
        <f>IF(OR(ISBLANK(C71),ISBLANK(D71),ISBLANK(F71),ISBLANK(G71)),"",COUNTIF($B$5:B71,"JAMBUTU"))</f>
        <v/>
      </c>
      <c r="B71" s="8"/>
      <c r="C71" s="8"/>
      <c r="D71" s="8"/>
      <c r="E71" s="13"/>
      <c r="F71" s="12"/>
      <c r="G71" s="11"/>
      <c r="H71" s="12"/>
      <c r="I71" s="11"/>
      <c r="J71" s="10">
        <f t="shared" si="9"/>
        <v>0</v>
      </c>
      <c r="K71" s="10">
        <f t="shared" si="10"/>
        <v>0</v>
      </c>
      <c r="L71" s="9" t="str">
        <f t="shared" si="11"/>
        <v/>
      </c>
      <c r="M71" s="8"/>
      <c r="N71" s="8"/>
      <c r="O71" s="8"/>
      <c r="P71" s="8"/>
      <c r="Q71" s="8"/>
      <c r="R71" s="8"/>
      <c r="S71" s="8"/>
      <c r="T71" s="8"/>
      <c r="U71" s="8"/>
      <c r="V71" s="7"/>
      <c r="W71" s="6" t="str">
        <f t="array" ref="W71">IF(NOT(ISBLANK(D71)),_xludf.XLOOKUP(D71,[2]CODE!$A$4:$A$100,[2]CODE!$D$4:$D$100),"")</f>
        <v/>
      </c>
      <c r="X71" s="5" t="str">
        <f t="array" ref="X71">IF(NOT(AND(ISBLANK(D71),ISBLANK(C71))),_xludf.XLOOKUP(D71,[2]CODE!$A$4:$A$100,[2]CODE!$E$4:$E$100),"")</f>
        <v/>
      </c>
      <c r="Y71" s="5" t="str">
        <f t="shared" si="12"/>
        <v/>
      </c>
      <c r="Z71" s="5" t="str">
        <f t="shared" si="13"/>
        <v/>
      </c>
      <c r="AA71" s="4">
        <f t="shared" si="14"/>
        <v>0</v>
      </c>
      <c r="AC71" s="2"/>
    </row>
    <row r="72" spans="1:29" ht="15.5">
      <c r="A72" s="13" t="str">
        <f>IF(OR(ISBLANK(C72),ISBLANK(D72),ISBLANK(F72),ISBLANK(G72)),"",COUNTIF($B$5:B72,"JAMBUTU"))</f>
        <v/>
      </c>
      <c r="B72" s="8"/>
      <c r="C72" s="8"/>
      <c r="D72" s="8"/>
      <c r="E72" s="13"/>
      <c r="F72" s="12"/>
      <c r="G72" s="11"/>
      <c r="H72" s="12"/>
      <c r="I72" s="11"/>
      <c r="J72" s="10">
        <f t="shared" si="9"/>
        <v>0</v>
      </c>
      <c r="K72" s="10">
        <f t="shared" si="10"/>
        <v>0</v>
      </c>
      <c r="L72" s="9" t="str">
        <f t="shared" si="11"/>
        <v/>
      </c>
      <c r="M72" s="8"/>
      <c r="N72" s="8"/>
      <c r="O72" s="8"/>
      <c r="P72" s="8"/>
      <c r="Q72" s="8"/>
      <c r="R72" s="8"/>
      <c r="S72" s="8"/>
      <c r="T72" s="8"/>
      <c r="U72" s="8"/>
      <c r="V72" s="7"/>
      <c r="W72" s="6" t="str">
        <f t="array" ref="W72">IF(NOT(ISBLANK(D72)),_xludf.XLOOKUP(D72,[2]CODE!$A$4:$A$100,[2]CODE!$D$4:$D$100),"")</f>
        <v/>
      </c>
      <c r="X72" s="5" t="str">
        <f t="array" ref="X72">IF(NOT(AND(ISBLANK(D72),ISBLANK(C72))),_xludf.XLOOKUP(D72,[2]CODE!$A$4:$A$100,[2]CODE!$E$4:$E$100),"")</f>
        <v/>
      </c>
      <c r="Y72" s="5" t="str">
        <f t="shared" si="12"/>
        <v/>
      </c>
      <c r="Z72" s="5" t="str">
        <f t="shared" si="13"/>
        <v/>
      </c>
      <c r="AA72" s="4">
        <f t="shared" si="14"/>
        <v>0</v>
      </c>
      <c r="AC72" s="2"/>
    </row>
    <row r="73" spans="1:29" ht="15.5">
      <c r="A73" s="13" t="str">
        <f>IF(OR(ISBLANK(C73),ISBLANK(D73),ISBLANK(F73),ISBLANK(G73)),"",COUNTIF($B$5:B73,"JAMBUTU"))</f>
        <v/>
      </c>
      <c r="B73" s="8"/>
      <c r="C73" s="8"/>
      <c r="D73" s="8"/>
      <c r="E73" s="13"/>
      <c r="F73" s="12"/>
      <c r="G73" s="11"/>
      <c r="H73" s="12"/>
      <c r="I73" s="11"/>
      <c r="J73" s="10">
        <f t="shared" si="9"/>
        <v>0</v>
      </c>
      <c r="K73" s="10">
        <f t="shared" si="10"/>
        <v>0</v>
      </c>
      <c r="L73" s="9" t="str">
        <f t="shared" si="11"/>
        <v/>
      </c>
      <c r="M73" s="8"/>
      <c r="N73" s="8"/>
      <c r="O73" s="8"/>
      <c r="P73" s="8"/>
      <c r="Q73" s="8"/>
      <c r="R73" s="8"/>
      <c r="S73" s="8"/>
      <c r="T73" s="8"/>
      <c r="U73" s="8"/>
      <c r="V73" s="7"/>
      <c r="W73" s="6" t="str">
        <f t="array" ref="W73">IF(NOT(ISBLANK(D73)),_xludf.XLOOKUP(D73,[2]CODE!$A$4:$A$100,[2]CODE!$D$4:$D$100),"")</f>
        <v/>
      </c>
      <c r="X73" s="5" t="str">
        <f t="array" ref="X73">IF(NOT(AND(ISBLANK(D73),ISBLANK(C73))),_xludf.XLOOKUP(D73,[2]CODE!$A$4:$A$100,[2]CODE!$E$4:$E$100),"")</f>
        <v/>
      </c>
      <c r="Y73" s="5" t="str">
        <f t="shared" si="12"/>
        <v/>
      </c>
      <c r="Z73" s="5" t="str">
        <f t="shared" si="13"/>
        <v/>
      </c>
      <c r="AA73" s="4">
        <f t="shared" si="14"/>
        <v>0</v>
      </c>
      <c r="AC73" s="2"/>
    </row>
    <row r="74" spans="1:29" ht="15.5">
      <c r="A74" s="13" t="str">
        <f>IF(OR(ISBLANK(C74),ISBLANK(D74),ISBLANK(F74),ISBLANK(G74)),"",COUNTIF($B$5:B74,"JAMBUTU"))</f>
        <v/>
      </c>
      <c r="B74" s="8"/>
      <c r="C74" s="8"/>
      <c r="D74" s="8"/>
      <c r="E74" s="13"/>
      <c r="F74" s="12"/>
      <c r="G74" s="11"/>
      <c r="H74" s="12"/>
      <c r="I74" s="11"/>
      <c r="J74" s="10">
        <f t="shared" si="9"/>
        <v>0</v>
      </c>
      <c r="K74" s="10">
        <f t="shared" si="10"/>
        <v>0</v>
      </c>
      <c r="L74" s="9" t="str">
        <f t="shared" si="11"/>
        <v/>
      </c>
      <c r="M74" s="8"/>
      <c r="N74" s="8"/>
      <c r="O74" s="8"/>
      <c r="P74" s="8"/>
      <c r="Q74" s="8"/>
      <c r="R74" s="8"/>
      <c r="S74" s="8"/>
      <c r="T74" s="8"/>
      <c r="U74" s="8"/>
      <c r="V74" s="7"/>
      <c r="W74" s="6" t="str">
        <f t="array" ref="W74">IF(NOT(ISBLANK(D74)),_xludf.XLOOKUP(D74,[2]CODE!$A$4:$A$100,[2]CODE!$D$4:$D$100),"")</f>
        <v/>
      </c>
      <c r="X74" s="5" t="str">
        <f t="array" ref="X74">IF(NOT(AND(ISBLANK(D74),ISBLANK(C74))),_xludf.XLOOKUP(D74,[2]CODE!$A$4:$A$100,[2]CODE!$E$4:$E$100),"")</f>
        <v/>
      </c>
      <c r="Y74" s="5" t="str">
        <f t="shared" si="12"/>
        <v/>
      </c>
      <c r="Z74" s="5" t="str">
        <f t="shared" si="13"/>
        <v/>
      </c>
      <c r="AA74" s="4">
        <f t="shared" si="14"/>
        <v>0</v>
      </c>
      <c r="AC74" s="2"/>
    </row>
    <row r="75" spans="1:29" ht="15.5">
      <c r="A75" s="13" t="str">
        <f>IF(OR(ISBLANK(C75),ISBLANK(D75),ISBLANK(F75),ISBLANK(G75)),"",COUNTIF($B$5:B75,"JAMBUTU"))</f>
        <v/>
      </c>
      <c r="B75" s="8"/>
      <c r="C75" s="8"/>
      <c r="D75" s="8"/>
      <c r="E75" s="13"/>
      <c r="F75" s="12"/>
      <c r="G75" s="11"/>
      <c r="H75" s="12"/>
      <c r="I75" s="11"/>
      <c r="J75" s="10">
        <f t="shared" si="9"/>
        <v>0</v>
      </c>
      <c r="K75" s="10">
        <f t="shared" si="10"/>
        <v>0</v>
      </c>
      <c r="L75" s="9" t="str">
        <f t="shared" si="11"/>
        <v/>
      </c>
      <c r="M75" s="8"/>
      <c r="N75" s="8"/>
      <c r="O75" s="8"/>
      <c r="P75" s="8"/>
      <c r="Q75" s="8"/>
      <c r="R75" s="8"/>
      <c r="S75" s="8"/>
      <c r="T75" s="8"/>
      <c r="U75" s="8"/>
      <c r="V75" s="7"/>
      <c r="W75" s="6" t="str">
        <f t="array" ref="W75">IF(NOT(ISBLANK(D75)),_xludf.XLOOKUP(D75,[2]CODE!$A$4:$A$100,[2]CODE!$D$4:$D$100),"")</f>
        <v/>
      </c>
      <c r="X75" s="5" t="str">
        <f t="array" ref="X75">IF(NOT(AND(ISBLANK(D75),ISBLANK(C75))),_xludf.XLOOKUP(D75,[2]CODE!$A$4:$A$100,[2]CODE!$E$4:$E$100),"")</f>
        <v/>
      </c>
      <c r="Y75" s="5" t="str">
        <f t="shared" si="12"/>
        <v/>
      </c>
      <c r="Z75" s="5" t="str">
        <f t="shared" si="13"/>
        <v/>
      </c>
      <c r="AA75" s="4">
        <f t="shared" si="14"/>
        <v>0</v>
      </c>
      <c r="AC75" s="2"/>
    </row>
    <row r="76" spans="1:29" ht="15.5">
      <c r="A76" s="13" t="str">
        <f>IF(OR(ISBLANK(C76),ISBLANK(D76),ISBLANK(F76),ISBLANK(G76)),"",COUNTIF($B$5:B76,"JAMBUTU"))</f>
        <v/>
      </c>
      <c r="B76" s="8"/>
      <c r="C76" s="8"/>
      <c r="D76" s="8"/>
      <c r="E76" s="13"/>
      <c r="F76" s="12"/>
      <c r="G76" s="11"/>
      <c r="H76" s="12"/>
      <c r="I76" s="11"/>
      <c r="J76" s="10">
        <f t="shared" si="9"/>
        <v>0</v>
      </c>
      <c r="K76" s="10">
        <f t="shared" si="10"/>
        <v>0</v>
      </c>
      <c r="L76" s="9" t="str">
        <f t="shared" si="11"/>
        <v/>
      </c>
      <c r="M76" s="8"/>
      <c r="N76" s="8"/>
      <c r="O76" s="8"/>
      <c r="P76" s="8"/>
      <c r="Q76" s="8"/>
      <c r="R76" s="8"/>
      <c r="S76" s="8"/>
      <c r="T76" s="8"/>
      <c r="U76" s="8"/>
      <c r="V76" s="7"/>
      <c r="W76" s="6" t="str">
        <f t="array" ref="W76">IF(NOT(ISBLANK(D76)),_xludf.XLOOKUP(D76,[2]CODE!$A$4:$A$100,[2]CODE!$D$4:$D$100),"")</f>
        <v/>
      </c>
      <c r="X76" s="5" t="str">
        <f t="array" ref="X76">IF(NOT(AND(ISBLANK(D76),ISBLANK(C76))),_xludf.XLOOKUP(D76,[2]CODE!$A$4:$A$100,[2]CODE!$E$4:$E$100),"")</f>
        <v/>
      </c>
      <c r="Y76" s="5" t="str">
        <f t="shared" si="12"/>
        <v/>
      </c>
      <c r="Z76" s="5" t="str">
        <f t="shared" si="13"/>
        <v/>
      </c>
      <c r="AA76" s="4">
        <f t="shared" si="14"/>
        <v>0</v>
      </c>
      <c r="AC76" s="2"/>
    </row>
    <row r="77" spans="1:29" ht="15.5">
      <c r="A77" s="13" t="str">
        <f>IF(OR(ISBLANK(C77),ISBLANK(D77),ISBLANK(F77),ISBLANK(G77)),"",COUNTIF($B$5:B77,"JAMBUTU"))</f>
        <v/>
      </c>
      <c r="B77" s="8"/>
      <c r="C77" s="8"/>
      <c r="D77" s="8"/>
      <c r="E77" s="13"/>
      <c r="F77" s="12"/>
      <c r="G77" s="11"/>
      <c r="H77" s="12"/>
      <c r="I77" s="11"/>
      <c r="J77" s="10">
        <f t="shared" si="9"/>
        <v>0</v>
      </c>
      <c r="K77" s="10">
        <f t="shared" si="10"/>
        <v>0</v>
      </c>
      <c r="L77" s="9" t="str">
        <f t="shared" si="11"/>
        <v/>
      </c>
      <c r="M77" s="8"/>
      <c r="N77" s="8"/>
      <c r="O77" s="8"/>
      <c r="P77" s="8"/>
      <c r="Q77" s="8"/>
      <c r="R77" s="8"/>
      <c r="S77" s="8"/>
      <c r="T77" s="8"/>
      <c r="U77" s="8"/>
      <c r="V77" s="7"/>
      <c r="W77" s="6" t="str">
        <f t="array" ref="W77">IF(NOT(ISBLANK(D77)),_xludf.XLOOKUP(D77,[2]CODE!$A$4:$A$100,[2]CODE!$D$4:$D$100),"")</f>
        <v/>
      </c>
      <c r="X77" s="5" t="str">
        <f t="array" ref="X77">IF(NOT(AND(ISBLANK(D77),ISBLANK(C77))),_xludf.XLOOKUP(D77,[2]CODE!$A$4:$A$100,[2]CODE!$E$4:$E$100),"")</f>
        <v/>
      </c>
      <c r="Y77" s="5" t="str">
        <f t="shared" si="12"/>
        <v/>
      </c>
      <c r="Z77" s="5" t="str">
        <f t="shared" si="13"/>
        <v/>
      </c>
      <c r="AA77" s="4">
        <f t="shared" si="14"/>
        <v>0</v>
      </c>
      <c r="AC77" s="2"/>
    </row>
    <row r="78" spans="1:29" ht="15.5">
      <c r="A78" s="13" t="str">
        <f>IF(OR(ISBLANK(C78),ISBLANK(D78),ISBLANK(F78),ISBLANK(G78)),"",COUNTIF($B$5:B78,"JAMBUTU"))</f>
        <v/>
      </c>
      <c r="B78" s="8"/>
      <c r="C78" s="8"/>
      <c r="D78" s="8"/>
      <c r="E78" s="13"/>
      <c r="F78" s="12"/>
      <c r="G78" s="11"/>
      <c r="H78" s="12"/>
      <c r="I78" s="11"/>
      <c r="J78" s="10">
        <f t="shared" si="9"/>
        <v>0</v>
      </c>
      <c r="K78" s="10">
        <f t="shared" si="10"/>
        <v>0</v>
      </c>
      <c r="L78" s="9" t="str">
        <f t="shared" si="11"/>
        <v/>
      </c>
      <c r="M78" s="8"/>
      <c r="N78" s="8"/>
      <c r="O78" s="8"/>
      <c r="P78" s="8"/>
      <c r="Q78" s="8"/>
      <c r="R78" s="8"/>
      <c r="S78" s="8"/>
      <c r="T78" s="8"/>
      <c r="U78" s="8"/>
      <c r="V78" s="7"/>
      <c r="W78" s="6" t="str">
        <f t="array" ref="W78">IF(NOT(ISBLANK(D78)),_xludf.XLOOKUP(D78,[2]CODE!$A$4:$A$100,[2]CODE!$D$4:$D$100),"")</f>
        <v/>
      </c>
      <c r="X78" s="5" t="str">
        <f t="array" ref="X78">IF(NOT(AND(ISBLANK(D78),ISBLANK(C78))),_xludf.XLOOKUP(D78,[2]CODE!$A$4:$A$100,[2]CODE!$E$4:$E$100),"")</f>
        <v/>
      </c>
      <c r="Y78" s="5" t="str">
        <f t="shared" si="12"/>
        <v/>
      </c>
      <c r="Z78" s="5" t="str">
        <f t="shared" si="13"/>
        <v/>
      </c>
      <c r="AA78" s="4">
        <f t="shared" si="14"/>
        <v>0</v>
      </c>
      <c r="AC78" s="2"/>
    </row>
    <row r="79" spans="1:29" ht="15.5">
      <c r="A79" s="13" t="str">
        <f>IF(OR(ISBLANK(C79),ISBLANK(D79),ISBLANK(F79),ISBLANK(G79)),"",COUNTIF($B$5:B79,"JAMBUTU"))</f>
        <v/>
      </c>
      <c r="B79" s="8"/>
      <c r="C79" s="21"/>
      <c r="D79" s="8"/>
      <c r="E79" s="13"/>
      <c r="F79" s="12"/>
      <c r="G79" s="11"/>
      <c r="H79" s="12"/>
      <c r="I79" s="11"/>
      <c r="J79" s="10">
        <f t="shared" si="9"/>
        <v>0</v>
      </c>
      <c r="K79" s="10">
        <f t="shared" si="10"/>
        <v>0</v>
      </c>
      <c r="L79" s="9" t="str">
        <f t="shared" si="11"/>
        <v/>
      </c>
      <c r="M79" s="8"/>
      <c r="N79" s="8"/>
      <c r="O79" s="8"/>
      <c r="P79" s="8"/>
      <c r="Q79" s="8"/>
      <c r="R79" s="8"/>
      <c r="S79" s="8"/>
      <c r="T79" s="8"/>
      <c r="U79" s="8"/>
      <c r="V79" s="7"/>
      <c r="W79" s="6" t="str">
        <f t="array" ref="W79">IF(NOT(ISBLANK(D79)),_xludf.XLOOKUP(D79,[2]CODE!$A$4:$A$100,[2]CODE!$D$4:$D$100),"")</f>
        <v/>
      </c>
      <c r="X79" s="5" t="str">
        <f t="array" ref="X79">IF(NOT(AND(ISBLANK(D79),ISBLANK(C79))),_xludf.XLOOKUP(D79,[2]CODE!$A$4:$A$100,[2]CODE!$E$4:$E$100),"")</f>
        <v/>
      </c>
      <c r="Y79" s="5" t="str">
        <f t="shared" si="12"/>
        <v/>
      </c>
      <c r="Z79" s="5" t="str">
        <f t="shared" si="13"/>
        <v/>
      </c>
      <c r="AA79" s="4">
        <f t="shared" si="14"/>
        <v>0</v>
      </c>
      <c r="AC79" s="2"/>
    </row>
    <row r="80" spans="1:29" ht="15.5">
      <c r="A80" s="13" t="str">
        <f>IF(OR(ISBLANK(C80),ISBLANK(D80),ISBLANK(F80),ISBLANK(G80)),"",COUNTIF($B$5:B80,"JAMBUTU"))</f>
        <v/>
      </c>
      <c r="B80" s="8"/>
      <c r="C80" s="8"/>
      <c r="D80" s="8"/>
      <c r="E80" s="13"/>
      <c r="F80" s="12"/>
      <c r="G80" s="11"/>
      <c r="H80" s="12"/>
      <c r="I80" s="11"/>
      <c r="J80" s="10">
        <f t="shared" si="9"/>
        <v>0</v>
      </c>
      <c r="K80" s="10">
        <f t="shared" si="10"/>
        <v>0</v>
      </c>
      <c r="L80" s="9" t="str">
        <f t="shared" si="11"/>
        <v/>
      </c>
      <c r="M80" s="8"/>
      <c r="N80" s="8"/>
      <c r="O80" s="8"/>
      <c r="P80" s="8"/>
      <c r="Q80" s="8"/>
      <c r="R80" s="8"/>
      <c r="S80" s="8"/>
      <c r="T80" s="8"/>
      <c r="U80" s="8"/>
      <c r="V80" s="7"/>
      <c r="W80" s="6" t="str">
        <f t="array" ref="W80">IF(NOT(ISBLANK(D80)),_xludf.XLOOKUP(D80,[2]CODE!$A$4:$A$100,[2]CODE!$D$4:$D$100),"")</f>
        <v/>
      </c>
      <c r="X80" s="5" t="str">
        <f t="array" ref="X80">IF(NOT(AND(ISBLANK(D80),ISBLANK(C80))),_xludf.XLOOKUP(D80,[2]CODE!$A$4:$A$100,[2]CODE!$E$4:$E$100),"")</f>
        <v/>
      </c>
      <c r="Y80" s="5" t="str">
        <f t="shared" si="12"/>
        <v/>
      </c>
      <c r="Z80" s="5" t="str">
        <f t="shared" si="13"/>
        <v/>
      </c>
      <c r="AA80" s="4">
        <f t="shared" si="14"/>
        <v>0</v>
      </c>
      <c r="AC80" s="2"/>
    </row>
    <row r="81" spans="1:29" ht="15.5">
      <c r="A81" s="13" t="str">
        <f>IF(OR(ISBLANK(C81),ISBLANK(D81),ISBLANK(F81),ISBLANK(G81)),"",COUNTIF($B$5:B81,"JAMBUTU"))</f>
        <v/>
      </c>
      <c r="B81" s="8"/>
      <c r="C81" s="8"/>
      <c r="D81" s="8"/>
      <c r="E81" s="13"/>
      <c r="F81" s="12"/>
      <c r="G81" s="11"/>
      <c r="H81" s="12"/>
      <c r="I81" s="11"/>
      <c r="J81" s="10">
        <f t="shared" si="9"/>
        <v>0</v>
      </c>
      <c r="K81" s="10">
        <f t="shared" si="10"/>
        <v>0</v>
      </c>
      <c r="L81" s="9" t="str">
        <f t="shared" si="11"/>
        <v/>
      </c>
      <c r="M81" s="8"/>
      <c r="N81" s="8"/>
      <c r="O81" s="8"/>
      <c r="P81" s="8"/>
      <c r="Q81" s="8"/>
      <c r="R81" s="8"/>
      <c r="S81" s="8"/>
      <c r="T81" s="8"/>
      <c r="U81" s="8"/>
      <c r="V81" s="7"/>
      <c r="W81" s="6" t="str">
        <f t="array" ref="W81">IF(NOT(ISBLANK(D81)),_xludf.XLOOKUP(D81,[2]CODE!$A$4:$A$100,[2]CODE!$D$4:$D$100),"")</f>
        <v/>
      </c>
      <c r="X81" s="5" t="str">
        <f t="array" ref="X81">IF(NOT(AND(ISBLANK(D81),ISBLANK(C81))),_xludf.XLOOKUP(D81,[2]CODE!$A$4:$A$100,[2]CODE!$E$4:$E$100),"")</f>
        <v/>
      </c>
      <c r="Y81" s="5" t="str">
        <f t="shared" si="12"/>
        <v/>
      </c>
      <c r="Z81" s="5" t="str">
        <f t="shared" si="13"/>
        <v/>
      </c>
      <c r="AA81" s="4">
        <f t="shared" si="14"/>
        <v>0</v>
      </c>
      <c r="AC81" s="2"/>
    </row>
    <row r="82" spans="1:29" ht="15.5">
      <c r="A82" s="13" t="str">
        <f>IF(OR(ISBLANK(C82),ISBLANK(D82),ISBLANK(F82),ISBLANK(G82)),"",COUNTIF($B$5:B82,"JAMBUTU"))</f>
        <v/>
      </c>
      <c r="B82" s="8"/>
      <c r="C82" s="8"/>
      <c r="D82" s="8"/>
      <c r="E82" s="13"/>
      <c r="F82" s="12"/>
      <c r="G82" s="11"/>
      <c r="H82" s="12"/>
      <c r="I82" s="11"/>
      <c r="J82" s="10">
        <f t="shared" si="9"/>
        <v>0</v>
      </c>
      <c r="K82" s="10">
        <f t="shared" si="10"/>
        <v>0</v>
      </c>
      <c r="L82" s="9" t="str">
        <f t="shared" si="11"/>
        <v/>
      </c>
      <c r="M82" s="8"/>
      <c r="N82" s="8"/>
      <c r="O82" s="8"/>
      <c r="P82" s="8"/>
      <c r="Q82" s="8"/>
      <c r="R82" s="8"/>
      <c r="S82" s="8"/>
      <c r="T82" s="8"/>
      <c r="U82" s="8"/>
      <c r="V82" s="7"/>
      <c r="W82" s="6" t="str">
        <f t="array" ref="W82">IF(NOT(ISBLANK(D82)),_xludf.XLOOKUP(D82,[2]CODE!$A$4:$A$100,[2]CODE!$D$4:$D$100),"")</f>
        <v/>
      </c>
      <c r="X82" s="5" t="str">
        <f t="array" ref="X82">IF(NOT(AND(ISBLANK(D82),ISBLANK(C82))),_xludf.XLOOKUP(D82,[2]CODE!$A$4:$A$100,[2]CODE!$E$4:$E$100),"")</f>
        <v/>
      </c>
      <c r="Y82" s="5" t="str">
        <f t="shared" si="12"/>
        <v/>
      </c>
      <c r="Z82" s="5" t="str">
        <f t="shared" si="13"/>
        <v/>
      </c>
      <c r="AA82" s="4">
        <f t="shared" si="14"/>
        <v>0</v>
      </c>
      <c r="AC82" s="2"/>
    </row>
    <row r="83" spans="1:29" ht="15.5">
      <c r="A83" s="13" t="str">
        <f>IF(OR(ISBLANK(C83),ISBLANK(D83),ISBLANK(F83),ISBLANK(G83)),"",COUNTIF($B$5:B83,"JAMBUTU"))</f>
        <v/>
      </c>
      <c r="B83" s="8"/>
      <c r="C83" s="8"/>
      <c r="D83" s="8"/>
      <c r="E83" s="13"/>
      <c r="F83" s="12"/>
      <c r="G83" s="11"/>
      <c r="H83" s="12"/>
      <c r="I83" s="11"/>
      <c r="J83" s="10">
        <f t="shared" si="9"/>
        <v>0</v>
      </c>
      <c r="K83" s="10">
        <f t="shared" si="10"/>
        <v>0</v>
      </c>
      <c r="L83" s="9" t="str">
        <f t="shared" si="11"/>
        <v/>
      </c>
      <c r="M83" s="8"/>
      <c r="N83" s="8"/>
      <c r="O83" s="8"/>
      <c r="P83" s="8"/>
      <c r="Q83" s="8"/>
      <c r="R83" s="8"/>
      <c r="S83" s="8"/>
      <c r="T83" s="8"/>
      <c r="U83" s="8"/>
      <c r="V83" s="7"/>
      <c r="W83" s="6" t="str">
        <f t="array" ref="W83">IF(NOT(ISBLANK(D83)),_xludf.XLOOKUP(D83,[2]CODE!$A$4:$A$100,[2]CODE!$D$4:$D$100),"")</f>
        <v/>
      </c>
      <c r="X83" s="5" t="str">
        <f t="array" ref="X83">IF(NOT(AND(ISBLANK(D83),ISBLANK(C83))),_xludf.XLOOKUP(D83,[2]CODE!$A$4:$A$100,[2]CODE!$E$4:$E$100),"")</f>
        <v/>
      </c>
      <c r="Y83" s="5" t="str">
        <f t="shared" si="12"/>
        <v/>
      </c>
      <c r="Z83" s="5" t="str">
        <f t="shared" si="13"/>
        <v/>
      </c>
      <c r="AA83" s="4">
        <f t="shared" si="14"/>
        <v>0</v>
      </c>
      <c r="AC83" s="2"/>
    </row>
    <row r="84" spans="1:29" ht="15.5">
      <c r="A84" s="13" t="str">
        <f>IF(OR(ISBLANK(C84),ISBLANK(D84),ISBLANK(F84),ISBLANK(G84)),"",COUNTIF($B$5:B84,"JAMBUTU"))</f>
        <v/>
      </c>
      <c r="B84" s="8"/>
      <c r="C84" s="8"/>
      <c r="D84" s="8"/>
      <c r="E84" s="13"/>
      <c r="F84" s="12"/>
      <c r="G84" s="11"/>
      <c r="H84" s="12"/>
      <c r="I84" s="11"/>
      <c r="J84" s="10">
        <f t="shared" si="9"/>
        <v>0</v>
      </c>
      <c r="K84" s="10">
        <f t="shared" si="10"/>
        <v>0</v>
      </c>
      <c r="L84" s="9" t="str">
        <f t="shared" si="11"/>
        <v/>
      </c>
      <c r="M84" s="8"/>
      <c r="N84" s="8"/>
      <c r="O84" s="8"/>
      <c r="P84" s="8"/>
      <c r="Q84" s="8"/>
      <c r="R84" s="8"/>
      <c r="S84" s="8"/>
      <c r="T84" s="8"/>
      <c r="U84" s="8"/>
      <c r="V84" s="7"/>
      <c r="W84" s="6" t="str">
        <f t="array" ref="W84">IF(NOT(ISBLANK(D84)),_xludf.XLOOKUP(D84,[2]CODE!$A$4:$A$100,[2]CODE!$D$4:$D$100),"")</f>
        <v/>
      </c>
      <c r="X84" s="5" t="str">
        <f t="array" ref="X84">IF(NOT(AND(ISBLANK(D84),ISBLANK(C84))),_xludf.XLOOKUP(D84,[2]CODE!$A$4:$A$100,[2]CODE!$E$4:$E$100),"")</f>
        <v/>
      </c>
      <c r="Y84" s="5" t="str">
        <f t="shared" si="12"/>
        <v/>
      </c>
      <c r="Z84" s="5" t="str">
        <f t="shared" si="13"/>
        <v/>
      </c>
      <c r="AA84" s="4">
        <f t="shared" si="14"/>
        <v>0</v>
      </c>
      <c r="AC84" s="2"/>
    </row>
    <row r="85" spans="1:29" ht="15.5">
      <c r="A85" s="13" t="str">
        <f>IF(OR(ISBLANK(C85),ISBLANK(D85),ISBLANK(F85),ISBLANK(G85)),"",COUNTIF($B$5:B85,"JAMBUTU"))</f>
        <v/>
      </c>
      <c r="B85" s="8"/>
      <c r="C85" s="8"/>
      <c r="D85" s="8"/>
      <c r="E85" s="13"/>
      <c r="F85" s="12"/>
      <c r="G85" s="11"/>
      <c r="H85" s="12"/>
      <c r="I85" s="11"/>
      <c r="J85" s="10">
        <f t="shared" si="9"/>
        <v>0</v>
      </c>
      <c r="K85" s="10">
        <f t="shared" si="10"/>
        <v>0</v>
      </c>
      <c r="L85" s="9" t="str">
        <f t="shared" si="11"/>
        <v/>
      </c>
      <c r="M85" s="8"/>
      <c r="N85" s="8"/>
      <c r="O85" s="8"/>
      <c r="P85" s="8"/>
      <c r="Q85" s="8"/>
      <c r="R85" s="8"/>
      <c r="S85" s="8"/>
      <c r="T85" s="8"/>
      <c r="U85" s="8"/>
      <c r="V85" s="7"/>
      <c r="W85" s="6" t="str">
        <f t="array" ref="W85">IF(NOT(ISBLANK(D85)),_xludf.XLOOKUP(D85,[2]CODE!$A$4:$A$100,[2]CODE!$D$4:$D$100),"")</f>
        <v/>
      </c>
      <c r="X85" s="5" t="str">
        <f t="array" ref="X85">IF(NOT(AND(ISBLANK(D85),ISBLANK(C85))),_xludf.XLOOKUP(D85,[2]CODE!$A$4:$A$100,[2]CODE!$E$4:$E$100),"")</f>
        <v/>
      </c>
      <c r="Y85" s="5" t="str">
        <f t="shared" si="12"/>
        <v/>
      </c>
      <c r="Z85" s="5" t="str">
        <f t="shared" si="13"/>
        <v/>
      </c>
      <c r="AA85" s="4">
        <f t="shared" si="14"/>
        <v>0</v>
      </c>
      <c r="AC85" s="2"/>
    </row>
    <row r="86" spans="1:29" ht="15.5">
      <c r="A86" s="13" t="str">
        <f>IF(OR(ISBLANK(C86),ISBLANK(D86),ISBLANK(F86),ISBLANK(G86)),"",COUNTIF($B$5:B86,"JAMBUTU"))</f>
        <v/>
      </c>
      <c r="B86" s="8"/>
      <c r="C86" s="8"/>
      <c r="D86" s="8"/>
      <c r="E86" s="13"/>
      <c r="F86" s="12"/>
      <c r="G86" s="11"/>
      <c r="H86" s="12"/>
      <c r="I86" s="11"/>
      <c r="J86" s="10">
        <f t="shared" si="9"/>
        <v>0</v>
      </c>
      <c r="K86" s="10">
        <f t="shared" si="10"/>
        <v>0</v>
      </c>
      <c r="L86" s="9" t="str">
        <f t="shared" si="11"/>
        <v/>
      </c>
      <c r="M86" s="8"/>
      <c r="N86" s="8"/>
      <c r="O86" s="8"/>
      <c r="P86" s="8"/>
      <c r="Q86" s="8"/>
      <c r="R86" s="8"/>
      <c r="S86" s="8"/>
      <c r="T86" s="8"/>
      <c r="U86" s="8"/>
      <c r="V86" s="7"/>
      <c r="W86" s="6" t="str">
        <f t="array" ref="W86">IF(NOT(ISBLANK(D86)),_xludf.XLOOKUP(D86,[2]CODE!$A$4:$A$100,[2]CODE!$D$4:$D$100),"")</f>
        <v/>
      </c>
      <c r="X86" s="5" t="str">
        <f t="array" ref="X86">IF(NOT(AND(ISBLANK(D86),ISBLANK(C86))),_xludf.XLOOKUP(D86,[2]CODE!$A$4:$A$100,[2]CODE!$E$4:$E$100),"")</f>
        <v/>
      </c>
      <c r="Y86" s="5" t="str">
        <f t="shared" si="12"/>
        <v/>
      </c>
      <c r="Z86" s="5" t="str">
        <f t="shared" si="13"/>
        <v/>
      </c>
      <c r="AA86" s="4">
        <f t="shared" si="14"/>
        <v>0</v>
      </c>
      <c r="AC86" s="2"/>
    </row>
    <row r="87" spans="1:29" ht="15.5">
      <c r="A87" s="13" t="str">
        <f>IF(OR(ISBLANK(C87),ISBLANK(D87),ISBLANK(F87),ISBLANK(G87)),"",COUNTIF($B$5:B87,"JAMBUTU"))</f>
        <v/>
      </c>
      <c r="B87" s="8"/>
      <c r="C87" s="8"/>
      <c r="D87" s="8"/>
      <c r="E87" s="13"/>
      <c r="F87" s="12"/>
      <c r="G87" s="11"/>
      <c r="H87" s="12"/>
      <c r="I87" s="11"/>
      <c r="J87" s="10">
        <f t="shared" si="9"/>
        <v>0</v>
      </c>
      <c r="K87" s="10">
        <f t="shared" si="10"/>
        <v>0</v>
      </c>
      <c r="L87" s="9" t="str">
        <f t="shared" si="11"/>
        <v/>
      </c>
      <c r="M87" s="8"/>
      <c r="N87" s="8"/>
      <c r="O87" s="8"/>
      <c r="P87" s="8"/>
      <c r="Q87" s="8"/>
      <c r="R87" s="8"/>
      <c r="S87" s="8"/>
      <c r="T87" s="8"/>
      <c r="U87" s="8"/>
      <c r="V87" s="7"/>
      <c r="W87" s="6" t="str">
        <f t="array" ref="W87">IF(NOT(ISBLANK(D87)),_xludf.XLOOKUP(D87,[2]CODE!$A$4:$A$100,[2]CODE!$D$4:$D$100),"")</f>
        <v/>
      </c>
      <c r="X87" s="5" t="str">
        <f t="array" ref="X87">IF(NOT(AND(ISBLANK(D87),ISBLANK(C87))),_xludf.XLOOKUP(D87,[2]CODE!$A$4:$A$100,[2]CODE!$E$4:$E$100),"")</f>
        <v/>
      </c>
      <c r="Y87" s="5" t="str">
        <f t="shared" si="12"/>
        <v/>
      </c>
      <c r="Z87" s="5" t="str">
        <f t="shared" si="13"/>
        <v/>
      </c>
      <c r="AA87" s="4">
        <f t="shared" si="14"/>
        <v>0</v>
      </c>
      <c r="AC87" s="2"/>
    </row>
    <row r="88" spans="1:29" ht="15.5">
      <c r="A88" s="13" t="str">
        <f>IF(OR(ISBLANK(C88),ISBLANK(D88),ISBLANK(F88),ISBLANK(G88)),"",COUNTIF($B$5:B88,"JAMBUTU"))</f>
        <v/>
      </c>
      <c r="B88" s="8"/>
      <c r="C88" s="8"/>
      <c r="D88" s="8"/>
      <c r="E88" s="13"/>
      <c r="F88" s="12"/>
      <c r="G88" s="11"/>
      <c r="H88" s="12"/>
      <c r="I88" s="15"/>
      <c r="J88" s="10">
        <f t="shared" si="9"/>
        <v>0</v>
      </c>
      <c r="K88" s="10">
        <f t="shared" si="10"/>
        <v>0</v>
      </c>
      <c r="L88" s="9" t="str">
        <f t="shared" si="11"/>
        <v/>
      </c>
      <c r="M88" s="8"/>
      <c r="N88" s="8"/>
      <c r="O88" s="8"/>
      <c r="P88" s="8"/>
      <c r="Q88" s="8"/>
      <c r="R88" s="8"/>
      <c r="S88" s="8"/>
      <c r="T88" s="8"/>
      <c r="U88" s="8"/>
      <c r="V88" s="7"/>
      <c r="W88" s="6" t="str">
        <f t="array" ref="W88">IF(NOT(ISBLANK(D88)),_xludf.XLOOKUP(D88,[2]CODE!$A$4:$A$100,[2]CODE!$D$4:$D$100),"")</f>
        <v/>
      </c>
      <c r="X88" s="5" t="str">
        <f t="array" ref="X88">IF(NOT(AND(ISBLANK(D88),ISBLANK(C88))),_xludf.XLOOKUP(D88,[2]CODE!$A$4:$A$100,[2]CODE!$E$4:$E$100),"")</f>
        <v/>
      </c>
      <c r="Y88" s="5" t="str">
        <f t="shared" si="12"/>
        <v/>
      </c>
      <c r="Z88" s="5" t="str">
        <f t="shared" si="13"/>
        <v/>
      </c>
      <c r="AA88" s="4">
        <f t="shared" si="14"/>
        <v>0</v>
      </c>
      <c r="AC88" s="2"/>
    </row>
    <row r="89" spans="1:29" ht="15.5">
      <c r="A89" s="13" t="str">
        <f>IF(OR(ISBLANK(C89),ISBLANK(D89),ISBLANK(F89),ISBLANK(G89)),"",COUNTIF($B$5:B89,"JAMBUTU"))</f>
        <v/>
      </c>
      <c r="B89" s="8"/>
      <c r="C89" s="8"/>
      <c r="D89" s="8"/>
      <c r="E89" s="13"/>
      <c r="F89" s="12"/>
      <c r="G89" s="11"/>
      <c r="H89" s="12"/>
      <c r="I89" s="15"/>
      <c r="J89" s="10">
        <f t="shared" si="9"/>
        <v>0</v>
      </c>
      <c r="K89" s="10">
        <f t="shared" si="10"/>
        <v>0</v>
      </c>
      <c r="L89" s="9" t="str">
        <f t="shared" si="11"/>
        <v/>
      </c>
      <c r="M89" s="8"/>
      <c r="N89" s="8"/>
      <c r="O89" s="8"/>
      <c r="P89" s="8"/>
      <c r="Q89" s="8"/>
      <c r="R89" s="8"/>
      <c r="S89" s="8"/>
      <c r="T89" s="8"/>
      <c r="U89" s="8"/>
      <c r="V89" s="7"/>
      <c r="W89" s="6" t="str">
        <f t="array" ref="W89">IF(NOT(ISBLANK(D89)),_xludf.XLOOKUP(D89,[2]CODE!$A$4:$A$100,[2]CODE!$D$4:$D$100),"")</f>
        <v/>
      </c>
      <c r="X89" s="5" t="str">
        <f t="array" ref="X89">IF(NOT(AND(ISBLANK(D89),ISBLANK(C89))),_xludf.XLOOKUP(D89,[2]CODE!$A$4:$A$100,[2]CODE!$E$4:$E$100),"")</f>
        <v/>
      </c>
      <c r="Y89" s="5" t="str">
        <f t="shared" si="12"/>
        <v/>
      </c>
      <c r="Z89" s="5" t="str">
        <f t="shared" si="13"/>
        <v/>
      </c>
      <c r="AA89" s="4">
        <f t="shared" si="14"/>
        <v>0</v>
      </c>
      <c r="AC89" s="2"/>
    </row>
    <row r="90" spans="1:29" ht="15.5">
      <c r="A90" s="13" t="str">
        <f>IF(OR(ISBLANK(C90),ISBLANK(D90),ISBLANK(F90),ISBLANK(G90)),"",COUNTIF($B$5:B90,"JAMBUTU"))</f>
        <v/>
      </c>
      <c r="B90" s="8"/>
      <c r="C90" s="8"/>
      <c r="D90" s="8"/>
      <c r="E90" s="13"/>
      <c r="F90" s="12"/>
      <c r="G90" s="11"/>
      <c r="H90" s="12"/>
      <c r="I90" s="15"/>
      <c r="J90" s="10">
        <f t="shared" si="9"/>
        <v>0</v>
      </c>
      <c r="K90" s="10">
        <f t="shared" si="10"/>
        <v>0</v>
      </c>
      <c r="L90" s="9" t="str">
        <f t="shared" si="11"/>
        <v/>
      </c>
      <c r="M90" s="8"/>
      <c r="N90" s="8"/>
      <c r="O90" s="8"/>
      <c r="P90" s="8"/>
      <c r="Q90" s="8"/>
      <c r="R90" s="8"/>
      <c r="S90" s="8"/>
      <c r="T90" s="8"/>
      <c r="U90" s="8"/>
      <c r="V90" s="7"/>
      <c r="W90" s="6" t="str">
        <f t="array" ref="W90">IF(NOT(ISBLANK(D90)),_xludf.XLOOKUP(D90,[2]CODE!$A$4:$A$100,[2]CODE!$D$4:$D$100),"")</f>
        <v/>
      </c>
      <c r="X90" s="5" t="str">
        <f t="array" ref="X90">IF(NOT(AND(ISBLANK(D90),ISBLANK(C90))),_xludf.XLOOKUP(D90,[2]CODE!$A$4:$A$100,[2]CODE!$E$4:$E$100),"")</f>
        <v/>
      </c>
      <c r="Y90" s="5" t="str">
        <f t="shared" si="12"/>
        <v/>
      </c>
      <c r="Z90" s="5" t="str">
        <f t="shared" si="13"/>
        <v/>
      </c>
      <c r="AA90" s="4">
        <f t="shared" si="14"/>
        <v>0</v>
      </c>
      <c r="AC90" s="2"/>
    </row>
    <row r="91" spans="1:29" ht="15.5">
      <c r="A91" s="13" t="str">
        <f>IF(OR(ISBLANK(C91),ISBLANK(D91),ISBLANK(F91),ISBLANK(G91)),"",COUNTIF($B$5:B91,"JAMBUTU"))</f>
        <v/>
      </c>
      <c r="B91" s="8"/>
      <c r="C91" s="8"/>
      <c r="D91" s="8"/>
      <c r="E91" s="13"/>
      <c r="F91" s="12"/>
      <c r="G91" s="11"/>
      <c r="H91" s="12"/>
      <c r="I91" s="15"/>
      <c r="J91" s="10">
        <f t="shared" si="9"/>
        <v>0</v>
      </c>
      <c r="K91" s="10">
        <f t="shared" si="10"/>
        <v>0</v>
      </c>
      <c r="L91" s="9" t="str">
        <f t="shared" si="11"/>
        <v/>
      </c>
      <c r="M91" s="8"/>
      <c r="N91" s="8"/>
      <c r="O91" s="8"/>
      <c r="P91" s="8"/>
      <c r="Q91" s="8"/>
      <c r="R91" s="8"/>
      <c r="S91" s="8"/>
      <c r="T91" s="8"/>
      <c r="U91" s="8"/>
      <c r="V91" s="7"/>
      <c r="W91" s="6" t="str">
        <f t="array" ref="W91">IF(NOT(ISBLANK(D91)),_xludf.XLOOKUP(D91,[2]CODE!$A$4:$A$100,[2]CODE!$D$4:$D$100),"")</f>
        <v/>
      </c>
      <c r="X91" s="5" t="str">
        <f t="array" ref="X91">IF(NOT(AND(ISBLANK(D91),ISBLANK(C91))),_xludf.XLOOKUP(D91,[2]CODE!$A$4:$A$100,[2]CODE!$E$4:$E$100),"")</f>
        <v/>
      </c>
      <c r="Y91" s="5" t="str">
        <f t="shared" si="12"/>
        <v/>
      </c>
      <c r="Z91" s="5" t="str">
        <f t="shared" si="13"/>
        <v/>
      </c>
      <c r="AA91" s="4">
        <f t="shared" si="14"/>
        <v>0</v>
      </c>
      <c r="AC91" s="2"/>
    </row>
    <row r="92" spans="1:29" ht="15.5">
      <c r="A92" s="13" t="str">
        <f>IF(OR(ISBLANK(C92),ISBLANK(D92),ISBLANK(F92),ISBLANK(G92)),"",COUNTIF($B$5:B92,"JAMBUTU"))</f>
        <v/>
      </c>
      <c r="B92" s="8"/>
      <c r="C92" s="8"/>
      <c r="D92" s="8"/>
      <c r="E92" s="13"/>
      <c r="F92" s="12"/>
      <c r="G92" s="11"/>
      <c r="H92" s="12"/>
      <c r="I92" s="11"/>
      <c r="J92" s="10">
        <f t="shared" si="9"/>
        <v>0</v>
      </c>
      <c r="K92" s="10">
        <f t="shared" si="10"/>
        <v>0</v>
      </c>
      <c r="L92" s="9" t="str">
        <f t="shared" si="11"/>
        <v/>
      </c>
      <c r="M92" s="8"/>
      <c r="N92" s="8"/>
      <c r="O92" s="8"/>
      <c r="P92" s="8"/>
      <c r="Q92" s="8"/>
      <c r="R92" s="8"/>
      <c r="S92" s="8"/>
      <c r="T92" s="8"/>
      <c r="U92" s="8"/>
      <c r="V92" s="7"/>
      <c r="W92" s="6" t="str">
        <f t="array" ref="W92">IF(NOT(ISBLANK(D92)),_xludf.XLOOKUP(D92,[2]CODE!$A$4:$A$100,[2]CODE!$D$4:$D$100),"")</f>
        <v/>
      </c>
      <c r="X92" s="5" t="str">
        <f t="array" ref="X92">IF(NOT(AND(ISBLANK(D92),ISBLANK(C92))),_xludf.XLOOKUP(D92,[2]CODE!$A$4:$A$100,[2]CODE!$E$4:$E$100),"")</f>
        <v/>
      </c>
      <c r="Y92" s="5" t="str">
        <f t="shared" si="12"/>
        <v/>
      </c>
      <c r="Z92" s="5" t="str">
        <f t="shared" si="13"/>
        <v/>
      </c>
      <c r="AA92" s="4">
        <f t="shared" si="14"/>
        <v>0</v>
      </c>
      <c r="AC92" s="2"/>
    </row>
    <row r="93" spans="1:29" ht="15.5">
      <c r="A93" s="13" t="str">
        <f>IF(OR(ISBLANK(C93),ISBLANK(D93),ISBLANK(F93),ISBLANK(G93)),"",COUNTIF($B$5:B93,"JAMBUTU"))</f>
        <v/>
      </c>
      <c r="B93" s="8"/>
      <c r="C93" s="8"/>
      <c r="D93" s="8"/>
      <c r="E93" s="13"/>
      <c r="F93" s="12"/>
      <c r="G93" s="11"/>
      <c r="H93" s="12"/>
      <c r="I93" s="11"/>
      <c r="J93" s="10">
        <f t="shared" si="9"/>
        <v>0</v>
      </c>
      <c r="K93" s="10">
        <f t="shared" si="10"/>
        <v>0</v>
      </c>
      <c r="L93" s="9" t="str">
        <f t="shared" si="11"/>
        <v/>
      </c>
      <c r="M93" s="8"/>
      <c r="N93" s="8"/>
      <c r="O93" s="8"/>
      <c r="P93" s="8"/>
      <c r="Q93" s="8"/>
      <c r="R93" s="8"/>
      <c r="S93" s="8"/>
      <c r="T93" s="8"/>
      <c r="U93" s="8"/>
      <c r="V93" s="7"/>
      <c r="W93" s="6" t="str">
        <f t="array" ref="W93">IF(NOT(ISBLANK(D93)),_xludf.XLOOKUP(D93,[2]CODE!$A$4:$A$100,[2]CODE!$D$4:$D$100),"")</f>
        <v/>
      </c>
      <c r="X93" s="5" t="str">
        <f t="array" ref="X93">IF(NOT(AND(ISBLANK(D93),ISBLANK(C93))),_xludf.XLOOKUP(D93,[2]CODE!$A$4:$A$100,[2]CODE!$E$4:$E$100),"")</f>
        <v/>
      </c>
      <c r="Y93" s="5" t="str">
        <f t="shared" si="12"/>
        <v/>
      </c>
      <c r="Z93" s="5" t="str">
        <f t="shared" si="13"/>
        <v/>
      </c>
      <c r="AA93" s="4">
        <f t="shared" si="14"/>
        <v>0</v>
      </c>
      <c r="AC93" s="2"/>
    </row>
    <row r="94" spans="1:29" ht="15.5">
      <c r="A94" s="13" t="str">
        <f>IF(OR(ISBLANK(C94),ISBLANK(D94),ISBLANK(F94),ISBLANK(G94)),"",COUNTIF($B$5:B94,"JAMBUTU"))</f>
        <v/>
      </c>
      <c r="B94" s="8"/>
      <c r="C94" s="8"/>
      <c r="D94" s="8"/>
      <c r="E94" s="13"/>
      <c r="F94" s="12"/>
      <c r="G94" s="11"/>
      <c r="H94" s="12"/>
      <c r="I94" s="11"/>
      <c r="J94" s="10">
        <f t="shared" si="9"/>
        <v>0</v>
      </c>
      <c r="K94" s="10">
        <f t="shared" si="10"/>
        <v>0</v>
      </c>
      <c r="L94" s="9" t="str">
        <f t="shared" si="11"/>
        <v/>
      </c>
      <c r="M94" s="8"/>
      <c r="N94" s="8"/>
      <c r="O94" s="8"/>
      <c r="P94" s="8"/>
      <c r="Q94" s="8"/>
      <c r="R94" s="8"/>
      <c r="S94" s="8"/>
      <c r="T94" s="8"/>
      <c r="U94" s="8"/>
      <c r="V94" s="7"/>
      <c r="W94" s="6" t="str">
        <f t="array" ref="W94">IF(NOT(ISBLANK(D94)),_xludf.XLOOKUP(D94,[2]CODE!$A$4:$A$100,[2]CODE!$D$4:$D$100),"")</f>
        <v/>
      </c>
      <c r="X94" s="5" t="str">
        <f t="array" ref="X94">IF(NOT(AND(ISBLANK(D94),ISBLANK(C94))),_xludf.XLOOKUP(D94,[2]CODE!$A$4:$A$100,[2]CODE!$E$4:$E$100),"")</f>
        <v/>
      </c>
      <c r="Y94" s="5" t="str">
        <f t="shared" si="12"/>
        <v/>
      </c>
      <c r="Z94" s="5" t="str">
        <f t="shared" si="13"/>
        <v/>
      </c>
      <c r="AA94" s="4">
        <f t="shared" si="14"/>
        <v>0</v>
      </c>
      <c r="AC94" s="2"/>
    </row>
    <row r="95" spans="1:29" ht="15.5">
      <c r="A95" s="13" t="str">
        <f>IF(OR(ISBLANK(C95),ISBLANK(D95),ISBLANK(F95),ISBLANK(G95)),"",COUNTIF($B$5:B95,"JAMBUTU"))</f>
        <v/>
      </c>
      <c r="B95" s="8"/>
      <c r="C95" s="8"/>
      <c r="D95" s="8"/>
      <c r="E95" s="13"/>
      <c r="F95" s="12"/>
      <c r="G95" s="11"/>
      <c r="H95" s="12"/>
      <c r="I95" s="11"/>
      <c r="J95" s="10">
        <f t="shared" si="9"/>
        <v>0</v>
      </c>
      <c r="K95" s="10">
        <f t="shared" si="10"/>
        <v>0</v>
      </c>
      <c r="L95" s="9" t="str">
        <f t="shared" si="11"/>
        <v/>
      </c>
      <c r="M95" s="8"/>
      <c r="N95" s="8"/>
      <c r="O95" s="8"/>
      <c r="P95" s="8"/>
      <c r="Q95" s="8"/>
      <c r="R95" s="8"/>
      <c r="S95" s="8"/>
      <c r="T95" s="8"/>
      <c r="U95" s="8"/>
      <c r="V95" s="7"/>
      <c r="W95" s="6" t="str">
        <f t="array" ref="W95">IF(NOT(ISBLANK(D95)),_xludf.XLOOKUP(D95,[2]CODE!$A$4:$A$100,[2]CODE!$D$4:$D$100),"")</f>
        <v/>
      </c>
      <c r="X95" s="5" t="str">
        <f t="array" ref="X95">IF(NOT(AND(ISBLANK(D95),ISBLANK(C95))),_xludf.XLOOKUP(D95,[2]CODE!$A$4:$A$100,[2]CODE!$E$4:$E$100),"")</f>
        <v/>
      </c>
      <c r="Y95" s="5" t="str">
        <f t="shared" si="12"/>
        <v/>
      </c>
      <c r="Z95" s="5" t="str">
        <f t="shared" si="13"/>
        <v/>
      </c>
      <c r="AA95" s="4">
        <f t="shared" si="14"/>
        <v>0</v>
      </c>
      <c r="AC95" s="2"/>
    </row>
    <row r="96" spans="1:29" ht="15.5">
      <c r="A96" s="13" t="str">
        <f>IF(OR(ISBLANK(C96),ISBLANK(D96),ISBLANK(F96),ISBLANK(G96)),"",COUNTIF($B$5:B96,"JAMBUTU"))</f>
        <v/>
      </c>
      <c r="B96" s="8"/>
      <c r="C96" s="8"/>
      <c r="D96" s="8"/>
      <c r="E96" s="13"/>
      <c r="F96" s="12"/>
      <c r="G96" s="11"/>
      <c r="H96" s="12"/>
      <c r="I96" s="11"/>
      <c r="J96" s="10">
        <f t="shared" si="9"/>
        <v>0</v>
      </c>
      <c r="K96" s="10">
        <f t="shared" si="10"/>
        <v>0</v>
      </c>
      <c r="L96" s="9" t="str">
        <f t="shared" si="11"/>
        <v/>
      </c>
      <c r="M96" s="8"/>
      <c r="N96" s="8"/>
      <c r="O96" s="8"/>
      <c r="P96" s="8"/>
      <c r="Q96" s="8"/>
      <c r="R96" s="8"/>
      <c r="S96" s="8"/>
      <c r="T96" s="8"/>
      <c r="U96" s="8"/>
      <c r="V96" s="7"/>
      <c r="W96" s="6" t="str">
        <f t="array" ref="W96">IF(NOT(ISBLANK(D96)),_xludf.XLOOKUP(D96,[2]CODE!$A$4:$A$100,[2]CODE!$D$4:$D$100),"")</f>
        <v/>
      </c>
      <c r="X96" s="5" t="str">
        <f t="array" ref="X96">IF(NOT(AND(ISBLANK(D96),ISBLANK(C96))),_xludf.XLOOKUP(D96,[2]CODE!$A$4:$A$100,[2]CODE!$E$4:$E$100),"")</f>
        <v/>
      </c>
      <c r="Y96" s="5" t="str">
        <f t="shared" si="12"/>
        <v/>
      </c>
      <c r="Z96" s="5" t="str">
        <f t="shared" si="13"/>
        <v/>
      </c>
      <c r="AA96" s="4">
        <f t="shared" si="14"/>
        <v>0</v>
      </c>
      <c r="AC96" s="2"/>
    </row>
    <row r="97" spans="1:29" ht="15.5">
      <c r="A97" s="13" t="str">
        <f>IF(OR(ISBLANK(C97),ISBLANK(D97),ISBLANK(F97),ISBLANK(G97)),"",COUNTIF($B$5:B97,"JAMBUTU"))</f>
        <v/>
      </c>
      <c r="B97" s="8"/>
      <c r="C97" s="8"/>
      <c r="D97" s="8"/>
      <c r="E97" s="13"/>
      <c r="F97" s="12"/>
      <c r="G97" s="11"/>
      <c r="H97" s="12"/>
      <c r="I97" s="11"/>
      <c r="J97" s="10">
        <f t="shared" si="9"/>
        <v>0</v>
      </c>
      <c r="K97" s="10">
        <f t="shared" si="10"/>
        <v>0</v>
      </c>
      <c r="L97" s="9" t="str">
        <f t="shared" si="11"/>
        <v/>
      </c>
      <c r="M97" s="8"/>
      <c r="N97" s="8"/>
      <c r="O97" s="8"/>
      <c r="P97" s="8"/>
      <c r="Q97" s="8"/>
      <c r="R97" s="8"/>
      <c r="S97" s="8"/>
      <c r="T97" s="8"/>
      <c r="U97" s="8"/>
      <c r="V97" s="7"/>
      <c r="W97" s="6" t="str">
        <f t="array" ref="W97">IF(NOT(ISBLANK(D97)),_xludf.XLOOKUP(D97,[2]CODE!$A$4:$A$100,[2]CODE!$D$4:$D$100),"")</f>
        <v/>
      </c>
      <c r="X97" s="5" t="str">
        <f t="array" ref="X97">IF(NOT(AND(ISBLANK(D97),ISBLANK(C97))),_xludf.XLOOKUP(D97,[2]CODE!$A$4:$A$100,[2]CODE!$E$4:$E$100),"")</f>
        <v/>
      </c>
      <c r="Y97" s="5" t="str">
        <f t="shared" si="12"/>
        <v/>
      </c>
      <c r="Z97" s="5" t="str">
        <f t="shared" si="13"/>
        <v/>
      </c>
      <c r="AA97" s="4">
        <f t="shared" si="14"/>
        <v>0</v>
      </c>
      <c r="AC97" s="2"/>
    </row>
    <row r="98" spans="1:29" ht="15.5">
      <c r="A98" s="13" t="str">
        <f>IF(OR(ISBLANK(C98),ISBLANK(D98),ISBLANK(F98),ISBLANK(G98)),"",COUNTIF($B$5:B98,"JAMBUTU"))</f>
        <v/>
      </c>
      <c r="B98" s="8"/>
      <c r="C98" s="8"/>
      <c r="D98" s="8"/>
      <c r="E98" s="13"/>
      <c r="F98" s="12"/>
      <c r="G98" s="11"/>
      <c r="H98" s="12"/>
      <c r="I98" s="11"/>
      <c r="J98" s="10">
        <f t="shared" si="9"/>
        <v>0</v>
      </c>
      <c r="K98" s="10">
        <f t="shared" si="10"/>
        <v>0</v>
      </c>
      <c r="L98" s="9" t="str">
        <f t="shared" si="11"/>
        <v/>
      </c>
      <c r="M98" s="8"/>
      <c r="N98" s="8"/>
      <c r="O98" s="8"/>
      <c r="P98" s="8"/>
      <c r="Q98" s="8"/>
      <c r="R98" s="8"/>
      <c r="S98" s="8"/>
      <c r="T98" s="8"/>
      <c r="U98" s="8"/>
      <c r="V98" s="7"/>
      <c r="W98" s="6" t="str">
        <f t="array" ref="W98">IF(NOT(ISBLANK(D98)),_xludf.XLOOKUP(D98,[2]CODE!$A$4:$A$100,[2]CODE!$D$4:$D$100),"")</f>
        <v/>
      </c>
      <c r="X98" s="5" t="str">
        <f t="array" ref="X98">IF(NOT(AND(ISBLANK(D98),ISBLANK(C98))),_xludf.XLOOKUP(D98,[2]CODE!$A$4:$A$100,[2]CODE!$E$4:$E$100),"")</f>
        <v/>
      </c>
      <c r="Y98" s="5" t="str">
        <f t="shared" si="12"/>
        <v/>
      </c>
      <c r="Z98" s="5" t="str">
        <f t="shared" si="13"/>
        <v/>
      </c>
      <c r="AA98" s="4">
        <f t="shared" si="14"/>
        <v>0</v>
      </c>
      <c r="AC98" s="2"/>
    </row>
    <row r="99" spans="1:29" ht="15.5">
      <c r="A99" s="13" t="str">
        <f>IF(OR(ISBLANK(C99),ISBLANK(D99),ISBLANK(F99),ISBLANK(G99)),"",COUNTIF($B$5:B99,"JAMBUTU"))</f>
        <v/>
      </c>
      <c r="B99" s="8"/>
      <c r="C99" s="8"/>
      <c r="D99" s="8"/>
      <c r="E99" s="13"/>
      <c r="F99" s="12"/>
      <c r="G99" s="11"/>
      <c r="H99" s="12"/>
      <c r="I99" s="11"/>
      <c r="J99" s="10">
        <f t="shared" si="9"/>
        <v>0</v>
      </c>
      <c r="K99" s="10">
        <f t="shared" si="10"/>
        <v>0</v>
      </c>
      <c r="L99" s="9" t="str">
        <f t="shared" si="11"/>
        <v/>
      </c>
      <c r="M99" s="8"/>
      <c r="N99" s="8"/>
      <c r="O99" s="8"/>
      <c r="P99" s="8"/>
      <c r="Q99" s="8"/>
      <c r="R99" s="8"/>
      <c r="S99" s="8"/>
      <c r="T99" s="8"/>
      <c r="U99" s="8"/>
      <c r="V99" s="7"/>
      <c r="W99" s="6" t="str">
        <f t="array" ref="W99">IF(NOT(ISBLANK(D99)),_xludf.XLOOKUP(D99,[2]CODE!$A$4:$A$100,[2]CODE!$D$4:$D$100),"")</f>
        <v/>
      </c>
      <c r="X99" s="5" t="str">
        <f t="array" ref="X99">IF(NOT(AND(ISBLANK(D99),ISBLANK(C99))),_xludf.XLOOKUP(D99,[2]CODE!$A$4:$A$100,[2]CODE!$E$4:$E$100),"")</f>
        <v/>
      </c>
      <c r="Y99" s="5" t="str">
        <f t="shared" si="12"/>
        <v/>
      </c>
      <c r="Z99" s="5" t="str">
        <f t="shared" si="13"/>
        <v/>
      </c>
      <c r="AA99" s="4">
        <f t="shared" si="14"/>
        <v>0</v>
      </c>
      <c r="AC99" s="2"/>
    </row>
    <row r="100" spans="1:29" ht="15.5">
      <c r="A100" s="13" t="str">
        <f>IF(OR(ISBLANK(C100),ISBLANK(D100),ISBLANK(F100),ISBLANK(G100)),"",COUNTIF($B$5:B100,"JAMBUTU"))</f>
        <v/>
      </c>
      <c r="B100" s="8"/>
      <c r="C100" s="8"/>
      <c r="D100" s="8"/>
      <c r="E100" s="13"/>
      <c r="F100" s="12"/>
      <c r="G100" s="11"/>
      <c r="H100" s="12"/>
      <c r="I100" s="11"/>
      <c r="J100" s="10">
        <f t="shared" si="9"/>
        <v>0</v>
      </c>
      <c r="K100" s="10">
        <f t="shared" si="10"/>
        <v>0</v>
      </c>
      <c r="L100" s="9" t="str">
        <f t="shared" si="11"/>
        <v/>
      </c>
      <c r="M100" s="8"/>
      <c r="N100" s="8"/>
      <c r="O100" s="8"/>
      <c r="P100" s="8"/>
      <c r="Q100" s="8"/>
      <c r="R100" s="8"/>
      <c r="S100" s="8"/>
      <c r="T100" s="8"/>
      <c r="U100" s="8"/>
      <c r="V100" s="7"/>
      <c r="W100" s="6" t="str">
        <f t="array" ref="W100">IF(NOT(ISBLANK(D100)),_xludf.XLOOKUP(D100,[2]CODE!$A$4:$A$100,[2]CODE!$D$4:$D$100),"")</f>
        <v/>
      </c>
      <c r="X100" s="5" t="str">
        <f t="array" ref="X100">IF(NOT(AND(ISBLANK(D100),ISBLANK(C100))),_xludf.XLOOKUP(D100,[2]CODE!$A$4:$A$100,[2]CODE!$E$4:$E$100),"")</f>
        <v/>
      </c>
      <c r="Y100" s="5" t="str">
        <f t="shared" si="12"/>
        <v/>
      </c>
      <c r="Z100" s="5" t="str">
        <f t="shared" si="13"/>
        <v/>
      </c>
      <c r="AA100" s="4">
        <f t="shared" si="14"/>
        <v>0</v>
      </c>
      <c r="AC100" s="2"/>
    </row>
    <row r="101" spans="1:29" ht="15.5">
      <c r="A101" s="13" t="str">
        <f>IF(OR(ISBLANK(C101),ISBLANK(D101),ISBLANK(F101),ISBLANK(G101)),"",COUNTIF($B$5:B101,"JAMBUTU"))</f>
        <v/>
      </c>
      <c r="B101" s="8"/>
      <c r="C101" s="8"/>
      <c r="D101" s="8"/>
      <c r="E101" s="13"/>
      <c r="F101" s="12"/>
      <c r="G101" s="11"/>
      <c r="H101" s="12"/>
      <c r="I101" s="15"/>
      <c r="J101" s="10">
        <f t="shared" si="9"/>
        <v>0</v>
      </c>
      <c r="K101" s="10">
        <f t="shared" si="10"/>
        <v>0</v>
      </c>
      <c r="L101" s="9" t="str">
        <f t="shared" si="11"/>
        <v/>
      </c>
      <c r="M101" s="8"/>
      <c r="N101" s="8"/>
      <c r="O101" s="8"/>
      <c r="P101" s="8"/>
      <c r="Q101" s="8"/>
      <c r="R101" s="8"/>
      <c r="S101" s="8"/>
      <c r="T101" s="8"/>
      <c r="U101" s="8"/>
      <c r="V101" s="7"/>
      <c r="W101" s="6" t="str">
        <f t="array" ref="W101">IF(NOT(ISBLANK(D101)),_xludf.XLOOKUP(D101,[2]CODE!$A$4:$A$100,[2]CODE!$D$4:$D$100),"")</f>
        <v/>
      </c>
      <c r="X101" s="5" t="str">
        <f t="array" ref="X101">IF(NOT(AND(ISBLANK(D101),ISBLANK(C101))),_xludf.XLOOKUP(D101,[2]CODE!$A$4:$A$100,[2]CODE!$E$4:$E$100),"")</f>
        <v/>
      </c>
      <c r="Y101" s="5" t="str">
        <f t="shared" si="12"/>
        <v/>
      </c>
      <c r="Z101" s="5" t="str">
        <f t="shared" si="13"/>
        <v/>
      </c>
      <c r="AA101" s="4">
        <f t="shared" si="14"/>
        <v>0</v>
      </c>
      <c r="AC101" s="2"/>
    </row>
    <row r="102" spans="1:29" ht="15.5">
      <c r="A102" s="13" t="str">
        <f>IF(OR(ISBLANK(C102),ISBLANK(D102),ISBLANK(F102),ISBLANK(G102)),"",COUNTIF($B$5:B102,"JAMBUTU"))</f>
        <v/>
      </c>
      <c r="B102" s="8"/>
      <c r="C102" s="8"/>
      <c r="D102" s="8"/>
      <c r="E102" s="13"/>
      <c r="F102" s="12"/>
      <c r="G102" s="11"/>
      <c r="H102" s="12"/>
      <c r="I102" s="15"/>
      <c r="J102" s="10">
        <f t="shared" si="9"/>
        <v>0</v>
      </c>
      <c r="K102" s="10">
        <f t="shared" si="10"/>
        <v>0</v>
      </c>
      <c r="L102" s="9" t="str">
        <f t="shared" si="11"/>
        <v/>
      </c>
      <c r="M102" s="8"/>
      <c r="N102" s="8"/>
      <c r="O102" s="8"/>
      <c r="P102" s="8"/>
      <c r="Q102" s="8"/>
      <c r="R102" s="8"/>
      <c r="S102" s="8"/>
      <c r="T102" s="8"/>
      <c r="U102" s="8"/>
      <c r="V102" s="7"/>
      <c r="W102" s="6" t="str">
        <f t="array" ref="W102">IF(NOT(ISBLANK(D102)),_xludf.XLOOKUP(D102,[2]CODE!$A$4:$A$100,[2]CODE!$D$4:$D$100),"")</f>
        <v/>
      </c>
      <c r="X102" s="5" t="str">
        <f t="array" ref="X102">IF(NOT(AND(ISBLANK(D102),ISBLANK(C102))),_xludf.XLOOKUP(D102,[2]CODE!$A$4:$A$100,[2]CODE!$E$4:$E$100),"")</f>
        <v/>
      </c>
      <c r="Y102" s="5" t="str">
        <f t="shared" si="12"/>
        <v/>
      </c>
      <c r="Z102" s="5" t="str">
        <f t="shared" si="13"/>
        <v/>
      </c>
      <c r="AA102" s="4">
        <f t="shared" si="14"/>
        <v>0</v>
      </c>
      <c r="AC102" s="2"/>
    </row>
    <row r="103" spans="1:29" ht="15.5">
      <c r="A103" s="13" t="str">
        <f>IF(OR(ISBLANK(C103),ISBLANK(D103),ISBLANK(F103),ISBLANK(G103)),"",COUNTIF($B$5:B103,"JAMBUTU"))</f>
        <v/>
      </c>
      <c r="B103" s="8"/>
      <c r="C103" s="8"/>
      <c r="D103" s="8"/>
      <c r="E103" s="13"/>
      <c r="F103" s="12"/>
      <c r="G103" s="11"/>
      <c r="H103" s="12"/>
      <c r="I103" s="11"/>
      <c r="J103" s="10">
        <f t="shared" si="9"/>
        <v>0</v>
      </c>
      <c r="K103" s="10">
        <f t="shared" si="10"/>
        <v>0</v>
      </c>
      <c r="L103" s="9" t="str">
        <f t="shared" si="11"/>
        <v/>
      </c>
      <c r="M103" s="8"/>
      <c r="N103" s="8"/>
      <c r="O103" s="8"/>
      <c r="P103" s="8"/>
      <c r="Q103" s="8"/>
      <c r="R103" s="8"/>
      <c r="S103" s="8"/>
      <c r="T103" s="8"/>
      <c r="U103" s="8"/>
      <c r="V103" s="7"/>
      <c r="W103" s="6" t="str">
        <f t="array" ref="W103">IF(NOT(ISBLANK(D103)),_xludf.XLOOKUP(D103,[2]CODE!$A$4:$A$100,[2]CODE!$D$4:$D$100),"")</f>
        <v/>
      </c>
      <c r="X103" s="5" t="str">
        <f t="array" ref="X103">IF(NOT(AND(ISBLANK(D103),ISBLANK(C103))),_xludf.XLOOKUP(D103,[2]CODE!$A$4:$A$100,[2]CODE!$E$4:$E$100),"")</f>
        <v/>
      </c>
      <c r="Y103" s="5" t="str">
        <f t="shared" si="12"/>
        <v/>
      </c>
      <c r="Z103" s="5" t="str">
        <f t="shared" si="13"/>
        <v/>
      </c>
      <c r="AA103" s="4">
        <f t="shared" si="14"/>
        <v>0</v>
      </c>
      <c r="AC103" s="2"/>
    </row>
    <row r="104" spans="1:29" ht="15.5">
      <c r="A104" s="13" t="str">
        <f>IF(OR(ISBLANK(C104),ISBLANK(D104),ISBLANK(F104),ISBLANK(G104)),"",COUNTIF($B$5:B104,"JAMBUTU"))</f>
        <v/>
      </c>
      <c r="B104" s="8"/>
      <c r="C104" s="8"/>
      <c r="D104" s="8"/>
      <c r="E104" s="13"/>
      <c r="F104" s="12"/>
      <c r="G104" s="11"/>
      <c r="H104" s="12"/>
      <c r="I104" s="11"/>
      <c r="J104" s="10">
        <f t="shared" si="9"/>
        <v>0</v>
      </c>
      <c r="K104" s="10">
        <f t="shared" si="10"/>
        <v>0</v>
      </c>
      <c r="L104" s="9" t="str">
        <f t="shared" si="11"/>
        <v/>
      </c>
      <c r="M104" s="8"/>
      <c r="N104" s="8"/>
      <c r="O104" s="8"/>
      <c r="P104" s="8"/>
      <c r="Q104" s="8"/>
      <c r="R104" s="8"/>
      <c r="S104" s="8"/>
      <c r="T104" s="8"/>
      <c r="U104" s="8"/>
      <c r="V104" s="7"/>
      <c r="W104" s="6" t="str">
        <f t="array" ref="W104">IF(NOT(ISBLANK(D104)),_xludf.XLOOKUP(D104,[2]CODE!$A$4:$A$100,[2]CODE!$D$4:$D$100),"")</f>
        <v/>
      </c>
      <c r="X104" s="5" t="str">
        <f t="array" ref="X104">IF(NOT(AND(ISBLANK(D104),ISBLANK(C104))),_xludf.XLOOKUP(D104,[2]CODE!$A$4:$A$100,[2]CODE!$E$4:$E$100),"")</f>
        <v/>
      </c>
      <c r="Y104" s="5" t="str">
        <f t="shared" si="12"/>
        <v/>
      </c>
      <c r="Z104" s="5" t="str">
        <f t="shared" si="13"/>
        <v/>
      </c>
      <c r="AA104" s="4">
        <f t="shared" si="14"/>
        <v>0</v>
      </c>
      <c r="AC104" s="2"/>
    </row>
    <row r="105" spans="1:29" ht="15.5">
      <c r="A105" s="13" t="str">
        <f>IF(OR(ISBLANK(C105),ISBLANK(D105),ISBLANK(F105),ISBLANK(G105)),"",COUNTIF($B$5:B105,"JAMBUTU"))</f>
        <v/>
      </c>
      <c r="B105" s="8"/>
      <c r="C105" s="8"/>
      <c r="D105" s="8"/>
      <c r="E105" s="13"/>
      <c r="F105" s="12"/>
      <c r="G105" s="11"/>
      <c r="H105" s="12"/>
      <c r="I105" s="11"/>
      <c r="J105" s="10">
        <f t="shared" si="9"/>
        <v>0</v>
      </c>
      <c r="K105" s="10">
        <f t="shared" si="10"/>
        <v>0</v>
      </c>
      <c r="L105" s="9" t="str">
        <f t="shared" si="11"/>
        <v/>
      </c>
      <c r="M105" s="8"/>
      <c r="N105" s="8"/>
      <c r="O105" s="8"/>
      <c r="P105" s="8"/>
      <c r="Q105" s="8"/>
      <c r="R105" s="8"/>
      <c r="S105" s="8"/>
      <c r="T105" s="8"/>
      <c r="U105" s="8"/>
      <c r="V105" s="7"/>
      <c r="W105" s="6" t="str">
        <f t="array" ref="W105">IF(NOT(ISBLANK(D105)),_xludf.XLOOKUP(D105,[2]CODE!$A$4:$A$100,[2]CODE!$D$4:$D$100),"")</f>
        <v/>
      </c>
      <c r="X105" s="5" t="str">
        <f t="array" ref="X105">IF(NOT(AND(ISBLANK(D105),ISBLANK(C105))),_xludf.XLOOKUP(D105,[2]CODE!$A$4:$A$100,[2]CODE!$E$4:$E$100),"")</f>
        <v/>
      </c>
      <c r="Y105" s="5" t="str">
        <f t="shared" si="12"/>
        <v/>
      </c>
      <c r="Z105" s="5" t="str">
        <f t="shared" si="13"/>
        <v/>
      </c>
      <c r="AA105" s="4">
        <f t="shared" si="14"/>
        <v>0</v>
      </c>
      <c r="AC105" s="2"/>
    </row>
    <row r="106" spans="1:29" ht="15.5">
      <c r="A106" s="13" t="str">
        <f>IF(OR(ISBLANK(C106),ISBLANK(D106),ISBLANK(F106),ISBLANK(G106)),"",COUNTIF($B$5:B106,"JAMBUTU"))</f>
        <v/>
      </c>
      <c r="B106" s="8"/>
      <c r="C106" s="8"/>
      <c r="D106" s="8"/>
      <c r="E106" s="13"/>
      <c r="F106" s="12"/>
      <c r="G106" s="11"/>
      <c r="H106" s="12"/>
      <c r="I106" s="11"/>
      <c r="J106" s="10">
        <f t="shared" si="9"/>
        <v>0</v>
      </c>
      <c r="K106" s="10">
        <f t="shared" si="10"/>
        <v>0</v>
      </c>
      <c r="L106" s="9" t="str">
        <f t="shared" si="11"/>
        <v/>
      </c>
      <c r="M106" s="8"/>
      <c r="N106" s="8"/>
      <c r="O106" s="8"/>
      <c r="P106" s="8"/>
      <c r="Q106" s="8"/>
      <c r="R106" s="8"/>
      <c r="S106" s="8"/>
      <c r="T106" s="8"/>
      <c r="U106" s="8"/>
      <c r="V106" s="7"/>
      <c r="W106" s="6" t="str">
        <f t="array" ref="W106">IF(NOT(ISBLANK(D106)),_xludf.XLOOKUP(D106,[2]CODE!$A$4:$A$100,[2]CODE!$D$4:$D$100),"")</f>
        <v/>
      </c>
      <c r="X106" s="5" t="str">
        <f t="array" ref="X106">IF(NOT(AND(ISBLANK(D106),ISBLANK(C106))),_xludf.XLOOKUP(D106,[2]CODE!$A$4:$A$100,[2]CODE!$E$4:$E$100),"")</f>
        <v/>
      </c>
      <c r="Y106" s="5" t="str">
        <f t="shared" si="12"/>
        <v/>
      </c>
      <c r="Z106" s="5" t="str">
        <f t="shared" si="13"/>
        <v/>
      </c>
      <c r="AA106" s="4">
        <f t="shared" si="14"/>
        <v>0</v>
      </c>
      <c r="AC106" s="2"/>
    </row>
    <row r="107" spans="1:29" ht="15.5">
      <c r="A107" s="13" t="str">
        <f>IF(OR(ISBLANK(C107),ISBLANK(D107),ISBLANK(F107),ISBLANK(G107)),"",COUNTIF($B$5:B107,"JAMBUTU"))</f>
        <v/>
      </c>
      <c r="B107" s="8"/>
      <c r="C107" s="8"/>
      <c r="D107" s="8"/>
      <c r="E107" s="13"/>
      <c r="F107" s="12"/>
      <c r="G107" s="11"/>
      <c r="H107" s="12"/>
      <c r="I107" s="15"/>
      <c r="J107" s="10">
        <f t="shared" si="9"/>
        <v>0</v>
      </c>
      <c r="K107" s="10">
        <f t="shared" si="10"/>
        <v>0</v>
      </c>
      <c r="L107" s="9" t="str">
        <f t="shared" si="11"/>
        <v/>
      </c>
      <c r="M107" s="8"/>
      <c r="N107" s="8"/>
      <c r="O107" s="8"/>
      <c r="P107" s="8"/>
      <c r="Q107" s="8"/>
      <c r="R107" s="8"/>
      <c r="S107" s="8"/>
      <c r="T107" s="8"/>
      <c r="U107" s="8"/>
      <c r="V107" s="7"/>
      <c r="W107" s="6" t="str">
        <f t="array" ref="W107">IF(NOT(ISBLANK(D107)),_xludf.XLOOKUP(D107,[2]CODE!$A$4:$A$100,[2]CODE!$D$4:$D$100),"")</f>
        <v/>
      </c>
      <c r="X107" s="5" t="str">
        <f t="array" ref="X107">IF(NOT(AND(ISBLANK(D107),ISBLANK(C107))),_xludf.XLOOKUP(D107,[2]CODE!$A$4:$A$100,[2]CODE!$E$4:$E$100),"")</f>
        <v/>
      </c>
      <c r="Y107" s="5" t="str">
        <f t="shared" si="12"/>
        <v/>
      </c>
      <c r="Z107" s="5" t="str">
        <f t="shared" si="13"/>
        <v/>
      </c>
      <c r="AA107" s="4">
        <f t="shared" si="14"/>
        <v>0</v>
      </c>
      <c r="AC107" s="2"/>
    </row>
    <row r="108" spans="1:29" ht="15.5">
      <c r="A108" s="13" t="str">
        <f>IF(OR(ISBLANK(C108),ISBLANK(D108),ISBLANK(F108),ISBLANK(G108)),"",COUNTIF($B$5:B108,"JAMBUTU"))</f>
        <v/>
      </c>
      <c r="B108" s="8"/>
      <c r="C108" s="8"/>
      <c r="D108" s="8"/>
      <c r="E108" s="13"/>
      <c r="F108" s="12"/>
      <c r="G108" s="11"/>
      <c r="H108" s="12"/>
      <c r="I108" s="15"/>
      <c r="J108" s="10">
        <f t="shared" si="9"/>
        <v>0</v>
      </c>
      <c r="K108" s="10">
        <f t="shared" si="10"/>
        <v>0</v>
      </c>
      <c r="L108" s="9" t="str">
        <f t="shared" si="11"/>
        <v/>
      </c>
      <c r="M108" s="8"/>
      <c r="N108" s="8"/>
      <c r="O108" s="8"/>
      <c r="P108" s="8"/>
      <c r="Q108" s="8"/>
      <c r="R108" s="8"/>
      <c r="S108" s="8"/>
      <c r="T108" s="8"/>
      <c r="U108" s="8"/>
      <c r="V108" s="7"/>
      <c r="W108" s="6" t="str">
        <f t="array" ref="W108">IF(NOT(ISBLANK(D108)),_xludf.XLOOKUP(D108,[2]CODE!$A$4:$A$100,[2]CODE!$D$4:$D$100),"")</f>
        <v/>
      </c>
      <c r="X108" s="5" t="str">
        <f t="array" ref="X108">IF(NOT(AND(ISBLANK(D108),ISBLANK(C108))),_xludf.XLOOKUP(D108,[2]CODE!$A$4:$A$100,[2]CODE!$E$4:$E$100),"")</f>
        <v/>
      </c>
      <c r="Y108" s="5" t="str">
        <f t="shared" si="12"/>
        <v/>
      </c>
      <c r="Z108" s="5" t="str">
        <f t="shared" si="13"/>
        <v/>
      </c>
      <c r="AA108" s="4">
        <f t="shared" si="14"/>
        <v>0</v>
      </c>
      <c r="AC108" s="2"/>
    </row>
    <row r="109" spans="1:29" ht="15.5">
      <c r="A109" s="13" t="str">
        <f>IF(OR(ISBLANK(C109),ISBLANK(D109),ISBLANK(F109),ISBLANK(G109)),"",COUNTIF($B$5:B109,"JAMBUTU"))</f>
        <v/>
      </c>
      <c r="B109" s="8"/>
      <c r="C109" s="8"/>
      <c r="D109" s="8"/>
      <c r="E109" s="13"/>
      <c r="F109" s="12"/>
      <c r="G109" s="11"/>
      <c r="H109" s="12"/>
      <c r="I109" s="15"/>
      <c r="J109" s="10">
        <f t="shared" si="9"/>
        <v>0</v>
      </c>
      <c r="K109" s="10">
        <f t="shared" si="10"/>
        <v>0</v>
      </c>
      <c r="L109" s="9" t="str">
        <f t="shared" si="11"/>
        <v/>
      </c>
      <c r="M109" s="8"/>
      <c r="N109" s="8"/>
      <c r="O109" s="8"/>
      <c r="P109" s="8"/>
      <c r="Q109" s="8"/>
      <c r="R109" s="8"/>
      <c r="S109" s="8"/>
      <c r="T109" s="8"/>
      <c r="U109" s="8"/>
      <c r="V109" s="7"/>
      <c r="W109" s="6" t="str">
        <f t="array" ref="W109">IF(NOT(ISBLANK(D109)),_xludf.XLOOKUP(D109,[2]CODE!$A$4:$A$100,[2]CODE!$D$4:$D$100),"")</f>
        <v/>
      </c>
      <c r="X109" s="5" t="str">
        <f t="array" ref="X109">IF(NOT(AND(ISBLANK(D109),ISBLANK(C109))),_xludf.XLOOKUP(D109,[2]CODE!$A$4:$A$100,[2]CODE!$E$4:$E$100),"")</f>
        <v/>
      </c>
      <c r="Y109" s="5" t="str">
        <f t="shared" si="12"/>
        <v/>
      </c>
      <c r="Z109" s="5" t="str">
        <f t="shared" si="13"/>
        <v/>
      </c>
      <c r="AA109" s="4">
        <f t="shared" si="14"/>
        <v>0</v>
      </c>
      <c r="AC109" s="2"/>
    </row>
    <row r="110" spans="1:29" ht="15.5">
      <c r="A110" s="13" t="str">
        <f>IF(OR(ISBLANK(C110),ISBLANK(D110),ISBLANK(F110),ISBLANK(G110)),"",COUNTIF($B$5:B110,"JAMBUTU"))</f>
        <v/>
      </c>
      <c r="B110" s="8"/>
      <c r="C110" s="8"/>
      <c r="D110" s="8"/>
      <c r="E110" s="13"/>
      <c r="F110" s="12"/>
      <c r="G110" s="11"/>
      <c r="H110" s="12"/>
      <c r="I110" s="11"/>
      <c r="J110" s="10">
        <f t="shared" si="9"/>
        <v>0</v>
      </c>
      <c r="K110" s="10">
        <f t="shared" si="10"/>
        <v>0</v>
      </c>
      <c r="L110" s="9" t="str">
        <f t="shared" si="11"/>
        <v/>
      </c>
      <c r="M110" s="8"/>
      <c r="N110" s="8"/>
      <c r="O110" s="8"/>
      <c r="P110" s="8"/>
      <c r="Q110" s="8"/>
      <c r="R110" s="8"/>
      <c r="S110" s="8"/>
      <c r="T110" s="8"/>
      <c r="U110" s="8"/>
      <c r="V110" s="7"/>
      <c r="W110" s="6" t="str">
        <f t="array" ref="W110">IF(NOT(ISBLANK(D110)),_xludf.XLOOKUP(D110,[2]CODE!$A$4:$A$100,[2]CODE!$D$4:$D$100),"")</f>
        <v/>
      </c>
      <c r="X110" s="5" t="str">
        <f t="array" ref="X110">IF(NOT(AND(ISBLANK(D110),ISBLANK(C110))),_xludf.XLOOKUP(D110,[2]CODE!$A$4:$A$100,[2]CODE!$E$4:$E$100),"")</f>
        <v/>
      </c>
      <c r="Y110" s="5" t="str">
        <f t="shared" si="12"/>
        <v/>
      </c>
      <c r="Z110" s="5" t="str">
        <f t="shared" si="13"/>
        <v/>
      </c>
      <c r="AA110" s="4">
        <f t="shared" si="14"/>
        <v>0</v>
      </c>
      <c r="AC110" s="2"/>
    </row>
    <row r="111" spans="1:29" ht="15.5">
      <c r="A111" s="13" t="str">
        <f>IF(OR(ISBLANK(C111),ISBLANK(D111),ISBLANK(F111),ISBLANK(G111)),"",COUNTIF($B$5:B111,"JAMBUTU"))</f>
        <v/>
      </c>
      <c r="B111" s="8"/>
      <c r="C111" s="8"/>
      <c r="D111" s="8"/>
      <c r="E111" s="13"/>
      <c r="F111" s="12"/>
      <c r="G111" s="11"/>
      <c r="H111" s="12"/>
      <c r="I111" s="15"/>
      <c r="J111" s="10">
        <f t="shared" si="9"/>
        <v>0</v>
      </c>
      <c r="K111" s="10">
        <f t="shared" si="10"/>
        <v>0</v>
      </c>
      <c r="L111" s="9" t="str">
        <f t="shared" si="11"/>
        <v/>
      </c>
      <c r="M111" s="8"/>
      <c r="N111" s="8"/>
      <c r="O111" s="8"/>
      <c r="P111" s="8"/>
      <c r="Q111" s="8"/>
      <c r="R111" s="8"/>
      <c r="S111" s="8"/>
      <c r="T111" s="8"/>
      <c r="U111" s="8"/>
      <c r="V111" s="7"/>
      <c r="W111" s="6" t="str">
        <f t="array" ref="W111">IF(NOT(ISBLANK(D111)),_xludf.XLOOKUP(D111,[2]CODE!$A$4:$A$100,[2]CODE!$D$4:$D$100),"")</f>
        <v/>
      </c>
      <c r="X111" s="5" t="str">
        <f t="array" ref="X111">IF(NOT(AND(ISBLANK(D111),ISBLANK(C111))),_xludf.XLOOKUP(D111,[2]CODE!$A$4:$A$100,[2]CODE!$E$4:$E$100),"")</f>
        <v/>
      </c>
      <c r="Y111" s="5" t="str">
        <f t="shared" si="12"/>
        <v/>
      </c>
      <c r="Z111" s="5" t="str">
        <f t="shared" si="13"/>
        <v/>
      </c>
      <c r="AA111" s="4">
        <f t="shared" si="14"/>
        <v>0</v>
      </c>
      <c r="AC111" s="2"/>
    </row>
    <row r="112" spans="1:29" ht="15.5">
      <c r="A112" s="13" t="str">
        <f>IF(OR(ISBLANK(C112),ISBLANK(D112),ISBLANK(F112),ISBLANK(G112)),"",COUNTIF($B$5:B112,"JAMBUTU"))</f>
        <v/>
      </c>
      <c r="B112" s="8"/>
      <c r="C112" s="8"/>
      <c r="D112" s="8"/>
      <c r="E112" s="13"/>
      <c r="F112" s="12"/>
      <c r="G112" s="11"/>
      <c r="H112" s="12"/>
      <c r="I112" s="11"/>
      <c r="J112" s="10">
        <f t="shared" si="9"/>
        <v>0</v>
      </c>
      <c r="K112" s="10">
        <f t="shared" si="10"/>
        <v>0</v>
      </c>
      <c r="L112" s="9" t="str">
        <f t="shared" si="11"/>
        <v/>
      </c>
      <c r="M112" s="8"/>
      <c r="N112" s="8"/>
      <c r="O112" s="8"/>
      <c r="P112" s="8"/>
      <c r="Q112" s="8"/>
      <c r="R112" s="8"/>
      <c r="S112" s="8"/>
      <c r="T112" s="8"/>
      <c r="U112" s="8"/>
      <c r="V112" s="7"/>
      <c r="W112" s="6" t="str">
        <f t="array" ref="W112">IF(NOT(ISBLANK(D112)),_xludf.XLOOKUP(D112,[2]CODE!$A$4:$A$100,[2]CODE!$D$4:$D$100),"")</f>
        <v/>
      </c>
      <c r="X112" s="5" t="str">
        <f t="array" ref="X112">IF(NOT(AND(ISBLANK(D112),ISBLANK(C112))),_xludf.XLOOKUP(D112,[2]CODE!$A$4:$A$100,[2]CODE!$E$4:$E$100),"")</f>
        <v/>
      </c>
      <c r="Y112" s="5" t="str">
        <f t="shared" si="12"/>
        <v/>
      </c>
      <c r="Z112" s="5" t="str">
        <f t="shared" si="13"/>
        <v/>
      </c>
      <c r="AA112" s="4">
        <f t="shared" si="14"/>
        <v>0</v>
      </c>
      <c r="AC112" s="2"/>
    </row>
    <row r="113" spans="1:29" ht="15.5">
      <c r="A113" s="13" t="str">
        <f>IF(OR(ISBLANK(C113),ISBLANK(D113),ISBLANK(F113),ISBLANK(G113)),"",COUNTIF($B$5:B113,"JAMBUTU"))</f>
        <v/>
      </c>
      <c r="B113" s="8"/>
      <c r="C113" s="8"/>
      <c r="D113" s="8"/>
      <c r="E113" s="13"/>
      <c r="F113" s="12"/>
      <c r="G113" s="11"/>
      <c r="H113" s="12"/>
      <c r="I113" s="15"/>
      <c r="J113" s="10">
        <f t="shared" si="9"/>
        <v>0</v>
      </c>
      <c r="K113" s="10">
        <f t="shared" si="10"/>
        <v>0</v>
      </c>
      <c r="L113" s="9" t="str">
        <f t="shared" si="11"/>
        <v/>
      </c>
      <c r="M113" s="8"/>
      <c r="N113" s="8"/>
      <c r="O113" s="8"/>
      <c r="P113" s="8"/>
      <c r="Q113" s="8"/>
      <c r="R113" s="8"/>
      <c r="S113" s="8"/>
      <c r="T113" s="8"/>
      <c r="U113" s="8"/>
      <c r="V113" s="7"/>
      <c r="W113" s="6" t="str">
        <f t="array" ref="W113">IF(NOT(ISBLANK(D113)),_xludf.XLOOKUP(D113,[2]CODE!$A$4:$A$100,[2]CODE!$D$4:$D$100),"")</f>
        <v/>
      </c>
      <c r="X113" s="5" t="str">
        <f t="array" ref="X113">IF(NOT(AND(ISBLANK(D113),ISBLANK(C113))),_xludf.XLOOKUP(D113,[2]CODE!$A$4:$A$100,[2]CODE!$E$4:$E$100),"")</f>
        <v/>
      </c>
      <c r="Y113" s="5" t="str">
        <f t="shared" si="12"/>
        <v/>
      </c>
      <c r="Z113" s="5" t="str">
        <f t="shared" si="13"/>
        <v/>
      </c>
      <c r="AA113" s="4">
        <f t="shared" si="14"/>
        <v>0</v>
      </c>
      <c r="AC113" s="2"/>
    </row>
    <row r="114" spans="1:29" ht="15.5">
      <c r="A114" s="13" t="str">
        <f>IF(OR(ISBLANK(C114),ISBLANK(D114),ISBLANK(F114),ISBLANK(G114)),"",COUNTIF($B$5:B114,"JAMBUTU"))</f>
        <v/>
      </c>
      <c r="B114" s="8"/>
      <c r="C114" s="8"/>
      <c r="D114" s="8"/>
      <c r="E114" s="13"/>
      <c r="F114" s="12"/>
      <c r="G114" s="11"/>
      <c r="H114" s="12"/>
      <c r="I114" s="15"/>
      <c r="J114" s="10">
        <f t="shared" si="9"/>
        <v>0</v>
      </c>
      <c r="K114" s="10">
        <f t="shared" si="10"/>
        <v>0</v>
      </c>
      <c r="L114" s="9" t="str">
        <f t="shared" si="11"/>
        <v/>
      </c>
      <c r="M114" s="8"/>
      <c r="N114" s="8"/>
      <c r="O114" s="8"/>
      <c r="P114" s="8"/>
      <c r="Q114" s="8"/>
      <c r="R114" s="8"/>
      <c r="S114" s="8"/>
      <c r="T114" s="8"/>
      <c r="U114" s="8"/>
      <c r="V114" s="7"/>
      <c r="W114" s="6" t="str">
        <f t="array" ref="W114">IF(NOT(ISBLANK(D114)),_xludf.XLOOKUP(D114,[2]CODE!$A$4:$A$100,[2]CODE!$D$4:$D$100),"")</f>
        <v/>
      </c>
      <c r="X114" s="5" t="str">
        <f t="array" ref="X114">IF(NOT(AND(ISBLANK(D114),ISBLANK(C114))),_xludf.XLOOKUP(D114,[2]CODE!$A$4:$A$100,[2]CODE!$E$4:$E$100),"")</f>
        <v/>
      </c>
      <c r="Y114" s="5" t="str">
        <f t="shared" si="12"/>
        <v/>
      </c>
      <c r="Z114" s="5" t="str">
        <f t="shared" si="13"/>
        <v/>
      </c>
      <c r="AA114" s="4">
        <f t="shared" si="14"/>
        <v>0</v>
      </c>
      <c r="AC114" s="2"/>
    </row>
    <row r="115" spans="1:29" ht="15.5">
      <c r="A115" s="13" t="str">
        <f>IF(OR(ISBLANK(C115),ISBLANK(D115),ISBLANK(F115),ISBLANK(G115)),"",COUNTIF($B$5:B115,"JAMBUTU"))</f>
        <v/>
      </c>
      <c r="B115" s="8"/>
      <c r="C115" s="8"/>
      <c r="D115" s="8"/>
      <c r="E115" s="13"/>
      <c r="F115" s="12"/>
      <c r="G115" s="11"/>
      <c r="H115" s="12"/>
      <c r="I115" s="11"/>
      <c r="J115" s="10">
        <f t="shared" si="9"/>
        <v>0</v>
      </c>
      <c r="K115" s="10">
        <f t="shared" si="10"/>
        <v>0</v>
      </c>
      <c r="L115" s="9" t="str">
        <f t="shared" si="11"/>
        <v/>
      </c>
      <c r="M115" s="8"/>
      <c r="N115" s="8"/>
      <c r="O115" s="8"/>
      <c r="P115" s="8"/>
      <c r="Q115" s="8"/>
      <c r="R115" s="8"/>
      <c r="S115" s="8"/>
      <c r="T115" s="8"/>
      <c r="U115" s="8"/>
      <c r="V115" s="7"/>
      <c r="W115" s="6" t="str">
        <f t="array" ref="W115">IF(NOT(ISBLANK(D115)),_xludf.XLOOKUP(D115,[2]CODE!$A$4:$A$100,[2]CODE!$D$4:$D$100),"")</f>
        <v/>
      </c>
      <c r="X115" s="5" t="str">
        <f t="array" ref="X115">IF(NOT(AND(ISBLANK(D115),ISBLANK(C115))),_xludf.XLOOKUP(D115,[2]CODE!$A$4:$A$100,[2]CODE!$E$4:$E$100),"")</f>
        <v/>
      </c>
      <c r="Y115" s="5" t="str">
        <f t="shared" si="12"/>
        <v/>
      </c>
      <c r="Z115" s="5" t="str">
        <f t="shared" si="13"/>
        <v/>
      </c>
      <c r="AA115" s="4">
        <f t="shared" si="14"/>
        <v>0</v>
      </c>
      <c r="AC115" s="2"/>
    </row>
    <row r="116" spans="1:29" ht="15.5">
      <c r="A116" s="13" t="str">
        <f>IF(OR(ISBLANK(C116),ISBLANK(D116),ISBLANK(F116),ISBLANK(G116)),"",COUNTIF($B$5:B116,"JAMBUTU"))</f>
        <v/>
      </c>
      <c r="B116" s="8"/>
      <c r="C116" s="8"/>
      <c r="D116" s="8"/>
      <c r="E116" s="13"/>
      <c r="F116" s="12"/>
      <c r="G116" s="11"/>
      <c r="H116" s="12"/>
      <c r="I116" s="11"/>
      <c r="J116" s="10">
        <f t="shared" si="9"/>
        <v>0</v>
      </c>
      <c r="K116" s="10">
        <f t="shared" si="10"/>
        <v>0</v>
      </c>
      <c r="L116" s="9" t="str">
        <f t="shared" si="11"/>
        <v/>
      </c>
      <c r="M116" s="8"/>
      <c r="N116" s="8"/>
      <c r="O116" s="8"/>
      <c r="P116" s="8"/>
      <c r="Q116" s="8"/>
      <c r="R116" s="8"/>
      <c r="S116" s="8"/>
      <c r="T116" s="8"/>
      <c r="U116" s="8"/>
      <c r="V116" s="7"/>
      <c r="W116" s="6" t="str">
        <f t="array" ref="W116">IF(NOT(ISBLANK(D116)),_xludf.XLOOKUP(D116,[2]CODE!$A$4:$A$100,[2]CODE!$D$4:$D$100),"")</f>
        <v/>
      </c>
      <c r="X116" s="5" t="str">
        <f t="array" ref="X116">IF(NOT(AND(ISBLANK(D116),ISBLANK(C116))),_xludf.XLOOKUP(D116,[2]CODE!$A$4:$A$100,[2]CODE!$E$4:$E$100),"")</f>
        <v/>
      </c>
      <c r="Y116" s="5" t="str">
        <f t="shared" si="12"/>
        <v/>
      </c>
      <c r="Z116" s="5" t="str">
        <f t="shared" si="13"/>
        <v/>
      </c>
      <c r="AA116" s="4">
        <f t="shared" si="14"/>
        <v>0</v>
      </c>
      <c r="AC116" s="2"/>
    </row>
    <row r="117" spans="1:29" ht="15.5">
      <c r="A117" s="13" t="str">
        <f>IF(OR(ISBLANK(C117),ISBLANK(D117),ISBLANK(F117),ISBLANK(G117)),"",COUNTIF($B$5:B117,"JAMBUTU"))</f>
        <v/>
      </c>
      <c r="B117" s="8"/>
      <c r="C117" s="8"/>
      <c r="D117" s="8"/>
      <c r="E117" s="13"/>
      <c r="F117" s="12"/>
      <c r="G117" s="11"/>
      <c r="H117" s="12"/>
      <c r="I117" s="11"/>
      <c r="J117" s="10">
        <f t="shared" si="9"/>
        <v>0</v>
      </c>
      <c r="K117" s="10">
        <f t="shared" si="10"/>
        <v>0</v>
      </c>
      <c r="L117" s="9" t="str">
        <f t="shared" si="11"/>
        <v/>
      </c>
      <c r="M117" s="8"/>
      <c r="N117" s="8"/>
      <c r="O117" s="8"/>
      <c r="P117" s="8"/>
      <c r="Q117" s="8"/>
      <c r="R117" s="8"/>
      <c r="S117" s="8"/>
      <c r="T117" s="8"/>
      <c r="U117" s="8"/>
      <c r="V117" s="7"/>
      <c r="W117" s="6" t="str">
        <f t="array" ref="W117">IF(NOT(ISBLANK(D117)),_xludf.XLOOKUP(D117,[2]CODE!$A$4:$A$100,[2]CODE!$D$4:$D$100),"")</f>
        <v/>
      </c>
      <c r="X117" s="5" t="str">
        <f t="array" ref="X117">IF(NOT(AND(ISBLANK(D117),ISBLANK(C117))),_xludf.XLOOKUP(D117,[2]CODE!$A$4:$A$100,[2]CODE!$E$4:$E$100),"")</f>
        <v/>
      </c>
      <c r="Y117" s="5" t="str">
        <f t="shared" si="12"/>
        <v/>
      </c>
      <c r="Z117" s="5" t="str">
        <f t="shared" si="13"/>
        <v/>
      </c>
      <c r="AA117" s="4">
        <f t="shared" si="14"/>
        <v>0</v>
      </c>
      <c r="AC117" s="2"/>
    </row>
    <row r="118" spans="1:29" ht="15.5">
      <c r="A118" s="13" t="str">
        <f>IF(OR(ISBLANK(C118),ISBLANK(D118),ISBLANK(F118),ISBLANK(G118)),"",COUNTIF($B$5:B118,"JAMBUTU"))</f>
        <v/>
      </c>
      <c r="B118" s="8"/>
      <c r="C118" s="8"/>
      <c r="D118" s="8"/>
      <c r="E118" s="13"/>
      <c r="F118" s="12"/>
      <c r="G118" s="11"/>
      <c r="H118" s="12"/>
      <c r="I118" s="11"/>
      <c r="J118" s="10">
        <f t="shared" si="9"/>
        <v>0</v>
      </c>
      <c r="K118" s="10">
        <f t="shared" si="10"/>
        <v>0</v>
      </c>
      <c r="L118" s="9" t="str">
        <f t="shared" si="11"/>
        <v/>
      </c>
      <c r="M118" s="8"/>
      <c r="N118" s="8"/>
      <c r="O118" s="8"/>
      <c r="P118" s="8"/>
      <c r="Q118" s="8"/>
      <c r="R118" s="8"/>
      <c r="S118" s="8"/>
      <c r="T118" s="8"/>
      <c r="U118" s="8"/>
      <c r="V118" s="7"/>
      <c r="W118" s="6" t="str">
        <f t="array" ref="W118">IF(NOT(ISBLANK(D118)),_xludf.XLOOKUP(D118,[2]CODE!$A$4:$A$100,[2]CODE!$D$4:$D$100),"")</f>
        <v/>
      </c>
      <c r="X118" s="5" t="str">
        <f t="array" ref="X118">IF(NOT(AND(ISBLANK(D118),ISBLANK(C118))),_xludf.XLOOKUP(D118,[2]CODE!$A$4:$A$100,[2]CODE!$E$4:$E$100),"")</f>
        <v/>
      </c>
      <c r="Y118" s="5" t="str">
        <f t="shared" si="12"/>
        <v/>
      </c>
      <c r="Z118" s="5" t="str">
        <f t="shared" si="13"/>
        <v/>
      </c>
      <c r="AA118" s="4">
        <f t="shared" si="14"/>
        <v>0</v>
      </c>
      <c r="AC118" s="2"/>
    </row>
    <row r="119" spans="1:29" ht="15.5">
      <c r="A119" s="13" t="str">
        <f>IF(OR(ISBLANK(C119),ISBLANK(D119),ISBLANK(F119),ISBLANK(G119)),"",COUNTIF($B$5:B119,"JAMBUTU"))</f>
        <v/>
      </c>
      <c r="B119" s="8"/>
      <c r="C119" s="8"/>
      <c r="D119" s="8"/>
      <c r="E119" s="13"/>
      <c r="F119" s="12"/>
      <c r="G119" s="11"/>
      <c r="H119" s="12"/>
      <c r="I119" s="11"/>
      <c r="J119" s="10">
        <f t="shared" si="9"/>
        <v>0</v>
      </c>
      <c r="K119" s="10">
        <f t="shared" si="10"/>
        <v>0</v>
      </c>
      <c r="L119" s="9" t="str">
        <f t="shared" si="11"/>
        <v/>
      </c>
      <c r="M119" s="8"/>
      <c r="N119" s="8"/>
      <c r="O119" s="8"/>
      <c r="P119" s="8"/>
      <c r="Q119" s="8"/>
      <c r="R119" s="8"/>
      <c r="S119" s="8"/>
      <c r="T119" s="8"/>
      <c r="U119" s="8"/>
      <c r="V119" s="7"/>
      <c r="W119" s="6" t="str">
        <f t="array" ref="W119">IF(NOT(ISBLANK(D119)),_xludf.XLOOKUP(D119,[2]CODE!$A$4:$A$100,[2]CODE!$D$4:$D$100),"")</f>
        <v/>
      </c>
      <c r="X119" s="5" t="str">
        <f t="array" ref="X119">IF(NOT(AND(ISBLANK(D119),ISBLANK(C119))),_xludf.XLOOKUP(D119,[2]CODE!$A$4:$A$100,[2]CODE!$E$4:$E$100),"")</f>
        <v/>
      </c>
      <c r="Y119" s="5" t="str">
        <f t="shared" si="12"/>
        <v/>
      </c>
      <c r="Z119" s="5" t="str">
        <f t="shared" si="13"/>
        <v/>
      </c>
      <c r="AA119" s="4">
        <f t="shared" si="14"/>
        <v>0</v>
      </c>
      <c r="AC119" s="2"/>
    </row>
    <row r="120" spans="1:29" ht="15.5">
      <c r="A120" s="13" t="str">
        <f>IF(OR(ISBLANK(C120),ISBLANK(D120),ISBLANK(F120),ISBLANK(G120)),"",COUNTIF($B$5:B120,"JAMBUTU"))</f>
        <v/>
      </c>
      <c r="B120" s="8"/>
      <c r="C120" s="8"/>
      <c r="D120" s="8"/>
      <c r="E120" s="13"/>
      <c r="F120" s="12"/>
      <c r="G120" s="11"/>
      <c r="H120" s="12"/>
      <c r="I120" s="11"/>
      <c r="J120" s="10">
        <f t="shared" si="9"/>
        <v>0</v>
      </c>
      <c r="K120" s="10">
        <f t="shared" si="10"/>
        <v>0</v>
      </c>
      <c r="L120" s="9" t="str">
        <f t="shared" si="11"/>
        <v/>
      </c>
      <c r="M120" s="8"/>
      <c r="N120" s="8"/>
      <c r="O120" s="8"/>
      <c r="P120" s="8"/>
      <c r="Q120" s="8"/>
      <c r="R120" s="8"/>
      <c r="S120" s="8"/>
      <c r="T120" s="8"/>
      <c r="U120" s="8"/>
      <c r="V120" s="7"/>
      <c r="W120" s="6" t="str">
        <f t="array" ref="W120">IF(NOT(ISBLANK(D120)),_xludf.XLOOKUP(D120,[2]CODE!$A$4:$A$100,[2]CODE!$D$4:$D$100),"")</f>
        <v/>
      </c>
      <c r="X120" s="5" t="str">
        <f t="array" ref="X120">IF(NOT(AND(ISBLANK(D120),ISBLANK(C120))),_xludf.XLOOKUP(D120,[2]CODE!$A$4:$A$100,[2]CODE!$E$4:$E$100),"")</f>
        <v/>
      </c>
      <c r="Y120" s="5" t="str">
        <f t="shared" si="12"/>
        <v/>
      </c>
      <c r="Z120" s="5" t="str">
        <f t="shared" si="13"/>
        <v/>
      </c>
      <c r="AA120" s="4">
        <f t="shared" si="14"/>
        <v>0</v>
      </c>
      <c r="AC120" s="2"/>
    </row>
    <row r="121" spans="1:29" ht="15.5">
      <c r="A121" s="13" t="str">
        <f>IF(OR(ISBLANK(C121),ISBLANK(D121),ISBLANK(F121),ISBLANK(G121)),"",COUNTIF($B$5:B121,"JAMBUTU"))</f>
        <v/>
      </c>
      <c r="B121" s="8"/>
      <c r="C121" s="8"/>
      <c r="D121" s="8"/>
      <c r="E121" s="13"/>
      <c r="F121" s="12"/>
      <c r="G121" s="11"/>
      <c r="H121" s="12"/>
      <c r="I121" s="11"/>
      <c r="J121" s="10">
        <f t="shared" si="9"/>
        <v>0</v>
      </c>
      <c r="K121" s="10">
        <f t="shared" si="10"/>
        <v>0</v>
      </c>
      <c r="L121" s="9" t="str">
        <f t="shared" si="11"/>
        <v/>
      </c>
      <c r="M121" s="8"/>
      <c r="N121" s="8"/>
      <c r="O121" s="8"/>
      <c r="P121" s="8"/>
      <c r="Q121" s="8"/>
      <c r="R121" s="8"/>
      <c r="S121" s="8"/>
      <c r="T121" s="8"/>
      <c r="U121" s="8"/>
      <c r="V121" s="7"/>
      <c r="W121" s="6" t="str">
        <f t="array" ref="W121">IF(NOT(ISBLANK(D121)),_xludf.XLOOKUP(D121,[2]CODE!$A$4:$A$100,[2]CODE!$D$4:$D$100),"")</f>
        <v/>
      </c>
      <c r="X121" s="5" t="str">
        <f t="array" ref="X121">IF(NOT(AND(ISBLANK(D121),ISBLANK(C121))),_xludf.XLOOKUP(D121,[2]CODE!$A$4:$A$100,[2]CODE!$E$4:$E$100),"")</f>
        <v/>
      </c>
      <c r="Y121" s="5" t="str">
        <f t="shared" si="12"/>
        <v/>
      </c>
      <c r="Z121" s="5" t="str">
        <f t="shared" si="13"/>
        <v/>
      </c>
      <c r="AA121" s="4">
        <f t="shared" si="14"/>
        <v>0</v>
      </c>
      <c r="AC121" s="2"/>
    </row>
    <row r="122" spans="1:29" ht="15.5">
      <c r="A122" s="13" t="str">
        <f>IF(OR(ISBLANK(C122),ISBLANK(D122),ISBLANK(F122),ISBLANK(G122)),"",COUNTIF($B$5:B122,"JAMBUTU"))</f>
        <v/>
      </c>
      <c r="B122" s="8"/>
      <c r="C122" s="8"/>
      <c r="D122" s="8"/>
      <c r="E122" s="13"/>
      <c r="F122" s="12"/>
      <c r="G122" s="11"/>
      <c r="H122" s="12"/>
      <c r="I122" s="11"/>
      <c r="J122" s="10">
        <f t="shared" si="9"/>
        <v>0</v>
      </c>
      <c r="K122" s="10">
        <f t="shared" si="10"/>
        <v>0</v>
      </c>
      <c r="L122" s="9" t="str">
        <f t="shared" si="11"/>
        <v/>
      </c>
      <c r="M122" s="8"/>
      <c r="N122" s="8"/>
      <c r="O122" s="8"/>
      <c r="P122" s="8"/>
      <c r="Q122" s="8"/>
      <c r="R122" s="8"/>
      <c r="S122" s="8"/>
      <c r="T122" s="8"/>
      <c r="U122" s="8"/>
      <c r="V122" s="7"/>
      <c r="W122" s="6" t="str">
        <f t="array" ref="W122">IF(NOT(ISBLANK(D122)),_xludf.XLOOKUP(D122,[2]CODE!$A$4:$A$100,[2]CODE!$D$4:$D$100),"")</f>
        <v/>
      </c>
      <c r="X122" s="5" t="str">
        <f t="array" ref="X122">IF(NOT(AND(ISBLANK(D122),ISBLANK(C122))),_xludf.XLOOKUP(D122,[2]CODE!$A$4:$A$100,[2]CODE!$E$4:$E$100),"")</f>
        <v/>
      </c>
      <c r="Y122" s="5" t="str">
        <f t="shared" si="12"/>
        <v/>
      </c>
      <c r="Z122" s="5" t="str">
        <f t="shared" si="13"/>
        <v/>
      </c>
      <c r="AA122" s="4">
        <f t="shared" si="14"/>
        <v>0</v>
      </c>
      <c r="AC122" s="2"/>
    </row>
    <row r="123" spans="1:29" ht="15.5">
      <c r="A123" s="13" t="str">
        <f>IF(OR(ISBLANK(C123),ISBLANK(D123),ISBLANK(F123),ISBLANK(G123)),"",COUNTIF($B$5:B123,"JAMBUTU"))</f>
        <v/>
      </c>
      <c r="B123" s="8"/>
      <c r="C123" s="8"/>
      <c r="D123" s="8"/>
      <c r="E123" s="13"/>
      <c r="F123" s="12"/>
      <c r="G123" s="11"/>
      <c r="H123" s="12"/>
      <c r="I123" s="11"/>
      <c r="J123" s="10">
        <f t="shared" si="9"/>
        <v>0</v>
      </c>
      <c r="K123" s="10">
        <f t="shared" si="10"/>
        <v>0</v>
      </c>
      <c r="L123" s="9" t="str">
        <f t="shared" si="11"/>
        <v/>
      </c>
      <c r="M123" s="8"/>
      <c r="N123" s="8"/>
      <c r="O123" s="8"/>
      <c r="P123" s="8"/>
      <c r="Q123" s="8"/>
      <c r="R123" s="8"/>
      <c r="S123" s="8"/>
      <c r="T123" s="8"/>
      <c r="U123" s="8"/>
      <c r="V123" s="7"/>
      <c r="W123" s="6" t="str">
        <f t="array" ref="W123">IF(NOT(ISBLANK(D123)),_xludf.XLOOKUP(D123,[2]CODE!$A$4:$A$100,[2]CODE!$D$4:$D$100),"")</f>
        <v/>
      </c>
      <c r="X123" s="5" t="str">
        <f t="array" ref="X123">IF(NOT(AND(ISBLANK(D123),ISBLANK(C123))),_xludf.XLOOKUP(D123,[2]CODE!$A$4:$A$100,[2]CODE!$E$4:$E$100),"")</f>
        <v/>
      </c>
      <c r="Y123" s="5" t="str">
        <f t="shared" si="12"/>
        <v/>
      </c>
      <c r="Z123" s="5" t="str">
        <f t="shared" si="13"/>
        <v/>
      </c>
      <c r="AA123" s="4">
        <f t="shared" si="14"/>
        <v>0</v>
      </c>
      <c r="AC123" s="2"/>
    </row>
    <row r="124" spans="1:29" ht="15.5">
      <c r="A124" s="13" t="str">
        <f>IF(OR(ISBLANK(C124),ISBLANK(D124),ISBLANK(F124),ISBLANK(G124)),"",COUNTIF($B$5:B124,"JAMBUTU"))</f>
        <v/>
      </c>
      <c r="B124" s="8"/>
      <c r="C124" s="8"/>
      <c r="D124" s="8"/>
      <c r="E124" s="13"/>
      <c r="F124" s="12"/>
      <c r="G124" s="11"/>
      <c r="H124" s="12"/>
      <c r="I124" s="11"/>
      <c r="J124" s="10">
        <f t="shared" si="9"/>
        <v>0</v>
      </c>
      <c r="K124" s="10">
        <f t="shared" si="10"/>
        <v>0</v>
      </c>
      <c r="L124" s="9" t="str">
        <f t="shared" si="11"/>
        <v/>
      </c>
      <c r="M124" s="8"/>
      <c r="N124" s="8"/>
      <c r="O124" s="8"/>
      <c r="P124" s="8"/>
      <c r="Q124" s="8"/>
      <c r="R124" s="8"/>
      <c r="S124" s="8"/>
      <c r="T124" s="8"/>
      <c r="U124" s="8"/>
      <c r="V124" s="7"/>
      <c r="W124" s="6" t="str">
        <f t="array" ref="W124">IF(NOT(ISBLANK(D124)),_xludf.XLOOKUP(D124,[2]CODE!$A$4:$A$100,[2]CODE!$D$4:$D$100),"")</f>
        <v/>
      </c>
      <c r="X124" s="5" t="str">
        <f t="array" ref="X124">IF(NOT(AND(ISBLANK(D124),ISBLANK(C124))),_xludf.XLOOKUP(D124,[2]CODE!$A$4:$A$100,[2]CODE!$E$4:$E$100),"")</f>
        <v/>
      </c>
      <c r="Y124" s="5" t="str">
        <f t="shared" si="12"/>
        <v/>
      </c>
      <c r="Z124" s="5" t="str">
        <f t="shared" si="13"/>
        <v/>
      </c>
      <c r="AA124" s="4">
        <f t="shared" si="14"/>
        <v>0</v>
      </c>
      <c r="AC124" s="2"/>
    </row>
    <row r="125" spans="1:29" ht="15.5">
      <c r="A125" s="13" t="str">
        <f>IF(OR(ISBLANK(C125),ISBLANK(D125),ISBLANK(F125),ISBLANK(G125)),"",COUNTIF($B$5:B125,"JAMBUTU"))</f>
        <v/>
      </c>
      <c r="B125" s="8"/>
      <c r="C125" s="8"/>
      <c r="D125" s="8"/>
      <c r="E125" s="13"/>
      <c r="F125" s="12"/>
      <c r="G125" s="11"/>
      <c r="H125" s="12"/>
      <c r="I125" s="11"/>
      <c r="J125" s="10">
        <f t="shared" si="9"/>
        <v>0</v>
      </c>
      <c r="K125" s="10">
        <f t="shared" si="10"/>
        <v>0</v>
      </c>
      <c r="L125" s="9" t="str">
        <f t="shared" si="11"/>
        <v/>
      </c>
      <c r="M125" s="8"/>
      <c r="N125" s="8"/>
      <c r="O125" s="8"/>
      <c r="P125" s="8"/>
      <c r="Q125" s="8"/>
      <c r="R125" s="8"/>
      <c r="S125" s="8"/>
      <c r="T125" s="8"/>
      <c r="U125" s="8"/>
      <c r="V125" s="7"/>
      <c r="W125" s="6" t="str">
        <f t="array" ref="W125">IF(NOT(ISBLANK(D125)),_xludf.XLOOKUP(D125,[2]CODE!$A$4:$A$100,[2]CODE!$D$4:$D$100),"")</f>
        <v/>
      </c>
      <c r="X125" s="5" t="str">
        <f t="array" ref="X125">IF(NOT(AND(ISBLANK(D125),ISBLANK(C125))),_xludf.XLOOKUP(D125,[2]CODE!$A$4:$A$100,[2]CODE!$E$4:$E$100),"")</f>
        <v/>
      </c>
      <c r="Y125" s="5" t="str">
        <f t="shared" si="12"/>
        <v/>
      </c>
      <c r="Z125" s="5" t="str">
        <f t="shared" si="13"/>
        <v/>
      </c>
      <c r="AA125" s="4">
        <f t="shared" si="14"/>
        <v>0</v>
      </c>
      <c r="AC125" s="2"/>
    </row>
    <row r="126" spans="1:29" ht="15.5">
      <c r="A126" s="13" t="str">
        <f>IF(OR(ISBLANK(C126),ISBLANK(D126),ISBLANK(F126),ISBLANK(G126)),"",COUNTIF($B$5:B126,"JAMBUTU"))</f>
        <v/>
      </c>
      <c r="B126" s="8"/>
      <c r="C126" s="8"/>
      <c r="D126" s="8"/>
      <c r="E126" s="13"/>
      <c r="F126" s="12"/>
      <c r="G126" s="11"/>
      <c r="H126" s="12"/>
      <c r="I126" s="11"/>
      <c r="J126" s="10">
        <f t="shared" si="9"/>
        <v>0</v>
      </c>
      <c r="K126" s="10">
        <f t="shared" si="10"/>
        <v>0</v>
      </c>
      <c r="L126" s="9" t="str">
        <f t="shared" si="11"/>
        <v/>
      </c>
      <c r="M126" s="8"/>
      <c r="N126" s="8"/>
      <c r="O126" s="8"/>
      <c r="P126" s="8"/>
      <c r="Q126" s="8"/>
      <c r="R126" s="8"/>
      <c r="S126" s="8"/>
      <c r="T126" s="8"/>
      <c r="U126" s="8"/>
      <c r="V126" s="7"/>
      <c r="W126" s="6" t="str">
        <f t="array" ref="W126">IF(NOT(ISBLANK(D126)),_xludf.XLOOKUP(D126,[2]CODE!$A$4:$A$100,[2]CODE!$D$4:$D$100),"")</f>
        <v/>
      </c>
      <c r="X126" s="5" t="str">
        <f t="array" ref="X126">IF(NOT(AND(ISBLANK(D126),ISBLANK(C126))),_xludf.XLOOKUP(D126,[2]CODE!$A$4:$A$100,[2]CODE!$E$4:$E$100),"")</f>
        <v/>
      </c>
      <c r="Y126" s="5" t="str">
        <f t="shared" si="12"/>
        <v/>
      </c>
      <c r="Z126" s="5" t="str">
        <f t="shared" si="13"/>
        <v/>
      </c>
      <c r="AA126" s="4">
        <f t="shared" si="14"/>
        <v>0</v>
      </c>
      <c r="AC126" s="2"/>
    </row>
    <row r="127" spans="1:29" ht="15.5">
      <c r="A127" s="13" t="str">
        <f>IF(OR(ISBLANK(C127),ISBLANK(D127),ISBLANK(F127),ISBLANK(G127)),"",COUNTIF($B$5:B127,"JAMBUTU"))</f>
        <v/>
      </c>
      <c r="B127" s="8"/>
      <c r="C127" s="8"/>
      <c r="D127" s="8"/>
      <c r="E127" s="13"/>
      <c r="F127" s="12"/>
      <c r="G127" s="11"/>
      <c r="H127" s="12"/>
      <c r="I127" s="11"/>
      <c r="J127" s="10">
        <f t="shared" si="9"/>
        <v>0</v>
      </c>
      <c r="K127" s="10">
        <f t="shared" si="10"/>
        <v>0</v>
      </c>
      <c r="L127" s="9" t="str">
        <f t="shared" si="11"/>
        <v/>
      </c>
      <c r="M127" s="8"/>
      <c r="N127" s="8"/>
      <c r="O127" s="8"/>
      <c r="P127" s="8"/>
      <c r="Q127" s="8"/>
      <c r="R127" s="8"/>
      <c r="S127" s="8"/>
      <c r="T127" s="8"/>
      <c r="U127" s="8"/>
      <c r="V127" s="7"/>
      <c r="W127" s="6" t="str">
        <f t="array" ref="W127">IF(NOT(ISBLANK(D127)),_xludf.XLOOKUP(D127,[2]CODE!$A$4:$A$100,[2]CODE!$D$4:$D$100),"")</f>
        <v/>
      </c>
      <c r="X127" s="5" t="str">
        <f t="array" ref="X127">IF(NOT(AND(ISBLANK(D127),ISBLANK(C127))),_xludf.XLOOKUP(D127,[2]CODE!$A$4:$A$100,[2]CODE!$E$4:$E$100),"")</f>
        <v/>
      </c>
      <c r="Y127" s="5" t="str">
        <f t="shared" si="12"/>
        <v/>
      </c>
      <c r="Z127" s="5" t="str">
        <f t="shared" si="13"/>
        <v/>
      </c>
      <c r="AA127" s="4">
        <f t="shared" si="14"/>
        <v>0</v>
      </c>
      <c r="AC127" s="2"/>
    </row>
    <row r="128" spans="1:29" ht="15.5">
      <c r="A128" s="13" t="str">
        <f>IF(OR(ISBLANK(C128),ISBLANK(D128),ISBLANK(F128),ISBLANK(G128)),"",COUNTIF($B$5:B128,"JAMBUTU"))</f>
        <v/>
      </c>
      <c r="B128" s="8"/>
      <c r="C128" s="8"/>
      <c r="D128" s="8"/>
      <c r="E128" s="13"/>
      <c r="F128" s="12"/>
      <c r="G128" s="11"/>
      <c r="H128" s="12"/>
      <c r="I128" s="11"/>
      <c r="J128" s="10">
        <f t="shared" si="9"/>
        <v>0</v>
      </c>
      <c r="K128" s="10">
        <f t="shared" si="10"/>
        <v>0</v>
      </c>
      <c r="L128" s="9" t="str">
        <f t="shared" si="11"/>
        <v/>
      </c>
      <c r="M128" s="8"/>
      <c r="N128" s="8"/>
      <c r="O128" s="8"/>
      <c r="P128" s="8"/>
      <c r="Q128" s="8"/>
      <c r="R128" s="8"/>
      <c r="S128" s="8"/>
      <c r="T128" s="8"/>
      <c r="U128" s="8"/>
      <c r="V128" s="7"/>
      <c r="W128" s="6" t="str">
        <f t="array" ref="W128">IF(NOT(ISBLANK(D128)),_xludf.XLOOKUP(D128,[2]CODE!$A$4:$A$100,[2]CODE!$D$4:$D$100),"")</f>
        <v/>
      </c>
      <c r="X128" s="5" t="str">
        <f t="array" ref="X128">IF(NOT(AND(ISBLANK(D128),ISBLANK(C128))),_xludf.XLOOKUP(D128,[2]CODE!$A$4:$A$100,[2]CODE!$E$4:$E$100),"")</f>
        <v/>
      </c>
      <c r="Y128" s="5" t="str">
        <f t="shared" si="12"/>
        <v/>
      </c>
      <c r="Z128" s="5" t="str">
        <f t="shared" si="13"/>
        <v/>
      </c>
      <c r="AA128" s="4">
        <f t="shared" si="14"/>
        <v>0</v>
      </c>
      <c r="AC128" s="2"/>
    </row>
    <row r="129" spans="1:29" ht="15.5">
      <c r="A129" s="13" t="str">
        <f>IF(OR(ISBLANK(C129),ISBLANK(D129),ISBLANK(F129),ISBLANK(G129)),"",COUNTIF($B$5:B129,"JAMBUTU"))</f>
        <v/>
      </c>
      <c r="B129" s="8"/>
      <c r="C129" s="8"/>
      <c r="D129" s="8"/>
      <c r="E129" s="13"/>
      <c r="F129" s="12"/>
      <c r="G129" s="11"/>
      <c r="H129" s="12"/>
      <c r="I129" s="11"/>
      <c r="J129" s="10">
        <f t="shared" si="9"/>
        <v>0</v>
      </c>
      <c r="K129" s="10">
        <f t="shared" si="10"/>
        <v>0</v>
      </c>
      <c r="L129" s="9" t="str">
        <f t="shared" si="11"/>
        <v/>
      </c>
      <c r="M129" s="8"/>
      <c r="N129" s="8"/>
      <c r="O129" s="8"/>
      <c r="P129" s="8"/>
      <c r="Q129" s="8"/>
      <c r="R129" s="8"/>
      <c r="S129" s="8"/>
      <c r="T129" s="8"/>
      <c r="U129" s="8"/>
      <c r="V129" s="7"/>
      <c r="W129" s="6" t="str">
        <f t="array" ref="W129">IF(NOT(ISBLANK(D129)),_xludf.XLOOKUP(D129,[2]CODE!$A$4:$A$100,[2]CODE!$D$4:$D$100),"")</f>
        <v/>
      </c>
      <c r="X129" s="5" t="str">
        <f t="array" ref="X129">IF(NOT(AND(ISBLANK(D129),ISBLANK(C129))),_xludf.XLOOKUP(D129,[2]CODE!$A$4:$A$100,[2]CODE!$E$4:$E$100),"")</f>
        <v/>
      </c>
      <c r="Y129" s="5" t="str">
        <f t="shared" si="12"/>
        <v/>
      </c>
      <c r="Z129" s="5" t="str">
        <f t="shared" si="13"/>
        <v/>
      </c>
      <c r="AA129" s="4">
        <f t="shared" si="14"/>
        <v>0</v>
      </c>
      <c r="AC129" s="2"/>
    </row>
    <row r="130" spans="1:29" ht="15.5">
      <c r="A130" s="13" t="str">
        <f>IF(OR(ISBLANK(C130),ISBLANK(D130),ISBLANK(F130),ISBLANK(G130)),"",COUNTIF($B$5:B130,"JAMBUTU"))</f>
        <v/>
      </c>
      <c r="B130" s="8"/>
      <c r="C130" s="8"/>
      <c r="D130" s="8"/>
      <c r="E130" s="13"/>
      <c r="F130" s="12"/>
      <c r="G130" s="11"/>
      <c r="H130" s="12"/>
      <c r="I130" s="11"/>
      <c r="J130" s="10">
        <f t="shared" si="9"/>
        <v>0</v>
      </c>
      <c r="K130" s="10">
        <f t="shared" si="10"/>
        <v>0</v>
      </c>
      <c r="L130" s="9" t="str">
        <f t="shared" si="11"/>
        <v/>
      </c>
      <c r="M130" s="8"/>
      <c r="N130" s="8"/>
      <c r="O130" s="8"/>
      <c r="P130" s="8"/>
      <c r="Q130" s="8"/>
      <c r="R130" s="8"/>
      <c r="S130" s="8"/>
      <c r="T130" s="8"/>
      <c r="U130" s="8"/>
      <c r="V130" s="7"/>
      <c r="W130" s="6" t="str">
        <f t="array" ref="W130">IF(NOT(ISBLANK(D130)),_xludf.XLOOKUP(D130,[2]CODE!$A$4:$A$100,[2]CODE!$D$4:$D$100),"")</f>
        <v/>
      </c>
      <c r="X130" s="5" t="str">
        <f t="array" ref="X130">IF(NOT(AND(ISBLANK(D130),ISBLANK(C130))),_xludf.XLOOKUP(D130,[2]CODE!$A$4:$A$100,[2]CODE!$E$4:$E$100),"")</f>
        <v/>
      </c>
      <c r="Y130" s="5" t="str">
        <f t="shared" si="12"/>
        <v/>
      </c>
      <c r="Z130" s="5" t="str">
        <f t="shared" si="13"/>
        <v/>
      </c>
      <c r="AA130" s="4">
        <f t="shared" si="14"/>
        <v>0</v>
      </c>
      <c r="AC130" s="2"/>
    </row>
    <row r="131" spans="1:29" ht="15.5">
      <c r="A131" s="13" t="str">
        <f>IF(OR(ISBLANK(C131),ISBLANK(D131),ISBLANK(F131),ISBLANK(G131)),"",COUNTIF($B$5:B131,"JAMBUTU"))</f>
        <v/>
      </c>
      <c r="B131" s="8"/>
      <c r="C131" s="8"/>
      <c r="D131" s="8"/>
      <c r="E131" s="13"/>
      <c r="F131" s="12"/>
      <c r="G131" s="11"/>
      <c r="H131" s="12"/>
      <c r="I131" s="11"/>
      <c r="J131" s="10">
        <f t="shared" si="9"/>
        <v>0</v>
      </c>
      <c r="K131" s="10">
        <f t="shared" si="10"/>
        <v>0</v>
      </c>
      <c r="L131" s="9" t="str">
        <f t="shared" si="11"/>
        <v/>
      </c>
      <c r="M131" s="8"/>
      <c r="N131" s="8"/>
      <c r="O131" s="8"/>
      <c r="P131" s="8"/>
      <c r="Q131" s="8"/>
      <c r="R131" s="8"/>
      <c r="S131" s="8"/>
      <c r="T131" s="8"/>
      <c r="U131" s="8"/>
      <c r="V131" s="7"/>
      <c r="W131" s="6" t="str">
        <f t="array" ref="W131">IF(NOT(ISBLANK(D131)),_xludf.XLOOKUP(D131,[2]CODE!$A$4:$A$100,[2]CODE!$D$4:$D$100),"")</f>
        <v/>
      </c>
      <c r="X131" s="5" t="str">
        <f t="array" ref="X131">IF(NOT(AND(ISBLANK(D131),ISBLANK(C131))),_xludf.XLOOKUP(D131,[2]CODE!$A$4:$A$100,[2]CODE!$E$4:$E$100),"")</f>
        <v/>
      </c>
      <c r="Y131" s="5" t="str">
        <f t="shared" si="12"/>
        <v/>
      </c>
      <c r="Z131" s="5" t="str">
        <f t="shared" si="13"/>
        <v/>
      </c>
      <c r="AA131" s="4">
        <f t="shared" si="14"/>
        <v>0</v>
      </c>
      <c r="AC131" s="2"/>
    </row>
    <row r="132" spans="1:29" ht="15.5">
      <c r="A132" s="13" t="str">
        <f>IF(OR(ISBLANK(C132),ISBLANK(D132),ISBLANK(F132),ISBLANK(G132)),"",COUNTIF($B$5:B132,"JAMBUTU"))</f>
        <v/>
      </c>
      <c r="B132" s="8"/>
      <c r="C132" s="8"/>
      <c r="D132" s="8"/>
      <c r="E132" s="13"/>
      <c r="F132" s="12"/>
      <c r="G132" s="11"/>
      <c r="H132" s="12"/>
      <c r="I132" s="11"/>
      <c r="J132" s="10">
        <f t="shared" si="9"/>
        <v>0</v>
      </c>
      <c r="K132" s="10">
        <f t="shared" si="10"/>
        <v>0</v>
      </c>
      <c r="L132" s="9" t="str">
        <f t="shared" si="11"/>
        <v/>
      </c>
      <c r="M132" s="8"/>
      <c r="N132" s="8"/>
      <c r="O132" s="8"/>
      <c r="P132" s="8"/>
      <c r="Q132" s="8"/>
      <c r="R132" s="8"/>
      <c r="S132" s="8"/>
      <c r="T132" s="8"/>
      <c r="U132" s="8"/>
      <c r="V132" s="7"/>
      <c r="W132" s="6" t="str">
        <f t="array" ref="W132">IF(NOT(ISBLANK(D132)),_xludf.XLOOKUP(D132,[2]CODE!$A$4:$A$100,[2]CODE!$D$4:$D$100),"")</f>
        <v/>
      </c>
      <c r="X132" s="5" t="str">
        <f t="array" ref="X132">IF(NOT(AND(ISBLANK(D132),ISBLANK(C132))),_xludf.XLOOKUP(D132,[2]CODE!$A$4:$A$100,[2]CODE!$E$4:$E$100),"")</f>
        <v/>
      </c>
      <c r="Y132" s="5" t="str">
        <f t="shared" si="12"/>
        <v/>
      </c>
      <c r="Z132" s="5" t="str">
        <f t="shared" si="13"/>
        <v/>
      </c>
      <c r="AA132" s="4">
        <f t="shared" si="14"/>
        <v>0</v>
      </c>
      <c r="AC132" s="2"/>
    </row>
    <row r="133" spans="1:29" ht="15.5">
      <c r="A133" s="13" t="str">
        <f>IF(OR(ISBLANK(C133),ISBLANK(D133),ISBLANK(F133),ISBLANK(G133)),"",COUNTIF($B$5:B133,"JAMBUTU"))</f>
        <v/>
      </c>
      <c r="B133" s="8"/>
      <c r="C133" s="8"/>
      <c r="D133" s="8"/>
      <c r="E133" s="13"/>
      <c r="F133" s="12"/>
      <c r="G133" s="11"/>
      <c r="H133" s="12"/>
      <c r="I133" s="11"/>
      <c r="J133" s="10">
        <f t="shared" ref="J133:J196" si="15">DATE(YEAR(F133),MONTH(F133),DAY(F133))+TIME(HOUR(G133),MINUTE(G133), SECOND(G133))</f>
        <v>0</v>
      </c>
      <c r="K133" s="10">
        <f t="shared" ref="K133:K196" si="16">DATE(YEAR(H133),MONTH(H133),DAY(H133))+TIME(HOUR(I133),MINUTE(I133), SECOND(I133))</f>
        <v>0</v>
      </c>
      <c r="L133" s="9" t="str">
        <f t="shared" ref="L133:L196" si="17">IF(ISBLANK(I133),"",IF(J133&gt;K133,(K133+1)-J133,K133-J133))</f>
        <v/>
      </c>
      <c r="M133" s="8"/>
      <c r="N133" s="8"/>
      <c r="O133" s="8"/>
      <c r="P133" s="8"/>
      <c r="Q133" s="8"/>
      <c r="R133" s="8"/>
      <c r="S133" s="8"/>
      <c r="T133" s="8"/>
      <c r="U133" s="8"/>
      <c r="V133" s="7"/>
      <c r="W133" s="6" t="str">
        <f t="array" ref="W133">IF(NOT(ISBLANK(D133)),_xludf.XLOOKUP(D133,[2]CODE!$A$4:$A$100,[2]CODE!$D$4:$D$100),"")</f>
        <v/>
      </c>
      <c r="X133" s="5" t="str">
        <f t="array" ref="X133">IF(NOT(AND(ISBLANK(D133),ISBLANK(C133))),_xludf.XLOOKUP(D133,[2]CODE!$A$4:$A$100,[2]CODE!$E$4:$E$100),"")</f>
        <v/>
      </c>
      <c r="Y133" s="5" t="str">
        <f t="shared" ref="Y133:Y196" si="18">LEFT(C133,4)</f>
        <v/>
      </c>
      <c r="Z133" s="5" t="str">
        <f t="shared" ref="Z133:Z196" si="19">IF(NOT(ISBLANK(C133)), IF(K133&gt;J133,"YES","NO"),"")</f>
        <v/>
      </c>
      <c r="AA133" s="4">
        <f t="shared" ref="AA133:AA196" si="20">IF(AND(F133=H133,Z133="NO"),1+H133,H133)</f>
        <v>0</v>
      </c>
      <c r="AC133" s="2"/>
    </row>
    <row r="134" spans="1:29" ht="15.5">
      <c r="A134" s="13" t="str">
        <f>IF(OR(ISBLANK(C134),ISBLANK(D134),ISBLANK(F134),ISBLANK(G134)),"",COUNTIF($B$5:B134,"JAMBUTU"))</f>
        <v/>
      </c>
      <c r="B134" s="8"/>
      <c r="C134" s="8"/>
      <c r="D134" s="8"/>
      <c r="E134" s="13"/>
      <c r="F134" s="12"/>
      <c r="G134" s="11"/>
      <c r="H134" s="12"/>
      <c r="I134" s="11"/>
      <c r="J134" s="10">
        <f t="shared" si="15"/>
        <v>0</v>
      </c>
      <c r="K134" s="10">
        <f t="shared" si="16"/>
        <v>0</v>
      </c>
      <c r="L134" s="9" t="str">
        <f t="shared" si="17"/>
        <v/>
      </c>
      <c r="M134" s="8"/>
      <c r="N134" s="8"/>
      <c r="O134" s="8"/>
      <c r="P134" s="8"/>
      <c r="Q134" s="8"/>
      <c r="R134" s="8"/>
      <c r="S134" s="8"/>
      <c r="T134" s="8"/>
      <c r="U134" s="8"/>
      <c r="V134" s="7"/>
      <c r="W134" s="6" t="str">
        <f t="array" ref="W134">IF(NOT(ISBLANK(D134)),_xludf.XLOOKUP(D134,[2]CODE!$A$4:$A$100,[2]CODE!$D$4:$D$100),"")</f>
        <v/>
      </c>
      <c r="X134" s="5" t="str">
        <f t="array" ref="X134">IF(NOT(AND(ISBLANK(D134),ISBLANK(C134))),_xludf.XLOOKUP(D134,[2]CODE!$A$4:$A$100,[2]CODE!$E$4:$E$100),"")</f>
        <v/>
      </c>
      <c r="Y134" s="5" t="str">
        <f t="shared" si="18"/>
        <v/>
      </c>
      <c r="Z134" s="5" t="str">
        <f t="shared" si="19"/>
        <v/>
      </c>
      <c r="AA134" s="4">
        <f t="shared" si="20"/>
        <v>0</v>
      </c>
      <c r="AC134" s="2"/>
    </row>
    <row r="135" spans="1:29" ht="15.5">
      <c r="A135" s="13" t="str">
        <f>IF(OR(ISBLANK(C135),ISBLANK(D135),ISBLANK(F135),ISBLANK(G135)),"",COUNTIF($B$5:B135,"JAMBUTU"))</f>
        <v/>
      </c>
      <c r="B135" s="8"/>
      <c r="C135" s="8"/>
      <c r="D135" s="8"/>
      <c r="E135" s="13"/>
      <c r="F135" s="12"/>
      <c r="G135" s="11"/>
      <c r="H135" s="12"/>
      <c r="I135" s="11"/>
      <c r="J135" s="10">
        <f t="shared" si="15"/>
        <v>0</v>
      </c>
      <c r="K135" s="10">
        <f t="shared" si="16"/>
        <v>0</v>
      </c>
      <c r="L135" s="9" t="str">
        <f t="shared" si="17"/>
        <v/>
      </c>
      <c r="M135" s="8"/>
      <c r="N135" s="8"/>
      <c r="O135" s="8"/>
      <c r="P135" s="8"/>
      <c r="Q135" s="8"/>
      <c r="R135" s="8"/>
      <c r="S135" s="8"/>
      <c r="T135" s="8"/>
      <c r="U135" s="8"/>
      <c r="V135" s="7"/>
      <c r="W135" s="6" t="str">
        <f t="array" ref="W135">IF(NOT(ISBLANK(D135)),_xludf.XLOOKUP(D135,[2]CODE!$A$4:$A$100,[2]CODE!$D$4:$D$100),"")</f>
        <v/>
      </c>
      <c r="X135" s="5" t="str">
        <f t="array" ref="X135">IF(NOT(AND(ISBLANK(D135),ISBLANK(C135))),_xludf.XLOOKUP(D135,[2]CODE!$A$4:$A$100,[2]CODE!$E$4:$E$100),"")</f>
        <v/>
      </c>
      <c r="Y135" s="5" t="str">
        <f t="shared" si="18"/>
        <v/>
      </c>
      <c r="Z135" s="5" t="str">
        <f t="shared" si="19"/>
        <v/>
      </c>
      <c r="AA135" s="4">
        <f t="shared" si="20"/>
        <v>0</v>
      </c>
      <c r="AC135" s="2"/>
    </row>
    <row r="136" spans="1:29" ht="15.5">
      <c r="A136" s="13" t="str">
        <f>IF(OR(ISBLANK(C136),ISBLANK(D136),ISBLANK(F136),ISBLANK(G136)),"",COUNTIF($B$5:B136,"JAMBUTU"))</f>
        <v/>
      </c>
      <c r="B136" s="8"/>
      <c r="C136" s="8"/>
      <c r="D136" s="8"/>
      <c r="E136" s="13"/>
      <c r="F136" s="12"/>
      <c r="G136" s="11"/>
      <c r="H136" s="12"/>
      <c r="I136" s="11"/>
      <c r="J136" s="10">
        <f t="shared" si="15"/>
        <v>0</v>
      </c>
      <c r="K136" s="10">
        <f t="shared" si="16"/>
        <v>0</v>
      </c>
      <c r="L136" s="9" t="str">
        <f t="shared" si="17"/>
        <v/>
      </c>
      <c r="M136" s="8"/>
      <c r="N136" s="8"/>
      <c r="O136" s="8"/>
      <c r="P136" s="8"/>
      <c r="Q136" s="8"/>
      <c r="R136" s="8"/>
      <c r="S136" s="8"/>
      <c r="T136" s="8"/>
      <c r="U136" s="8"/>
      <c r="V136" s="7"/>
      <c r="W136" s="6" t="str">
        <f t="array" ref="W136">IF(NOT(ISBLANK(D136)),_xludf.XLOOKUP(D136,[2]CODE!$A$4:$A$100,[2]CODE!$D$4:$D$100),"")</f>
        <v/>
      </c>
      <c r="X136" s="5" t="str">
        <f t="array" ref="X136">IF(NOT(AND(ISBLANK(D136),ISBLANK(C136))),_xludf.XLOOKUP(D136,[2]CODE!$A$4:$A$100,[2]CODE!$E$4:$E$100),"")</f>
        <v/>
      </c>
      <c r="Y136" s="5" t="str">
        <f t="shared" si="18"/>
        <v/>
      </c>
      <c r="Z136" s="5" t="str">
        <f t="shared" si="19"/>
        <v/>
      </c>
      <c r="AA136" s="4">
        <f t="shared" si="20"/>
        <v>0</v>
      </c>
      <c r="AC136" s="2"/>
    </row>
    <row r="137" spans="1:29" ht="15.5">
      <c r="A137" s="13" t="str">
        <f>IF(OR(ISBLANK(C137),ISBLANK(D137),ISBLANK(F137),ISBLANK(G137)),"",COUNTIF($B$5:B137,"JAMBUTU"))</f>
        <v/>
      </c>
      <c r="B137" s="8"/>
      <c r="C137" s="8"/>
      <c r="D137" s="8"/>
      <c r="E137" s="13"/>
      <c r="F137" s="12"/>
      <c r="G137" s="11"/>
      <c r="H137" s="12"/>
      <c r="I137" s="11"/>
      <c r="J137" s="10">
        <f t="shared" si="15"/>
        <v>0</v>
      </c>
      <c r="K137" s="10">
        <f t="shared" si="16"/>
        <v>0</v>
      </c>
      <c r="L137" s="9" t="str">
        <f t="shared" si="17"/>
        <v/>
      </c>
      <c r="M137" s="8"/>
      <c r="N137" s="8"/>
      <c r="O137" s="8"/>
      <c r="P137" s="8"/>
      <c r="Q137" s="8"/>
      <c r="R137" s="8"/>
      <c r="S137" s="8"/>
      <c r="T137" s="8"/>
      <c r="U137" s="8"/>
      <c r="V137" s="7"/>
      <c r="W137" s="6" t="str">
        <f t="array" ref="W137">IF(NOT(ISBLANK(D137)),_xludf.XLOOKUP(D137,[2]CODE!$A$4:$A$100,[2]CODE!$D$4:$D$100),"")</f>
        <v/>
      </c>
      <c r="X137" s="5" t="str">
        <f t="array" ref="X137">IF(NOT(AND(ISBLANK(D137),ISBLANK(C137))),_xludf.XLOOKUP(D137,[2]CODE!$A$4:$A$100,[2]CODE!$E$4:$E$100),"")</f>
        <v/>
      </c>
      <c r="Y137" s="5" t="str">
        <f t="shared" si="18"/>
        <v/>
      </c>
      <c r="Z137" s="5" t="str">
        <f t="shared" si="19"/>
        <v/>
      </c>
      <c r="AA137" s="4">
        <f t="shared" si="20"/>
        <v>0</v>
      </c>
      <c r="AC137" s="2"/>
    </row>
    <row r="138" spans="1:29" ht="15.5">
      <c r="A138" s="13" t="str">
        <f>IF(OR(ISBLANK(C138),ISBLANK(D138),ISBLANK(F138),ISBLANK(G138)),"",COUNTIF($B$5:B138,"JAMBUTU"))</f>
        <v/>
      </c>
      <c r="B138" s="8"/>
      <c r="C138" s="8"/>
      <c r="D138" s="8"/>
      <c r="E138" s="13"/>
      <c r="F138" s="12"/>
      <c r="G138" s="11"/>
      <c r="H138" s="12"/>
      <c r="I138" s="15"/>
      <c r="J138" s="10">
        <f t="shared" si="15"/>
        <v>0</v>
      </c>
      <c r="K138" s="10">
        <f t="shared" si="16"/>
        <v>0</v>
      </c>
      <c r="L138" s="9" t="str">
        <f t="shared" si="17"/>
        <v/>
      </c>
      <c r="M138" s="8"/>
      <c r="N138" s="8"/>
      <c r="O138" s="8"/>
      <c r="P138" s="8"/>
      <c r="Q138" s="8"/>
      <c r="R138" s="8"/>
      <c r="S138" s="8"/>
      <c r="T138" s="8"/>
      <c r="U138" s="8"/>
      <c r="V138" s="7"/>
      <c r="W138" s="6" t="str">
        <f t="array" ref="W138">IF(NOT(ISBLANK(D138)),_xludf.XLOOKUP(D138,[2]CODE!$A$4:$A$100,[2]CODE!$D$4:$D$100),"")</f>
        <v/>
      </c>
      <c r="X138" s="5" t="str">
        <f t="array" ref="X138">IF(NOT(AND(ISBLANK(D138),ISBLANK(C138))),_xludf.XLOOKUP(D138,[2]CODE!$A$4:$A$100,[2]CODE!$E$4:$E$100),"")</f>
        <v/>
      </c>
      <c r="Y138" s="5" t="str">
        <f t="shared" si="18"/>
        <v/>
      </c>
      <c r="Z138" s="5" t="str">
        <f t="shared" si="19"/>
        <v/>
      </c>
      <c r="AA138" s="4">
        <f t="shared" si="20"/>
        <v>0</v>
      </c>
      <c r="AC138" s="2"/>
    </row>
    <row r="139" spans="1:29" ht="15.5">
      <c r="A139" s="13" t="str">
        <f>IF(OR(ISBLANK(C139),ISBLANK(D139),ISBLANK(F139),ISBLANK(G139)),"",COUNTIF($B$5:B139,"JAMBUTU"))</f>
        <v/>
      </c>
      <c r="B139" s="8"/>
      <c r="C139" s="8"/>
      <c r="D139" s="8"/>
      <c r="E139" s="13"/>
      <c r="F139" s="12"/>
      <c r="G139" s="11"/>
      <c r="H139" s="12"/>
      <c r="I139" s="11"/>
      <c r="J139" s="10">
        <f t="shared" si="15"/>
        <v>0</v>
      </c>
      <c r="K139" s="10">
        <f t="shared" si="16"/>
        <v>0</v>
      </c>
      <c r="L139" s="9" t="str">
        <f t="shared" si="17"/>
        <v/>
      </c>
      <c r="M139" s="8"/>
      <c r="N139" s="8"/>
      <c r="O139" s="8"/>
      <c r="P139" s="8"/>
      <c r="Q139" s="8"/>
      <c r="R139" s="8"/>
      <c r="S139" s="8"/>
      <c r="T139" s="8"/>
      <c r="U139" s="8"/>
      <c r="V139" s="7"/>
      <c r="W139" s="6" t="str">
        <f t="array" ref="W139">IF(NOT(ISBLANK(D139)),_xludf.XLOOKUP(D139,[2]CODE!$A$4:$A$100,[2]CODE!$D$4:$D$100),"")</f>
        <v/>
      </c>
      <c r="X139" s="5" t="str">
        <f t="array" ref="X139">IF(NOT(AND(ISBLANK(D139),ISBLANK(C139))),_xludf.XLOOKUP(D139,[2]CODE!$A$4:$A$100,[2]CODE!$E$4:$E$100),"")</f>
        <v/>
      </c>
      <c r="Y139" s="5" t="str">
        <f t="shared" si="18"/>
        <v/>
      </c>
      <c r="Z139" s="5" t="str">
        <f t="shared" si="19"/>
        <v/>
      </c>
      <c r="AA139" s="4">
        <f t="shared" si="20"/>
        <v>0</v>
      </c>
      <c r="AC139" s="2"/>
    </row>
    <row r="140" spans="1:29" ht="15.5">
      <c r="A140" s="13" t="str">
        <f>IF(OR(ISBLANK(C140),ISBLANK(D140),ISBLANK(F140),ISBLANK(G140)),"",COUNTIF($B$5:B140,"JAMBUTU"))</f>
        <v/>
      </c>
      <c r="B140" s="8"/>
      <c r="C140" s="8"/>
      <c r="D140" s="8"/>
      <c r="E140" s="13"/>
      <c r="F140" s="12"/>
      <c r="G140" s="11"/>
      <c r="H140" s="12"/>
      <c r="I140" s="11"/>
      <c r="J140" s="10">
        <f t="shared" si="15"/>
        <v>0</v>
      </c>
      <c r="K140" s="10">
        <f t="shared" si="16"/>
        <v>0</v>
      </c>
      <c r="L140" s="9" t="str">
        <f t="shared" si="17"/>
        <v/>
      </c>
      <c r="M140" s="8"/>
      <c r="N140" s="8"/>
      <c r="O140" s="8"/>
      <c r="P140" s="8"/>
      <c r="Q140" s="8"/>
      <c r="R140" s="8"/>
      <c r="S140" s="8"/>
      <c r="T140" s="8"/>
      <c r="U140" s="8"/>
      <c r="V140" s="7"/>
      <c r="W140" s="6" t="str">
        <f t="array" ref="W140">IF(NOT(ISBLANK(D140)),_xludf.XLOOKUP(D140,[2]CODE!$A$4:$A$100,[2]CODE!$D$4:$D$100),"")</f>
        <v/>
      </c>
      <c r="X140" s="5" t="str">
        <f t="array" ref="X140">IF(NOT(AND(ISBLANK(D140),ISBLANK(C140))),_xludf.XLOOKUP(D140,[2]CODE!$A$4:$A$100,[2]CODE!$E$4:$E$100),"")</f>
        <v/>
      </c>
      <c r="Y140" s="5" t="str">
        <f t="shared" si="18"/>
        <v/>
      </c>
      <c r="Z140" s="5" t="str">
        <f t="shared" si="19"/>
        <v/>
      </c>
      <c r="AA140" s="4">
        <f t="shared" si="20"/>
        <v>0</v>
      </c>
      <c r="AC140" s="2"/>
    </row>
    <row r="141" spans="1:29" ht="15.5">
      <c r="A141" s="13" t="str">
        <f>IF(OR(ISBLANK(C141),ISBLANK(D141),ISBLANK(F141),ISBLANK(G141)),"",COUNTIF($B$5:B141,"JAMBUTU"))</f>
        <v/>
      </c>
      <c r="B141" s="8"/>
      <c r="C141" s="8"/>
      <c r="D141" s="8"/>
      <c r="E141" s="13"/>
      <c r="F141" s="12"/>
      <c r="G141" s="11"/>
      <c r="H141" s="12"/>
      <c r="I141" s="11"/>
      <c r="J141" s="10">
        <f t="shared" si="15"/>
        <v>0</v>
      </c>
      <c r="K141" s="10">
        <f t="shared" si="16"/>
        <v>0</v>
      </c>
      <c r="L141" s="9" t="str">
        <f t="shared" si="17"/>
        <v/>
      </c>
      <c r="M141" s="8"/>
      <c r="N141" s="8"/>
      <c r="O141" s="8"/>
      <c r="P141" s="8"/>
      <c r="Q141" s="8"/>
      <c r="R141" s="8"/>
      <c r="S141" s="8"/>
      <c r="T141" s="8"/>
      <c r="U141" s="8"/>
      <c r="V141" s="7"/>
      <c r="W141" s="6" t="str">
        <f t="array" ref="W141">IF(NOT(ISBLANK(D141)),_xludf.XLOOKUP(D141,[2]CODE!$A$4:$A$100,[2]CODE!$D$4:$D$100),"")</f>
        <v/>
      </c>
      <c r="X141" s="5" t="str">
        <f t="array" ref="X141">IF(NOT(AND(ISBLANK(D141),ISBLANK(C141))),_xludf.XLOOKUP(D141,[2]CODE!$A$4:$A$100,[2]CODE!$E$4:$E$100),"")</f>
        <v/>
      </c>
      <c r="Y141" s="5" t="str">
        <f t="shared" si="18"/>
        <v/>
      </c>
      <c r="Z141" s="5" t="str">
        <f t="shared" si="19"/>
        <v/>
      </c>
      <c r="AA141" s="4">
        <f t="shared" si="20"/>
        <v>0</v>
      </c>
      <c r="AC141" s="2"/>
    </row>
    <row r="142" spans="1:29" ht="15.5">
      <c r="A142" s="13" t="str">
        <f>IF(OR(ISBLANK(C142),ISBLANK(D142),ISBLANK(F142),ISBLANK(G142)),"",COUNTIF($B$5:B142,"JAMBUTU"))</f>
        <v/>
      </c>
      <c r="B142" s="8"/>
      <c r="C142" s="8"/>
      <c r="D142" s="8"/>
      <c r="E142" s="13"/>
      <c r="F142" s="12"/>
      <c r="G142" s="11"/>
      <c r="H142" s="12"/>
      <c r="I142" s="11"/>
      <c r="J142" s="10">
        <f t="shared" si="15"/>
        <v>0</v>
      </c>
      <c r="K142" s="10">
        <f t="shared" si="16"/>
        <v>0</v>
      </c>
      <c r="L142" s="9" t="str">
        <f t="shared" si="17"/>
        <v/>
      </c>
      <c r="M142" s="8"/>
      <c r="N142" s="8"/>
      <c r="O142" s="8"/>
      <c r="P142" s="8"/>
      <c r="Q142" s="8"/>
      <c r="R142" s="8"/>
      <c r="S142" s="8"/>
      <c r="T142" s="8"/>
      <c r="U142" s="8"/>
      <c r="V142" s="7"/>
      <c r="W142" s="6" t="str">
        <f t="array" ref="W142">IF(NOT(ISBLANK(D142)),_xludf.XLOOKUP(D142,[2]CODE!$A$4:$A$100,[2]CODE!$D$4:$D$100),"")</f>
        <v/>
      </c>
      <c r="X142" s="5" t="str">
        <f t="array" ref="X142">IF(NOT(AND(ISBLANK(D142),ISBLANK(C142))),_xludf.XLOOKUP(D142,[2]CODE!$A$4:$A$100,[2]CODE!$E$4:$E$100),"")</f>
        <v/>
      </c>
      <c r="Y142" s="5" t="str">
        <f t="shared" si="18"/>
        <v/>
      </c>
      <c r="Z142" s="5" t="str">
        <f t="shared" si="19"/>
        <v/>
      </c>
      <c r="AA142" s="4">
        <f t="shared" si="20"/>
        <v>0</v>
      </c>
      <c r="AC142" s="2"/>
    </row>
    <row r="143" spans="1:29" ht="15.5">
      <c r="A143" s="13" t="str">
        <f>IF(OR(ISBLANK(C143),ISBLANK(D143),ISBLANK(F143),ISBLANK(G143)),"",COUNTIF($B$5:B143,"JAMBUTU"))</f>
        <v/>
      </c>
      <c r="B143" s="8"/>
      <c r="C143" s="8"/>
      <c r="D143" s="8"/>
      <c r="E143" s="13"/>
      <c r="F143" s="12"/>
      <c r="G143" s="11"/>
      <c r="H143" s="12"/>
      <c r="I143" s="11"/>
      <c r="J143" s="10">
        <f t="shared" si="15"/>
        <v>0</v>
      </c>
      <c r="K143" s="10">
        <f t="shared" si="16"/>
        <v>0</v>
      </c>
      <c r="L143" s="9" t="str">
        <f t="shared" si="17"/>
        <v/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6" t="str">
        <f t="array" ref="W143">IF(NOT(ISBLANK(D143)),_xludf.XLOOKUP(D143,[2]CODE!$A$4:$A$100,[2]CODE!$D$4:$D$100),"")</f>
        <v/>
      </c>
      <c r="X143" s="5" t="str">
        <f t="array" ref="X143">IF(NOT(AND(ISBLANK(D143),ISBLANK(C143))),_xludf.XLOOKUP(D143,[2]CODE!$A$4:$A$100,[2]CODE!$E$4:$E$100),"")</f>
        <v/>
      </c>
      <c r="Y143" s="5" t="str">
        <f t="shared" si="18"/>
        <v/>
      </c>
      <c r="Z143" s="5" t="str">
        <f t="shared" si="19"/>
        <v/>
      </c>
      <c r="AA143" s="4">
        <f t="shared" si="20"/>
        <v>0</v>
      </c>
      <c r="AC143" s="2"/>
    </row>
    <row r="144" spans="1:29" ht="15.5">
      <c r="A144" s="13" t="str">
        <f>IF(OR(ISBLANK(C144),ISBLANK(D144),ISBLANK(F144),ISBLANK(G144)),"",COUNTIF($B$5:B144,"JAMBUTU"))</f>
        <v/>
      </c>
      <c r="B144" s="8"/>
      <c r="C144" s="8"/>
      <c r="D144" s="8"/>
      <c r="E144" s="13"/>
      <c r="F144" s="12"/>
      <c r="G144" s="11"/>
      <c r="H144" s="12"/>
      <c r="I144" s="11"/>
      <c r="J144" s="10">
        <f t="shared" si="15"/>
        <v>0</v>
      </c>
      <c r="K144" s="10">
        <f t="shared" si="16"/>
        <v>0</v>
      </c>
      <c r="L144" s="9" t="str">
        <f t="shared" si="17"/>
        <v/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6" t="str">
        <f t="array" ref="W144">IF(NOT(ISBLANK(D144)),_xludf.XLOOKUP(D144,[2]CODE!$A$4:$A$100,[2]CODE!$D$4:$D$100),"")</f>
        <v/>
      </c>
      <c r="X144" s="5" t="str">
        <f t="array" ref="X144">IF(NOT(AND(ISBLANK(D144),ISBLANK(C144))),_xludf.XLOOKUP(D144,[2]CODE!$A$4:$A$100,[2]CODE!$E$4:$E$100),"")</f>
        <v/>
      </c>
      <c r="Y144" s="5" t="str">
        <f t="shared" si="18"/>
        <v/>
      </c>
      <c r="Z144" s="5" t="str">
        <f t="shared" si="19"/>
        <v/>
      </c>
      <c r="AA144" s="4">
        <f t="shared" si="20"/>
        <v>0</v>
      </c>
      <c r="AC144" s="2"/>
    </row>
    <row r="145" spans="1:29" ht="15.5">
      <c r="A145" s="13" t="str">
        <f>IF(OR(ISBLANK(C145),ISBLANK(D145),ISBLANK(F145),ISBLANK(G145)),"",COUNTIF($B$5:B145,"JAMBUTU"))</f>
        <v/>
      </c>
      <c r="B145" s="8"/>
      <c r="C145" s="8"/>
      <c r="D145" s="8"/>
      <c r="E145" s="13"/>
      <c r="F145" s="12"/>
      <c r="G145" s="11"/>
      <c r="H145" s="12"/>
      <c r="I145" s="11"/>
      <c r="J145" s="10">
        <f t="shared" si="15"/>
        <v>0</v>
      </c>
      <c r="K145" s="10">
        <f t="shared" si="16"/>
        <v>0</v>
      </c>
      <c r="L145" s="9" t="str">
        <f t="shared" si="17"/>
        <v/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6" t="str">
        <f t="array" ref="W145">IF(NOT(ISBLANK(D145)),_xludf.XLOOKUP(D145,[2]CODE!$A$4:$A$100,[2]CODE!$D$4:$D$100),"")</f>
        <v/>
      </c>
      <c r="X145" s="5" t="str">
        <f t="array" ref="X145">IF(NOT(AND(ISBLANK(D145),ISBLANK(C145))),_xludf.XLOOKUP(D145,[2]CODE!$A$4:$A$100,[2]CODE!$E$4:$E$100),"")</f>
        <v/>
      </c>
      <c r="Y145" s="5" t="str">
        <f t="shared" si="18"/>
        <v/>
      </c>
      <c r="Z145" s="5" t="str">
        <f t="shared" si="19"/>
        <v/>
      </c>
      <c r="AA145" s="4">
        <f t="shared" si="20"/>
        <v>0</v>
      </c>
      <c r="AC145" s="2"/>
    </row>
    <row r="146" spans="1:29" ht="15.5">
      <c r="A146" s="13" t="str">
        <f>IF(OR(ISBLANK(C146),ISBLANK(D146),ISBLANK(F146),ISBLANK(G146)),"",COUNTIF($B$5:B146,"JAMBUTU"))</f>
        <v/>
      </c>
      <c r="B146" s="8"/>
      <c r="C146" s="8"/>
      <c r="D146" s="8"/>
      <c r="E146" s="13"/>
      <c r="F146" s="12"/>
      <c r="G146" s="11"/>
      <c r="H146" s="12"/>
      <c r="I146" s="11"/>
      <c r="J146" s="10">
        <f t="shared" si="15"/>
        <v>0</v>
      </c>
      <c r="K146" s="10">
        <f t="shared" si="16"/>
        <v>0</v>
      </c>
      <c r="L146" s="9" t="str">
        <f t="shared" si="17"/>
        <v/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6" t="str">
        <f t="array" ref="W146">IF(NOT(ISBLANK(D146)),_xludf.XLOOKUP(D146,[2]CODE!$A$4:$A$100,[2]CODE!$D$4:$D$100),"")</f>
        <v/>
      </c>
      <c r="X146" s="5" t="str">
        <f t="array" ref="X146">IF(NOT(AND(ISBLANK(D146),ISBLANK(C146))),_xludf.XLOOKUP(D146,[2]CODE!$A$4:$A$100,[2]CODE!$E$4:$E$100),"")</f>
        <v/>
      </c>
      <c r="Y146" s="5" t="str">
        <f t="shared" si="18"/>
        <v/>
      </c>
      <c r="Z146" s="5" t="str">
        <f t="shared" si="19"/>
        <v/>
      </c>
      <c r="AA146" s="4">
        <f t="shared" si="20"/>
        <v>0</v>
      </c>
      <c r="AC146" s="2"/>
    </row>
    <row r="147" spans="1:29" ht="15.5">
      <c r="A147" s="13" t="str">
        <f>IF(OR(ISBLANK(C147),ISBLANK(D147),ISBLANK(F147),ISBLANK(G147)),"",COUNTIF($B$5:B147,"JAMBUTU"))</f>
        <v/>
      </c>
      <c r="B147" s="8"/>
      <c r="C147" s="8"/>
      <c r="D147" s="8"/>
      <c r="E147" s="13"/>
      <c r="F147" s="12"/>
      <c r="G147" s="11"/>
      <c r="H147" s="12"/>
      <c r="I147" s="11"/>
      <c r="J147" s="10">
        <f t="shared" si="15"/>
        <v>0</v>
      </c>
      <c r="K147" s="10">
        <f t="shared" si="16"/>
        <v>0</v>
      </c>
      <c r="L147" s="9" t="str">
        <f t="shared" si="17"/>
        <v/>
      </c>
      <c r="M147" s="8"/>
      <c r="N147" s="8"/>
      <c r="O147" s="8"/>
      <c r="P147" s="8"/>
      <c r="Q147" s="8"/>
      <c r="R147" s="8"/>
      <c r="S147" s="8"/>
      <c r="T147" s="8"/>
      <c r="U147" s="8"/>
      <c r="V147" s="7"/>
      <c r="W147" s="6" t="str">
        <f t="array" ref="W147">IF(NOT(ISBLANK(D147)),_xludf.XLOOKUP(D147,[2]CODE!$A$4:$A$100,[2]CODE!$D$4:$D$100),"")</f>
        <v/>
      </c>
      <c r="X147" s="5" t="str">
        <f t="array" ref="X147">IF(NOT(AND(ISBLANK(D147),ISBLANK(C147))),_xludf.XLOOKUP(D147,[2]CODE!$A$4:$A$100,[2]CODE!$E$4:$E$100),"")</f>
        <v/>
      </c>
      <c r="Y147" s="5" t="str">
        <f t="shared" si="18"/>
        <v/>
      </c>
      <c r="Z147" s="5" t="str">
        <f t="shared" si="19"/>
        <v/>
      </c>
      <c r="AA147" s="4">
        <f t="shared" si="20"/>
        <v>0</v>
      </c>
      <c r="AC147" s="2"/>
    </row>
    <row r="148" spans="1:29" ht="15.5">
      <c r="A148" s="13" t="str">
        <f>IF(OR(ISBLANK(C148),ISBLANK(D148),ISBLANK(F148),ISBLANK(G148)),"",COUNTIF($B$5:B148,"JAMBUTU"))</f>
        <v/>
      </c>
      <c r="B148" s="8"/>
      <c r="C148" s="8"/>
      <c r="D148" s="8"/>
      <c r="E148" s="13"/>
      <c r="F148" s="12"/>
      <c r="G148" s="11"/>
      <c r="H148" s="12"/>
      <c r="I148" s="11"/>
      <c r="J148" s="10">
        <f t="shared" si="15"/>
        <v>0</v>
      </c>
      <c r="K148" s="10">
        <f t="shared" si="16"/>
        <v>0</v>
      </c>
      <c r="L148" s="9" t="str">
        <f t="shared" si="17"/>
        <v/>
      </c>
      <c r="M148" s="8"/>
      <c r="N148" s="8"/>
      <c r="O148" s="8"/>
      <c r="P148" s="8"/>
      <c r="Q148" s="8"/>
      <c r="R148" s="8"/>
      <c r="S148" s="8"/>
      <c r="T148" s="8"/>
      <c r="U148" s="8"/>
      <c r="V148" s="7"/>
      <c r="W148" s="6" t="str">
        <f t="array" ref="W148">IF(NOT(ISBLANK(D148)),_xludf.XLOOKUP(D148,[2]CODE!$A$4:$A$100,[2]CODE!$D$4:$D$100),"")</f>
        <v/>
      </c>
      <c r="X148" s="5" t="str">
        <f t="array" ref="X148">IF(NOT(AND(ISBLANK(D148),ISBLANK(C148))),_xludf.XLOOKUP(D148,[2]CODE!$A$4:$A$100,[2]CODE!$E$4:$E$100),"")</f>
        <v/>
      </c>
      <c r="Y148" s="5" t="str">
        <f t="shared" si="18"/>
        <v/>
      </c>
      <c r="Z148" s="5" t="str">
        <f t="shared" si="19"/>
        <v/>
      </c>
      <c r="AA148" s="4">
        <f t="shared" si="20"/>
        <v>0</v>
      </c>
      <c r="AC148" s="2"/>
    </row>
    <row r="149" spans="1:29" ht="15.5">
      <c r="A149" s="13" t="str">
        <f>IF(OR(ISBLANK(C149),ISBLANK(D149),ISBLANK(F149),ISBLANK(G149)),"",COUNTIF($B$5:B149,"JAMBUTU"))</f>
        <v/>
      </c>
      <c r="B149" s="8"/>
      <c r="C149" s="8"/>
      <c r="D149" s="8"/>
      <c r="E149" s="13"/>
      <c r="F149" s="12"/>
      <c r="G149" s="11"/>
      <c r="H149" s="12"/>
      <c r="I149" s="11"/>
      <c r="J149" s="10">
        <f t="shared" si="15"/>
        <v>0</v>
      </c>
      <c r="K149" s="10">
        <f t="shared" si="16"/>
        <v>0</v>
      </c>
      <c r="L149" s="9" t="str">
        <f t="shared" si="17"/>
        <v/>
      </c>
      <c r="M149" s="8"/>
      <c r="N149" s="8"/>
      <c r="O149" s="8"/>
      <c r="P149" s="8"/>
      <c r="Q149" s="8"/>
      <c r="R149" s="8"/>
      <c r="S149" s="8"/>
      <c r="T149" s="8"/>
      <c r="U149" s="8"/>
      <c r="V149" s="7"/>
      <c r="W149" s="6" t="str">
        <f t="array" ref="W149">IF(NOT(ISBLANK(D149)),_xludf.XLOOKUP(D149,[2]CODE!$A$4:$A$100,[2]CODE!$D$4:$D$100),"")</f>
        <v/>
      </c>
      <c r="X149" s="5" t="str">
        <f t="array" ref="X149">IF(NOT(AND(ISBLANK(D149),ISBLANK(C149))),_xludf.XLOOKUP(D149,[2]CODE!$A$4:$A$100,[2]CODE!$E$4:$E$100),"")</f>
        <v/>
      </c>
      <c r="Y149" s="5" t="str">
        <f t="shared" si="18"/>
        <v/>
      </c>
      <c r="Z149" s="5" t="str">
        <f t="shared" si="19"/>
        <v/>
      </c>
      <c r="AA149" s="4">
        <f t="shared" si="20"/>
        <v>0</v>
      </c>
      <c r="AC149" s="2"/>
    </row>
    <row r="150" spans="1:29" ht="15.5">
      <c r="A150" s="13" t="str">
        <f>IF(OR(ISBLANK(C150),ISBLANK(D150),ISBLANK(F150),ISBLANK(G150)),"",COUNTIF($B$5:B150,"JAMBUTU"))</f>
        <v/>
      </c>
      <c r="B150" s="8"/>
      <c r="C150" s="8"/>
      <c r="D150" s="8"/>
      <c r="E150" s="13"/>
      <c r="F150" s="12"/>
      <c r="G150" s="11"/>
      <c r="H150" s="12"/>
      <c r="I150" s="11"/>
      <c r="J150" s="10">
        <f t="shared" si="15"/>
        <v>0</v>
      </c>
      <c r="K150" s="10">
        <f t="shared" si="16"/>
        <v>0</v>
      </c>
      <c r="L150" s="9" t="str">
        <f t="shared" si="17"/>
        <v/>
      </c>
      <c r="M150" s="8"/>
      <c r="N150" s="8"/>
      <c r="O150" s="8"/>
      <c r="P150" s="8"/>
      <c r="Q150" s="8"/>
      <c r="R150" s="8"/>
      <c r="S150" s="8"/>
      <c r="T150" s="8"/>
      <c r="U150" s="8"/>
      <c r="V150" s="7"/>
      <c r="W150" s="6" t="str">
        <f t="array" ref="W150">IF(NOT(ISBLANK(D150)),_xludf.XLOOKUP(D150,[2]CODE!$A$4:$A$100,[2]CODE!$D$4:$D$100),"")</f>
        <v/>
      </c>
      <c r="X150" s="5" t="str">
        <f t="array" ref="X150">IF(NOT(AND(ISBLANK(D150),ISBLANK(C150))),_xludf.XLOOKUP(D150,[2]CODE!$A$4:$A$100,[2]CODE!$E$4:$E$100),"")</f>
        <v/>
      </c>
      <c r="Y150" s="5" t="str">
        <f t="shared" si="18"/>
        <v/>
      </c>
      <c r="Z150" s="5" t="str">
        <f t="shared" si="19"/>
        <v/>
      </c>
      <c r="AA150" s="4">
        <f t="shared" si="20"/>
        <v>0</v>
      </c>
      <c r="AC150" s="2"/>
    </row>
    <row r="151" spans="1:29" ht="15.5">
      <c r="A151" s="13" t="str">
        <f>IF(OR(ISBLANK(C151),ISBLANK(D151),ISBLANK(F151),ISBLANK(G151)),"",COUNTIF($B$5:B151,"JAMBUTU"))</f>
        <v/>
      </c>
      <c r="B151" s="8"/>
      <c r="C151" s="8"/>
      <c r="D151" s="8"/>
      <c r="E151" s="13"/>
      <c r="F151" s="12"/>
      <c r="G151" s="11"/>
      <c r="H151" s="12"/>
      <c r="I151" s="11"/>
      <c r="J151" s="10">
        <f t="shared" si="15"/>
        <v>0</v>
      </c>
      <c r="K151" s="10">
        <f t="shared" si="16"/>
        <v>0</v>
      </c>
      <c r="L151" s="9" t="str">
        <f t="shared" si="17"/>
        <v/>
      </c>
      <c r="M151" s="8"/>
      <c r="N151" s="8"/>
      <c r="O151" s="8"/>
      <c r="P151" s="8"/>
      <c r="Q151" s="8"/>
      <c r="R151" s="8"/>
      <c r="S151" s="8"/>
      <c r="T151" s="8"/>
      <c r="U151" s="8"/>
      <c r="V151" s="7"/>
      <c r="W151" s="6" t="str">
        <f t="array" ref="W151">IF(NOT(ISBLANK(D151)),_xludf.XLOOKUP(D151,[2]CODE!$A$4:$A$100,[2]CODE!$D$4:$D$100),"")</f>
        <v/>
      </c>
      <c r="X151" s="5" t="str">
        <f t="array" ref="X151">IF(NOT(AND(ISBLANK(D151),ISBLANK(C151))),_xludf.XLOOKUP(D151,[2]CODE!$A$4:$A$100,[2]CODE!$E$4:$E$100),"")</f>
        <v/>
      </c>
      <c r="Y151" s="5" t="str">
        <f t="shared" si="18"/>
        <v/>
      </c>
      <c r="Z151" s="5" t="str">
        <f t="shared" si="19"/>
        <v/>
      </c>
      <c r="AA151" s="4">
        <f t="shared" si="20"/>
        <v>0</v>
      </c>
      <c r="AC151" s="2"/>
    </row>
    <row r="152" spans="1:29" ht="15.5">
      <c r="A152" s="13" t="str">
        <f>IF(OR(ISBLANK(C152),ISBLANK(D152),ISBLANK(F152),ISBLANK(G152)),"",COUNTIF($B$5:B152,"JAMBUTU"))</f>
        <v/>
      </c>
      <c r="B152" s="8"/>
      <c r="C152" s="8"/>
      <c r="D152" s="8"/>
      <c r="E152" s="13"/>
      <c r="F152" s="12"/>
      <c r="G152" s="11"/>
      <c r="H152" s="12"/>
      <c r="I152" s="11"/>
      <c r="J152" s="10">
        <f t="shared" si="15"/>
        <v>0</v>
      </c>
      <c r="K152" s="10">
        <f t="shared" si="16"/>
        <v>0</v>
      </c>
      <c r="L152" s="9" t="str">
        <f t="shared" si="17"/>
        <v/>
      </c>
      <c r="M152" s="8"/>
      <c r="N152" s="8"/>
      <c r="O152" s="8"/>
      <c r="P152" s="8"/>
      <c r="Q152" s="8"/>
      <c r="R152" s="8"/>
      <c r="S152" s="8"/>
      <c r="T152" s="8"/>
      <c r="U152" s="8"/>
      <c r="V152" s="7"/>
      <c r="W152" s="6" t="str">
        <f t="array" ref="W152">IF(NOT(ISBLANK(D152)),_xludf.XLOOKUP(D152,[2]CODE!$A$4:$A$100,[2]CODE!$D$4:$D$100),"")</f>
        <v/>
      </c>
      <c r="X152" s="5" t="str">
        <f t="array" ref="X152">IF(NOT(AND(ISBLANK(D152),ISBLANK(C152))),_xludf.XLOOKUP(D152,[2]CODE!$A$4:$A$100,[2]CODE!$E$4:$E$100),"")</f>
        <v/>
      </c>
      <c r="Y152" s="5" t="str">
        <f t="shared" si="18"/>
        <v/>
      </c>
      <c r="Z152" s="5" t="str">
        <f t="shared" si="19"/>
        <v/>
      </c>
      <c r="AA152" s="4">
        <f t="shared" si="20"/>
        <v>0</v>
      </c>
      <c r="AC152" s="2"/>
    </row>
    <row r="153" spans="1:29" ht="15.5">
      <c r="A153" s="13" t="str">
        <f>IF(OR(ISBLANK(C153),ISBLANK(D153),ISBLANK(F153),ISBLANK(G153)),"",COUNTIF($B$5:B153,"JAMBUTU"))</f>
        <v/>
      </c>
      <c r="B153" s="8"/>
      <c r="C153" s="8"/>
      <c r="D153" s="8"/>
      <c r="E153" s="13"/>
      <c r="F153" s="12"/>
      <c r="G153" s="11"/>
      <c r="H153" s="12"/>
      <c r="I153" s="11"/>
      <c r="J153" s="10">
        <f t="shared" si="15"/>
        <v>0</v>
      </c>
      <c r="K153" s="10">
        <f t="shared" si="16"/>
        <v>0</v>
      </c>
      <c r="L153" s="9" t="str">
        <f t="shared" si="17"/>
        <v/>
      </c>
      <c r="M153" s="8"/>
      <c r="N153" s="8"/>
      <c r="O153" s="8"/>
      <c r="P153" s="8"/>
      <c r="Q153" s="8"/>
      <c r="R153" s="8"/>
      <c r="S153" s="8"/>
      <c r="T153" s="8"/>
      <c r="U153" s="8"/>
      <c r="V153" s="7"/>
      <c r="W153" s="6" t="str">
        <f t="array" ref="W153">IF(NOT(ISBLANK(D153)),_xludf.XLOOKUP(D153,[2]CODE!$A$4:$A$100,[2]CODE!$D$4:$D$100),"")</f>
        <v/>
      </c>
      <c r="X153" s="5" t="str">
        <f t="array" ref="X153">IF(NOT(AND(ISBLANK(D153),ISBLANK(C153))),_xludf.XLOOKUP(D153,[2]CODE!$A$4:$A$100,[2]CODE!$E$4:$E$100),"")</f>
        <v/>
      </c>
      <c r="Y153" s="5" t="str">
        <f t="shared" si="18"/>
        <v/>
      </c>
      <c r="Z153" s="5" t="str">
        <f t="shared" si="19"/>
        <v/>
      </c>
      <c r="AA153" s="4">
        <f t="shared" si="20"/>
        <v>0</v>
      </c>
      <c r="AC153" s="2"/>
    </row>
    <row r="154" spans="1:29" ht="15.5">
      <c r="A154" s="13" t="str">
        <f>IF(OR(ISBLANK(C154),ISBLANK(D154),ISBLANK(F154),ISBLANK(G154)),"",COUNTIF($B$5:B154,"JAMBUTU"))</f>
        <v/>
      </c>
      <c r="B154" s="8"/>
      <c r="C154" s="8"/>
      <c r="D154" s="8"/>
      <c r="E154" s="13"/>
      <c r="F154" s="12"/>
      <c r="G154" s="11"/>
      <c r="H154" s="12"/>
      <c r="I154" s="11"/>
      <c r="J154" s="10">
        <f t="shared" si="15"/>
        <v>0</v>
      </c>
      <c r="K154" s="10">
        <f t="shared" si="16"/>
        <v>0</v>
      </c>
      <c r="L154" s="9" t="str">
        <f t="shared" si="17"/>
        <v/>
      </c>
      <c r="M154" s="8"/>
      <c r="N154" s="8"/>
      <c r="O154" s="8"/>
      <c r="P154" s="8"/>
      <c r="Q154" s="8"/>
      <c r="R154" s="8"/>
      <c r="S154" s="8"/>
      <c r="T154" s="8"/>
      <c r="U154" s="8"/>
      <c r="V154" s="7"/>
      <c r="W154" s="6" t="str">
        <f t="array" ref="W154">IF(NOT(ISBLANK(D154)),_xludf.XLOOKUP(D154,[2]CODE!$A$4:$A$100,[2]CODE!$D$4:$D$100),"")</f>
        <v/>
      </c>
      <c r="X154" s="5" t="str">
        <f t="array" ref="X154">IF(NOT(AND(ISBLANK(D154),ISBLANK(C154))),_xludf.XLOOKUP(D154,[2]CODE!$A$4:$A$100,[2]CODE!$E$4:$E$100),"")</f>
        <v/>
      </c>
      <c r="Y154" s="5" t="str">
        <f t="shared" si="18"/>
        <v/>
      </c>
      <c r="Z154" s="5" t="str">
        <f t="shared" si="19"/>
        <v/>
      </c>
      <c r="AA154" s="4">
        <f t="shared" si="20"/>
        <v>0</v>
      </c>
      <c r="AC154" s="2"/>
    </row>
    <row r="155" spans="1:29" ht="15.5">
      <c r="A155" s="13" t="str">
        <f>IF(OR(ISBLANK(C155),ISBLANK(D155),ISBLANK(F155),ISBLANK(G155)),"",COUNTIF($B$5:B155,"JAMBUTU"))</f>
        <v/>
      </c>
      <c r="B155" s="8"/>
      <c r="C155" s="8"/>
      <c r="D155" s="8"/>
      <c r="E155" s="13"/>
      <c r="F155" s="12"/>
      <c r="G155" s="11"/>
      <c r="H155" s="12"/>
      <c r="I155" s="11"/>
      <c r="J155" s="10">
        <f t="shared" si="15"/>
        <v>0</v>
      </c>
      <c r="K155" s="10">
        <f t="shared" si="16"/>
        <v>0</v>
      </c>
      <c r="L155" s="9" t="str">
        <f t="shared" si="17"/>
        <v/>
      </c>
      <c r="M155" s="8"/>
      <c r="N155" s="8"/>
      <c r="O155" s="8"/>
      <c r="P155" s="8"/>
      <c r="Q155" s="8"/>
      <c r="R155" s="8"/>
      <c r="S155" s="8"/>
      <c r="T155" s="8"/>
      <c r="U155" s="8"/>
      <c r="V155" s="7"/>
      <c r="W155" s="6" t="str">
        <f t="array" ref="W155">IF(NOT(ISBLANK(D155)),_xludf.XLOOKUP(D155,[2]CODE!$A$4:$A$100,[2]CODE!$D$4:$D$100),"")</f>
        <v/>
      </c>
      <c r="X155" s="5" t="str">
        <f t="array" ref="X155">IF(NOT(AND(ISBLANK(D155),ISBLANK(C155))),_xludf.XLOOKUP(D155,[2]CODE!$A$4:$A$100,[2]CODE!$E$4:$E$100),"")</f>
        <v/>
      </c>
      <c r="Y155" s="5" t="str">
        <f t="shared" si="18"/>
        <v/>
      </c>
      <c r="Z155" s="5" t="str">
        <f t="shared" si="19"/>
        <v/>
      </c>
      <c r="AA155" s="4">
        <f t="shared" si="20"/>
        <v>0</v>
      </c>
      <c r="AC155" s="2"/>
    </row>
    <row r="156" spans="1:29" ht="15.5">
      <c r="A156" s="13" t="str">
        <f>IF(OR(ISBLANK(C156),ISBLANK(D156),ISBLANK(F156),ISBLANK(G156)),"",COUNTIF($B$5:B156,"JAMBUTU"))</f>
        <v/>
      </c>
      <c r="B156" s="8"/>
      <c r="C156" s="8"/>
      <c r="D156" s="8"/>
      <c r="E156" s="13"/>
      <c r="F156" s="12"/>
      <c r="G156" s="11"/>
      <c r="H156" s="12"/>
      <c r="I156" s="11"/>
      <c r="J156" s="10">
        <f t="shared" si="15"/>
        <v>0</v>
      </c>
      <c r="K156" s="10">
        <f t="shared" si="16"/>
        <v>0</v>
      </c>
      <c r="L156" s="9" t="str">
        <f t="shared" si="17"/>
        <v/>
      </c>
      <c r="M156" s="8"/>
      <c r="N156" s="8"/>
      <c r="O156" s="8"/>
      <c r="P156" s="8"/>
      <c r="Q156" s="8"/>
      <c r="R156" s="8"/>
      <c r="S156" s="8"/>
      <c r="T156" s="8"/>
      <c r="U156" s="8"/>
      <c r="V156" s="7"/>
      <c r="W156" s="6" t="str">
        <f t="array" ref="W156">IF(NOT(ISBLANK(D156)),_xludf.XLOOKUP(D156,[2]CODE!$A$4:$A$100,[2]CODE!$D$4:$D$100),"")</f>
        <v/>
      </c>
      <c r="X156" s="5" t="str">
        <f t="array" ref="X156">IF(NOT(AND(ISBLANK(D156),ISBLANK(C156))),_xludf.XLOOKUP(D156,[2]CODE!$A$4:$A$100,[2]CODE!$E$4:$E$100),"")</f>
        <v/>
      </c>
      <c r="Y156" s="5" t="str">
        <f t="shared" si="18"/>
        <v/>
      </c>
      <c r="Z156" s="5" t="str">
        <f t="shared" si="19"/>
        <v/>
      </c>
      <c r="AA156" s="4">
        <f t="shared" si="20"/>
        <v>0</v>
      </c>
      <c r="AC156" s="2"/>
    </row>
    <row r="157" spans="1:29" ht="15.5">
      <c r="A157" s="13" t="str">
        <f>IF(OR(ISBLANK(C157),ISBLANK(D157),ISBLANK(F157),ISBLANK(G157)),"",COUNTIF($B$5:B157,"JAMBUTU"))</f>
        <v/>
      </c>
      <c r="B157" s="8"/>
      <c r="C157" s="8"/>
      <c r="D157" s="8"/>
      <c r="E157" s="13"/>
      <c r="F157" s="12"/>
      <c r="G157" s="11"/>
      <c r="H157" s="12"/>
      <c r="I157" s="11"/>
      <c r="J157" s="10">
        <f t="shared" si="15"/>
        <v>0</v>
      </c>
      <c r="K157" s="10">
        <f t="shared" si="16"/>
        <v>0</v>
      </c>
      <c r="L157" s="9" t="str">
        <f t="shared" si="17"/>
        <v/>
      </c>
      <c r="M157" s="8"/>
      <c r="N157" s="8"/>
      <c r="O157" s="8"/>
      <c r="P157" s="8"/>
      <c r="Q157" s="8"/>
      <c r="R157" s="8"/>
      <c r="S157" s="8"/>
      <c r="T157" s="8"/>
      <c r="U157" s="8"/>
      <c r="V157" s="7"/>
      <c r="W157" s="6" t="str">
        <f t="array" ref="W157">IF(NOT(ISBLANK(D157)),_xludf.XLOOKUP(D157,[2]CODE!$A$4:$A$100,[2]CODE!$D$4:$D$100),"")</f>
        <v/>
      </c>
      <c r="X157" s="5" t="str">
        <f t="array" ref="X157">IF(NOT(AND(ISBLANK(D157),ISBLANK(C157))),_xludf.XLOOKUP(D157,[2]CODE!$A$4:$A$100,[2]CODE!$E$4:$E$100),"")</f>
        <v/>
      </c>
      <c r="Y157" s="5" t="str">
        <f t="shared" si="18"/>
        <v/>
      </c>
      <c r="Z157" s="5" t="str">
        <f t="shared" si="19"/>
        <v/>
      </c>
      <c r="AA157" s="4">
        <f t="shared" si="20"/>
        <v>0</v>
      </c>
      <c r="AC157" s="2"/>
    </row>
    <row r="158" spans="1:29" ht="15.5">
      <c r="A158" s="13" t="str">
        <f>IF(OR(ISBLANK(C158),ISBLANK(D158),ISBLANK(F158),ISBLANK(G158)),"",COUNTIF($B$5:B158,"JAMBUTU"))</f>
        <v/>
      </c>
      <c r="B158" s="8"/>
      <c r="C158" s="8"/>
      <c r="D158" s="8"/>
      <c r="E158" s="13"/>
      <c r="F158" s="12"/>
      <c r="G158" s="11"/>
      <c r="H158" s="12"/>
      <c r="I158" s="11"/>
      <c r="J158" s="10">
        <f t="shared" si="15"/>
        <v>0</v>
      </c>
      <c r="K158" s="10">
        <f t="shared" si="16"/>
        <v>0</v>
      </c>
      <c r="L158" s="9" t="str">
        <f t="shared" si="17"/>
        <v/>
      </c>
      <c r="M158" s="8"/>
      <c r="N158" s="8"/>
      <c r="O158" s="8"/>
      <c r="P158" s="8"/>
      <c r="Q158" s="8"/>
      <c r="R158" s="8"/>
      <c r="S158" s="8"/>
      <c r="T158" s="8"/>
      <c r="U158" s="8"/>
      <c r="V158" s="7"/>
      <c r="W158" s="6" t="str">
        <f t="array" ref="W158">IF(NOT(ISBLANK(D158)),_xludf.XLOOKUP(D158,[2]CODE!$A$4:$A$100,[2]CODE!$D$4:$D$100),"")</f>
        <v/>
      </c>
      <c r="X158" s="5" t="str">
        <f t="array" ref="X158">IF(NOT(AND(ISBLANK(D158),ISBLANK(C158))),_xludf.XLOOKUP(D158,[2]CODE!$A$4:$A$100,[2]CODE!$E$4:$E$100),"")</f>
        <v/>
      </c>
      <c r="Y158" s="5" t="str">
        <f t="shared" si="18"/>
        <v/>
      </c>
      <c r="Z158" s="5" t="str">
        <f t="shared" si="19"/>
        <v/>
      </c>
      <c r="AA158" s="4">
        <f t="shared" si="20"/>
        <v>0</v>
      </c>
      <c r="AC158" s="2"/>
    </row>
    <row r="159" spans="1:29" ht="15.5">
      <c r="A159" s="13" t="str">
        <f>IF(OR(ISBLANK(C159),ISBLANK(D159),ISBLANK(F159),ISBLANK(G159)),"",COUNTIF($B$5:B159,"JAMBUTU"))</f>
        <v/>
      </c>
      <c r="B159" s="8"/>
      <c r="C159" s="8"/>
      <c r="D159" s="8"/>
      <c r="E159" s="13"/>
      <c r="F159" s="12"/>
      <c r="G159" s="11"/>
      <c r="H159" s="12"/>
      <c r="I159" s="11"/>
      <c r="J159" s="10">
        <f t="shared" si="15"/>
        <v>0</v>
      </c>
      <c r="K159" s="10">
        <f t="shared" si="16"/>
        <v>0</v>
      </c>
      <c r="L159" s="9" t="str">
        <f t="shared" si="17"/>
        <v/>
      </c>
      <c r="M159" s="8"/>
      <c r="N159" s="8"/>
      <c r="O159" s="8"/>
      <c r="P159" s="8"/>
      <c r="Q159" s="8"/>
      <c r="R159" s="8"/>
      <c r="S159" s="8"/>
      <c r="T159" s="8"/>
      <c r="U159" s="8"/>
      <c r="V159" s="7"/>
      <c r="W159" s="6" t="str">
        <f t="array" ref="W159">IF(NOT(ISBLANK(D159)),_xludf.XLOOKUP(D159,[2]CODE!$A$4:$A$100,[2]CODE!$D$4:$D$100),"")</f>
        <v/>
      </c>
      <c r="X159" s="5" t="str">
        <f t="array" ref="X159">IF(NOT(AND(ISBLANK(D159),ISBLANK(C159))),_xludf.XLOOKUP(D159,[2]CODE!$A$4:$A$100,[2]CODE!$E$4:$E$100),"")</f>
        <v/>
      </c>
      <c r="Y159" s="5" t="str">
        <f t="shared" si="18"/>
        <v/>
      </c>
      <c r="Z159" s="5" t="str">
        <f t="shared" si="19"/>
        <v/>
      </c>
      <c r="AA159" s="4">
        <f t="shared" si="20"/>
        <v>0</v>
      </c>
      <c r="AC159" s="2"/>
    </row>
    <row r="160" spans="1:29" ht="15.5">
      <c r="A160" s="13" t="str">
        <f>IF(OR(ISBLANK(C160),ISBLANK(D160),ISBLANK(F160),ISBLANK(G160)),"",COUNTIF($B$5:B160,"JAMBUTU"))</f>
        <v/>
      </c>
      <c r="B160" s="8"/>
      <c r="C160" s="8"/>
      <c r="D160" s="8"/>
      <c r="E160" s="13"/>
      <c r="F160" s="12"/>
      <c r="G160" s="11"/>
      <c r="H160" s="12"/>
      <c r="I160" s="11"/>
      <c r="J160" s="10">
        <f t="shared" si="15"/>
        <v>0</v>
      </c>
      <c r="K160" s="10">
        <f t="shared" si="16"/>
        <v>0</v>
      </c>
      <c r="L160" s="9" t="str">
        <f t="shared" si="17"/>
        <v/>
      </c>
      <c r="M160" s="8"/>
      <c r="N160" s="8"/>
      <c r="O160" s="8"/>
      <c r="P160" s="8"/>
      <c r="Q160" s="8"/>
      <c r="R160" s="8"/>
      <c r="S160" s="16"/>
      <c r="T160" s="8"/>
      <c r="U160" s="8"/>
      <c r="V160" s="7"/>
      <c r="W160" s="6" t="str">
        <f t="array" ref="W160">IF(NOT(ISBLANK(D160)),_xludf.XLOOKUP(D160,[2]CODE!$A$4:$A$100,[2]CODE!$D$4:$D$100),"")</f>
        <v/>
      </c>
      <c r="X160" s="5" t="str">
        <f t="array" ref="X160">IF(NOT(AND(ISBLANK(D160),ISBLANK(C160))),_xludf.XLOOKUP(D160,[2]CODE!$A$4:$A$100,[2]CODE!$E$4:$E$100),"")</f>
        <v/>
      </c>
      <c r="Y160" s="5" t="str">
        <f t="shared" si="18"/>
        <v/>
      </c>
      <c r="Z160" s="5" t="str">
        <f t="shared" si="19"/>
        <v/>
      </c>
      <c r="AA160" s="4">
        <f t="shared" si="20"/>
        <v>0</v>
      </c>
      <c r="AC160" s="2"/>
    </row>
    <row r="161" spans="1:29" ht="15.5">
      <c r="A161" s="13" t="str">
        <f>IF(OR(ISBLANK(C161),ISBLANK(D161),ISBLANK(F161),ISBLANK(G161)),"",COUNTIF($B$5:B161,"JAMBUTU"))</f>
        <v/>
      </c>
      <c r="B161" s="8"/>
      <c r="C161" s="8"/>
      <c r="D161" s="8"/>
      <c r="E161" s="13"/>
      <c r="F161" s="12"/>
      <c r="G161" s="11"/>
      <c r="H161" s="12"/>
      <c r="I161" s="15"/>
      <c r="J161" s="10">
        <f t="shared" si="15"/>
        <v>0</v>
      </c>
      <c r="K161" s="10">
        <f t="shared" si="16"/>
        <v>0</v>
      </c>
      <c r="L161" s="9" t="str">
        <f t="shared" si="17"/>
        <v/>
      </c>
      <c r="M161" s="8"/>
      <c r="N161" s="8"/>
      <c r="O161" s="8"/>
      <c r="P161" s="8"/>
      <c r="Q161" s="8"/>
      <c r="R161" s="8"/>
      <c r="S161" s="8"/>
      <c r="T161" s="8"/>
      <c r="U161" s="8"/>
      <c r="V161" s="7"/>
      <c r="W161" s="6" t="str">
        <f t="array" ref="W161">IF(NOT(ISBLANK(D161)),_xludf.XLOOKUP(D161,[2]CODE!$A$4:$A$100,[2]CODE!$D$4:$D$100),"")</f>
        <v/>
      </c>
      <c r="X161" s="5" t="str">
        <f t="array" ref="X161">IF(NOT(AND(ISBLANK(D161),ISBLANK(C161))),_xludf.XLOOKUP(D161,[2]CODE!$A$4:$A$100,[2]CODE!$E$4:$E$100),"")</f>
        <v/>
      </c>
      <c r="Y161" s="5" t="str">
        <f t="shared" si="18"/>
        <v/>
      </c>
      <c r="Z161" s="5" t="str">
        <f t="shared" si="19"/>
        <v/>
      </c>
      <c r="AA161" s="4">
        <f t="shared" si="20"/>
        <v>0</v>
      </c>
      <c r="AC161" s="2"/>
    </row>
    <row r="162" spans="1:29" ht="15.5">
      <c r="A162" s="13" t="str">
        <f>IF(OR(ISBLANK(C162),ISBLANK(D162),ISBLANK(F162),ISBLANK(G162)),"",COUNTIF($B$5:B162,"JAMBUTU"))</f>
        <v/>
      </c>
      <c r="B162" s="8"/>
      <c r="C162" s="8"/>
      <c r="D162" s="8"/>
      <c r="E162" s="13"/>
      <c r="F162" s="12"/>
      <c r="G162" s="11"/>
      <c r="H162" s="12"/>
      <c r="I162" s="11"/>
      <c r="J162" s="10">
        <f t="shared" si="15"/>
        <v>0</v>
      </c>
      <c r="K162" s="10">
        <f t="shared" si="16"/>
        <v>0</v>
      </c>
      <c r="L162" s="9" t="str">
        <f t="shared" si="17"/>
        <v/>
      </c>
      <c r="M162" s="8"/>
      <c r="N162" s="8"/>
      <c r="O162" s="8"/>
      <c r="P162" s="8"/>
      <c r="Q162" s="8"/>
      <c r="R162" s="8"/>
      <c r="S162" s="8"/>
      <c r="T162" s="8"/>
      <c r="U162" s="8"/>
      <c r="V162" s="7"/>
      <c r="W162" s="6" t="str">
        <f t="array" ref="W162">IF(NOT(ISBLANK(D162)),_xludf.XLOOKUP(D162,[2]CODE!$A$4:$A$100,[2]CODE!$D$4:$D$100),"")</f>
        <v/>
      </c>
      <c r="X162" s="5" t="str">
        <f t="array" ref="X162">IF(NOT(AND(ISBLANK(D162),ISBLANK(C162))),_xludf.XLOOKUP(D162,[2]CODE!$A$4:$A$100,[2]CODE!$E$4:$E$100),"")</f>
        <v/>
      </c>
      <c r="Y162" s="5" t="str">
        <f t="shared" si="18"/>
        <v/>
      </c>
      <c r="Z162" s="5" t="str">
        <f t="shared" si="19"/>
        <v/>
      </c>
      <c r="AA162" s="4">
        <f t="shared" si="20"/>
        <v>0</v>
      </c>
      <c r="AC162" s="2"/>
    </row>
    <row r="163" spans="1:29" ht="15.5">
      <c r="A163" s="13" t="str">
        <f>IF(OR(ISBLANK(C163),ISBLANK(D163),ISBLANK(F163),ISBLANK(G163)),"",COUNTIF($B$5:B163,"JAMBUTU"))</f>
        <v/>
      </c>
      <c r="B163" s="8"/>
      <c r="C163" s="8"/>
      <c r="D163" s="8"/>
      <c r="E163" s="13"/>
      <c r="F163" s="12"/>
      <c r="G163" s="11"/>
      <c r="H163" s="12"/>
      <c r="I163" s="11"/>
      <c r="J163" s="10">
        <f t="shared" si="15"/>
        <v>0</v>
      </c>
      <c r="K163" s="10">
        <f t="shared" si="16"/>
        <v>0</v>
      </c>
      <c r="L163" s="9" t="str">
        <f t="shared" si="17"/>
        <v/>
      </c>
      <c r="M163" s="8"/>
      <c r="N163" s="8"/>
      <c r="O163" s="8"/>
      <c r="P163" s="8"/>
      <c r="Q163" s="8"/>
      <c r="R163" s="8"/>
      <c r="S163" s="8"/>
      <c r="T163" s="8"/>
      <c r="U163" s="8"/>
      <c r="V163" s="7"/>
      <c r="W163" s="6" t="str">
        <f t="array" ref="W163">IF(NOT(ISBLANK(D163)),_xludf.XLOOKUP(D163,[2]CODE!$A$4:$A$100,[2]CODE!$D$4:$D$100),"")</f>
        <v/>
      </c>
      <c r="X163" s="5" t="str">
        <f t="array" ref="X163">IF(NOT(AND(ISBLANK(D163),ISBLANK(C163))),_xludf.XLOOKUP(D163,[2]CODE!$A$4:$A$100,[2]CODE!$E$4:$E$100),"")</f>
        <v/>
      </c>
      <c r="Y163" s="5" t="str">
        <f t="shared" si="18"/>
        <v/>
      </c>
      <c r="Z163" s="5" t="str">
        <f t="shared" si="19"/>
        <v/>
      </c>
      <c r="AA163" s="4">
        <f t="shared" si="20"/>
        <v>0</v>
      </c>
      <c r="AC163" s="2"/>
    </row>
    <row r="164" spans="1:29" ht="15.5">
      <c r="A164" s="13" t="str">
        <f>IF(OR(ISBLANK(C164),ISBLANK(D164),ISBLANK(F164),ISBLANK(G164)),"",COUNTIF($B$5:B164,"JAMBUTU"))</f>
        <v/>
      </c>
      <c r="B164" s="8"/>
      <c r="C164" s="8"/>
      <c r="D164" s="8"/>
      <c r="E164" s="13"/>
      <c r="F164" s="12"/>
      <c r="G164" s="11"/>
      <c r="H164" s="12"/>
      <c r="I164" s="15"/>
      <c r="J164" s="10">
        <f t="shared" si="15"/>
        <v>0</v>
      </c>
      <c r="K164" s="10">
        <f t="shared" si="16"/>
        <v>0</v>
      </c>
      <c r="L164" s="9" t="str">
        <f t="shared" si="17"/>
        <v/>
      </c>
      <c r="M164" s="8"/>
      <c r="N164" s="8"/>
      <c r="O164" s="8"/>
      <c r="P164" s="8"/>
      <c r="Q164" s="8"/>
      <c r="R164" s="8"/>
      <c r="S164" s="8"/>
      <c r="T164" s="8"/>
      <c r="U164" s="8"/>
      <c r="V164" s="7"/>
      <c r="W164" s="6" t="str">
        <f t="array" ref="W164">IF(NOT(ISBLANK(D164)),_xludf.XLOOKUP(D164,[2]CODE!$A$4:$A$100,[2]CODE!$D$4:$D$100),"")</f>
        <v/>
      </c>
      <c r="X164" s="5" t="str">
        <f t="array" ref="X164">IF(NOT(AND(ISBLANK(D164),ISBLANK(C164))),_xludf.XLOOKUP(D164,[2]CODE!$A$4:$A$100,[2]CODE!$E$4:$E$100),"")</f>
        <v/>
      </c>
      <c r="Y164" s="5" t="str">
        <f t="shared" si="18"/>
        <v/>
      </c>
      <c r="Z164" s="5" t="str">
        <f t="shared" si="19"/>
        <v/>
      </c>
      <c r="AA164" s="4">
        <f t="shared" si="20"/>
        <v>0</v>
      </c>
      <c r="AC164" s="2"/>
    </row>
    <row r="165" spans="1:29" ht="15.5">
      <c r="A165" s="13" t="str">
        <f>IF(OR(ISBLANK(C165),ISBLANK(D165),ISBLANK(F165),ISBLANK(G165)),"",COUNTIF($B$5:B165,"JAMBUTU"))</f>
        <v/>
      </c>
      <c r="B165" s="8"/>
      <c r="C165" s="8"/>
      <c r="D165" s="8"/>
      <c r="E165" s="13"/>
      <c r="F165" s="12"/>
      <c r="G165" s="11"/>
      <c r="H165" s="12"/>
      <c r="I165" s="15"/>
      <c r="J165" s="10">
        <f t="shared" si="15"/>
        <v>0</v>
      </c>
      <c r="K165" s="10">
        <f t="shared" si="16"/>
        <v>0</v>
      </c>
      <c r="L165" s="9" t="str">
        <f t="shared" si="17"/>
        <v/>
      </c>
      <c r="M165" s="8"/>
      <c r="N165" s="8"/>
      <c r="O165" s="8"/>
      <c r="P165" s="8"/>
      <c r="Q165" s="8"/>
      <c r="R165" s="8"/>
      <c r="S165" s="8"/>
      <c r="T165" s="8"/>
      <c r="U165" s="8"/>
      <c r="V165" s="7"/>
      <c r="W165" s="6" t="str">
        <f t="array" ref="W165">IF(NOT(ISBLANK(D165)),_xludf.XLOOKUP(D165,[2]CODE!$A$4:$A$100,[2]CODE!$D$4:$D$100),"")</f>
        <v/>
      </c>
      <c r="X165" s="5" t="str">
        <f t="array" ref="X165">IF(NOT(AND(ISBLANK(D165),ISBLANK(C165))),_xludf.XLOOKUP(D165,[2]CODE!$A$4:$A$100,[2]CODE!$E$4:$E$100),"")</f>
        <v/>
      </c>
      <c r="Y165" s="5" t="str">
        <f t="shared" si="18"/>
        <v/>
      </c>
      <c r="Z165" s="5" t="str">
        <f t="shared" si="19"/>
        <v/>
      </c>
      <c r="AA165" s="4">
        <f t="shared" si="20"/>
        <v>0</v>
      </c>
      <c r="AC165" s="2"/>
    </row>
    <row r="166" spans="1:29" ht="15.5">
      <c r="A166" s="13" t="str">
        <f>IF(OR(ISBLANK(C166),ISBLANK(D166),ISBLANK(F166),ISBLANK(G166)),"",COUNTIF($B$5:B166,"JAMBUTU"))</f>
        <v/>
      </c>
      <c r="B166" s="8"/>
      <c r="C166" s="8"/>
      <c r="D166" s="8"/>
      <c r="E166" s="13"/>
      <c r="F166" s="12"/>
      <c r="G166" s="11"/>
      <c r="H166" s="12"/>
      <c r="I166" s="11"/>
      <c r="J166" s="10">
        <f t="shared" si="15"/>
        <v>0</v>
      </c>
      <c r="K166" s="10">
        <f t="shared" si="16"/>
        <v>0</v>
      </c>
      <c r="L166" s="9" t="str">
        <f t="shared" si="17"/>
        <v/>
      </c>
      <c r="M166" s="8"/>
      <c r="N166" s="8"/>
      <c r="O166" s="8"/>
      <c r="P166" s="8"/>
      <c r="Q166" s="8"/>
      <c r="R166" s="8"/>
      <c r="S166" s="8"/>
      <c r="T166" s="8"/>
      <c r="U166" s="8"/>
      <c r="V166" s="7"/>
      <c r="W166" s="6" t="str">
        <f t="array" ref="W166">IF(NOT(ISBLANK(D166)),_xludf.XLOOKUP(D166,[2]CODE!$A$4:$A$100,[2]CODE!$D$4:$D$100),"")</f>
        <v/>
      </c>
      <c r="X166" s="5" t="str">
        <f t="array" ref="X166">IF(NOT(AND(ISBLANK(D166),ISBLANK(C166))),_xludf.XLOOKUP(D166,[2]CODE!$A$4:$A$100,[2]CODE!$E$4:$E$100),"")</f>
        <v/>
      </c>
      <c r="Y166" s="5" t="str">
        <f t="shared" si="18"/>
        <v/>
      </c>
      <c r="Z166" s="5" t="str">
        <f t="shared" si="19"/>
        <v/>
      </c>
      <c r="AA166" s="4">
        <f t="shared" si="20"/>
        <v>0</v>
      </c>
      <c r="AC166" s="2"/>
    </row>
    <row r="167" spans="1:29" ht="15.5">
      <c r="A167" s="13" t="str">
        <f>IF(OR(ISBLANK(C167),ISBLANK(D167),ISBLANK(F167),ISBLANK(G167)),"",COUNTIF($B$5:B167,"JAMBUTU"))</f>
        <v/>
      </c>
      <c r="B167" s="8"/>
      <c r="C167" s="8"/>
      <c r="D167" s="8"/>
      <c r="E167" s="13"/>
      <c r="F167" s="12"/>
      <c r="G167" s="11"/>
      <c r="H167" s="12"/>
      <c r="I167" s="11"/>
      <c r="J167" s="10">
        <f t="shared" si="15"/>
        <v>0</v>
      </c>
      <c r="K167" s="10">
        <f t="shared" si="16"/>
        <v>0</v>
      </c>
      <c r="L167" s="9" t="str">
        <f t="shared" si="17"/>
        <v/>
      </c>
      <c r="M167" s="8"/>
      <c r="N167" s="8"/>
      <c r="O167" s="8"/>
      <c r="P167" s="8"/>
      <c r="Q167" s="8"/>
      <c r="R167" s="8"/>
      <c r="S167" s="8"/>
      <c r="T167" s="8"/>
      <c r="U167" s="8"/>
      <c r="V167" s="7"/>
      <c r="W167" s="6" t="str">
        <f t="array" ref="W167">IF(NOT(ISBLANK(D167)),_xludf.XLOOKUP(D167,[2]CODE!$A$4:$A$100,[2]CODE!$D$4:$D$100),"")</f>
        <v/>
      </c>
      <c r="X167" s="5" t="str">
        <f t="array" ref="X167">IF(NOT(AND(ISBLANK(D167),ISBLANK(C167))),_xludf.XLOOKUP(D167,[2]CODE!$A$4:$A$100,[2]CODE!$E$4:$E$100),"")</f>
        <v/>
      </c>
      <c r="Y167" s="5" t="str">
        <f t="shared" si="18"/>
        <v/>
      </c>
      <c r="Z167" s="5" t="str">
        <f t="shared" si="19"/>
        <v/>
      </c>
      <c r="AA167" s="4">
        <f t="shared" si="20"/>
        <v>0</v>
      </c>
      <c r="AC167" s="2"/>
    </row>
    <row r="168" spans="1:29" ht="15.5">
      <c r="A168" s="13" t="str">
        <f>IF(OR(ISBLANK(C168),ISBLANK(D168),ISBLANK(F168),ISBLANK(G168)),"",COUNTIF($B$5:B168,"JAMBUTU"))</f>
        <v/>
      </c>
      <c r="B168" s="8"/>
      <c r="C168" s="8"/>
      <c r="D168" s="8"/>
      <c r="E168" s="13"/>
      <c r="F168" s="12"/>
      <c r="G168" s="11"/>
      <c r="H168" s="12"/>
      <c r="I168" s="15"/>
      <c r="J168" s="10">
        <f t="shared" si="15"/>
        <v>0</v>
      </c>
      <c r="K168" s="10">
        <f t="shared" si="16"/>
        <v>0</v>
      </c>
      <c r="L168" s="9" t="str">
        <f t="shared" si="17"/>
        <v/>
      </c>
      <c r="M168" s="8"/>
      <c r="N168" s="8"/>
      <c r="O168" s="8"/>
      <c r="P168" s="8"/>
      <c r="Q168" s="8"/>
      <c r="R168" s="8"/>
      <c r="S168" s="8"/>
      <c r="T168" s="8"/>
      <c r="U168" s="8"/>
      <c r="V168" s="7"/>
      <c r="W168" s="6" t="str">
        <f t="array" ref="W168">IF(NOT(ISBLANK(D168)),_xludf.XLOOKUP(D168,[2]CODE!$A$4:$A$100,[2]CODE!$D$4:$D$100),"")</f>
        <v/>
      </c>
      <c r="X168" s="5" t="str">
        <f t="array" ref="X168">IF(NOT(AND(ISBLANK(D168),ISBLANK(C168))),_xludf.XLOOKUP(D168,[2]CODE!$A$4:$A$100,[2]CODE!$E$4:$E$100),"")</f>
        <v/>
      </c>
      <c r="Y168" s="5" t="str">
        <f t="shared" si="18"/>
        <v/>
      </c>
      <c r="Z168" s="5" t="str">
        <f t="shared" si="19"/>
        <v/>
      </c>
      <c r="AA168" s="4">
        <f t="shared" si="20"/>
        <v>0</v>
      </c>
      <c r="AC168" s="2"/>
    </row>
    <row r="169" spans="1:29" ht="15.5">
      <c r="A169" s="13" t="str">
        <f>IF(OR(ISBLANK(C169),ISBLANK(D169),ISBLANK(F169),ISBLANK(G169)),"",COUNTIF($B$5:B169,"JAMBUTU"))</f>
        <v/>
      </c>
      <c r="B169" s="8"/>
      <c r="C169" s="8"/>
      <c r="D169" s="8"/>
      <c r="E169" s="13"/>
      <c r="F169" s="12"/>
      <c r="G169" s="11"/>
      <c r="H169" s="12"/>
      <c r="I169" s="11"/>
      <c r="J169" s="10">
        <f t="shared" si="15"/>
        <v>0</v>
      </c>
      <c r="K169" s="10">
        <f t="shared" si="16"/>
        <v>0</v>
      </c>
      <c r="L169" s="9" t="str">
        <f t="shared" si="17"/>
        <v/>
      </c>
      <c r="M169" s="8"/>
      <c r="N169" s="8"/>
      <c r="O169" s="8"/>
      <c r="P169" s="8"/>
      <c r="Q169" s="8"/>
      <c r="R169" s="8"/>
      <c r="S169" s="8"/>
      <c r="T169" s="8"/>
      <c r="U169" s="8"/>
      <c r="V169" s="7"/>
      <c r="W169" s="6" t="str">
        <f t="array" ref="W169">IF(NOT(ISBLANK(D169)),_xludf.XLOOKUP(D169,[2]CODE!$A$4:$A$100,[2]CODE!$D$4:$D$100),"")</f>
        <v/>
      </c>
      <c r="X169" s="5" t="str">
        <f t="array" ref="X169">IF(NOT(AND(ISBLANK(D169),ISBLANK(C169))),_xludf.XLOOKUP(D169,[2]CODE!$A$4:$A$100,[2]CODE!$E$4:$E$100),"")</f>
        <v/>
      </c>
      <c r="Y169" s="5" t="str">
        <f t="shared" si="18"/>
        <v/>
      </c>
      <c r="Z169" s="5" t="str">
        <f t="shared" si="19"/>
        <v/>
      </c>
      <c r="AA169" s="4">
        <f t="shared" si="20"/>
        <v>0</v>
      </c>
      <c r="AC169" s="2"/>
    </row>
    <row r="170" spans="1:29" ht="15.5">
      <c r="A170" s="13" t="str">
        <f>IF(OR(ISBLANK(C170),ISBLANK(D170),ISBLANK(F170),ISBLANK(G170)),"",COUNTIF($B$5:B170,"JAMBUTU"))</f>
        <v/>
      </c>
      <c r="B170" s="8"/>
      <c r="C170" s="8"/>
      <c r="D170" s="8"/>
      <c r="E170" s="13"/>
      <c r="F170" s="12"/>
      <c r="G170" s="11"/>
      <c r="H170" s="12"/>
      <c r="I170" s="11"/>
      <c r="J170" s="10">
        <f t="shared" si="15"/>
        <v>0</v>
      </c>
      <c r="K170" s="10">
        <f t="shared" si="16"/>
        <v>0</v>
      </c>
      <c r="L170" s="9" t="str">
        <f t="shared" si="17"/>
        <v/>
      </c>
      <c r="M170" s="8"/>
      <c r="N170" s="8"/>
      <c r="O170" s="8"/>
      <c r="P170" s="8"/>
      <c r="Q170" s="8"/>
      <c r="R170" s="8"/>
      <c r="S170" s="8"/>
      <c r="T170" s="8"/>
      <c r="U170" s="8"/>
      <c r="V170" s="7"/>
      <c r="W170" s="6" t="str">
        <f t="array" ref="W170">IF(NOT(ISBLANK(D170)),_xludf.XLOOKUP(D170,[2]CODE!$A$4:$A$100,[2]CODE!$D$4:$D$100),"")</f>
        <v/>
      </c>
      <c r="X170" s="5" t="str">
        <f t="array" ref="X170">IF(NOT(AND(ISBLANK(D170),ISBLANK(C170))),_xludf.XLOOKUP(D170,[2]CODE!$A$4:$A$100,[2]CODE!$E$4:$E$100),"")</f>
        <v/>
      </c>
      <c r="Y170" s="5" t="str">
        <f t="shared" si="18"/>
        <v/>
      </c>
      <c r="Z170" s="5" t="str">
        <f t="shared" si="19"/>
        <v/>
      </c>
      <c r="AA170" s="4">
        <f t="shared" si="20"/>
        <v>0</v>
      </c>
      <c r="AC170" s="2"/>
    </row>
    <row r="171" spans="1:29" ht="15.5">
      <c r="A171" s="13" t="str">
        <f>IF(OR(ISBLANK(C171),ISBLANK(D171),ISBLANK(F171),ISBLANK(G171)),"",COUNTIF($B$5:B171,"JAMBUTU"))</f>
        <v/>
      </c>
      <c r="B171" s="8"/>
      <c r="C171" s="8"/>
      <c r="D171" s="8"/>
      <c r="E171" s="13"/>
      <c r="F171" s="12"/>
      <c r="G171" s="11"/>
      <c r="H171" s="12"/>
      <c r="I171" s="15"/>
      <c r="J171" s="10">
        <f t="shared" si="15"/>
        <v>0</v>
      </c>
      <c r="K171" s="10">
        <f t="shared" si="16"/>
        <v>0</v>
      </c>
      <c r="L171" s="9" t="str">
        <f t="shared" si="17"/>
        <v/>
      </c>
      <c r="M171" s="8"/>
      <c r="N171" s="8"/>
      <c r="O171" s="8"/>
      <c r="P171" s="8"/>
      <c r="Q171" s="8"/>
      <c r="R171" s="8"/>
      <c r="S171" s="8"/>
      <c r="T171" s="8"/>
      <c r="U171" s="8"/>
      <c r="V171" s="7"/>
      <c r="W171" s="6" t="str">
        <f t="array" ref="W171">IF(NOT(ISBLANK(D171)),_xludf.XLOOKUP(D171,[2]CODE!$A$4:$A$100,[2]CODE!$D$4:$D$100),"")</f>
        <v/>
      </c>
      <c r="X171" s="5" t="str">
        <f t="array" ref="X171">IF(NOT(AND(ISBLANK(D171),ISBLANK(C171))),_xludf.XLOOKUP(D171,[2]CODE!$A$4:$A$100,[2]CODE!$E$4:$E$100),"")</f>
        <v/>
      </c>
      <c r="Y171" s="5" t="str">
        <f t="shared" si="18"/>
        <v/>
      </c>
      <c r="Z171" s="5" t="str">
        <f t="shared" si="19"/>
        <v/>
      </c>
      <c r="AA171" s="4">
        <f t="shared" si="20"/>
        <v>0</v>
      </c>
      <c r="AC171" s="2"/>
    </row>
    <row r="172" spans="1:29" ht="15.5">
      <c r="A172" s="13" t="str">
        <f>IF(OR(ISBLANK(C172),ISBLANK(D172),ISBLANK(F172),ISBLANK(G172)),"",COUNTIF($B$5:B172,"JAMBUTU"))</f>
        <v/>
      </c>
      <c r="B172" s="8"/>
      <c r="C172" s="8"/>
      <c r="D172" s="8"/>
      <c r="E172" s="13"/>
      <c r="F172" s="12"/>
      <c r="G172" s="11"/>
      <c r="H172" s="12"/>
      <c r="I172" s="15"/>
      <c r="J172" s="10">
        <f t="shared" si="15"/>
        <v>0</v>
      </c>
      <c r="K172" s="10">
        <f t="shared" si="16"/>
        <v>0</v>
      </c>
      <c r="L172" s="9" t="str">
        <f t="shared" si="17"/>
        <v/>
      </c>
      <c r="M172" s="8"/>
      <c r="N172" s="8"/>
      <c r="O172" s="8"/>
      <c r="P172" s="8"/>
      <c r="Q172" s="8"/>
      <c r="R172" s="8"/>
      <c r="S172" s="8"/>
      <c r="T172" s="8"/>
      <c r="U172" s="8"/>
      <c r="V172" s="7"/>
      <c r="W172" s="6" t="str">
        <f t="array" ref="W172">IF(NOT(ISBLANK(D172)),_xludf.XLOOKUP(D172,[2]CODE!$A$4:$A$100,[2]CODE!$D$4:$D$100),"")</f>
        <v/>
      </c>
      <c r="X172" s="5" t="str">
        <f t="array" ref="X172">IF(NOT(AND(ISBLANK(D172),ISBLANK(C172))),_xludf.XLOOKUP(D172,[2]CODE!$A$4:$A$100,[2]CODE!$E$4:$E$100),"")</f>
        <v/>
      </c>
      <c r="Y172" s="5" t="str">
        <f t="shared" si="18"/>
        <v/>
      </c>
      <c r="Z172" s="5" t="str">
        <f t="shared" si="19"/>
        <v/>
      </c>
      <c r="AA172" s="4">
        <f t="shared" si="20"/>
        <v>0</v>
      </c>
      <c r="AC172" s="2"/>
    </row>
    <row r="173" spans="1:29" ht="15.5">
      <c r="A173" s="13" t="str">
        <f>IF(OR(ISBLANK(C173),ISBLANK(D173),ISBLANK(F173),ISBLANK(G173)),"",COUNTIF($B$5:B173,"JAMBUTU"))</f>
        <v/>
      </c>
      <c r="B173" s="8"/>
      <c r="C173" s="8"/>
      <c r="D173" s="8"/>
      <c r="E173" s="13"/>
      <c r="F173" s="12"/>
      <c r="G173" s="15"/>
      <c r="H173" s="12"/>
      <c r="I173" s="15"/>
      <c r="J173" s="10">
        <f t="shared" si="15"/>
        <v>0</v>
      </c>
      <c r="K173" s="10">
        <f t="shared" si="16"/>
        <v>0</v>
      </c>
      <c r="L173" s="9" t="str">
        <f t="shared" si="17"/>
        <v/>
      </c>
      <c r="M173" s="8"/>
      <c r="N173" s="8"/>
      <c r="O173" s="8"/>
      <c r="P173" s="8"/>
      <c r="Q173" s="8"/>
      <c r="R173" s="8"/>
      <c r="S173" s="8"/>
      <c r="T173" s="8"/>
      <c r="U173" s="8"/>
      <c r="V173" s="7"/>
      <c r="W173" s="6" t="str">
        <f t="array" ref="W173">IF(NOT(ISBLANK(D173)),_xludf.XLOOKUP(D173,[2]CODE!$A$4:$A$100,[2]CODE!$D$4:$D$100),"")</f>
        <v/>
      </c>
      <c r="X173" s="5" t="str">
        <f t="array" ref="X173">IF(NOT(AND(ISBLANK(D173),ISBLANK(C173))),_xludf.XLOOKUP(D173,[2]CODE!$A$4:$A$100,[2]CODE!$E$4:$E$100),"")</f>
        <v/>
      </c>
      <c r="Y173" s="5" t="str">
        <f t="shared" si="18"/>
        <v/>
      </c>
      <c r="Z173" s="5" t="str">
        <f t="shared" si="19"/>
        <v/>
      </c>
      <c r="AA173" s="4">
        <f t="shared" si="20"/>
        <v>0</v>
      </c>
      <c r="AC173" s="2"/>
    </row>
    <row r="174" spans="1:29" ht="15.5">
      <c r="A174" s="13" t="str">
        <f>IF(OR(ISBLANK(C174),ISBLANK(D174),ISBLANK(F174),ISBLANK(G174)),"",COUNTIF($B$5:B174,"JAMBUTU"))</f>
        <v/>
      </c>
      <c r="B174" s="8"/>
      <c r="C174" s="8"/>
      <c r="D174" s="8"/>
      <c r="E174" s="13"/>
      <c r="F174" s="12"/>
      <c r="G174" s="11"/>
      <c r="H174" s="12"/>
      <c r="I174" s="15"/>
      <c r="J174" s="10">
        <f t="shared" si="15"/>
        <v>0</v>
      </c>
      <c r="K174" s="10">
        <f t="shared" si="16"/>
        <v>0</v>
      </c>
      <c r="L174" s="9" t="str">
        <f t="shared" si="17"/>
        <v/>
      </c>
      <c r="M174" s="8"/>
      <c r="N174" s="8"/>
      <c r="O174" s="8"/>
      <c r="P174" s="8"/>
      <c r="Q174" s="8"/>
      <c r="R174" s="8"/>
      <c r="S174" s="8"/>
      <c r="T174" s="8"/>
      <c r="U174" s="8"/>
      <c r="V174" s="7"/>
      <c r="W174" s="6" t="str">
        <f t="array" ref="W174">IF(NOT(ISBLANK(D174)),_xludf.XLOOKUP(D174,[2]CODE!$A$4:$A$100,[2]CODE!$D$4:$D$100),"")</f>
        <v/>
      </c>
      <c r="X174" s="5" t="str">
        <f t="array" ref="X174">IF(NOT(AND(ISBLANK(D174),ISBLANK(C174))),_xludf.XLOOKUP(D174,[2]CODE!$A$4:$A$100,[2]CODE!$E$4:$E$100),"")</f>
        <v/>
      </c>
      <c r="Y174" s="5" t="str">
        <f t="shared" si="18"/>
        <v/>
      </c>
      <c r="Z174" s="5" t="str">
        <f t="shared" si="19"/>
        <v/>
      </c>
      <c r="AA174" s="4">
        <f t="shared" si="20"/>
        <v>0</v>
      </c>
      <c r="AC174" s="2"/>
    </row>
    <row r="175" spans="1:29" ht="15.5">
      <c r="A175" s="13" t="str">
        <f>IF(OR(ISBLANK(C175),ISBLANK(D175),ISBLANK(F175),ISBLANK(G175)),"",COUNTIF($B$5:B175,"JAMBUTU"))</f>
        <v/>
      </c>
      <c r="B175" s="8"/>
      <c r="C175" s="8"/>
      <c r="D175" s="8"/>
      <c r="E175" s="13"/>
      <c r="F175" s="12"/>
      <c r="G175" s="11"/>
      <c r="H175" s="12"/>
      <c r="I175" s="11"/>
      <c r="J175" s="10">
        <f t="shared" si="15"/>
        <v>0</v>
      </c>
      <c r="K175" s="10">
        <f t="shared" si="16"/>
        <v>0</v>
      </c>
      <c r="L175" s="9" t="str">
        <f t="shared" si="17"/>
        <v/>
      </c>
      <c r="M175" s="8"/>
      <c r="N175" s="8"/>
      <c r="O175" s="8"/>
      <c r="P175" s="8"/>
      <c r="Q175" s="8"/>
      <c r="R175" s="8"/>
      <c r="S175" s="8"/>
      <c r="T175" s="8"/>
      <c r="U175" s="8"/>
      <c r="V175" s="7"/>
      <c r="W175" s="6" t="str">
        <f t="array" ref="W175">IF(NOT(ISBLANK(D175)),_xludf.XLOOKUP(D175,[2]CODE!$A$4:$A$100,[2]CODE!$D$4:$D$100),"")</f>
        <v/>
      </c>
      <c r="X175" s="5" t="str">
        <f t="array" ref="X175">IF(NOT(AND(ISBLANK(D175),ISBLANK(C175))),_xludf.XLOOKUP(D175,[2]CODE!$A$4:$A$100,[2]CODE!$E$4:$E$100),"")</f>
        <v/>
      </c>
      <c r="Y175" s="5" t="str">
        <f t="shared" si="18"/>
        <v/>
      </c>
      <c r="Z175" s="5" t="str">
        <f t="shared" si="19"/>
        <v/>
      </c>
      <c r="AA175" s="4">
        <f t="shared" si="20"/>
        <v>0</v>
      </c>
      <c r="AC175" s="2"/>
    </row>
    <row r="176" spans="1:29" ht="15.5">
      <c r="A176" s="13" t="str">
        <f>IF(OR(ISBLANK(C176),ISBLANK(D176),ISBLANK(F176),ISBLANK(G176)),"",COUNTIF($B$5:B176,"JAMBUTU"))</f>
        <v/>
      </c>
      <c r="B176" s="8"/>
      <c r="C176" s="8"/>
      <c r="D176" s="8"/>
      <c r="E176" s="13"/>
      <c r="F176" s="12"/>
      <c r="G176" s="11"/>
      <c r="H176" s="12"/>
      <c r="I176" s="11"/>
      <c r="J176" s="10">
        <f t="shared" si="15"/>
        <v>0</v>
      </c>
      <c r="K176" s="10">
        <f t="shared" si="16"/>
        <v>0</v>
      </c>
      <c r="L176" s="9" t="str">
        <f t="shared" si="17"/>
        <v/>
      </c>
      <c r="M176" s="8"/>
      <c r="N176" s="8"/>
      <c r="O176" s="8"/>
      <c r="P176" s="8"/>
      <c r="Q176" s="8"/>
      <c r="R176" s="8"/>
      <c r="S176" s="8"/>
      <c r="T176" s="8"/>
      <c r="U176" s="8"/>
      <c r="V176" s="7"/>
      <c r="W176" s="6" t="str">
        <f t="array" ref="W176">IF(NOT(ISBLANK(D176)),_xludf.XLOOKUP(D176,[2]CODE!$A$4:$A$100,[2]CODE!$D$4:$D$100),"")</f>
        <v/>
      </c>
      <c r="X176" s="5" t="str">
        <f t="array" ref="X176">IF(NOT(AND(ISBLANK(D176),ISBLANK(C176))),_xludf.XLOOKUP(D176,[2]CODE!$A$4:$A$100,[2]CODE!$E$4:$E$100),"")</f>
        <v/>
      </c>
      <c r="Y176" s="5" t="str">
        <f t="shared" si="18"/>
        <v/>
      </c>
      <c r="Z176" s="5" t="str">
        <f t="shared" si="19"/>
        <v/>
      </c>
      <c r="AA176" s="4">
        <f t="shared" si="20"/>
        <v>0</v>
      </c>
      <c r="AC176" s="2"/>
    </row>
    <row r="177" spans="1:29" ht="15.5">
      <c r="A177" s="13" t="str">
        <f>IF(OR(ISBLANK(C177),ISBLANK(D177),ISBLANK(F177),ISBLANK(G177)),"",COUNTIF($B$5:B177,"JAMBUTU"))</f>
        <v/>
      </c>
      <c r="B177" s="8"/>
      <c r="C177" s="8"/>
      <c r="D177" s="8"/>
      <c r="E177" s="13"/>
      <c r="F177" s="12"/>
      <c r="G177" s="11"/>
      <c r="H177" s="12"/>
      <c r="I177" s="11"/>
      <c r="J177" s="10">
        <f t="shared" si="15"/>
        <v>0</v>
      </c>
      <c r="K177" s="10">
        <f t="shared" si="16"/>
        <v>0</v>
      </c>
      <c r="L177" s="9" t="str">
        <f t="shared" si="17"/>
        <v/>
      </c>
      <c r="M177" s="8"/>
      <c r="N177" s="8"/>
      <c r="O177" s="8"/>
      <c r="P177" s="8"/>
      <c r="Q177" s="8"/>
      <c r="R177" s="8"/>
      <c r="S177" s="8"/>
      <c r="T177" s="8"/>
      <c r="U177" s="8"/>
      <c r="V177" s="7"/>
      <c r="W177" s="6" t="str">
        <f t="array" ref="W177">IF(NOT(ISBLANK(D177)),_xludf.XLOOKUP(D177,[2]CODE!$A$4:$A$100,[2]CODE!$D$4:$D$100),"")</f>
        <v/>
      </c>
      <c r="X177" s="5" t="str">
        <f t="array" ref="X177">IF(NOT(AND(ISBLANK(D177),ISBLANK(C177))),_xludf.XLOOKUP(D177,[2]CODE!$A$4:$A$100,[2]CODE!$E$4:$E$100),"")</f>
        <v/>
      </c>
      <c r="Y177" s="5" t="str">
        <f t="shared" si="18"/>
        <v/>
      </c>
      <c r="Z177" s="5" t="str">
        <f t="shared" si="19"/>
        <v/>
      </c>
      <c r="AA177" s="4">
        <f t="shared" si="20"/>
        <v>0</v>
      </c>
      <c r="AC177" s="2"/>
    </row>
    <row r="178" spans="1:29" ht="15.5">
      <c r="A178" s="13" t="str">
        <f>IF(OR(ISBLANK(C178),ISBLANK(D178),ISBLANK(F178),ISBLANK(G178)),"",COUNTIF($B$5:B178,"JAMBUTU"))</f>
        <v/>
      </c>
      <c r="B178" s="8"/>
      <c r="C178" s="8"/>
      <c r="D178" s="8"/>
      <c r="E178" s="13"/>
      <c r="F178" s="12"/>
      <c r="G178" s="11"/>
      <c r="H178" s="12"/>
      <c r="I178" s="11"/>
      <c r="J178" s="10">
        <f t="shared" si="15"/>
        <v>0</v>
      </c>
      <c r="K178" s="10">
        <f t="shared" si="16"/>
        <v>0</v>
      </c>
      <c r="L178" s="9" t="str">
        <f t="shared" si="17"/>
        <v/>
      </c>
      <c r="M178" s="8"/>
      <c r="N178" s="8"/>
      <c r="O178" s="8"/>
      <c r="P178" s="8"/>
      <c r="Q178" s="8"/>
      <c r="R178" s="8"/>
      <c r="S178" s="8"/>
      <c r="T178" s="8"/>
      <c r="U178" s="8"/>
      <c r="V178" s="7"/>
      <c r="W178" s="6" t="str">
        <f t="array" ref="W178">IF(NOT(ISBLANK(D178)),_xludf.XLOOKUP(D178,[2]CODE!$A$4:$A$100,[2]CODE!$D$4:$D$100),"")</f>
        <v/>
      </c>
      <c r="X178" s="5" t="str">
        <f t="array" ref="X178">IF(NOT(AND(ISBLANK(D178),ISBLANK(C178))),_xludf.XLOOKUP(D178,[2]CODE!$A$4:$A$100,[2]CODE!$E$4:$E$100),"")</f>
        <v/>
      </c>
      <c r="Y178" s="5" t="str">
        <f t="shared" si="18"/>
        <v/>
      </c>
      <c r="Z178" s="5" t="str">
        <f t="shared" si="19"/>
        <v/>
      </c>
      <c r="AA178" s="4">
        <f t="shared" si="20"/>
        <v>0</v>
      </c>
      <c r="AC178" s="2"/>
    </row>
    <row r="179" spans="1:29" ht="15.5">
      <c r="A179" s="13" t="str">
        <f>IF(OR(ISBLANK(C179),ISBLANK(D179),ISBLANK(F179),ISBLANK(G179)),"",COUNTIF($B$5:B179,"JAMBUTU"))</f>
        <v/>
      </c>
      <c r="B179" s="8"/>
      <c r="C179" s="8"/>
      <c r="D179" s="8"/>
      <c r="E179" s="13"/>
      <c r="F179" s="12"/>
      <c r="G179" s="11"/>
      <c r="H179" s="12"/>
      <c r="I179" s="11"/>
      <c r="J179" s="10">
        <f t="shared" si="15"/>
        <v>0</v>
      </c>
      <c r="K179" s="10">
        <f t="shared" si="16"/>
        <v>0</v>
      </c>
      <c r="L179" s="9" t="str">
        <f t="shared" si="17"/>
        <v/>
      </c>
      <c r="M179" s="8"/>
      <c r="N179" s="8"/>
      <c r="O179" s="8"/>
      <c r="P179" s="8"/>
      <c r="Q179" s="8"/>
      <c r="R179" s="8"/>
      <c r="S179" s="8"/>
      <c r="T179" s="8"/>
      <c r="U179" s="8"/>
      <c r="V179" s="7"/>
      <c r="W179" s="6" t="str">
        <f t="array" ref="W179">IF(NOT(ISBLANK(D179)),_xludf.XLOOKUP(D179,[2]CODE!$A$4:$A$100,[2]CODE!$D$4:$D$100),"")</f>
        <v/>
      </c>
      <c r="X179" s="5" t="str">
        <f t="array" ref="X179">IF(NOT(AND(ISBLANK(D179),ISBLANK(C179))),_xludf.XLOOKUP(D179,[2]CODE!$A$4:$A$100,[2]CODE!$E$4:$E$100),"")</f>
        <v/>
      </c>
      <c r="Y179" s="5" t="str">
        <f t="shared" si="18"/>
        <v/>
      </c>
      <c r="Z179" s="5" t="str">
        <f t="shared" si="19"/>
        <v/>
      </c>
      <c r="AA179" s="4">
        <f t="shared" si="20"/>
        <v>0</v>
      </c>
      <c r="AC179" s="2"/>
    </row>
    <row r="180" spans="1:29" ht="15.5">
      <c r="A180" s="13" t="str">
        <f>IF(OR(ISBLANK(C180),ISBLANK(D180),ISBLANK(F180),ISBLANK(G180)),"",COUNTIF($B$5:B180,"JAMBUTU"))</f>
        <v/>
      </c>
      <c r="B180" s="8"/>
      <c r="C180" s="8"/>
      <c r="D180" s="8"/>
      <c r="E180" s="13"/>
      <c r="F180" s="12"/>
      <c r="G180" s="11"/>
      <c r="H180" s="12"/>
      <c r="I180" s="15"/>
      <c r="J180" s="10">
        <f t="shared" si="15"/>
        <v>0</v>
      </c>
      <c r="K180" s="10">
        <f t="shared" si="16"/>
        <v>0</v>
      </c>
      <c r="L180" s="9" t="str">
        <f t="shared" si="17"/>
        <v/>
      </c>
      <c r="M180" s="8"/>
      <c r="N180" s="8"/>
      <c r="O180" s="8"/>
      <c r="P180" s="8"/>
      <c r="Q180" s="8"/>
      <c r="R180" s="8"/>
      <c r="S180" s="8"/>
      <c r="T180" s="8"/>
      <c r="U180" s="8"/>
      <c r="V180" s="7"/>
      <c r="W180" s="6" t="str">
        <f t="array" ref="W180">IF(NOT(ISBLANK(D180)),_xludf.XLOOKUP(D180,[2]CODE!$A$4:$A$100,[2]CODE!$D$4:$D$100),"")</f>
        <v/>
      </c>
      <c r="X180" s="5" t="str">
        <f t="array" ref="X180">IF(NOT(AND(ISBLANK(D180),ISBLANK(C180))),_xludf.XLOOKUP(D180,[2]CODE!$A$4:$A$100,[2]CODE!$E$4:$E$100),"")</f>
        <v/>
      </c>
      <c r="Y180" s="5" t="str">
        <f t="shared" si="18"/>
        <v/>
      </c>
      <c r="Z180" s="5" t="str">
        <f t="shared" si="19"/>
        <v/>
      </c>
      <c r="AA180" s="4">
        <f t="shared" si="20"/>
        <v>0</v>
      </c>
      <c r="AC180" s="2"/>
    </row>
    <row r="181" spans="1:29" ht="15.5">
      <c r="A181" s="13" t="str">
        <f>IF(OR(ISBLANK(C181),ISBLANK(D181),ISBLANK(F181),ISBLANK(G181)),"",COUNTIF($B$5:B181,"JAMBUTU"))</f>
        <v/>
      </c>
      <c r="B181" s="8"/>
      <c r="C181" s="8"/>
      <c r="D181" s="8"/>
      <c r="E181" s="20"/>
      <c r="F181" s="12"/>
      <c r="G181" s="11"/>
      <c r="H181" s="12"/>
      <c r="I181" s="15"/>
      <c r="J181" s="10">
        <f t="shared" si="15"/>
        <v>0</v>
      </c>
      <c r="K181" s="10">
        <f t="shared" si="16"/>
        <v>0</v>
      </c>
      <c r="L181" s="9" t="str">
        <f t="shared" si="17"/>
        <v/>
      </c>
      <c r="M181" s="8"/>
      <c r="N181" s="8"/>
      <c r="O181" s="8"/>
      <c r="P181" s="8"/>
      <c r="Q181" s="8"/>
      <c r="R181" s="8"/>
      <c r="S181" s="8"/>
      <c r="T181" s="8"/>
      <c r="U181" s="8"/>
      <c r="V181" s="7"/>
      <c r="W181" s="6" t="str">
        <f t="array" ref="W181">IF(NOT(ISBLANK(D181)),_xludf.XLOOKUP(D181,[2]CODE!$A$4:$A$100,[2]CODE!$D$4:$D$100),"")</f>
        <v/>
      </c>
      <c r="X181" s="5" t="str">
        <f t="array" ref="X181">IF(NOT(AND(ISBLANK(D181),ISBLANK(C181))),_xludf.XLOOKUP(D181,[2]CODE!$A$4:$A$100,[2]CODE!$E$4:$E$100),"")</f>
        <v/>
      </c>
      <c r="Y181" s="5" t="str">
        <f t="shared" si="18"/>
        <v/>
      </c>
      <c r="Z181" s="5" t="str">
        <f t="shared" si="19"/>
        <v/>
      </c>
      <c r="AA181" s="4">
        <f t="shared" si="20"/>
        <v>0</v>
      </c>
      <c r="AC181" s="2"/>
    </row>
    <row r="182" spans="1:29" ht="15.5">
      <c r="A182" s="13" t="str">
        <f>IF(OR(ISBLANK(C182),ISBLANK(D182),ISBLANK(F182),ISBLANK(G182)),"",COUNTIF($B$5:B182,"JAMBUTU"))</f>
        <v/>
      </c>
      <c r="B182" s="8"/>
      <c r="C182" s="8"/>
      <c r="D182" s="8"/>
      <c r="E182" s="20"/>
      <c r="F182" s="12"/>
      <c r="G182" s="11"/>
      <c r="H182" s="12"/>
      <c r="I182" s="11"/>
      <c r="J182" s="10">
        <f t="shared" si="15"/>
        <v>0</v>
      </c>
      <c r="K182" s="10">
        <f t="shared" si="16"/>
        <v>0</v>
      </c>
      <c r="L182" s="9" t="str">
        <f t="shared" si="17"/>
        <v/>
      </c>
      <c r="M182" s="8"/>
      <c r="N182" s="8"/>
      <c r="O182" s="8"/>
      <c r="P182" s="8"/>
      <c r="Q182" s="8"/>
      <c r="R182" s="8"/>
      <c r="S182" s="8"/>
      <c r="T182" s="8"/>
      <c r="U182" s="8"/>
      <c r="V182" s="7"/>
      <c r="W182" s="6" t="str">
        <f t="array" ref="W182">IF(NOT(ISBLANK(D182)),_xludf.XLOOKUP(D182,[2]CODE!$A$4:$A$100,[2]CODE!$D$4:$D$100),"")</f>
        <v/>
      </c>
      <c r="X182" s="5" t="str">
        <f t="array" ref="X182">IF(NOT(AND(ISBLANK(D182),ISBLANK(C182))),_xludf.XLOOKUP(D182,[2]CODE!$A$4:$A$100,[2]CODE!$E$4:$E$100),"")</f>
        <v/>
      </c>
      <c r="Y182" s="5" t="str">
        <f t="shared" si="18"/>
        <v/>
      </c>
      <c r="Z182" s="5" t="str">
        <f t="shared" si="19"/>
        <v/>
      </c>
      <c r="AA182" s="4">
        <f t="shared" si="20"/>
        <v>0</v>
      </c>
      <c r="AC182" s="2"/>
    </row>
    <row r="183" spans="1:29" ht="15.5">
      <c r="A183" s="13" t="str">
        <f>IF(OR(ISBLANK(C183),ISBLANK(D183),ISBLANK(F183),ISBLANK(G183)),"",COUNTIF($B$5:B183,"JAMBUTU"))</f>
        <v/>
      </c>
      <c r="B183" s="8"/>
      <c r="C183" s="8"/>
      <c r="D183" s="8"/>
      <c r="E183" s="20"/>
      <c r="F183" s="12"/>
      <c r="G183" s="11"/>
      <c r="H183" s="12"/>
      <c r="I183" s="15"/>
      <c r="J183" s="10">
        <f t="shared" si="15"/>
        <v>0</v>
      </c>
      <c r="K183" s="10">
        <f t="shared" si="16"/>
        <v>0</v>
      </c>
      <c r="L183" s="9" t="str">
        <f t="shared" si="17"/>
        <v/>
      </c>
      <c r="M183" s="8"/>
      <c r="N183" s="8"/>
      <c r="O183" s="8"/>
      <c r="P183" s="8"/>
      <c r="Q183" s="8"/>
      <c r="R183" s="8"/>
      <c r="S183" s="8"/>
      <c r="T183" s="8"/>
      <c r="U183" s="8"/>
      <c r="V183" s="7"/>
      <c r="W183" s="6" t="str">
        <f t="array" ref="W183">IF(NOT(ISBLANK(D183)),_xludf.XLOOKUP(D183,[2]CODE!$A$4:$A$100,[2]CODE!$D$4:$D$100),"")</f>
        <v/>
      </c>
      <c r="X183" s="5" t="str">
        <f t="array" ref="X183">IF(NOT(AND(ISBLANK(D183),ISBLANK(C183))),_xludf.XLOOKUP(D183,[2]CODE!$A$4:$A$100,[2]CODE!$E$4:$E$100),"")</f>
        <v/>
      </c>
      <c r="Y183" s="5" t="str">
        <f t="shared" si="18"/>
        <v/>
      </c>
      <c r="Z183" s="5" t="str">
        <f t="shared" si="19"/>
        <v/>
      </c>
      <c r="AA183" s="4">
        <f t="shared" si="20"/>
        <v>0</v>
      </c>
      <c r="AC183" s="2"/>
    </row>
    <row r="184" spans="1:29" ht="15.5">
      <c r="A184" s="13" t="str">
        <f>IF(OR(ISBLANK(C184),ISBLANK(D184),ISBLANK(F184),ISBLANK(G184)),"",COUNTIF($B$5:B184,"JAMBUTU"))</f>
        <v/>
      </c>
      <c r="B184" s="8"/>
      <c r="C184" s="8"/>
      <c r="D184" s="8"/>
      <c r="E184" s="13"/>
      <c r="F184" s="12"/>
      <c r="G184" s="11"/>
      <c r="H184" s="12"/>
      <c r="I184" s="15"/>
      <c r="J184" s="10">
        <f t="shared" si="15"/>
        <v>0</v>
      </c>
      <c r="K184" s="10">
        <f t="shared" si="16"/>
        <v>0</v>
      </c>
      <c r="L184" s="9" t="str">
        <f t="shared" si="17"/>
        <v/>
      </c>
      <c r="M184" s="8"/>
      <c r="N184" s="8"/>
      <c r="O184" s="8"/>
      <c r="P184" s="8"/>
      <c r="Q184" s="8"/>
      <c r="R184" s="8"/>
      <c r="S184" s="8"/>
      <c r="T184" s="8"/>
      <c r="U184" s="8"/>
      <c r="V184" s="7"/>
      <c r="W184" s="6" t="str">
        <f t="array" ref="W184">IF(NOT(ISBLANK(D184)),_xludf.XLOOKUP(D184,[2]CODE!$A$4:$A$100,[2]CODE!$D$4:$D$100),"")</f>
        <v/>
      </c>
      <c r="X184" s="5" t="str">
        <f t="array" ref="X184">IF(NOT(AND(ISBLANK(D184),ISBLANK(C184))),_xludf.XLOOKUP(D184,[2]CODE!$A$4:$A$100,[2]CODE!$E$4:$E$100),"")</f>
        <v/>
      </c>
      <c r="Y184" s="5" t="str">
        <f t="shared" si="18"/>
        <v/>
      </c>
      <c r="Z184" s="5" t="str">
        <f t="shared" si="19"/>
        <v/>
      </c>
      <c r="AA184" s="4">
        <f t="shared" si="20"/>
        <v>0</v>
      </c>
      <c r="AC184" s="2"/>
    </row>
    <row r="185" spans="1:29" ht="15.5">
      <c r="A185" s="13" t="str">
        <f>IF(OR(ISBLANK(C185),ISBLANK(D185),ISBLANK(F185),ISBLANK(G185)),"",COUNTIF($B$5:B185,"JAMBUTU"))</f>
        <v/>
      </c>
      <c r="B185" s="8"/>
      <c r="C185" s="8"/>
      <c r="D185" s="8"/>
      <c r="E185" s="20"/>
      <c r="F185" s="12"/>
      <c r="G185" s="11"/>
      <c r="H185" s="12"/>
      <c r="I185" s="11"/>
      <c r="J185" s="10">
        <f t="shared" si="15"/>
        <v>0</v>
      </c>
      <c r="K185" s="10">
        <f t="shared" si="16"/>
        <v>0</v>
      </c>
      <c r="L185" s="9" t="str">
        <f t="shared" si="17"/>
        <v/>
      </c>
      <c r="M185" s="8"/>
      <c r="N185" s="8"/>
      <c r="O185" s="8"/>
      <c r="P185" s="8"/>
      <c r="Q185" s="8"/>
      <c r="R185" s="8"/>
      <c r="S185" s="8"/>
      <c r="T185" s="8"/>
      <c r="U185" s="8"/>
      <c r="V185" s="7"/>
      <c r="W185" s="6" t="str">
        <f t="array" ref="W185">IF(NOT(ISBLANK(D185)),_xludf.XLOOKUP(D185,[2]CODE!$A$4:$A$100,[2]CODE!$D$4:$D$100),"")</f>
        <v/>
      </c>
      <c r="X185" s="5" t="str">
        <f t="array" ref="X185">IF(NOT(AND(ISBLANK(D185),ISBLANK(C185))),_xludf.XLOOKUP(D185,[2]CODE!$A$4:$A$100,[2]CODE!$E$4:$E$100),"")</f>
        <v/>
      </c>
      <c r="Y185" s="5" t="str">
        <f t="shared" si="18"/>
        <v/>
      </c>
      <c r="Z185" s="5" t="str">
        <f t="shared" si="19"/>
        <v/>
      </c>
      <c r="AA185" s="4">
        <f t="shared" si="20"/>
        <v>0</v>
      </c>
      <c r="AC185" s="2"/>
    </row>
    <row r="186" spans="1:29" ht="15.5">
      <c r="A186" s="13" t="str">
        <f>IF(OR(ISBLANK(C186),ISBLANK(D186),ISBLANK(F186),ISBLANK(G186)),"",COUNTIF($B$5:B186,"JAMBUTU"))</f>
        <v/>
      </c>
      <c r="B186" s="8"/>
      <c r="C186" s="8"/>
      <c r="D186" s="8"/>
      <c r="E186" s="13"/>
      <c r="F186" s="12"/>
      <c r="G186" s="11"/>
      <c r="H186" s="12"/>
      <c r="I186" s="11"/>
      <c r="J186" s="10">
        <f t="shared" si="15"/>
        <v>0</v>
      </c>
      <c r="K186" s="10">
        <f t="shared" si="16"/>
        <v>0</v>
      </c>
      <c r="L186" s="9" t="str">
        <f t="shared" si="17"/>
        <v/>
      </c>
      <c r="M186" s="8"/>
      <c r="N186" s="8"/>
      <c r="O186" s="8"/>
      <c r="P186" s="8"/>
      <c r="Q186" s="8"/>
      <c r="R186" s="8"/>
      <c r="S186" s="8"/>
      <c r="T186" s="8"/>
      <c r="U186" s="8"/>
      <c r="V186" s="7"/>
      <c r="W186" s="6" t="str">
        <f t="array" ref="W186">IF(NOT(ISBLANK(D186)),_xludf.XLOOKUP(D186,[2]CODE!$A$4:$A$100,[2]CODE!$D$4:$D$100),"")</f>
        <v/>
      </c>
      <c r="X186" s="5" t="str">
        <f t="array" ref="X186">IF(NOT(AND(ISBLANK(D186),ISBLANK(C186))),_xludf.XLOOKUP(D186,[2]CODE!$A$4:$A$100,[2]CODE!$E$4:$E$100),"")</f>
        <v/>
      </c>
      <c r="Y186" s="5" t="str">
        <f t="shared" si="18"/>
        <v/>
      </c>
      <c r="Z186" s="5" t="str">
        <f t="shared" si="19"/>
        <v/>
      </c>
      <c r="AA186" s="4">
        <f t="shared" si="20"/>
        <v>0</v>
      </c>
      <c r="AC186" s="2"/>
    </row>
    <row r="187" spans="1:29" ht="15.5">
      <c r="A187" s="13" t="str">
        <f>IF(OR(ISBLANK(C187),ISBLANK(D187),ISBLANK(F187),ISBLANK(G187)),"",COUNTIF($B$5:B187,"JAMBUTU"))</f>
        <v/>
      </c>
      <c r="B187" s="8"/>
      <c r="C187" s="8"/>
      <c r="D187" s="8"/>
      <c r="E187" s="13"/>
      <c r="F187" s="12"/>
      <c r="G187" s="11"/>
      <c r="H187" s="12"/>
      <c r="I187" s="11"/>
      <c r="J187" s="10">
        <f t="shared" si="15"/>
        <v>0</v>
      </c>
      <c r="K187" s="10">
        <f t="shared" si="16"/>
        <v>0</v>
      </c>
      <c r="L187" s="9" t="str">
        <f t="shared" si="17"/>
        <v/>
      </c>
      <c r="M187" s="8"/>
      <c r="N187" s="8"/>
      <c r="O187" s="8"/>
      <c r="P187" s="8"/>
      <c r="Q187" s="8"/>
      <c r="R187" s="8"/>
      <c r="S187" s="8"/>
      <c r="T187" s="8"/>
      <c r="U187" s="8"/>
      <c r="V187" s="7"/>
      <c r="W187" s="6" t="str">
        <f t="array" ref="W187">IF(NOT(ISBLANK(D187)),_xludf.XLOOKUP(D187,[2]CODE!$A$4:$A$100,[2]CODE!$D$4:$D$100),"")</f>
        <v/>
      </c>
      <c r="X187" s="5" t="str">
        <f t="array" ref="X187">IF(NOT(AND(ISBLANK(D187),ISBLANK(C187))),_xludf.XLOOKUP(D187,[2]CODE!$A$4:$A$100,[2]CODE!$E$4:$E$100),"")</f>
        <v/>
      </c>
      <c r="Y187" s="5" t="str">
        <f t="shared" si="18"/>
        <v/>
      </c>
      <c r="Z187" s="5" t="str">
        <f t="shared" si="19"/>
        <v/>
      </c>
      <c r="AA187" s="4">
        <f t="shared" si="20"/>
        <v>0</v>
      </c>
      <c r="AC187" s="2"/>
    </row>
    <row r="188" spans="1:29" ht="15.5">
      <c r="A188" s="13" t="str">
        <f>IF(OR(ISBLANK(C188),ISBLANK(D188),ISBLANK(F188),ISBLANK(G188)),"",COUNTIF($B$5:B188,"JAMBUTU"))</f>
        <v/>
      </c>
      <c r="B188" s="8"/>
      <c r="C188" s="8"/>
      <c r="D188" s="8"/>
      <c r="E188" s="13"/>
      <c r="F188" s="12"/>
      <c r="G188" s="11"/>
      <c r="H188" s="12"/>
      <c r="I188" s="11"/>
      <c r="J188" s="10">
        <f t="shared" si="15"/>
        <v>0</v>
      </c>
      <c r="K188" s="10">
        <f t="shared" si="16"/>
        <v>0</v>
      </c>
      <c r="L188" s="9" t="str">
        <f t="shared" si="17"/>
        <v/>
      </c>
      <c r="M188" s="8"/>
      <c r="N188" s="8"/>
      <c r="O188" s="8"/>
      <c r="P188" s="8"/>
      <c r="Q188" s="8"/>
      <c r="R188" s="8"/>
      <c r="S188" s="8"/>
      <c r="T188" s="8"/>
      <c r="U188" s="8"/>
      <c r="V188" s="7"/>
      <c r="W188" s="6" t="str">
        <f t="array" ref="W188">IF(NOT(ISBLANK(D188)),_xludf.XLOOKUP(D188,[2]CODE!$A$4:$A$100,[2]CODE!$D$4:$D$100),"")</f>
        <v/>
      </c>
      <c r="X188" s="5" t="str">
        <f t="array" ref="X188">IF(NOT(AND(ISBLANK(D188),ISBLANK(C188))),_xludf.XLOOKUP(D188,[2]CODE!$A$4:$A$100,[2]CODE!$E$4:$E$100),"")</f>
        <v/>
      </c>
      <c r="Y188" s="5" t="str">
        <f t="shared" si="18"/>
        <v/>
      </c>
      <c r="Z188" s="5" t="str">
        <f t="shared" si="19"/>
        <v/>
      </c>
      <c r="AA188" s="4">
        <f t="shared" si="20"/>
        <v>0</v>
      </c>
      <c r="AC188" s="2"/>
    </row>
    <row r="189" spans="1:29" ht="15.5">
      <c r="A189" s="13" t="str">
        <f>IF(OR(ISBLANK(C189),ISBLANK(D189),ISBLANK(F189),ISBLANK(G189)),"",COUNTIF($B$5:B189,"JAMBUTU"))</f>
        <v/>
      </c>
      <c r="B189" s="8"/>
      <c r="C189" s="8"/>
      <c r="D189" s="8"/>
      <c r="E189" s="13"/>
      <c r="F189" s="12"/>
      <c r="G189" s="11"/>
      <c r="H189" s="12"/>
      <c r="I189" s="11"/>
      <c r="J189" s="10">
        <f t="shared" si="15"/>
        <v>0</v>
      </c>
      <c r="K189" s="10">
        <f t="shared" si="16"/>
        <v>0</v>
      </c>
      <c r="L189" s="9" t="str">
        <f t="shared" si="17"/>
        <v/>
      </c>
      <c r="M189" s="8"/>
      <c r="N189" s="8"/>
      <c r="O189" s="8"/>
      <c r="P189" s="8"/>
      <c r="Q189" s="8"/>
      <c r="R189" s="8"/>
      <c r="S189" s="8"/>
      <c r="T189" s="8"/>
      <c r="U189" s="8"/>
      <c r="V189" s="7"/>
      <c r="W189" s="6" t="str">
        <f t="array" ref="W189">IF(NOT(ISBLANK(D189)),_xludf.XLOOKUP(D189,[2]CODE!$A$4:$A$100,[2]CODE!$D$4:$D$100),"")</f>
        <v/>
      </c>
      <c r="X189" s="5" t="str">
        <f t="array" ref="X189">IF(NOT(AND(ISBLANK(D189),ISBLANK(C189))),_xludf.XLOOKUP(D189,[2]CODE!$A$4:$A$100,[2]CODE!$E$4:$E$100),"")</f>
        <v/>
      </c>
      <c r="Y189" s="5" t="str">
        <f t="shared" si="18"/>
        <v/>
      </c>
      <c r="Z189" s="5" t="str">
        <f t="shared" si="19"/>
        <v/>
      </c>
      <c r="AA189" s="4">
        <f t="shared" si="20"/>
        <v>0</v>
      </c>
      <c r="AC189" s="2"/>
    </row>
    <row r="190" spans="1:29" ht="15.5">
      <c r="A190" s="13" t="str">
        <f>IF(OR(ISBLANK(C190),ISBLANK(D190),ISBLANK(F190),ISBLANK(G190)),"",COUNTIF($B$5:B190,"JAMBUTU"))</f>
        <v/>
      </c>
      <c r="B190" s="8"/>
      <c r="C190" s="8"/>
      <c r="D190" s="8"/>
      <c r="E190" s="13"/>
      <c r="F190" s="12"/>
      <c r="G190" s="11"/>
      <c r="H190" s="12"/>
      <c r="I190" s="11"/>
      <c r="J190" s="10">
        <f t="shared" si="15"/>
        <v>0</v>
      </c>
      <c r="K190" s="10">
        <f t="shared" si="16"/>
        <v>0</v>
      </c>
      <c r="L190" s="9" t="str">
        <f t="shared" si="17"/>
        <v/>
      </c>
      <c r="M190" s="8"/>
      <c r="N190" s="8"/>
      <c r="O190" s="8"/>
      <c r="P190" s="8"/>
      <c r="Q190" s="8"/>
      <c r="R190" s="8"/>
      <c r="S190" s="8"/>
      <c r="T190" s="8"/>
      <c r="U190" s="8"/>
      <c r="V190" s="7"/>
      <c r="W190" s="6" t="str">
        <f t="array" ref="W190">IF(NOT(ISBLANK(D190)),_xludf.XLOOKUP(D190,[2]CODE!$A$4:$A$100,[2]CODE!$D$4:$D$100),"")</f>
        <v/>
      </c>
      <c r="X190" s="5" t="str">
        <f t="array" ref="X190">IF(NOT(AND(ISBLANK(D190),ISBLANK(C190))),_xludf.XLOOKUP(D190,[2]CODE!$A$4:$A$100,[2]CODE!$E$4:$E$100),"")</f>
        <v/>
      </c>
      <c r="Y190" s="5" t="str">
        <f t="shared" si="18"/>
        <v/>
      </c>
      <c r="Z190" s="5" t="str">
        <f t="shared" si="19"/>
        <v/>
      </c>
      <c r="AA190" s="4">
        <f t="shared" si="20"/>
        <v>0</v>
      </c>
      <c r="AC190" s="2"/>
    </row>
    <row r="191" spans="1:29" ht="15.5">
      <c r="A191" s="13" t="str">
        <f>IF(OR(ISBLANK(C191),ISBLANK(D191),ISBLANK(F191),ISBLANK(G191)),"",COUNTIF($B$5:B191,"JAMBUTU"))</f>
        <v/>
      </c>
      <c r="B191" s="8"/>
      <c r="C191" s="8"/>
      <c r="D191" s="8"/>
      <c r="E191" s="13"/>
      <c r="F191" s="12"/>
      <c r="G191" s="11"/>
      <c r="H191" s="12"/>
      <c r="I191" s="11"/>
      <c r="J191" s="10">
        <f t="shared" si="15"/>
        <v>0</v>
      </c>
      <c r="K191" s="10">
        <f t="shared" si="16"/>
        <v>0</v>
      </c>
      <c r="L191" s="9" t="str">
        <f t="shared" si="17"/>
        <v/>
      </c>
      <c r="M191" s="8"/>
      <c r="N191" s="8"/>
      <c r="O191" s="8"/>
      <c r="P191" s="8"/>
      <c r="Q191" s="8"/>
      <c r="R191" s="8"/>
      <c r="S191" s="8"/>
      <c r="T191" s="8"/>
      <c r="U191" s="8"/>
      <c r="V191" s="7"/>
      <c r="W191" s="6" t="str">
        <f t="array" ref="W191">IF(NOT(ISBLANK(D191)),_xludf.XLOOKUP(D191,[2]CODE!$A$4:$A$100,[2]CODE!$D$4:$D$100),"")</f>
        <v/>
      </c>
      <c r="X191" s="5" t="str">
        <f t="array" ref="X191">IF(NOT(AND(ISBLANK(D191),ISBLANK(C191))),_xludf.XLOOKUP(D191,[2]CODE!$A$4:$A$100,[2]CODE!$E$4:$E$100),"")</f>
        <v/>
      </c>
      <c r="Y191" s="5" t="str">
        <f t="shared" si="18"/>
        <v/>
      </c>
      <c r="Z191" s="5" t="str">
        <f t="shared" si="19"/>
        <v/>
      </c>
      <c r="AA191" s="4">
        <f t="shared" si="20"/>
        <v>0</v>
      </c>
      <c r="AC191" s="2"/>
    </row>
    <row r="192" spans="1:29" ht="15.5">
      <c r="A192" s="13" t="str">
        <f>IF(OR(ISBLANK(C192),ISBLANK(D192),ISBLANK(F192),ISBLANK(G192)),"",COUNTIF($B$5:B192,"JAMBUTU"))</f>
        <v/>
      </c>
      <c r="B192" s="8"/>
      <c r="C192" s="8"/>
      <c r="D192" s="8"/>
      <c r="E192" s="13"/>
      <c r="F192" s="12"/>
      <c r="G192" s="11"/>
      <c r="H192" s="12"/>
      <c r="I192" s="11"/>
      <c r="J192" s="10">
        <f t="shared" si="15"/>
        <v>0</v>
      </c>
      <c r="K192" s="10">
        <f t="shared" si="16"/>
        <v>0</v>
      </c>
      <c r="L192" s="9" t="str">
        <f t="shared" si="17"/>
        <v/>
      </c>
      <c r="M192" s="8"/>
      <c r="N192" s="8"/>
      <c r="O192" s="8"/>
      <c r="P192" s="8"/>
      <c r="Q192" s="8"/>
      <c r="R192" s="8"/>
      <c r="S192" s="8"/>
      <c r="T192" s="8"/>
      <c r="U192" s="8"/>
      <c r="V192" s="7"/>
      <c r="W192" s="6" t="str">
        <f t="array" ref="W192">IF(NOT(ISBLANK(D192)),_xludf.XLOOKUP(D192,[2]CODE!$A$4:$A$100,[2]CODE!$D$4:$D$100),"")</f>
        <v/>
      </c>
      <c r="X192" s="5" t="str">
        <f t="array" ref="X192">IF(NOT(AND(ISBLANK(D192),ISBLANK(C192))),_xludf.XLOOKUP(D192,[2]CODE!$A$4:$A$100,[2]CODE!$E$4:$E$100),"")</f>
        <v/>
      </c>
      <c r="Y192" s="5" t="str">
        <f t="shared" si="18"/>
        <v/>
      </c>
      <c r="Z192" s="5" t="str">
        <f t="shared" si="19"/>
        <v/>
      </c>
      <c r="AA192" s="4">
        <f t="shared" si="20"/>
        <v>0</v>
      </c>
      <c r="AC192" s="2"/>
    </row>
    <row r="193" spans="1:29" ht="15.5">
      <c r="A193" s="13" t="str">
        <f>IF(OR(ISBLANK(C193),ISBLANK(D193),ISBLANK(F193),ISBLANK(G193)),"",COUNTIF($B$5:B193,"JAMBUTU"))</f>
        <v/>
      </c>
      <c r="B193" s="8"/>
      <c r="C193" s="8"/>
      <c r="D193" s="8"/>
      <c r="E193" s="13"/>
      <c r="F193" s="12"/>
      <c r="G193" s="11"/>
      <c r="H193" s="12"/>
      <c r="I193" s="11"/>
      <c r="J193" s="10">
        <f t="shared" si="15"/>
        <v>0</v>
      </c>
      <c r="K193" s="10">
        <f t="shared" si="16"/>
        <v>0</v>
      </c>
      <c r="L193" s="9" t="str">
        <f t="shared" si="17"/>
        <v/>
      </c>
      <c r="M193" s="8"/>
      <c r="N193" s="8"/>
      <c r="O193" s="8"/>
      <c r="P193" s="8"/>
      <c r="Q193" s="8"/>
      <c r="R193" s="8"/>
      <c r="S193" s="8"/>
      <c r="T193" s="8"/>
      <c r="U193" s="8"/>
      <c r="V193" s="7"/>
      <c r="W193" s="6" t="str">
        <f t="array" ref="W193">IF(NOT(ISBLANK(D193)),_xludf.XLOOKUP(D193,[2]CODE!$A$4:$A$100,[2]CODE!$D$4:$D$100),"")</f>
        <v/>
      </c>
      <c r="X193" s="5" t="str">
        <f t="array" ref="X193">IF(NOT(AND(ISBLANK(D193),ISBLANK(C193))),_xludf.XLOOKUP(D193,[2]CODE!$A$4:$A$100,[2]CODE!$E$4:$E$100),"")</f>
        <v/>
      </c>
      <c r="Y193" s="5" t="str">
        <f t="shared" si="18"/>
        <v/>
      </c>
      <c r="Z193" s="5" t="str">
        <f t="shared" si="19"/>
        <v/>
      </c>
      <c r="AA193" s="4">
        <f t="shared" si="20"/>
        <v>0</v>
      </c>
      <c r="AC193" s="2"/>
    </row>
    <row r="194" spans="1:29" ht="15.5">
      <c r="A194" s="13" t="str">
        <f>IF(OR(ISBLANK(C194),ISBLANK(D194),ISBLANK(F194),ISBLANK(G194)),"",COUNTIF($B$5:B194,"JAMBUTU"))</f>
        <v/>
      </c>
      <c r="B194" s="8"/>
      <c r="C194" s="8"/>
      <c r="D194" s="8"/>
      <c r="E194" s="13"/>
      <c r="F194" s="12"/>
      <c r="G194" s="11"/>
      <c r="H194" s="12"/>
      <c r="I194" s="11"/>
      <c r="J194" s="10">
        <f t="shared" si="15"/>
        <v>0</v>
      </c>
      <c r="K194" s="10">
        <f t="shared" si="16"/>
        <v>0</v>
      </c>
      <c r="L194" s="9" t="str">
        <f t="shared" si="17"/>
        <v/>
      </c>
      <c r="M194" s="8"/>
      <c r="N194" s="8"/>
      <c r="O194" s="8"/>
      <c r="P194" s="8"/>
      <c r="Q194" s="8"/>
      <c r="R194" s="8"/>
      <c r="S194" s="8"/>
      <c r="T194" s="8"/>
      <c r="U194" s="8"/>
      <c r="V194" s="7"/>
      <c r="W194" s="6" t="str">
        <f t="array" ref="W194">IF(NOT(ISBLANK(D194)),_xludf.XLOOKUP(D194,[2]CODE!$A$4:$A$100,[2]CODE!$D$4:$D$100),"")</f>
        <v/>
      </c>
      <c r="X194" s="5" t="str">
        <f t="array" ref="X194">IF(NOT(AND(ISBLANK(D194),ISBLANK(C194))),_xludf.XLOOKUP(D194,[2]CODE!$A$4:$A$100,[2]CODE!$E$4:$E$100),"")</f>
        <v/>
      </c>
      <c r="Y194" s="5" t="str">
        <f t="shared" si="18"/>
        <v/>
      </c>
      <c r="Z194" s="5" t="str">
        <f t="shared" si="19"/>
        <v/>
      </c>
      <c r="AA194" s="4">
        <f t="shared" si="20"/>
        <v>0</v>
      </c>
      <c r="AC194" s="2"/>
    </row>
    <row r="195" spans="1:29" ht="15.5">
      <c r="A195" s="13" t="str">
        <f>IF(OR(ISBLANK(C195),ISBLANK(D195),ISBLANK(F195),ISBLANK(G195)),"",COUNTIF($B$5:B195,"JAMBUTU"))</f>
        <v/>
      </c>
      <c r="B195" s="8"/>
      <c r="C195" s="8"/>
      <c r="D195" s="8"/>
      <c r="E195" s="13"/>
      <c r="F195" s="12"/>
      <c r="G195" s="11"/>
      <c r="H195" s="12"/>
      <c r="I195" s="11"/>
      <c r="J195" s="10">
        <f t="shared" si="15"/>
        <v>0</v>
      </c>
      <c r="K195" s="10">
        <f t="shared" si="16"/>
        <v>0</v>
      </c>
      <c r="L195" s="9" t="str">
        <f t="shared" si="17"/>
        <v/>
      </c>
      <c r="M195" s="8"/>
      <c r="N195" s="8"/>
      <c r="O195" s="8"/>
      <c r="P195" s="8"/>
      <c r="Q195" s="8"/>
      <c r="R195" s="8"/>
      <c r="S195" s="8"/>
      <c r="T195" s="8"/>
      <c r="U195" s="8"/>
      <c r="V195" s="7"/>
      <c r="W195" s="6" t="str">
        <f t="array" ref="W195">IF(NOT(ISBLANK(D195)),_xludf.XLOOKUP(D195,[2]CODE!$A$4:$A$100,[2]CODE!$D$4:$D$100),"")</f>
        <v/>
      </c>
      <c r="X195" s="5" t="str">
        <f t="array" ref="X195">IF(NOT(AND(ISBLANK(D195),ISBLANK(C195))),_xludf.XLOOKUP(D195,[2]CODE!$A$4:$A$100,[2]CODE!$E$4:$E$100),"")</f>
        <v/>
      </c>
      <c r="Y195" s="5" t="str">
        <f t="shared" si="18"/>
        <v/>
      </c>
      <c r="Z195" s="5" t="str">
        <f t="shared" si="19"/>
        <v/>
      </c>
      <c r="AA195" s="4">
        <f t="shared" si="20"/>
        <v>0</v>
      </c>
      <c r="AC195" s="2"/>
    </row>
    <row r="196" spans="1:29" ht="15.5">
      <c r="A196" s="13" t="str">
        <f>IF(OR(ISBLANK(C196),ISBLANK(D196),ISBLANK(F196),ISBLANK(G196)),"",COUNTIF($B$5:B196,"JAMBUTU"))</f>
        <v/>
      </c>
      <c r="B196" s="8"/>
      <c r="C196" s="8"/>
      <c r="D196" s="8"/>
      <c r="E196" s="13"/>
      <c r="F196" s="12"/>
      <c r="G196" s="11"/>
      <c r="H196" s="12"/>
      <c r="I196" s="11"/>
      <c r="J196" s="10">
        <f t="shared" si="15"/>
        <v>0</v>
      </c>
      <c r="K196" s="10">
        <f t="shared" si="16"/>
        <v>0</v>
      </c>
      <c r="L196" s="9" t="str">
        <f t="shared" si="17"/>
        <v/>
      </c>
      <c r="M196" s="8"/>
      <c r="N196" s="8"/>
      <c r="O196" s="8"/>
      <c r="P196" s="8"/>
      <c r="Q196" s="8"/>
      <c r="R196" s="8"/>
      <c r="S196" s="8"/>
      <c r="T196" s="8"/>
      <c r="U196" s="8"/>
      <c r="V196" s="7"/>
      <c r="W196" s="6" t="str">
        <f t="array" ref="W196">IF(NOT(ISBLANK(D196)),_xludf.XLOOKUP(D196,[2]CODE!$A$4:$A$100,[2]CODE!$D$4:$D$100),"")</f>
        <v/>
      </c>
      <c r="X196" s="5" t="str">
        <f t="array" ref="X196">IF(NOT(AND(ISBLANK(D196),ISBLANK(C196))),_xludf.XLOOKUP(D196,[2]CODE!$A$4:$A$100,[2]CODE!$E$4:$E$100),"")</f>
        <v/>
      </c>
      <c r="Y196" s="5" t="str">
        <f t="shared" si="18"/>
        <v/>
      </c>
      <c r="Z196" s="5" t="str">
        <f t="shared" si="19"/>
        <v/>
      </c>
      <c r="AA196" s="4">
        <f t="shared" si="20"/>
        <v>0</v>
      </c>
      <c r="AC196" s="2"/>
    </row>
    <row r="197" spans="1:29" ht="15.5">
      <c r="A197" s="13" t="str">
        <f>IF(OR(ISBLANK(C197),ISBLANK(D197),ISBLANK(F197),ISBLANK(G197)),"",COUNTIF($B$5:B197,"JAMBUTU"))</f>
        <v/>
      </c>
      <c r="B197" s="8"/>
      <c r="C197" s="8"/>
      <c r="D197" s="8"/>
      <c r="E197" s="13"/>
      <c r="F197" s="12"/>
      <c r="G197" s="11"/>
      <c r="H197" s="12"/>
      <c r="I197" s="11"/>
      <c r="J197" s="10">
        <f t="shared" ref="J197:J260" si="21">DATE(YEAR(F197),MONTH(F197),DAY(F197))+TIME(HOUR(G197),MINUTE(G197), SECOND(G197))</f>
        <v>0</v>
      </c>
      <c r="K197" s="10">
        <f t="shared" ref="K197:K260" si="22">DATE(YEAR(H197),MONTH(H197),DAY(H197))+TIME(HOUR(I197),MINUTE(I197), SECOND(I197))</f>
        <v>0</v>
      </c>
      <c r="L197" s="9" t="str">
        <f t="shared" ref="L197:L260" si="23">IF(ISBLANK(I197),"",IF(J197&gt;K197,(K197+1)-J197,K197-J197))</f>
        <v/>
      </c>
      <c r="M197" s="8"/>
      <c r="N197" s="8"/>
      <c r="O197" s="8"/>
      <c r="P197" s="8"/>
      <c r="Q197" s="8"/>
      <c r="R197" s="8"/>
      <c r="S197" s="8"/>
      <c r="T197" s="8"/>
      <c r="U197" s="8"/>
      <c r="V197" s="7"/>
      <c r="W197" s="6" t="str">
        <f t="array" ref="W197">IF(NOT(ISBLANK(D197)),_xludf.XLOOKUP(D197,[2]CODE!$A$4:$A$100,[2]CODE!$D$4:$D$100),"")</f>
        <v/>
      </c>
      <c r="X197" s="5" t="str">
        <f t="array" ref="X197">IF(NOT(AND(ISBLANK(D197),ISBLANK(C197))),_xludf.XLOOKUP(D197,[2]CODE!$A$4:$A$100,[2]CODE!$E$4:$E$100),"")</f>
        <v/>
      </c>
      <c r="Y197" s="5" t="str">
        <f t="shared" ref="Y197:Y260" si="24">LEFT(C197,4)</f>
        <v/>
      </c>
      <c r="Z197" s="5" t="str">
        <f t="shared" ref="Z197:Z260" si="25">IF(NOT(ISBLANK(C197)), IF(K197&gt;J197,"YES","NO"),"")</f>
        <v/>
      </c>
      <c r="AA197" s="4">
        <f t="shared" ref="AA197:AA260" si="26">IF(AND(F197=H197,Z197="NO"),1+H197,H197)</f>
        <v>0</v>
      </c>
      <c r="AC197" s="2"/>
    </row>
    <row r="198" spans="1:29" ht="15.5">
      <c r="A198" s="13" t="str">
        <f>IF(OR(ISBLANK(C198),ISBLANK(D198),ISBLANK(F198),ISBLANK(G198)),"",COUNTIF($B$5:B198,"JAMBUTU"))</f>
        <v/>
      </c>
      <c r="B198" s="8"/>
      <c r="C198" s="8"/>
      <c r="D198" s="8"/>
      <c r="E198" s="13"/>
      <c r="F198" s="12"/>
      <c r="G198" s="11"/>
      <c r="H198" s="12"/>
      <c r="I198" s="11"/>
      <c r="J198" s="10">
        <f t="shared" si="21"/>
        <v>0</v>
      </c>
      <c r="K198" s="10">
        <f t="shared" si="22"/>
        <v>0</v>
      </c>
      <c r="L198" s="9" t="str">
        <f t="shared" si="23"/>
        <v/>
      </c>
      <c r="M198" s="8"/>
      <c r="N198" s="8"/>
      <c r="O198" s="8"/>
      <c r="P198" s="8"/>
      <c r="Q198" s="8"/>
      <c r="R198" s="8"/>
      <c r="S198" s="8"/>
      <c r="T198" s="8"/>
      <c r="U198" s="8"/>
      <c r="V198" s="7"/>
      <c r="W198" s="6" t="str">
        <f t="array" ref="W198">IF(NOT(ISBLANK(D198)),_xludf.XLOOKUP(D198,[2]CODE!$A$4:$A$100,[2]CODE!$D$4:$D$100),"")</f>
        <v/>
      </c>
      <c r="X198" s="5" t="str">
        <f t="array" ref="X198">IF(NOT(AND(ISBLANK(D198),ISBLANK(C198))),_xludf.XLOOKUP(D198,[2]CODE!$A$4:$A$100,[2]CODE!$E$4:$E$100),"")</f>
        <v/>
      </c>
      <c r="Y198" s="5" t="str">
        <f t="shared" si="24"/>
        <v/>
      </c>
      <c r="Z198" s="5" t="str">
        <f t="shared" si="25"/>
        <v/>
      </c>
      <c r="AA198" s="4">
        <f t="shared" si="26"/>
        <v>0</v>
      </c>
      <c r="AC198" s="2"/>
    </row>
    <row r="199" spans="1:29" ht="15.5">
      <c r="A199" s="13" t="str">
        <f>IF(OR(ISBLANK(C199),ISBLANK(D199),ISBLANK(F199),ISBLANK(G199)),"",COUNTIF($B$5:B199,"JAMBUTU"))</f>
        <v/>
      </c>
      <c r="B199" s="8"/>
      <c r="C199" s="8"/>
      <c r="D199" s="8"/>
      <c r="E199" s="13"/>
      <c r="F199" s="12"/>
      <c r="G199" s="11"/>
      <c r="H199" s="12"/>
      <c r="I199" s="11"/>
      <c r="J199" s="10">
        <f t="shared" si="21"/>
        <v>0</v>
      </c>
      <c r="K199" s="10">
        <f t="shared" si="22"/>
        <v>0</v>
      </c>
      <c r="L199" s="9" t="str">
        <f t="shared" si="23"/>
        <v/>
      </c>
      <c r="M199" s="8"/>
      <c r="N199" s="8"/>
      <c r="O199" s="8"/>
      <c r="P199" s="8"/>
      <c r="Q199" s="8"/>
      <c r="R199" s="8"/>
      <c r="S199" s="8"/>
      <c r="T199" s="8"/>
      <c r="U199" s="8"/>
      <c r="V199" s="7"/>
      <c r="W199" s="6" t="str">
        <f t="array" ref="W199">IF(NOT(ISBLANK(D199)),_xludf.XLOOKUP(D199,[2]CODE!$A$4:$A$100,[2]CODE!$D$4:$D$100),"")</f>
        <v/>
      </c>
      <c r="X199" s="5" t="str">
        <f t="array" ref="X199">IF(NOT(AND(ISBLANK(D199),ISBLANK(C199))),_xludf.XLOOKUP(D199,[2]CODE!$A$4:$A$100,[2]CODE!$E$4:$E$100),"")</f>
        <v/>
      </c>
      <c r="Y199" s="5" t="str">
        <f t="shared" si="24"/>
        <v/>
      </c>
      <c r="Z199" s="5" t="str">
        <f t="shared" si="25"/>
        <v/>
      </c>
      <c r="AA199" s="4">
        <f t="shared" si="26"/>
        <v>0</v>
      </c>
      <c r="AC199" s="2"/>
    </row>
    <row r="200" spans="1:29" ht="15.5">
      <c r="A200" s="13" t="str">
        <f>IF(OR(ISBLANK(C200),ISBLANK(D200),ISBLANK(F200),ISBLANK(G200)),"",COUNTIF($B$5:B200,"JAMBUTU"))</f>
        <v/>
      </c>
      <c r="B200" s="8"/>
      <c r="C200" s="8"/>
      <c r="D200" s="8"/>
      <c r="E200" s="13"/>
      <c r="F200" s="12"/>
      <c r="G200" s="11"/>
      <c r="H200" s="12"/>
      <c r="I200" s="11"/>
      <c r="J200" s="10">
        <f t="shared" si="21"/>
        <v>0</v>
      </c>
      <c r="K200" s="10">
        <f t="shared" si="22"/>
        <v>0</v>
      </c>
      <c r="L200" s="9" t="str">
        <f t="shared" si="23"/>
        <v/>
      </c>
      <c r="M200" s="8"/>
      <c r="N200" s="8"/>
      <c r="O200" s="8"/>
      <c r="P200" s="8"/>
      <c r="Q200" s="8"/>
      <c r="R200" s="8"/>
      <c r="S200" s="8"/>
      <c r="T200" s="8"/>
      <c r="U200" s="8"/>
      <c r="V200" s="7"/>
      <c r="W200" s="6" t="str">
        <f t="array" ref="W200">IF(NOT(ISBLANK(D200)),_xludf.XLOOKUP(D200,[2]CODE!$A$4:$A$100,[2]CODE!$D$4:$D$100),"")</f>
        <v/>
      </c>
      <c r="X200" s="5" t="str">
        <f t="array" ref="X200">IF(NOT(AND(ISBLANK(D200),ISBLANK(C200))),_xludf.XLOOKUP(D200,[2]CODE!$A$4:$A$100,[2]CODE!$E$4:$E$100),"")</f>
        <v/>
      </c>
      <c r="Y200" s="5" t="str">
        <f t="shared" si="24"/>
        <v/>
      </c>
      <c r="Z200" s="5" t="str">
        <f t="shared" si="25"/>
        <v/>
      </c>
      <c r="AA200" s="4">
        <f t="shared" si="26"/>
        <v>0</v>
      </c>
      <c r="AC200" s="2"/>
    </row>
    <row r="201" spans="1:29" ht="15.5">
      <c r="A201" s="13" t="str">
        <f>IF(OR(ISBLANK(C201),ISBLANK(D201),ISBLANK(F201),ISBLANK(G201)),"",COUNTIF($B$5:B201,"JAMBUTU"))</f>
        <v/>
      </c>
      <c r="B201" s="8"/>
      <c r="C201" s="8"/>
      <c r="D201" s="8"/>
      <c r="E201" s="13"/>
      <c r="F201" s="12"/>
      <c r="G201" s="11"/>
      <c r="H201" s="12"/>
      <c r="I201" s="11"/>
      <c r="J201" s="10">
        <f t="shared" si="21"/>
        <v>0</v>
      </c>
      <c r="K201" s="10">
        <f t="shared" si="22"/>
        <v>0</v>
      </c>
      <c r="L201" s="9" t="str">
        <f t="shared" si="23"/>
        <v/>
      </c>
      <c r="M201" s="8"/>
      <c r="N201" s="8"/>
      <c r="O201" s="8"/>
      <c r="P201" s="8"/>
      <c r="Q201" s="8"/>
      <c r="R201" s="8"/>
      <c r="S201" s="8"/>
      <c r="T201" s="8"/>
      <c r="U201" s="8"/>
      <c r="V201" s="7"/>
      <c r="W201" s="6" t="str">
        <f t="array" ref="W201">IF(NOT(ISBLANK(D201)),_xludf.XLOOKUP(D201,[2]CODE!$A$4:$A$100,[2]CODE!$D$4:$D$100),"")</f>
        <v/>
      </c>
      <c r="X201" s="5" t="str">
        <f t="array" ref="X201">IF(NOT(AND(ISBLANK(D201),ISBLANK(C201))),_xludf.XLOOKUP(D201,[2]CODE!$A$4:$A$100,[2]CODE!$E$4:$E$100),"")</f>
        <v/>
      </c>
      <c r="Y201" s="5" t="str">
        <f t="shared" si="24"/>
        <v/>
      </c>
      <c r="Z201" s="5" t="str">
        <f t="shared" si="25"/>
        <v/>
      </c>
      <c r="AA201" s="4">
        <f t="shared" si="26"/>
        <v>0</v>
      </c>
      <c r="AC201" s="2"/>
    </row>
    <row r="202" spans="1:29" ht="15.5">
      <c r="A202" s="13" t="str">
        <f>IF(OR(ISBLANK(C202),ISBLANK(D202),ISBLANK(F202),ISBLANK(G202)),"",COUNTIF($B$5:B202,"JAMBUTU"))</f>
        <v/>
      </c>
      <c r="B202" s="8"/>
      <c r="C202" s="8"/>
      <c r="D202" s="8"/>
      <c r="E202" s="13"/>
      <c r="F202" s="12"/>
      <c r="G202" s="11"/>
      <c r="H202" s="12"/>
      <c r="I202" s="11"/>
      <c r="J202" s="10">
        <f t="shared" si="21"/>
        <v>0</v>
      </c>
      <c r="K202" s="10">
        <f t="shared" si="22"/>
        <v>0</v>
      </c>
      <c r="L202" s="9" t="str">
        <f t="shared" si="23"/>
        <v/>
      </c>
      <c r="M202" s="8"/>
      <c r="N202" s="8"/>
      <c r="O202" s="8"/>
      <c r="P202" s="8"/>
      <c r="Q202" s="8"/>
      <c r="R202" s="8"/>
      <c r="S202" s="8"/>
      <c r="T202" s="8"/>
      <c r="U202" s="8"/>
      <c r="V202" s="7"/>
      <c r="W202" s="6" t="str">
        <f t="array" ref="W202">IF(NOT(ISBLANK(D202)),_xludf.XLOOKUP(D202,[2]CODE!$A$4:$A$100,[2]CODE!$D$4:$D$100),"")</f>
        <v/>
      </c>
      <c r="X202" s="5" t="str">
        <f t="array" ref="X202">IF(NOT(AND(ISBLANK(D202),ISBLANK(C202))),_xludf.XLOOKUP(D202,[2]CODE!$A$4:$A$100,[2]CODE!$E$4:$E$100),"")</f>
        <v/>
      </c>
      <c r="Y202" s="5" t="str">
        <f t="shared" si="24"/>
        <v/>
      </c>
      <c r="Z202" s="5" t="str">
        <f t="shared" si="25"/>
        <v/>
      </c>
      <c r="AA202" s="4">
        <f t="shared" si="26"/>
        <v>0</v>
      </c>
      <c r="AC202" s="2"/>
    </row>
    <row r="203" spans="1:29" ht="15.5">
      <c r="A203" s="13" t="str">
        <f>IF(OR(ISBLANK(C203),ISBLANK(D203),ISBLANK(F203),ISBLANK(G203)),"",COUNTIF($B$5:B203,"JAMBUTU"))</f>
        <v/>
      </c>
      <c r="B203" s="8"/>
      <c r="C203" s="8"/>
      <c r="D203" s="8"/>
      <c r="E203" s="13"/>
      <c r="F203" s="12"/>
      <c r="G203" s="11"/>
      <c r="H203" s="12"/>
      <c r="I203" s="11"/>
      <c r="J203" s="10">
        <f t="shared" si="21"/>
        <v>0</v>
      </c>
      <c r="K203" s="10">
        <f t="shared" si="22"/>
        <v>0</v>
      </c>
      <c r="L203" s="9" t="str">
        <f t="shared" si="23"/>
        <v/>
      </c>
      <c r="M203" s="8"/>
      <c r="N203" s="8"/>
      <c r="O203" s="8"/>
      <c r="P203" s="8"/>
      <c r="Q203" s="8"/>
      <c r="R203" s="8"/>
      <c r="S203" s="8"/>
      <c r="T203" s="8"/>
      <c r="U203" s="8"/>
      <c r="V203" s="7"/>
      <c r="W203" s="6" t="str">
        <f t="array" ref="W203">IF(NOT(ISBLANK(D203)),_xludf.XLOOKUP(D203,[2]CODE!$A$4:$A$100,[2]CODE!$D$4:$D$100),"")</f>
        <v/>
      </c>
      <c r="X203" s="5" t="str">
        <f t="array" ref="X203">IF(NOT(AND(ISBLANK(D203),ISBLANK(C203))),_xludf.XLOOKUP(D203,[2]CODE!$A$4:$A$100,[2]CODE!$E$4:$E$100),"")</f>
        <v/>
      </c>
      <c r="Y203" s="5" t="str">
        <f t="shared" si="24"/>
        <v/>
      </c>
      <c r="Z203" s="5" t="str">
        <f t="shared" si="25"/>
        <v/>
      </c>
      <c r="AA203" s="4">
        <f t="shared" si="26"/>
        <v>0</v>
      </c>
      <c r="AC203" s="2"/>
    </row>
    <row r="204" spans="1:29" ht="15.5">
      <c r="A204" s="13" t="str">
        <f>IF(OR(ISBLANK(C204),ISBLANK(D204),ISBLANK(F204),ISBLANK(G204)),"",COUNTIF($B$5:B204,"JAMBUTU"))</f>
        <v/>
      </c>
      <c r="B204" s="8"/>
      <c r="C204" s="8"/>
      <c r="D204" s="8"/>
      <c r="E204" s="13"/>
      <c r="F204" s="12"/>
      <c r="G204" s="11"/>
      <c r="H204" s="12"/>
      <c r="I204" s="11"/>
      <c r="J204" s="10">
        <f t="shared" si="21"/>
        <v>0</v>
      </c>
      <c r="K204" s="10">
        <f t="shared" si="22"/>
        <v>0</v>
      </c>
      <c r="L204" s="9" t="str">
        <f t="shared" si="23"/>
        <v/>
      </c>
      <c r="M204" s="8"/>
      <c r="N204" s="8"/>
      <c r="O204" s="8"/>
      <c r="P204" s="8"/>
      <c r="Q204" s="8"/>
      <c r="R204" s="8"/>
      <c r="S204" s="8"/>
      <c r="T204" s="8"/>
      <c r="U204" s="8"/>
      <c r="V204" s="7"/>
      <c r="W204" s="6" t="str">
        <f t="array" ref="W204">IF(NOT(ISBLANK(D204)),_xludf.XLOOKUP(D204,[2]CODE!$A$4:$A$100,[2]CODE!$D$4:$D$100),"")</f>
        <v/>
      </c>
      <c r="X204" s="5" t="str">
        <f t="array" ref="X204">IF(NOT(AND(ISBLANK(D204),ISBLANK(C204))),_xludf.XLOOKUP(D204,[2]CODE!$A$4:$A$100,[2]CODE!$E$4:$E$100),"")</f>
        <v/>
      </c>
      <c r="Y204" s="5" t="str">
        <f t="shared" si="24"/>
        <v/>
      </c>
      <c r="Z204" s="5" t="str">
        <f t="shared" si="25"/>
        <v/>
      </c>
      <c r="AA204" s="4">
        <f t="shared" si="26"/>
        <v>0</v>
      </c>
      <c r="AC204" s="2"/>
    </row>
    <row r="205" spans="1:29" ht="15.5">
      <c r="A205" s="13" t="str">
        <f>IF(OR(ISBLANK(C205),ISBLANK(D205),ISBLANK(F205),ISBLANK(G205)),"",COUNTIF($B$5:B205,"JAMBUTU"))</f>
        <v/>
      </c>
      <c r="B205" s="8"/>
      <c r="C205" s="8"/>
      <c r="D205" s="8"/>
      <c r="E205" s="13"/>
      <c r="F205" s="12"/>
      <c r="G205" s="11"/>
      <c r="H205" s="12"/>
      <c r="I205" s="11"/>
      <c r="J205" s="10">
        <f t="shared" si="21"/>
        <v>0</v>
      </c>
      <c r="K205" s="10">
        <f t="shared" si="22"/>
        <v>0</v>
      </c>
      <c r="L205" s="9" t="str">
        <f t="shared" si="23"/>
        <v/>
      </c>
      <c r="M205" s="8"/>
      <c r="N205" s="8"/>
      <c r="O205" s="8"/>
      <c r="P205" s="8"/>
      <c r="Q205" s="8"/>
      <c r="R205" s="8"/>
      <c r="S205" s="8"/>
      <c r="T205" s="8"/>
      <c r="U205" s="8"/>
      <c r="V205" s="7"/>
      <c r="W205" s="6" t="str">
        <f t="array" ref="W205">IF(NOT(ISBLANK(D205)),_xludf.XLOOKUP(D205,[2]CODE!$A$4:$A$100,[2]CODE!$D$4:$D$100),"")</f>
        <v/>
      </c>
      <c r="X205" s="5" t="str">
        <f t="array" ref="X205">IF(NOT(AND(ISBLANK(D205),ISBLANK(C205))),_xludf.XLOOKUP(D205,[2]CODE!$A$4:$A$100,[2]CODE!$E$4:$E$100),"")</f>
        <v/>
      </c>
      <c r="Y205" s="5" t="str">
        <f t="shared" si="24"/>
        <v/>
      </c>
      <c r="Z205" s="5" t="str">
        <f t="shared" si="25"/>
        <v/>
      </c>
      <c r="AA205" s="4">
        <f t="shared" si="26"/>
        <v>0</v>
      </c>
      <c r="AC205" s="2"/>
    </row>
    <row r="206" spans="1:29" ht="15.5">
      <c r="A206" s="13" t="str">
        <f>IF(OR(ISBLANK(C206),ISBLANK(D206),ISBLANK(F206),ISBLANK(G206)),"",COUNTIF($B$5:B206,"JAMBUTU"))</f>
        <v/>
      </c>
      <c r="B206" s="8"/>
      <c r="C206" s="8"/>
      <c r="D206" s="8"/>
      <c r="E206" s="13"/>
      <c r="F206" s="12"/>
      <c r="G206" s="11"/>
      <c r="H206" s="12"/>
      <c r="I206" s="11"/>
      <c r="J206" s="10">
        <f t="shared" si="21"/>
        <v>0</v>
      </c>
      <c r="K206" s="10">
        <f t="shared" si="22"/>
        <v>0</v>
      </c>
      <c r="L206" s="9" t="str">
        <f t="shared" si="23"/>
        <v/>
      </c>
      <c r="M206" s="8"/>
      <c r="N206" s="8"/>
      <c r="O206" s="8"/>
      <c r="P206" s="8"/>
      <c r="Q206" s="8"/>
      <c r="R206" s="8"/>
      <c r="S206" s="8"/>
      <c r="T206" s="8"/>
      <c r="U206" s="8"/>
      <c r="V206" s="7"/>
      <c r="W206" s="6" t="str">
        <f t="array" ref="W206">IF(NOT(ISBLANK(D206)),_xludf.XLOOKUP(D206,[2]CODE!$A$4:$A$100,[2]CODE!$D$4:$D$100),"")</f>
        <v/>
      </c>
      <c r="X206" s="5" t="str">
        <f t="array" ref="X206">IF(NOT(AND(ISBLANK(D206),ISBLANK(C206))),_xludf.XLOOKUP(D206,[2]CODE!$A$4:$A$100,[2]CODE!$E$4:$E$100),"")</f>
        <v/>
      </c>
      <c r="Y206" s="5" t="str">
        <f t="shared" si="24"/>
        <v/>
      </c>
      <c r="Z206" s="5" t="str">
        <f t="shared" si="25"/>
        <v/>
      </c>
      <c r="AA206" s="4">
        <f t="shared" si="26"/>
        <v>0</v>
      </c>
      <c r="AC206" s="2"/>
    </row>
    <row r="207" spans="1:29" ht="15.5">
      <c r="A207" s="13" t="str">
        <f>IF(OR(ISBLANK(C207),ISBLANK(D207),ISBLANK(F207),ISBLANK(G207)),"",COUNTIF($B$5:B207,"JAMBUTU"))</f>
        <v/>
      </c>
      <c r="B207" s="8"/>
      <c r="C207" s="8"/>
      <c r="D207" s="8"/>
      <c r="E207" s="13"/>
      <c r="F207" s="12"/>
      <c r="G207" s="11"/>
      <c r="H207" s="12"/>
      <c r="I207" s="11"/>
      <c r="J207" s="10">
        <f t="shared" si="21"/>
        <v>0</v>
      </c>
      <c r="K207" s="10">
        <f t="shared" si="22"/>
        <v>0</v>
      </c>
      <c r="L207" s="9" t="str">
        <f t="shared" si="23"/>
        <v/>
      </c>
      <c r="M207" s="8"/>
      <c r="N207" s="8"/>
      <c r="O207" s="8"/>
      <c r="P207" s="8"/>
      <c r="Q207" s="8"/>
      <c r="R207" s="8"/>
      <c r="S207" s="8"/>
      <c r="T207" s="8"/>
      <c r="U207" s="8"/>
      <c r="V207" s="7"/>
      <c r="W207" s="6" t="str">
        <f t="array" ref="W207">IF(NOT(ISBLANK(D207)),_xludf.XLOOKUP(D207,[2]CODE!$A$4:$A$100,[2]CODE!$D$4:$D$100),"")</f>
        <v/>
      </c>
      <c r="X207" s="5" t="str">
        <f t="array" ref="X207">IF(NOT(AND(ISBLANK(D207),ISBLANK(C207))),_xludf.XLOOKUP(D207,[2]CODE!$A$4:$A$100,[2]CODE!$E$4:$E$100),"")</f>
        <v/>
      </c>
      <c r="Y207" s="5" t="str">
        <f t="shared" si="24"/>
        <v/>
      </c>
      <c r="Z207" s="5" t="str">
        <f t="shared" si="25"/>
        <v/>
      </c>
      <c r="AA207" s="4">
        <f t="shared" si="26"/>
        <v>0</v>
      </c>
      <c r="AC207" s="2"/>
    </row>
    <row r="208" spans="1:29" ht="15.5">
      <c r="A208" s="13" t="str">
        <f>IF(OR(ISBLANK(C208),ISBLANK(D208),ISBLANK(F208),ISBLANK(G208)),"",COUNTIF($B$5:B208,"JAMBUTU"))</f>
        <v/>
      </c>
      <c r="B208" s="8"/>
      <c r="C208" s="8"/>
      <c r="D208" s="8"/>
      <c r="E208" s="13"/>
      <c r="F208" s="12"/>
      <c r="G208" s="11"/>
      <c r="H208" s="12"/>
      <c r="I208" s="11"/>
      <c r="J208" s="10">
        <f t="shared" si="21"/>
        <v>0</v>
      </c>
      <c r="K208" s="10">
        <f t="shared" si="22"/>
        <v>0</v>
      </c>
      <c r="L208" s="9" t="str">
        <f t="shared" si="23"/>
        <v/>
      </c>
      <c r="M208" s="8"/>
      <c r="N208" s="8"/>
      <c r="O208" s="8"/>
      <c r="P208" s="8"/>
      <c r="Q208" s="8"/>
      <c r="R208" s="8"/>
      <c r="S208" s="8"/>
      <c r="T208" s="8"/>
      <c r="U208" s="8"/>
      <c r="V208" s="7"/>
      <c r="W208" s="6" t="str">
        <f t="array" ref="W208">IF(NOT(ISBLANK(D208)),_xludf.XLOOKUP(D208,[2]CODE!$A$4:$A$100,[2]CODE!$D$4:$D$100),"")</f>
        <v/>
      </c>
      <c r="X208" s="5" t="str">
        <f t="array" ref="X208">IF(NOT(AND(ISBLANK(D208),ISBLANK(C208))),_xludf.XLOOKUP(D208,[2]CODE!$A$4:$A$100,[2]CODE!$E$4:$E$100),"")</f>
        <v/>
      </c>
      <c r="Y208" s="5" t="str">
        <f t="shared" si="24"/>
        <v/>
      </c>
      <c r="Z208" s="5" t="str">
        <f t="shared" si="25"/>
        <v/>
      </c>
      <c r="AA208" s="4">
        <f t="shared" si="26"/>
        <v>0</v>
      </c>
      <c r="AC208" s="2"/>
    </row>
    <row r="209" spans="1:29" ht="15.5">
      <c r="A209" s="13" t="str">
        <f>IF(OR(ISBLANK(C209),ISBLANK(D209),ISBLANK(F209),ISBLANK(G209)),"",COUNTIF($B$5:B209,"JAMBUTU"))</f>
        <v/>
      </c>
      <c r="B209" s="8"/>
      <c r="C209" s="8"/>
      <c r="D209" s="8"/>
      <c r="E209" s="13"/>
      <c r="F209" s="12"/>
      <c r="G209" s="11"/>
      <c r="H209" s="12"/>
      <c r="I209" s="11"/>
      <c r="J209" s="10">
        <f t="shared" si="21"/>
        <v>0</v>
      </c>
      <c r="K209" s="10">
        <f t="shared" si="22"/>
        <v>0</v>
      </c>
      <c r="L209" s="9" t="str">
        <f t="shared" si="23"/>
        <v/>
      </c>
      <c r="M209" s="8"/>
      <c r="N209" s="8"/>
      <c r="O209" s="8"/>
      <c r="P209" s="8"/>
      <c r="Q209" s="8"/>
      <c r="R209" s="8"/>
      <c r="S209" s="8"/>
      <c r="T209" s="8"/>
      <c r="U209" s="8"/>
      <c r="V209" s="7"/>
      <c r="W209" s="6" t="str">
        <f t="array" ref="W209">IF(NOT(ISBLANK(D209)),_xludf.XLOOKUP(D209,[2]CODE!$A$4:$A$100,[2]CODE!$D$4:$D$100),"")</f>
        <v/>
      </c>
      <c r="X209" s="5" t="str">
        <f t="array" ref="X209">IF(NOT(AND(ISBLANK(D209),ISBLANK(C209))),_xludf.XLOOKUP(D209,[2]CODE!$A$4:$A$100,[2]CODE!$E$4:$E$100),"")</f>
        <v/>
      </c>
      <c r="Y209" s="5" t="str">
        <f t="shared" si="24"/>
        <v/>
      </c>
      <c r="Z209" s="5" t="str">
        <f t="shared" si="25"/>
        <v/>
      </c>
      <c r="AA209" s="4">
        <f t="shared" si="26"/>
        <v>0</v>
      </c>
      <c r="AC209" s="2"/>
    </row>
    <row r="210" spans="1:29" ht="15.5">
      <c r="A210" s="13" t="str">
        <f>IF(OR(ISBLANK(C210),ISBLANK(D210),ISBLANK(F210),ISBLANK(G210)),"",COUNTIF($B$5:B210,"JAMBUTU"))</f>
        <v/>
      </c>
      <c r="B210" s="8"/>
      <c r="C210" s="8"/>
      <c r="D210" s="8"/>
      <c r="E210" s="13"/>
      <c r="F210" s="12"/>
      <c r="G210" s="11"/>
      <c r="H210" s="12"/>
      <c r="I210" s="11"/>
      <c r="J210" s="10">
        <f t="shared" si="21"/>
        <v>0</v>
      </c>
      <c r="K210" s="10">
        <f t="shared" si="22"/>
        <v>0</v>
      </c>
      <c r="L210" s="9" t="str">
        <f t="shared" si="23"/>
        <v/>
      </c>
      <c r="M210" s="8"/>
      <c r="N210" s="8"/>
      <c r="O210" s="8"/>
      <c r="P210" s="8"/>
      <c r="Q210" s="8"/>
      <c r="R210" s="8"/>
      <c r="S210" s="8"/>
      <c r="T210" s="8"/>
      <c r="U210" s="8"/>
      <c r="V210" s="7"/>
      <c r="W210" s="6" t="str">
        <f t="array" ref="W210">IF(NOT(ISBLANK(D210)),_xludf.XLOOKUP(D210,[2]CODE!$A$4:$A$100,[2]CODE!$D$4:$D$100),"")</f>
        <v/>
      </c>
      <c r="X210" s="5" t="str">
        <f t="array" ref="X210">IF(NOT(AND(ISBLANK(D210),ISBLANK(C210))),_xludf.XLOOKUP(D210,[2]CODE!$A$4:$A$100,[2]CODE!$E$4:$E$100),"")</f>
        <v/>
      </c>
      <c r="Y210" s="5" t="str">
        <f t="shared" si="24"/>
        <v/>
      </c>
      <c r="Z210" s="5" t="str">
        <f t="shared" si="25"/>
        <v/>
      </c>
      <c r="AA210" s="4">
        <f t="shared" si="26"/>
        <v>0</v>
      </c>
      <c r="AC210" s="2"/>
    </row>
    <row r="211" spans="1:29" ht="15.5">
      <c r="A211" s="13" t="str">
        <f>IF(OR(ISBLANK(C211),ISBLANK(D211),ISBLANK(F211),ISBLANK(G211)),"",COUNTIF($B$5:B211,"JAMBUTU"))</f>
        <v/>
      </c>
      <c r="B211" s="8" t="str">
        <f t="shared" ref="B211:B274" si="27">IF(C211&lt;&gt;"","Jambutu","")</f>
        <v/>
      </c>
      <c r="C211" s="8"/>
      <c r="D211" s="8"/>
      <c r="E211" s="13"/>
      <c r="F211" s="12"/>
      <c r="G211" s="11"/>
      <c r="H211" s="12"/>
      <c r="I211" s="11"/>
      <c r="J211" s="10">
        <f t="shared" si="21"/>
        <v>0</v>
      </c>
      <c r="K211" s="10">
        <f t="shared" si="22"/>
        <v>0</v>
      </c>
      <c r="L211" s="9" t="str">
        <f t="shared" si="23"/>
        <v/>
      </c>
      <c r="M211" s="8"/>
      <c r="N211" s="8"/>
      <c r="O211" s="8"/>
      <c r="P211" s="8"/>
      <c r="Q211" s="8"/>
      <c r="R211" s="8"/>
      <c r="S211" s="8"/>
      <c r="T211" s="8"/>
      <c r="U211" s="8"/>
      <c r="V211" s="7"/>
      <c r="W211" s="6" t="str">
        <f t="array" ref="W211">IF(NOT(ISBLANK(D211)),_xludf.XLOOKUP(D211,[2]CODE!$A$4:$A$100,[2]CODE!$D$4:$D$100),"")</f>
        <v/>
      </c>
      <c r="X211" s="5" t="str">
        <f t="array" ref="X211">IF(NOT(AND(ISBLANK(D211),ISBLANK(C211))),_xludf.XLOOKUP(D211,[2]CODE!$A$4:$A$100,[2]CODE!$E$4:$E$100),"")</f>
        <v/>
      </c>
      <c r="Y211" s="5" t="str">
        <f t="shared" si="24"/>
        <v/>
      </c>
      <c r="Z211" s="5" t="str">
        <f t="shared" si="25"/>
        <v/>
      </c>
      <c r="AA211" s="4">
        <f t="shared" si="26"/>
        <v>0</v>
      </c>
      <c r="AC211" s="2"/>
    </row>
    <row r="212" spans="1:29" ht="15.5">
      <c r="A212" s="13" t="str">
        <f>IF(OR(ISBLANK(C212),ISBLANK(D212),ISBLANK(F212),ISBLANK(G212)),"",COUNTIF($B$5:B212,"JAMBUTU"))</f>
        <v/>
      </c>
      <c r="B212" s="8" t="str">
        <f t="shared" si="27"/>
        <v/>
      </c>
      <c r="C212" s="8"/>
      <c r="D212" s="8"/>
      <c r="E212" s="13"/>
      <c r="F212" s="12"/>
      <c r="G212" s="11"/>
      <c r="H212" s="12"/>
      <c r="I212" s="11"/>
      <c r="J212" s="10">
        <f t="shared" si="21"/>
        <v>0</v>
      </c>
      <c r="K212" s="10">
        <f t="shared" si="22"/>
        <v>0</v>
      </c>
      <c r="L212" s="9" t="str">
        <f t="shared" si="23"/>
        <v/>
      </c>
      <c r="M212" s="8"/>
      <c r="N212" s="8"/>
      <c r="O212" s="8"/>
      <c r="P212" s="8"/>
      <c r="Q212" s="8"/>
      <c r="R212" s="8"/>
      <c r="S212" s="8"/>
      <c r="T212" s="8"/>
      <c r="U212" s="8"/>
      <c r="V212" s="7"/>
      <c r="W212" s="6" t="str">
        <f t="array" ref="W212">IF(NOT(ISBLANK(D212)),_xludf.XLOOKUP(D212,[2]CODE!$A$4:$A$100,[2]CODE!$D$4:$D$100),"")</f>
        <v/>
      </c>
      <c r="X212" s="5" t="str">
        <f t="array" ref="X212">IF(NOT(AND(ISBLANK(D212),ISBLANK(C212))),_xludf.XLOOKUP(D212,[2]CODE!$A$4:$A$100,[2]CODE!$E$4:$E$100),"")</f>
        <v/>
      </c>
      <c r="Y212" s="5" t="str">
        <f t="shared" si="24"/>
        <v/>
      </c>
      <c r="Z212" s="5" t="str">
        <f t="shared" si="25"/>
        <v/>
      </c>
      <c r="AA212" s="4">
        <f t="shared" si="26"/>
        <v>0</v>
      </c>
      <c r="AC212" s="2"/>
    </row>
    <row r="213" spans="1:29" ht="15.5">
      <c r="A213" s="13" t="str">
        <f>IF(OR(ISBLANK(C213),ISBLANK(D213),ISBLANK(F213),ISBLANK(G213)),"",COUNTIF($B$5:B213,"JAMBUTU"))</f>
        <v/>
      </c>
      <c r="B213" s="8" t="str">
        <f t="shared" si="27"/>
        <v/>
      </c>
      <c r="C213" s="8"/>
      <c r="D213" s="8"/>
      <c r="E213" s="13"/>
      <c r="F213" s="12"/>
      <c r="G213" s="11"/>
      <c r="H213" s="12"/>
      <c r="I213" s="11"/>
      <c r="J213" s="10">
        <f t="shared" si="21"/>
        <v>0</v>
      </c>
      <c r="K213" s="10">
        <f t="shared" si="22"/>
        <v>0</v>
      </c>
      <c r="L213" s="9" t="str">
        <f t="shared" si="23"/>
        <v/>
      </c>
      <c r="M213" s="8"/>
      <c r="N213" s="8"/>
      <c r="O213" s="8"/>
      <c r="P213" s="8"/>
      <c r="Q213" s="8"/>
      <c r="R213" s="8"/>
      <c r="S213" s="8"/>
      <c r="T213" s="8"/>
      <c r="U213" s="8"/>
      <c r="V213" s="7"/>
      <c r="W213" s="6" t="str">
        <f t="array" ref="W213">IF(NOT(ISBLANK(D213)),_xludf.XLOOKUP(D213,[2]CODE!$A$4:$A$100,[2]CODE!$D$4:$D$100),"")</f>
        <v/>
      </c>
      <c r="X213" s="5" t="str">
        <f t="array" ref="X213">IF(NOT(AND(ISBLANK(D213),ISBLANK(C213))),_xludf.XLOOKUP(D213,[2]CODE!$A$4:$A$100,[2]CODE!$E$4:$E$100),"")</f>
        <v/>
      </c>
      <c r="Y213" s="5" t="str">
        <f t="shared" si="24"/>
        <v/>
      </c>
      <c r="Z213" s="5" t="str">
        <f t="shared" si="25"/>
        <v/>
      </c>
      <c r="AA213" s="4">
        <f t="shared" si="26"/>
        <v>0</v>
      </c>
      <c r="AC213" s="2"/>
    </row>
    <row r="214" spans="1:29" ht="15.5">
      <c r="A214" s="13" t="str">
        <f>IF(OR(ISBLANK(C214),ISBLANK(D214),ISBLANK(F214),ISBLANK(G214)),"",COUNTIF($B$5:B214,"JAMBUTU"))</f>
        <v/>
      </c>
      <c r="B214" s="8" t="str">
        <f t="shared" si="27"/>
        <v/>
      </c>
      <c r="C214" s="8"/>
      <c r="D214" s="8"/>
      <c r="E214" s="13"/>
      <c r="F214" s="12"/>
      <c r="G214" s="11"/>
      <c r="H214" s="12"/>
      <c r="I214" s="11"/>
      <c r="J214" s="10">
        <f t="shared" si="21"/>
        <v>0</v>
      </c>
      <c r="K214" s="10">
        <f t="shared" si="22"/>
        <v>0</v>
      </c>
      <c r="L214" s="9" t="str">
        <f t="shared" si="23"/>
        <v/>
      </c>
      <c r="M214" s="8"/>
      <c r="N214" s="8"/>
      <c r="O214" s="8"/>
      <c r="P214" s="8"/>
      <c r="Q214" s="8"/>
      <c r="R214" s="8"/>
      <c r="S214" s="8"/>
      <c r="T214" s="8"/>
      <c r="U214" s="8"/>
      <c r="V214" s="7"/>
      <c r="W214" s="6" t="str">
        <f t="array" ref="W214">IF(NOT(ISBLANK(D214)),_xludf.XLOOKUP(D214,[2]CODE!$A$4:$A$100,[2]CODE!$D$4:$D$100),"")</f>
        <v/>
      </c>
      <c r="X214" s="5" t="str">
        <f t="array" ref="X214">IF(NOT(AND(ISBLANK(D214),ISBLANK(C214))),_xludf.XLOOKUP(D214,[2]CODE!$A$4:$A$100,[2]CODE!$E$4:$E$100),"")</f>
        <v/>
      </c>
      <c r="Y214" s="5" t="str">
        <f t="shared" si="24"/>
        <v/>
      </c>
      <c r="Z214" s="5" t="str">
        <f t="shared" si="25"/>
        <v/>
      </c>
      <c r="AA214" s="4">
        <f t="shared" si="26"/>
        <v>0</v>
      </c>
      <c r="AC214" s="2"/>
    </row>
    <row r="215" spans="1:29" ht="15.5">
      <c r="A215" s="13" t="str">
        <f>IF(OR(ISBLANK(C215),ISBLANK(D215),ISBLANK(F215),ISBLANK(G215)),"",COUNTIF($B$5:B215,"JAMBUTU"))</f>
        <v/>
      </c>
      <c r="B215" s="8" t="str">
        <f t="shared" si="27"/>
        <v/>
      </c>
      <c r="C215" s="8"/>
      <c r="D215" s="8"/>
      <c r="E215" s="13"/>
      <c r="F215" s="12"/>
      <c r="G215" s="11"/>
      <c r="H215" s="12"/>
      <c r="I215" s="11"/>
      <c r="J215" s="10">
        <f t="shared" si="21"/>
        <v>0</v>
      </c>
      <c r="K215" s="10">
        <f t="shared" si="22"/>
        <v>0</v>
      </c>
      <c r="L215" s="9" t="str">
        <f t="shared" si="23"/>
        <v/>
      </c>
      <c r="M215" s="8"/>
      <c r="N215" s="8"/>
      <c r="O215" s="8"/>
      <c r="P215" s="8"/>
      <c r="Q215" s="8"/>
      <c r="R215" s="8"/>
      <c r="S215" s="8"/>
      <c r="T215" s="8"/>
      <c r="U215" s="8"/>
      <c r="V215" s="7"/>
      <c r="W215" s="6" t="str">
        <f t="array" ref="W215">IF(NOT(ISBLANK(D215)),_xludf.XLOOKUP(D215,[2]CODE!$A$4:$A$100,[2]CODE!$D$4:$D$100),"")</f>
        <v/>
      </c>
      <c r="X215" s="5" t="str">
        <f t="array" ref="X215">IF(NOT(AND(ISBLANK(D215),ISBLANK(C215))),_xludf.XLOOKUP(D215,[2]CODE!$A$4:$A$100,[2]CODE!$E$4:$E$100),"")</f>
        <v/>
      </c>
      <c r="Y215" s="5" t="str">
        <f t="shared" si="24"/>
        <v/>
      </c>
      <c r="Z215" s="5" t="str">
        <f t="shared" si="25"/>
        <v/>
      </c>
      <c r="AA215" s="4">
        <f t="shared" si="26"/>
        <v>0</v>
      </c>
      <c r="AC215" s="2"/>
    </row>
    <row r="216" spans="1:29" ht="15.5">
      <c r="A216" s="13" t="str">
        <f>IF(OR(ISBLANK(C216),ISBLANK(D216),ISBLANK(F216),ISBLANK(G216)),"",COUNTIF($B$5:B216,"JAMBUTU"))</f>
        <v/>
      </c>
      <c r="B216" s="8" t="str">
        <f t="shared" si="27"/>
        <v/>
      </c>
      <c r="C216" s="8"/>
      <c r="D216" s="8"/>
      <c r="E216" s="13"/>
      <c r="F216" s="12"/>
      <c r="G216" s="11"/>
      <c r="H216" s="12"/>
      <c r="I216" s="11"/>
      <c r="J216" s="10">
        <f t="shared" si="21"/>
        <v>0</v>
      </c>
      <c r="K216" s="10">
        <f t="shared" si="22"/>
        <v>0</v>
      </c>
      <c r="L216" s="9" t="str">
        <f t="shared" si="23"/>
        <v/>
      </c>
      <c r="M216" s="8"/>
      <c r="N216" s="8"/>
      <c r="O216" s="8"/>
      <c r="P216" s="8"/>
      <c r="Q216" s="8"/>
      <c r="R216" s="8"/>
      <c r="S216" s="8"/>
      <c r="T216" s="8"/>
      <c r="U216" s="8"/>
      <c r="V216" s="7"/>
      <c r="W216" s="6" t="str">
        <f t="array" ref="W216">IF(NOT(ISBLANK(D216)),_xludf.XLOOKUP(D216,[2]CODE!$A$4:$A$100,[2]CODE!$D$4:$D$100),"")</f>
        <v/>
      </c>
      <c r="X216" s="5" t="str">
        <f t="array" ref="X216">IF(NOT(AND(ISBLANK(D216),ISBLANK(C216))),_xludf.XLOOKUP(D216,[2]CODE!$A$4:$A$100,[2]CODE!$E$4:$E$100),"")</f>
        <v/>
      </c>
      <c r="Y216" s="5" t="str">
        <f t="shared" si="24"/>
        <v/>
      </c>
      <c r="Z216" s="5" t="str">
        <f t="shared" si="25"/>
        <v/>
      </c>
      <c r="AA216" s="4">
        <f t="shared" si="26"/>
        <v>0</v>
      </c>
      <c r="AC216" s="2"/>
    </row>
    <row r="217" spans="1:29" ht="15.5">
      <c r="A217" s="13" t="str">
        <f>IF(OR(ISBLANK(C217),ISBLANK(D217),ISBLANK(F217),ISBLANK(G217)),"",COUNTIF($B$5:B217,"JAMBUTU"))</f>
        <v/>
      </c>
      <c r="B217" s="8" t="str">
        <f t="shared" si="27"/>
        <v/>
      </c>
      <c r="C217" s="8"/>
      <c r="D217" s="8"/>
      <c r="E217" s="13"/>
      <c r="F217" s="12"/>
      <c r="G217" s="11"/>
      <c r="H217" s="12"/>
      <c r="I217" s="11"/>
      <c r="J217" s="10">
        <f t="shared" si="21"/>
        <v>0</v>
      </c>
      <c r="K217" s="10">
        <f t="shared" si="22"/>
        <v>0</v>
      </c>
      <c r="L217" s="9" t="str">
        <f t="shared" si="23"/>
        <v/>
      </c>
      <c r="M217" s="8"/>
      <c r="N217" s="8"/>
      <c r="O217" s="8"/>
      <c r="P217" s="8"/>
      <c r="Q217" s="8"/>
      <c r="R217" s="8"/>
      <c r="S217" s="8"/>
      <c r="T217" s="8"/>
      <c r="U217" s="8"/>
      <c r="V217" s="7"/>
      <c r="W217" s="6" t="str">
        <f t="array" ref="W217">IF(NOT(ISBLANK(D217)),_xludf.XLOOKUP(D217,[2]CODE!$A$4:$A$100,[2]CODE!$D$4:$D$100),"")</f>
        <v/>
      </c>
      <c r="X217" s="5" t="str">
        <f t="array" ref="X217">IF(NOT(AND(ISBLANK(D217),ISBLANK(C217))),_xludf.XLOOKUP(D217,[2]CODE!$A$4:$A$100,[2]CODE!$E$4:$E$100),"")</f>
        <v/>
      </c>
      <c r="Y217" s="5" t="str">
        <f t="shared" si="24"/>
        <v/>
      </c>
      <c r="Z217" s="5" t="str">
        <f t="shared" si="25"/>
        <v/>
      </c>
      <c r="AA217" s="4">
        <f t="shared" si="26"/>
        <v>0</v>
      </c>
      <c r="AC217" s="2"/>
    </row>
    <row r="218" spans="1:29" ht="15.5">
      <c r="A218" s="13" t="str">
        <f>IF(OR(ISBLANK(C218),ISBLANK(D218),ISBLANK(F218),ISBLANK(G218)),"",COUNTIF($B$5:B218,"JAMBUTU"))</f>
        <v/>
      </c>
      <c r="B218" s="8" t="str">
        <f t="shared" si="27"/>
        <v/>
      </c>
      <c r="C218" s="8"/>
      <c r="D218" s="8"/>
      <c r="E218" s="13"/>
      <c r="F218" s="12"/>
      <c r="G218" s="11"/>
      <c r="H218" s="12"/>
      <c r="I218" s="11"/>
      <c r="J218" s="10">
        <f t="shared" si="21"/>
        <v>0</v>
      </c>
      <c r="K218" s="10">
        <f t="shared" si="22"/>
        <v>0</v>
      </c>
      <c r="L218" s="9" t="str">
        <f t="shared" si="23"/>
        <v/>
      </c>
      <c r="M218" s="8"/>
      <c r="N218" s="8"/>
      <c r="O218" s="8"/>
      <c r="P218" s="8"/>
      <c r="Q218" s="8"/>
      <c r="R218" s="8"/>
      <c r="S218" s="8"/>
      <c r="T218" s="8"/>
      <c r="U218" s="8"/>
      <c r="V218" s="7"/>
      <c r="W218" s="6" t="str">
        <f t="array" ref="W218">IF(NOT(ISBLANK(D218)),_xludf.XLOOKUP(D218,[2]CODE!$A$4:$A$100,[2]CODE!$D$4:$D$100),"")</f>
        <v/>
      </c>
      <c r="X218" s="5" t="str">
        <f t="array" ref="X218">IF(NOT(AND(ISBLANK(D218),ISBLANK(C218))),_xludf.XLOOKUP(D218,[2]CODE!$A$4:$A$100,[2]CODE!$E$4:$E$100),"")</f>
        <v/>
      </c>
      <c r="Y218" s="5" t="str">
        <f t="shared" si="24"/>
        <v/>
      </c>
      <c r="Z218" s="5" t="str">
        <f t="shared" si="25"/>
        <v/>
      </c>
      <c r="AA218" s="4">
        <f t="shared" si="26"/>
        <v>0</v>
      </c>
      <c r="AC218" s="2"/>
    </row>
    <row r="219" spans="1:29" ht="15.5">
      <c r="A219" s="13" t="str">
        <f>IF(OR(ISBLANK(C219),ISBLANK(D219),ISBLANK(F219),ISBLANK(G219)),"",COUNTIF($B$5:B219,"JAMBUTU"))</f>
        <v/>
      </c>
      <c r="B219" s="8" t="str">
        <f t="shared" si="27"/>
        <v/>
      </c>
      <c r="C219" s="8"/>
      <c r="D219" s="8"/>
      <c r="E219" s="13"/>
      <c r="F219" s="12"/>
      <c r="G219" s="11"/>
      <c r="H219" s="12"/>
      <c r="I219" s="11"/>
      <c r="J219" s="10">
        <f t="shared" si="21"/>
        <v>0</v>
      </c>
      <c r="K219" s="10">
        <f t="shared" si="22"/>
        <v>0</v>
      </c>
      <c r="L219" s="9" t="str">
        <f t="shared" si="23"/>
        <v/>
      </c>
      <c r="M219" s="8"/>
      <c r="N219" s="8"/>
      <c r="O219" s="8"/>
      <c r="P219" s="8"/>
      <c r="Q219" s="8"/>
      <c r="R219" s="8"/>
      <c r="S219" s="8"/>
      <c r="T219" s="8"/>
      <c r="U219" s="8"/>
      <c r="V219" s="7"/>
      <c r="W219" s="6" t="str">
        <f t="array" ref="W219">IF(NOT(ISBLANK(D219)),_xludf.XLOOKUP(D219,[2]CODE!$A$4:$A$100,[2]CODE!$D$4:$D$100),"")</f>
        <v/>
      </c>
      <c r="X219" s="5" t="str">
        <f t="array" ref="X219">IF(NOT(AND(ISBLANK(D219),ISBLANK(C219))),_xludf.XLOOKUP(D219,[2]CODE!$A$4:$A$100,[2]CODE!$E$4:$E$100),"")</f>
        <v/>
      </c>
      <c r="Y219" s="5" t="str">
        <f t="shared" si="24"/>
        <v/>
      </c>
      <c r="Z219" s="5" t="str">
        <f t="shared" si="25"/>
        <v/>
      </c>
      <c r="AA219" s="4">
        <f t="shared" si="26"/>
        <v>0</v>
      </c>
      <c r="AC219" s="2"/>
    </row>
    <row r="220" spans="1:29" ht="15.5">
      <c r="A220" s="13" t="str">
        <f>IF(OR(ISBLANK(C220),ISBLANK(D220),ISBLANK(F220),ISBLANK(G220)),"",COUNTIF($B$5:B220,"JAMBUTU"))</f>
        <v/>
      </c>
      <c r="B220" s="8" t="str">
        <f t="shared" si="27"/>
        <v/>
      </c>
      <c r="C220" s="8"/>
      <c r="D220" s="8"/>
      <c r="E220" s="13"/>
      <c r="F220" s="12"/>
      <c r="G220" s="11"/>
      <c r="H220" s="12"/>
      <c r="I220" s="11"/>
      <c r="J220" s="10">
        <f t="shared" si="21"/>
        <v>0</v>
      </c>
      <c r="K220" s="10">
        <f t="shared" si="22"/>
        <v>0</v>
      </c>
      <c r="L220" s="9" t="str">
        <f t="shared" si="23"/>
        <v/>
      </c>
      <c r="M220" s="8"/>
      <c r="N220" s="8"/>
      <c r="O220" s="8"/>
      <c r="P220" s="8"/>
      <c r="Q220" s="8"/>
      <c r="R220" s="8"/>
      <c r="S220" s="8"/>
      <c r="T220" s="8"/>
      <c r="U220" s="8"/>
      <c r="V220" s="7"/>
      <c r="W220" s="6" t="str">
        <f t="array" ref="W220">IF(NOT(ISBLANK(D220)),_xludf.XLOOKUP(D220,[2]CODE!$A$4:$A$100,[2]CODE!$D$4:$D$100),"")</f>
        <v/>
      </c>
      <c r="X220" s="5" t="str">
        <f t="array" ref="X220">IF(NOT(AND(ISBLANK(D220),ISBLANK(C220))),_xludf.XLOOKUP(D220,[2]CODE!$A$4:$A$100,[2]CODE!$E$4:$E$100),"")</f>
        <v/>
      </c>
      <c r="Y220" s="5" t="str">
        <f t="shared" si="24"/>
        <v/>
      </c>
      <c r="Z220" s="5" t="str">
        <f t="shared" si="25"/>
        <v/>
      </c>
      <c r="AA220" s="4">
        <f t="shared" si="26"/>
        <v>0</v>
      </c>
      <c r="AC220" s="2"/>
    </row>
    <row r="221" spans="1:29" ht="15.5">
      <c r="A221" s="13" t="str">
        <f>IF(OR(ISBLANK(C221),ISBLANK(D221),ISBLANK(F221),ISBLANK(G221)),"",COUNTIF($B$5:B221,"JAMBUTU"))</f>
        <v/>
      </c>
      <c r="B221" s="8" t="str">
        <f t="shared" si="27"/>
        <v/>
      </c>
      <c r="C221" s="8"/>
      <c r="D221" s="8"/>
      <c r="E221" s="13"/>
      <c r="F221" s="12"/>
      <c r="G221" s="11"/>
      <c r="H221" s="12"/>
      <c r="I221" s="11"/>
      <c r="J221" s="10">
        <f t="shared" si="21"/>
        <v>0</v>
      </c>
      <c r="K221" s="10">
        <f t="shared" si="22"/>
        <v>0</v>
      </c>
      <c r="L221" s="9" t="str">
        <f t="shared" si="23"/>
        <v/>
      </c>
      <c r="M221" s="8"/>
      <c r="N221" s="8"/>
      <c r="O221" s="8"/>
      <c r="P221" s="8"/>
      <c r="Q221" s="8"/>
      <c r="R221" s="8"/>
      <c r="S221" s="8"/>
      <c r="T221" s="8"/>
      <c r="U221" s="8"/>
      <c r="V221" s="7"/>
      <c r="W221" s="6" t="str">
        <f t="array" ref="W221">IF(NOT(ISBLANK(D221)),_xludf.XLOOKUP(D221,[2]CODE!$A$4:$A$100,[2]CODE!$D$4:$D$100),"")</f>
        <v/>
      </c>
      <c r="X221" s="5" t="str">
        <f t="array" ref="X221">IF(NOT(AND(ISBLANK(D221),ISBLANK(C221))),_xludf.XLOOKUP(D221,[2]CODE!$A$4:$A$100,[2]CODE!$E$4:$E$100),"")</f>
        <v/>
      </c>
      <c r="Y221" s="5" t="str">
        <f t="shared" si="24"/>
        <v/>
      </c>
      <c r="Z221" s="5" t="str">
        <f t="shared" si="25"/>
        <v/>
      </c>
      <c r="AA221" s="4">
        <f t="shared" si="26"/>
        <v>0</v>
      </c>
      <c r="AC221" s="2"/>
    </row>
    <row r="222" spans="1:29" ht="15.5">
      <c r="A222" s="13" t="str">
        <f>IF(OR(ISBLANK(C222),ISBLANK(D222),ISBLANK(F222),ISBLANK(G222)),"",COUNTIF($B$5:B222,"JAMBUTU"))</f>
        <v/>
      </c>
      <c r="B222" s="8" t="str">
        <f t="shared" si="27"/>
        <v/>
      </c>
      <c r="C222" s="8"/>
      <c r="D222" s="8"/>
      <c r="E222" s="13"/>
      <c r="F222" s="12"/>
      <c r="G222" s="11"/>
      <c r="H222" s="12"/>
      <c r="I222" s="11"/>
      <c r="J222" s="10">
        <f t="shared" si="21"/>
        <v>0</v>
      </c>
      <c r="K222" s="10">
        <f t="shared" si="22"/>
        <v>0</v>
      </c>
      <c r="L222" s="9" t="str">
        <f t="shared" si="23"/>
        <v/>
      </c>
      <c r="M222" s="8"/>
      <c r="N222" s="8"/>
      <c r="O222" s="8"/>
      <c r="P222" s="8"/>
      <c r="Q222" s="8"/>
      <c r="R222" s="8"/>
      <c r="S222" s="8"/>
      <c r="T222" s="8"/>
      <c r="U222" s="8"/>
      <c r="V222" s="7"/>
      <c r="W222" s="6" t="str">
        <f t="array" ref="W222">IF(NOT(ISBLANK(D222)),_xludf.XLOOKUP(D222,[2]CODE!$A$4:$A$100,[2]CODE!$D$4:$D$100),"")</f>
        <v/>
      </c>
      <c r="X222" s="5" t="str">
        <f t="array" ref="X222">IF(NOT(AND(ISBLANK(D222),ISBLANK(C222))),_xludf.XLOOKUP(D222,[2]CODE!$A$4:$A$100,[2]CODE!$E$4:$E$100),"")</f>
        <v/>
      </c>
      <c r="Y222" s="5" t="str">
        <f t="shared" si="24"/>
        <v/>
      </c>
      <c r="Z222" s="5" t="str">
        <f t="shared" si="25"/>
        <v/>
      </c>
      <c r="AA222" s="4">
        <f t="shared" si="26"/>
        <v>0</v>
      </c>
      <c r="AC222" s="2"/>
    </row>
    <row r="223" spans="1:29" ht="15.5">
      <c r="A223" s="13" t="str">
        <f>IF(OR(ISBLANK(C223),ISBLANK(D223),ISBLANK(F223),ISBLANK(G223)),"",COUNTIF($B$5:B223,"JAMBUTU"))</f>
        <v/>
      </c>
      <c r="B223" s="8" t="str">
        <f t="shared" si="27"/>
        <v/>
      </c>
      <c r="C223" s="8"/>
      <c r="D223" s="8"/>
      <c r="E223" s="13"/>
      <c r="F223" s="12"/>
      <c r="G223" s="11"/>
      <c r="H223" s="12"/>
      <c r="I223" s="15"/>
      <c r="J223" s="10">
        <f t="shared" si="21"/>
        <v>0</v>
      </c>
      <c r="K223" s="10">
        <f t="shared" si="22"/>
        <v>0</v>
      </c>
      <c r="L223" s="9" t="str">
        <f t="shared" si="23"/>
        <v/>
      </c>
      <c r="M223" s="8"/>
      <c r="N223" s="8"/>
      <c r="O223" s="8"/>
      <c r="P223" s="8"/>
      <c r="Q223" s="8"/>
      <c r="R223" s="8"/>
      <c r="S223" s="8"/>
      <c r="T223" s="8"/>
      <c r="U223" s="8"/>
      <c r="V223" s="7"/>
      <c r="W223" s="6" t="str">
        <f t="array" ref="W223">IF(NOT(ISBLANK(D223)),_xludf.XLOOKUP(D223,[2]CODE!$A$4:$A$100,[2]CODE!$D$4:$D$100),"")</f>
        <v/>
      </c>
      <c r="X223" s="5" t="str">
        <f t="array" ref="X223">IF(NOT(AND(ISBLANK(D223),ISBLANK(C223))),_xludf.XLOOKUP(D223,[2]CODE!$A$4:$A$100,[2]CODE!$E$4:$E$100),"")</f>
        <v/>
      </c>
      <c r="Y223" s="5" t="str">
        <f t="shared" si="24"/>
        <v/>
      </c>
      <c r="Z223" s="5" t="str">
        <f t="shared" si="25"/>
        <v/>
      </c>
      <c r="AA223" s="4">
        <f t="shared" si="26"/>
        <v>0</v>
      </c>
      <c r="AC223" s="2"/>
    </row>
    <row r="224" spans="1:29" ht="15.5">
      <c r="A224" s="13" t="str">
        <f>IF(OR(ISBLANK(C224),ISBLANK(D224),ISBLANK(F224),ISBLANK(G224)),"",COUNTIF($B$5:B224,"JAMBUTU"))</f>
        <v/>
      </c>
      <c r="B224" s="8" t="str">
        <f t="shared" si="27"/>
        <v/>
      </c>
      <c r="C224" s="8"/>
      <c r="D224" s="8"/>
      <c r="E224" s="13"/>
      <c r="F224" s="12"/>
      <c r="G224" s="11"/>
      <c r="H224" s="12"/>
      <c r="I224" s="15"/>
      <c r="J224" s="10">
        <f t="shared" si="21"/>
        <v>0</v>
      </c>
      <c r="K224" s="10">
        <f t="shared" si="22"/>
        <v>0</v>
      </c>
      <c r="L224" s="9" t="str">
        <f t="shared" si="23"/>
        <v/>
      </c>
      <c r="M224" s="8"/>
      <c r="N224" s="8"/>
      <c r="O224" s="8"/>
      <c r="P224" s="8"/>
      <c r="Q224" s="8"/>
      <c r="R224" s="8"/>
      <c r="S224" s="8"/>
      <c r="T224" s="8"/>
      <c r="U224" s="8"/>
      <c r="V224" s="7"/>
      <c r="W224" s="6" t="str">
        <f t="array" ref="W224">IF(NOT(ISBLANK(D224)),_xludf.XLOOKUP(D224,[2]CODE!$A$4:$A$100,[2]CODE!$D$4:$D$100),"")</f>
        <v/>
      </c>
      <c r="X224" s="5" t="str">
        <f t="array" ref="X224">IF(NOT(AND(ISBLANK(D224),ISBLANK(C224))),_xludf.XLOOKUP(D224,[2]CODE!$A$4:$A$100,[2]CODE!$E$4:$E$100),"")</f>
        <v/>
      </c>
      <c r="Y224" s="5" t="str">
        <f t="shared" si="24"/>
        <v/>
      </c>
      <c r="Z224" s="5" t="str">
        <f t="shared" si="25"/>
        <v/>
      </c>
      <c r="AA224" s="4">
        <f t="shared" si="26"/>
        <v>0</v>
      </c>
      <c r="AC224" s="2"/>
    </row>
    <row r="225" spans="1:29" ht="15.5">
      <c r="A225" s="13" t="str">
        <f>IF(OR(ISBLANK(C225),ISBLANK(D225),ISBLANK(F225),ISBLANK(G225)),"",COUNTIF($B$5:B225,"JAMBUTU"))</f>
        <v/>
      </c>
      <c r="B225" s="8" t="str">
        <f t="shared" si="27"/>
        <v/>
      </c>
      <c r="C225" s="8"/>
      <c r="D225" s="8"/>
      <c r="E225" s="13"/>
      <c r="F225" s="12"/>
      <c r="G225" s="11"/>
      <c r="H225" s="12"/>
      <c r="I225" s="11"/>
      <c r="J225" s="10">
        <f t="shared" si="21"/>
        <v>0</v>
      </c>
      <c r="K225" s="10">
        <f t="shared" si="22"/>
        <v>0</v>
      </c>
      <c r="L225" s="9" t="str">
        <f t="shared" si="23"/>
        <v/>
      </c>
      <c r="M225" s="8"/>
      <c r="N225" s="8"/>
      <c r="O225" s="8"/>
      <c r="P225" s="8"/>
      <c r="Q225" s="8"/>
      <c r="R225" s="8"/>
      <c r="S225" s="8"/>
      <c r="T225" s="8"/>
      <c r="U225" s="8"/>
      <c r="V225" s="7"/>
      <c r="W225" s="6" t="str">
        <f t="array" ref="W225">IF(NOT(ISBLANK(D225)),_xludf.XLOOKUP(D225,[2]CODE!$A$4:$A$100,[2]CODE!$D$4:$D$100),"")</f>
        <v/>
      </c>
      <c r="X225" s="5" t="str">
        <f t="array" ref="X225">IF(NOT(AND(ISBLANK(D225),ISBLANK(C225))),_xludf.XLOOKUP(D225,[2]CODE!$A$4:$A$100,[2]CODE!$E$4:$E$100),"")</f>
        <v/>
      </c>
      <c r="Y225" s="5" t="str">
        <f t="shared" si="24"/>
        <v/>
      </c>
      <c r="Z225" s="5" t="str">
        <f t="shared" si="25"/>
        <v/>
      </c>
      <c r="AA225" s="4">
        <f t="shared" si="26"/>
        <v>0</v>
      </c>
      <c r="AC225" s="2"/>
    </row>
    <row r="226" spans="1:29" ht="15.5">
      <c r="A226" s="13" t="str">
        <f>IF(OR(ISBLANK(C226),ISBLANK(D226),ISBLANK(F226),ISBLANK(G226)),"",COUNTIF($B$5:B226,"JAMBUTU"))</f>
        <v/>
      </c>
      <c r="B226" s="8" t="str">
        <f t="shared" si="27"/>
        <v/>
      </c>
      <c r="C226" s="8"/>
      <c r="D226" s="8"/>
      <c r="E226" s="13"/>
      <c r="F226" s="12"/>
      <c r="G226" s="11"/>
      <c r="H226" s="12"/>
      <c r="I226" s="11"/>
      <c r="J226" s="10">
        <f t="shared" si="21"/>
        <v>0</v>
      </c>
      <c r="K226" s="10">
        <f t="shared" si="22"/>
        <v>0</v>
      </c>
      <c r="L226" s="9" t="str">
        <f t="shared" si="23"/>
        <v/>
      </c>
      <c r="M226" s="8"/>
      <c r="N226" s="8"/>
      <c r="O226" s="8"/>
      <c r="P226" s="8"/>
      <c r="Q226" s="8"/>
      <c r="R226" s="8"/>
      <c r="S226" s="8"/>
      <c r="T226" s="8"/>
      <c r="U226" s="8"/>
      <c r="V226" s="7"/>
      <c r="W226" s="6" t="str">
        <f t="array" ref="W226">IF(NOT(ISBLANK(D226)),_xludf.XLOOKUP(D226,[2]CODE!$A$4:$A$100,[2]CODE!$D$4:$D$100),"")</f>
        <v/>
      </c>
      <c r="X226" s="5" t="str">
        <f t="array" ref="X226">IF(NOT(AND(ISBLANK(D226),ISBLANK(C226))),_xludf.XLOOKUP(D226,[2]CODE!$A$4:$A$100,[2]CODE!$E$4:$E$100),"")</f>
        <v/>
      </c>
      <c r="Y226" s="5" t="str">
        <f t="shared" si="24"/>
        <v/>
      </c>
      <c r="Z226" s="5" t="str">
        <f t="shared" si="25"/>
        <v/>
      </c>
      <c r="AA226" s="4">
        <f t="shared" si="26"/>
        <v>0</v>
      </c>
      <c r="AC226" s="2"/>
    </row>
    <row r="227" spans="1:29" ht="15.5">
      <c r="A227" s="13" t="str">
        <f>IF(OR(ISBLANK(C227),ISBLANK(D227),ISBLANK(F227),ISBLANK(G227)),"",COUNTIF($B$5:B227,"JAMBUTU"))</f>
        <v/>
      </c>
      <c r="B227" s="8" t="str">
        <f t="shared" si="27"/>
        <v/>
      </c>
      <c r="C227" s="8"/>
      <c r="D227" s="8"/>
      <c r="E227" s="13"/>
      <c r="F227" s="12"/>
      <c r="G227" s="11"/>
      <c r="H227" s="12"/>
      <c r="I227" s="15"/>
      <c r="J227" s="10">
        <f t="shared" si="21"/>
        <v>0</v>
      </c>
      <c r="K227" s="10">
        <f t="shared" si="22"/>
        <v>0</v>
      </c>
      <c r="L227" s="9" t="str">
        <f t="shared" si="23"/>
        <v/>
      </c>
      <c r="M227" s="8"/>
      <c r="N227" s="8"/>
      <c r="O227" s="8"/>
      <c r="P227" s="8"/>
      <c r="Q227" s="8"/>
      <c r="R227" s="8"/>
      <c r="S227" s="8"/>
      <c r="T227" s="8"/>
      <c r="U227" s="8"/>
      <c r="V227" s="7"/>
      <c r="W227" s="6" t="str">
        <f t="array" ref="W227">IF(NOT(ISBLANK(D227)),_xludf.XLOOKUP(D227,[2]CODE!$A$4:$A$100,[2]CODE!$D$4:$D$100),"")</f>
        <v/>
      </c>
      <c r="X227" s="5" t="str">
        <f t="array" ref="X227">IF(NOT(AND(ISBLANK(D227),ISBLANK(C227))),_xludf.XLOOKUP(D227,[2]CODE!$A$4:$A$100,[2]CODE!$E$4:$E$100),"")</f>
        <v/>
      </c>
      <c r="Y227" s="5" t="str">
        <f t="shared" si="24"/>
        <v/>
      </c>
      <c r="Z227" s="5" t="str">
        <f t="shared" si="25"/>
        <v/>
      </c>
      <c r="AA227" s="4">
        <f t="shared" si="26"/>
        <v>0</v>
      </c>
      <c r="AC227" s="2"/>
    </row>
    <row r="228" spans="1:29" ht="15.5">
      <c r="A228" s="13" t="str">
        <f>IF(OR(ISBLANK(C228),ISBLANK(D228),ISBLANK(F228),ISBLANK(G228)),"",COUNTIF($B$5:B228,"JAMBUTU"))</f>
        <v/>
      </c>
      <c r="B228" s="8" t="str">
        <f t="shared" si="27"/>
        <v/>
      </c>
      <c r="C228" s="8"/>
      <c r="D228" s="8"/>
      <c r="E228" s="13"/>
      <c r="F228" s="12"/>
      <c r="G228" s="11"/>
      <c r="H228" s="12"/>
      <c r="I228" s="15"/>
      <c r="J228" s="10">
        <f t="shared" si="21"/>
        <v>0</v>
      </c>
      <c r="K228" s="10">
        <f t="shared" si="22"/>
        <v>0</v>
      </c>
      <c r="L228" s="9" t="str">
        <f t="shared" si="23"/>
        <v/>
      </c>
      <c r="M228" s="8"/>
      <c r="N228" s="8"/>
      <c r="O228" s="8"/>
      <c r="P228" s="8"/>
      <c r="Q228" s="8"/>
      <c r="R228" s="8"/>
      <c r="S228" s="8"/>
      <c r="T228" s="8"/>
      <c r="U228" s="8"/>
      <c r="V228" s="7"/>
      <c r="W228" s="6" t="str">
        <f t="array" ref="W228">IF(NOT(ISBLANK(D228)),_xludf.XLOOKUP(D228,[2]CODE!$A$4:$A$100,[2]CODE!$D$4:$D$100),"")</f>
        <v/>
      </c>
      <c r="X228" s="5" t="str">
        <f t="array" ref="X228">IF(NOT(AND(ISBLANK(D228),ISBLANK(C228))),_xludf.XLOOKUP(D228,[2]CODE!$A$4:$A$100,[2]CODE!$E$4:$E$100),"")</f>
        <v/>
      </c>
      <c r="Y228" s="5" t="str">
        <f t="shared" si="24"/>
        <v/>
      </c>
      <c r="Z228" s="5" t="str">
        <f t="shared" si="25"/>
        <v/>
      </c>
      <c r="AA228" s="4">
        <f t="shared" si="26"/>
        <v>0</v>
      </c>
      <c r="AC228" s="2"/>
    </row>
    <row r="229" spans="1:29" ht="15.5">
      <c r="A229" s="13" t="str">
        <f>IF(OR(ISBLANK(C229),ISBLANK(D229),ISBLANK(F229),ISBLANK(G229)),"",COUNTIF($B$5:B229,"JAMBUTU"))</f>
        <v/>
      </c>
      <c r="B229" s="8" t="str">
        <f t="shared" si="27"/>
        <v/>
      </c>
      <c r="C229" s="8"/>
      <c r="D229" s="8"/>
      <c r="E229" s="13"/>
      <c r="F229" s="12"/>
      <c r="G229" s="11"/>
      <c r="H229" s="12"/>
      <c r="I229" s="11"/>
      <c r="J229" s="10">
        <f t="shared" si="21"/>
        <v>0</v>
      </c>
      <c r="K229" s="10">
        <f t="shared" si="22"/>
        <v>0</v>
      </c>
      <c r="L229" s="9" t="str">
        <f t="shared" si="23"/>
        <v/>
      </c>
      <c r="M229" s="8"/>
      <c r="N229" s="8"/>
      <c r="O229" s="8"/>
      <c r="P229" s="8"/>
      <c r="Q229" s="8"/>
      <c r="R229" s="8"/>
      <c r="S229" s="8"/>
      <c r="T229" s="8"/>
      <c r="U229" s="8"/>
      <c r="V229" s="7"/>
      <c r="W229" s="6" t="str">
        <f t="array" ref="W229">IF(NOT(ISBLANK(D229)),_xludf.XLOOKUP(D229,[2]CODE!$A$4:$A$100,[2]CODE!$D$4:$D$100),"")</f>
        <v/>
      </c>
      <c r="X229" s="5" t="str">
        <f t="array" ref="X229">IF(NOT(AND(ISBLANK(D229),ISBLANK(C229))),_xludf.XLOOKUP(D229,[2]CODE!$A$4:$A$100,[2]CODE!$E$4:$E$100),"")</f>
        <v/>
      </c>
      <c r="Y229" s="5" t="str">
        <f t="shared" si="24"/>
        <v/>
      </c>
      <c r="Z229" s="5" t="str">
        <f t="shared" si="25"/>
        <v/>
      </c>
      <c r="AA229" s="4">
        <f t="shared" si="26"/>
        <v>0</v>
      </c>
      <c r="AC229" s="2"/>
    </row>
    <row r="230" spans="1:29" ht="15.5">
      <c r="A230" s="13" t="str">
        <f>IF(OR(ISBLANK(C230),ISBLANK(D230),ISBLANK(F230),ISBLANK(G230)),"",COUNTIF($B$5:B230,"JAMBUTU"))</f>
        <v/>
      </c>
      <c r="B230" s="8" t="str">
        <f t="shared" si="27"/>
        <v/>
      </c>
      <c r="C230" s="8"/>
      <c r="D230" s="8"/>
      <c r="E230" s="13"/>
      <c r="F230" s="12"/>
      <c r="G230" s="11"/>
      <c r="H230" s="12"/>
      <c r="I230" s="15"/>
      <c r="J230" s="10">
        <f t="shared" si="21"/>
        <v>0</v>
      </c>
      <c r="K230" s="10">
        <f t="shared" si="22"/>
        <v>0</v>
      </c>
      <c r="L230" s="9" t="str">
        <f t="shared" si="23"/>
        <v/>
      </c>
      <c r="M230" s="8"/>
      <c r="N230" s="8"/>
      <c r="O230" s="8"/>
      <c r="P230" s="8"/>
      <c r="Q230" s="8"/>
      <c r="R230" s="8"/>
      <c r="S230" s="8"/>
      <c r="T230" s="8"/>
      <c r="U230" s="8"/>
      <c r="V230" s="7"/>
      <c r="W230" s="6" t="str">
        <f t="array" ref="W230">IF(NOT(ISBLANK(D230)),_xludf.XLOOKUP(D230,[2]CODE!$A$4:$A$100,[2]CODE!$D$4:$D$100),"")</f>
        <v/>
      </c>
      <c r="X230" s="5" t="str">
        <f t="array" ref="X230">IF(NOT(AND(ISBLANK(D230),ISBLANK(C230))),_xludf.XLOOKUP(D230,[2]CODE!$A$4:$A$100,[2]CODE!$E$4:$E$100),"")</f>
        <v/>
      </c>
      <c r="Y230" s="5" t="str">
        <f t="shared" si="24"/>
        <v/>
      </c>
      <c r="Z230" s="5" t="str">
        <f t="shared" si="25"/>
        <v/>
      </c>
      <c r="AA230" s="4">
        <f t="shared" si="26"/>
        <v>0</v>
      </c>
      <c r="AC230" s="2"/>
    </row>
    <row r="231" spans="1:29" ht="15.5">
      <c r="A231" s="13" t="str">
        <f>IF(OR(ISBLANK(C231),ISBLANK(D231),ISBLANK(F231),ISBLANK(G231)),"",COUNTIF($B$5:B231,"JAMBUTU"))</f>
        <v/>
      </c>
      <c r="B231" s="8" t="str">
        <f t="shared" si="27"/>
        <v/>
      </c>
      <c r="C231" s="8"/>
      <c r="D231" s="8"/>
      <c r="E231" s="13"/>
      <c r="F231" s="12"/>
      <c r="G231" s="11"/>
      <c r="H231" s="12"/>
      <c r="I231" s="15"/>
      <c r="J231" s="10">
        <f t="shared" si="21"/>
        <v>0</v>
      </c>
      <c r="K231" s="10">
        <f t="shared" si="22"/>
        <v>0</v>
      </c>
      <c r="L231" s="9" t="str">
        <f t="shared" si="23"/>
        <v/>
      </c>
      <c r="M231" s="8"/>
      <c r="N231" s="8"/>
      <c r="O231" s="8"/>
      <c r="P231" s="8"/>
      <c r="Q231" s="8"/>
      <c r="R231" s="8"/>
      <c r="S231" s="8"/>
      <c r="T231" s="8"/>
      <c r="U231" s="8"/>
      <c r="V231" s="7"/>
      <c r="W231" s="6" t="str">
        <f t="array" ref="W231">IF(NOT(ISBLANK(D231)),_xludf.XLOOKUP(D231,[2]CODE!$A$4:$A$100,[2]CODE!$D$4:$D$100),"")</f>
        <v/>
      </c>
      <c r="X231" s="5" t="str">
        <f t="array" ref="X231">IF(NOT(AND(ISBLANK(D231),ISBLANK(C231))),_xludf.XLOOKUP(D231,[2]CODE!$A$4:$A$100,[2]CODE!$E$4:$E$100),"")</f>
        <v/>
      </c>
      <c r="Y231" s="5" t="str">
        <f t="shared" si="24"/>
        <v/>
      </c>
      <c r="Z231" s="5" t="str">
        <f t="shared" si="25"/>
        <v/>
      </c>
      <c r="AA231" s="4">
        <f t="shared" si="26"/>
        <v>0</v>
      </c>
      <c r="AC231" s="2"/>
    </row>
    <row r="232" spans="1:29" ht="15.5">
      <c r="A232" s="13" t="str">
        <f>IF(OR(ISBLANK(C232),ISBLANK(D232),ISBLANK(F232),ISBLANK(G232)),"",COUNTIF($B$5:B232,"JAMBUTU"))</f>
        <v/>
      </c>
      <c r="B232" s="8" t="str">
        <f t="shared" si="27"/>
        <v/>
      </c>
      <c r="C232" s="8"/>
      <c r="D232" s="8"/>
      <c r="E232" s="13"/>
      <c r="F232" s="12"/>
      <c r="G232" s="11"/>
      <c r="H232" s="12"/>
      <c r="I232" s="15"/>
      <c r="J232" s="10">
        <f t="shared" si="21"/>
        <v>0</v>
      </c>
      <c r="K232" s="10">
        <f t="shared" si="22"/>
        <v>0</v>
      </c>
      <c r="L232" s="9" t="str">
        <f t="shared" si="23"/>
        <v/>
      </c>
      <c r="M232" s="8"/>
      <c r="N232" s="8"/>
      <c r="O232" s="8"/>
      <c r="P232" s="8"/>
      <c r="Q232" s="8"/>
      <c r="R232" s="8"/>
      <c r="S232" s="8"/>
      <c r="T232" s="8"/>
      <c r="U232" s="8"/>
      <c r="V232" s="7"/>
      <c r="W232" s="6" t="str">
        <f t="array" ref="W232">IF(NOT(ISBLANK(D232)),_xludf.XLOOKUP(D232,[2]CODE!$A$4:$A$100,[2]CODE!$D$4:$D$100),"")</f>
        <v/>
      </c>
      <c r="X232" s="5" t="str">
        <f t="array" ref="X232">IF(NOT(AND(ISBLANK(D232),ISBLANK(C232))),_xludf.XLOOKUP(D232,[2]CODE!$A$4:$A$100,[2]CODE!$E$4:$E$100),"")</f>
        <v/>
      </c>
      <c r="Y232" s="5" t="str">
        <f t="shared" si="24"/>
        <v/>
      </c>
      <c r="Z232" s="5" t="str">
        <f t="shared" si="25"/>
        <v/>
      </c>
      <c r="AA232" s="4">
        <f t="shared" si="26"/>
        <v>0</v>
      </c>
      <c r="AC232" s="2"/>
    </row>
    <row r="233" spans="1:29" ht="15.5">
      <c r="A233" s="13" t="str">
        <f>IF(OR(ISBLANK(C233),ISBLANK(D233),ISBLANK(F233),ISBLANK(G233)),"",COUNTIF($B$5:B233,"JAMBUTU"))</f>
        <v/>
      </c>
      <c r="B233" s="8" t="str">
        <f t="shared" si="27"/>
        <v/>
      </c>
      <c r="C233" s="8"/>
      <c r="D233" s="8"/>
      <c r="E233" s="13"/>
      <c r="F233" s="12"/>
      <c r="G233" s="15"/>
      <c r="H233" s="12"/>
      <c r="I233" s="11"/>
      <c r="J233" s="10">
        <f t="shared" si="21"/>
        <v>0</v>
      </c>
      <c r="K233" s="10">
        <f t="shared" si="22"/>
        <v>0</v>
      </c>
      <c r="L233" s="9" t="str">
        <f t="shared" si="23"/>
        <v/>
      </c>
      <c r="M233" s="8"/>
      <c r="N233" s="8"/>
      <c r="O233" s="8"/>
      <c r="P233" s="8"/>
      <c r="Q233" s="8"/>
      <c r="R233" s="8"/>
      <c r="S233" s="8"/>
      <c r="T233" s="8"/>
      <c r="U233" s="8"/>
      <c r="V233" s="7"/>
      <c r="W233" s="6" t="str">
        <f t="array" ref="W233">IF(NOT(ISBLANK(D233)),_xludf.XLOOKUP(D233,[2]CODE!$A$4:$A$100,[2]CODE!$D$4:$D$100),"")</f>
        <v/>
      </c>
      <c r="X233" s="5" t="str">
        <f t="array" ref="X233">IF(NOT(AND(ISBLANK(D233),ISBLANK(C233))),_xludf.XLOOKUP(D233,[2]CODE!$A$4:$A$100,[2]CODE!$E$4:$E$100),"")</f>
        <v/>
      </c>
      <c r="Y233" s="5" t="str">
        <f t="shared" si="24"/>
        <v/>
      </c>
      <c r="Z233" s="5" t="str">
        <f t="shared" si="25"/>
        <v/>
      </c>
      <c r="AA233" s="4">
        <f t="shared" si="26"/>
        <v>0</v>
      </c>
      <c r="AC233" s="2"/>
    </row>
    <row r="234" spans="1:29" ht="15.5">
      <c r="A234" s="13" t="str">
        <f>IF(OR(ISBLANK(C234),ISBLANK(D234),ISBLANK(F234),ISBLANK(G234)),"",COUNTIF($B$5:B234,"JAMBUTU"))</f>
        <v/>
      </c>
      <c r="B234" s="8" t="str">
        <f t="shared" si="27"/>
        <v/>
      </c>
      <c r="C234" s="8"/>
      <c r="D234" s="8"/>
      <c r="E234" s="13"/>
      <c r="F234" s="12"/>
      <c r="G234" s="11"/>
      <c r="H234" s="12"/>
      <c r="I234" s="15"/>
      <c r="J234" s="10">
        <f t="shared" si="21"/>
        <v>0</v>
      </c>
      <c r="K234" s="10">
        <f t="shared" si="22"/>
        <v>0</v>
      </c>
      <c r="L234" s="9" t="str">
        <f t="shared" si="23"/>
        <v/>
      </c>
      <c r="M234" s="8"/>
      <c r="N234" s="8"/>
      <c r="O234" s="8"/>
      <c r="P234" s="8"/>
      <c r="Q234" s="8"/>
      <c r="R234" s="8"/>
      <c r="S234" s="8"/>
      <c r="T234" s="8"/>
      <c r="U234" s="8"/>
      <c r="V234" s="7"/>
      <c r="W234" s="6" t="str">
        <f t="array" ref="W234">IF(NOT(ISBLANK(D234)),_xludf.XLOOKUP(D234,[2]CODE!$A$4:$A$100,[2]CODE!$D$4:$D$100),"")</f>
        <v/>
      </c>
      <c r="X234" s="5" t="str">
        <f t="array" ref="X234">IF(NOT(AND(ISBLANK(D234),ISBLANK(C234))),_xludf.XLOOKUP(D234,[2]CODE!$A$4:$A$100,[2]CODE!$E$4:$E$100),"")</f>
        <v/>
      </c>
      <c r="Y234" s="5" t="str">
        <f t="shared" si="24"/>
        <v/>
      </c>
      <c r="Z234" s="5" t="str">
        <f t="shared" si="25"/>
        <v/>
      </c>
      <c r="AA234" s="4">
        <f t="shared" si="26"/>
        <v>0</v>
      </c>
      <c r="AC234" s="2"/>
    </row>
    <row r="235" spans="1:29" ht="15.5">
      <c r="A235" s="13" t="str">
        <f>IF(OR(ISBLANK(C235),ISBLANK(D235),ISBLANK(F235),ISBLANK(G235)),"",COUNTIF($B$5:B235,"JAMBUTU"))</f>
        <v/>
      </c>
      <c r="B235" s="8" t="str">
        <f t="shared" si="27"/>
        <v/>
      </c>
      <c r="C235" s="8"/>
      <c r="D235" s="8"/>
      <c r="E235" s="13"/>
      <c r="F235" s="12"/>
      <c r="G235" s="11"/>
      <c r="H235" s="12"/>
      <c r="I235" s="15"/>
      <c r="J235" s="10">
        <f t="shared" si="21"/>
        <v>0</v>
      </c>
      <c r="K235" s="10">
        <f t="shared" si="22"/>
        <v>0</v>
      </c>
      <c r="L235" s="9" t="str">
        <f t="shared" si="23"/>
        <v/>
      </c>
      <c r="M235" s="8"/>
      <c r="N235" s="8"/>
      <c r="O235" s="8"/>
      <c r="P235" s="8"/>
      <c r="Q235" s="8"/>
      <c r="R235" s="8"/>
      <c r="S235" s="8"/>
      <c r="T235" s="8"/>
      <c r="U235" s="8"/>
      <c r="V235" s="7"/>
      <c r="W235" s="6" t="str">
        <f t="array" ref="W235">IF(NOT(ISBLANK(D235)),_xludf.XLOOKUP(D235,[2]CODE!$A$4:$A$100,[2]CODE!$D$4:$D$100),"")</f>
        <v/>
      </c>
      <c r="X235" s="5" t="str">
        <f t="array" ref="X235">IF(NOT(AND(ISBLANK(D235),ISBLANK(C235))),_xludf.XLOOKUP(D235,[2]CODE!$A$4:$A$100,[2]CODE!$E$4:$E$100),"")</f>
        <v/>
      </c>
      <c r="Y235" s="5" t="str">
        <f t="shared" si="24"/>
        <v/>
      </c>
      <c r="Z235" s="5" t="str">
        <f t="shared" si="25"/>
        <v/>
      </c>
      <c r="AA235" s="4">
        <f t="shared" si="26"/>
        <v>0</v>
      </c>
      <c r="AC235" s="2"/>
    </row>
    <row r="236" spans="1:29" ht="15.5">
      <c r="A236" s="13" t="str">
        <f>IF(OR(ISBLANK(C236),ISBLANK(D236),ISBLANK(F236),ISBLANK(G236)),"",COUNTIF($B$5:B236,"JAMBUTU"))</f>
        <v/>
      </c>
      <c r="B236" s="8" t="str">
        <f t="shared" si="27"/>
        <v/>
      </c>
      <c r="C236" s="8"/>
      <c r="D236" s="8"/>
      <c r="E236" s="13"/>
      <c r="F236" s="12"/>
      <c r="G236" s="11"/>
      <c r="H236" s="12"/>
      <c r="I236" s="11"/>
      <c r="J236" s="10">
        <f t="shared" si="21"/>
        <v>0</v>
      </c>
      <c r="K236" s="10">
        <f t="shared" si="22"/>
        <v>0</v>
      </c>
      <c r="L236" s="9" t="str">
        <f t="shared" si="23"/>
        <v/>
      </c>
      <c r="M236" s="8"/>
      <c r="N236" s="8"/>
      <c r="O236" s="8"/>
      <c r="P236" s="8"/>
      <c r="Q236" s="8"/>
      <c r="R236" s="8"/>
      <c r="S236" s="8"/>
      <c r="T236" s="8"/>
      <c r="U236" s="8"/>
      <c r="V236" s="7"/>
      <c r="W236" s="6" t="str">
        <f t="array" ref="W236">IF(NOT(ISBLANK(D236)),_xludf.XLOOKUP(D236,[2]CODE!$A$4:$A$100,[2]CODE!$D$4:$D$100),"")</f>
        <v/>
      </c>
      <c r="X236" s="5" t="str">
        <f t="array" ref="X236">IF(NOT(AND(ISBLANK(D236),ISBLANK(C236))),_xludf.XLOOKUP(D236,[2]CODE!$A$4:$A$100,[2]CODE!$E$4:$E$100),"")</f>
        <v/>
      </c>
      <c r="Y236" s="5" t="str">
        <f t="shared" si="24"/>
        <v/>
      </c>
      <c r="Z236" s="5" t="str">
        <f t="shared" si="25"/>
        <v/>
      </c>
      <c r="AA236" s="4">
        <f t="shared" si="26"/>
        <v>0</v>
      </c>
      <c r="AC236" s="2"/>
    </row>
    <row r="237" spans="1:29" ht="15.5">
      <c r="A237" s="13" t="str">
        <f>IF(OR(ISBLANK(C237),ISBLANK(D237),ISBLANK(F237),ISBLANK(G237)),"",COUNTIF($B$5:B237,"JAMBUTU"))</f>
        <v/>
      </c>
      <c r="B237" s="8" t="str">
        <f t="shared" si="27"/>
        <v/>
      </c>
      <c r="C237" s="8"/>
      <c r="D237" s="8"/>
      <c r="E237" s="13"/>
      <c r="F237" s="12"/>
      <c r="G237" s="11"/>
      <c r="H237" s="12"/>
      <c r="I237" s="11"/>
      <c r="J237" s="10">
        <f t="shared" si="21"/>
        <v>0</v>
      </c>
      <c r="K237" s="10">
        <f t="shared" si="22"/>
        <v>0</v>
      </c>
      <c r="L237" s="9" t="str">
        <f t="shared" si="23"/>
        <v/>
      </c>
      <c r="M237" s="8"/>
      <c r="N237" s="8"/>
      <c r="O237" s="8"/>
      <c r="P237" s="8"/>
      <c r="Q237" s="8"/>
      <c r="R237" s="8"/>
      <c r="S237" s="8"/>
      <c r="T237" s="8"/>
      <c r="U237" s="8"/>
      <c r="V237" s="7"/>
      <c r="W237" s="6" t="str">
        <f t="array" ref="W237">IF(NOT(ISBLANK(D237)),_xludf.XLOOKUP(D237,[2]CODE!$A$4:$A$100,[2]CODE!$D$4:$D$100),"")</f>
        <v/>
      </c>
      <c r="X237" s="5" t="str">
        <f t="array" ref="X237">IF(NOT(AND(ISBLANK(D237),ISBLANK(C237))),_xludf.XLOOKUP(D237,[2]CODE!$A$4:$A$100,[2]CODE!$E$4:$E$100),"")</f>
        <v/>
      </c>
      <c r="Y237" s="5" t="str">
        <f t="shared" si="24"/>
        <v/>
      </c>
      <c r="Z237" s="5" t="str">
        <f t="shared" si="25"/>
        <v/>
      </c>
      <c r="AA237" s="4">
        <f t="shared" si="26"/>
        <v>0</v>
      </c>
      <c r="AC237" s="2"/>
    </row>
    <row r="238" spans="1:29" ht="15.5">
      <c r="A238" s="13" t="str">
        <f>IF(OR(ISBLANK(C238),ISBLANK(D238),ISBLANK(F238),ISBLANK(G238)),"",COUNTIF($B$5:B238,"JAMBUTU"))</f>
        <v/>
      </c>
      <c r="B238" s="8" t="str">
        <f t="shared" si="27"/>
        <v/>
      </c>
      <c r="C238" s="8"/>
      <c r="D238" s="8"/>
      <c r="E238" s="13"/>
      <c r="F238" s="12"/>
      <c r="G238" s="11"/>
      <c r="H238" s="12"/>
      <c r="I238" s="11"/>
      <c r="J238" s="10">
        <f t="shared" si="21"/>
        <v>0</v>
      </c>
      <c r="K238" s="10">
        <f t="shared" si="22"/>
        <v>0</v>
      </c>
      <c r="L238" s="9" t="str">
        <f t="shared" si="23"/>
        <v/>
      </c>
      <c r="M238" s="8"/>
      <c r="N238" s="8"/>
      <c r="O238" s="8"/>
      <c r="P238" s="8"/>
      <c r="Q238" s="8"/>
      <c r="R238" s="8"/>
      <c r="S238" s="8"/>
      <c r="T238" s="8"/>
      <c r="U238" s="8"/>
      <c r="V238" s="7"/>
      <c r="W238" s="6" t="str">
        <f t="array" ref="W238">IF(NOT(ISBLANK(D238)),_xludf.XLOOKUP(D238,[2]CODE!$A$4:$A$100,[2]CODE!$D$4:$D$100),"")</f>
        <v/>
      </c>
      <c r="X238" s="5" t="str">
        <f t="array" ref="X238">IF(NOT(AND(ISBLANK(D238),ISBLANK(C238))),_xludf.XLOOKUP(D238,[2]CODE!$A$4:$A$100,[2]CODE!$E$4:$E$100),"")</f>
        <v/>
      </c>
      <c r="Y238" s="5" t="str">
        <f t="shared" si="24"/>
        <v/>
      </c>
      <c r="Z238" s="5" t="str">
        <f t="shared" si="25"/>
        <v/>
      </c>
      <c r="AA238" s="4">
        <f t="shared" si="26"/>
        <v>0</v>
      </c>
      <c r="AC238" s="2"/>
    </row>
    <row r="239" spans="1:29" ht="15.5">
      <c r="A239" s="13" t="str">
        <f>IF(OR(ISBLANK(C239),ISBLANK(D239),ISBLANK(F239),ISBLANK(G239)),"",COUNTIF($B$5:B239,"JAMBUTU"))</f>
        <v/>
      </c>
      <c r="B239" s="8" t="str">
        <f t="shared" si="27"/>
        <v/>
      </c>
      <c r="C239" s="8"/>
      <c r="D239" s="8"/>
      <c r="E239" s="13"/>
      <c r="F239" s="12"/>
      <c r="G239" s="11"/>
      <c r="H239" s="12"/>
      <c r="I239" s="11"/>
      <c r="J239" s="10">
        <f t="shared" si="21"/>
        <v>0</v>
      </c>
      <c r="K239" s="10">
        <f t="shared" si="22"/>
        <v>0</v>
      </c>
      <c r="L239" s="9" t="str">
        <f t="shared" si="23"/>
        <v/>
      </c>
      <c r="M239" s="8"/>
      <c r="N239" s="8"/>
      <c r="O239" s="8"/>
      <c r="P239" s="8"/>
      <c r="Q239" s="8"/>
      <c r="R239" s="8"/>
      <c r="S239" s="8"/>
      <c r="T239" s="8"/>
      <c r="U239" s="8"/>
      <c r="V239" s="7"/>
      <c r="W239" s="6" t="str">
        <f t="array" ref="W239">IF(NOT(ISBLANK(D239)),_xludf.XLOOKUP(D239,[2]CODE!$A$4:$A$100,[2]CODE!$D$4:$D$100),"")</f>
        <v/>
      </c>
      <c r="X239" s="5" t="str">
        <f t="array" ref="X239">IF(NOT(AND(ISBLANK(D239),ISBLANK(C239))),_xludf.XLOOKUP(D239,[2]CODE!$A$4:$A$100,[2]CODE!$E$4:$E$100),"")</f>
        <v/>
      </c>
      <c r="Y239" s="5" t="str">
        <f t="shared" si="24"/>
        <v/>
      </c>
      <c r="Z239" s="5" t="str">
        <f t="shared" si="25"/>
        <v/>
      </c>
      <c r="AA239" s="4">
        <f t="shared" si="26"/>
        <v>0</v>
      </c>
      <c r="AC239" s="2"/>
    </row>
    <row r="240" spans="1:29" ht="15.5">
      <c r="A240" s="13" t="str">
        <f>IF(OR(ISBLANK(C240),ISBLANK(D240),ISBLANK(F240),ISBLANK(G240)),"",COUNTIF($B$5:B240,"JAMBUTU"))</f>
        <v/>
      </c>
      <c r="B240" s="8" t="str">
        <f t="shared" si="27"/>
        <v/>
      </c>
      <c r="C240" s="8"/>
      <c r="D240" s="8"/>
      <c r="E240" s="13"/>
      <c r="F240" s="12"/>
      <c r="G240" s="11"/>
      <c r="H240" s="12"/>
      <c r="I240" s="11"/>
      <c r="J240" s="10">
        <f t="shared" si="21"/>
        <v>0</v>
      </c>
      <c r="K240" s="10">
        <f t="shared" si="22"/>
        <v>0</v>
      </c>
      <c r="L240" s="9" t="str">
        <f t="shared" si="23"/>
        <v/>
      </c>
      <c r="M240" s="8"/>
      <c r="N240" s="8"/>
      <c r="O240" s="8"/>
      <c r="P240" s="8"/>
      <c r="Q240" s="8"/>
      <c r="R240" s="8"/>
      <c r="S240" s="8"/>
      <c r="T240" s="8"/>
      <c r="U240" s="8"/>
      <c r="V240" s="7"/>
      <c r="W240" s="6" t="str">
        <f t="array" ref="W240">IF(NOT(ISBLANK(D240)),_xludf.XLOOKUP(D240,[2]CODE!$A$4:$A$100,[2]CODE!$D$4:$D$100),"")</f>
        <v/>
      </c>
      <c r="X240" s="5" t="str">
        <f t="array" ref="X240">IF(NOT(AND(ISBLANK(D240),ISBLANK(C240))),_xludf.XLOOKUP(D240,[2]CODE!$A$4:$A$100,[2]CODE!$E$4:$E$100),"")</f>
        <v/>
      </c>
      <c r="Y240" s="5" t="str">
        <f t="shared" si="24"/>
        <v/>
      </c>
      <c r="Z240" s="5" t="str">
        <f t="shared" si="25"/>
        <v/>
      </c>
      <c r="AA240" s="4">
        <f t="shared" si="26"/>
        <v>0</v>
      </c>
      <c r="AC240" s="2"/>
    </row>
    <row r="241" spans="1:29" ht="15.5">
      <c r="A241" s="13" t="str">
        <f>IF(OR(ISBLANK(C241),ISBLANK(D241),ISBLANK(F241),ISBLANK(G241)),"",COUNTIF($B$5:B241,"JAMBUTU"))</f>
        <v/>
      </c>
      <c r="B241" s="8" t="str">
        <f t="shared" si="27"/>
        <v/>
      </c>
      <c r="C241" s="8"/>
      <c r="D241" s="8"/>
      <c r="E241" s="13"/>
      <c r="F241" s="12"/>
      <c r="G241" s="11"/>
      <c r="H241" s="12"/>
      <c r="I241" s="11"/>
      <c r="J241" s="10">
        <f t="shared" si="21"/>
        <v>0</v>
      </c>
      <c r="K241" s="10">
        <f t="shared" si="22"/>
        <v>0</v>
      </c>
      <c r="L241" s="9" t="str">
        <f t="shared" si="23"/>
        <v/>
      </c>
      <c r="M241" s="8"/>
      <c r="N241" s="8"/>
      <c r="O241" s="8"/>
      <c r="P241" s="8"/>
      <c r="Q241" s="8"/>
      <c r="R241" s="8"/>
      <c r="S241" s="8"/>
      <c r="T241" s="8"/>
      <c r="U241" s="8"/>
      <c r="V241" s="7"/>
      <c r="W241" s="6" t="str">
        <f t="array" ref="W241">IF(NOT(ISBLANK(D241)),_xludf.XLOOKUP(D241,[2]CODE!$A$4:$A$100,[2]CODE!$D$4:$D$100),"")</f>
        <v/>
      </c>
      <c r="X241" s="5" t="str">
        <f t="array" ref="X241">IF(NOT(AND(ISBLANK(D241),ISBLANK(C241))),_xludf.XLOOKUP(D241,[2]CODE!$A$4:$A$100,[2]CODE!$E$4:$E$100),"")</f>
        <v/>
      </c>
      <c r="Y241" s="5" t="str">
        <f t="shared" si="24"/>
        <v/>
      </c>
      <c r="Z241" s="5" t="str">
        <f t="shared" si="25"/>
        <v/>
      </c>
      <c r="AA241" s="4">
        <f t="shared" si="26"/>
        <v>0</v>
      </c>
      <c r="AC241" s="2"/>
    </row>
    <row r="242" spans="1:29" ht="15.5">
      <c r="A242" s="13" t="str">
        <f>IF(OR(ISBLANK(C242),ISBLANK(D242),ISBLANK(F242),ISBLANK(G242)),"",COUNTIF($B$5:B242,"JAMBUTU"))</f>
        <v/>
      </c>
      <c r="B242" s="8" t="str">
        <f t="shared" si="27"/>
        <v/>
      </c>
      <c r="C242" s="8"/>
      <c r="D242" s="8"/>
      <c r="E242" s="13"/>
      <c r="F242" s="12"/>
      <c r="G242" s="11"/>
      <c r="H242" s="12"/>
      <c r="I242" s="11"/>
      <c r="J242" s="10">
        <f t="shared" si="21"/>
        <v>0</v>
      </c>
      <c r="K242" s="10">
        <f t="shared" si="22"/>
        <v>0</v>
      </c>
      <c r="L242" s="9" t="str">
        <f t="shared" si="23"/>
        <v/>
      </c>
      <c r="M242" s="8"/>
      <c r="N242" s="8"/>
      <c r="O242" s="8"/>
      <c r="P242" s="8"/>
      <c r="Q242" s="8"/>
      <c r="R242" s="8"/>
      <c r="S242" s="8"/>
      <c r="T242" s="8"/>
      <c r="U242" s="8"/>
      <c r="V242" s="7"/>
      <c r="W242" s="6" t="str">
        <f t="array" ref="W242">IF(NOT(ISBLANK(D242)),_xludf.XLOOKUP(D242,[2]CODE!$A$4:$A$100,[2]CODE!$D$4:$D$100),"")</f>
        <v/>
      </c>
      <c r="X242" s="5" t="str">
        <f t="array" ref="X242">IF(NOT(AND(ISBLANK(D242),ISBLANK(C242))),_xludf.XLOOKUP(D242,[2]CODE!$A$4:$A$100,[2]CODE!$E$4:$E$100),"")</f>
        <v/>
      </c>
      <c r="Y242" s="5" t="str">
        <f t="shared" si="24"/>
        <v/>
      </c>
      <c r="Z242" s="5" t="str">
        <f t="shared" si="25"/>
        <v/>
      </c>
      <c r="AA242" s="4">
        <f t="shared" si="26"/>
        <v>0</v>
      </c>
      <c r="AC242" s="2"/>
    </row>
    <row r="243" spans="1:29" ht="15.5">
      <c r="A243" s="13" t="str">
        <f>IF(OR(ISBLANK(C243),ISBLANK(D243),ISBLANK(F243),ISBLANK(G243)),"",COUNTIF($B$5:B243,"JAMBUTU"))</f>
        <v/>
      </c>
      <c r="B243" s="8" t="str">
        <f t="shared" si="27"/>
        <v/>
      </c>
      <c r="C243" s="8"/>
      <c r="D243" s="8"/>
      <c r="E243" s="13"/>
      <c r="F243" s="12"/>
      <c r="G243" s="11"/>
      <c r="H243" s="12"/>
      <c r="I243" s="11"/>
      <c r="J243" s="10">
        <f t="shared" si="21"/>
        <v>0</v>
      </c>
      <c r="K243" s="10">
        <f t="shared" si="22"/>
        <v>0</v>
      </c>
      <c r="L243" s="9" t="str">
        <f t="shared" si="23"/>
        <v/>
      </c>
      <c r="M243" s="8"/>
      <c r="N243" s="8"/>
      <c r="O243" s="8"/>
      <c r="P243" s="8"/>
      <c r="Q243" s="8"/>
      <c r="R243" s="8"/>
      <c r="S243" s="8"/>
      <c r="T243" s="8"/>
      <c r="U243" s="8"/>
      <c r="V243" s="7"/>
      <c r="W243" s="6" t="str">
        <f t="array" ref="W243">IF(NOT(ISBLANK(D243)),_xludf.XLOOKUP(D243,[2]CODE!$A$4:$A$100,[2]CODE!$D$4:$D$100),"")</f>
        <v/>
      </c>
      <c r="X243" s="5" t="str">
        <f t="array" ref="X243">IF(NOT(AND(ISBLANK(D243),ISBLANK(C243))),_xludf.XLOOKUP(D243,[2]CODE!$A$4:$A$100,[2]CODE!$E$4:$E$100),"")</f>
        <v/>
      </c>
      <c r="Y243" s="5" t="str">
        <f t="shared" si="24"/>
        <v/>
      </c>
      <c r="Z243" s="5" t="str">
        <f t="shared" si="25"/>
        <v/>
      </c>
      <c r="AA243" s="4">
        <f t="shared" si="26"/>
        <v>0</v>
      </c>
      <c r="AC243" s="2"/>
    </row>
    <row r="244" spans="1:29" ht="15.5">
      <c r="A244" s="13" t="str">
        <f>IF(OR(ISBLANK(C244),ISBLANK(D244),ISBLANK(F244),ISBLANK(G244)),"",COUNTIF($B$5:B244,"JAMBUTU"))</f>
        <v/>
      </c>
      <c r="B244" s="8" t="str">
        <f t="shared" si="27"/>
        <v/>
      </c>
      <c r="C244" s="8"/>
      <c r="D244" s="8"/>
      <c r="E244" s="13"/>
      <c r="F244" s="12"/>
      <c r="G244" s="11"/>
      <c r="H244" s="12"/>
      <c r="I244" s="11"/>
      <c r="J244" s="10">
        <f t="shared" si="21"/>
        <v>0</v>
      </c>
      <c r="K244" s="10">
        <f t="shared" si="22"/>
        <v>0</v>
      </c>
      <c r="L244" s="9" t="str">
        <f t="shared" si="23"/>
        <v/>
      </c>
      <c r="M244" s="8"/>
      <c r="N244" s="8"/>
      <c r="O244" s="8"/>
      <c r="P244" s="8"/>
      <c r="Q244" s="8"/>
      <c r="R244" s="8"/>
      <c r="S244" s="8"/>
      <c r="T244" s="8"/>
      <c r="U244" s="8"/>
      <c r="V244" s="7"/>
      <c r="W244" s="6" t="str">
        <f t="array" ref="W244">IF(NOT(ISBLANK(D244)),_xludf.XLOOKUP(D244,[2]CODE!$A$4:$A$100,[2]CODE!$D$4:$D$100),"")</f>
        <v/>
      </c>
      <c r="X244" s="5" t="str">
        <f t="array" ref="X244">IF(NOT(AND(ISBLANK(D244),ISBLANK(C244))),_xludf.XLOOKUP(D244,[2]CODE!$A$4:$A$100,[2]CODE!$E$4:$E$100),"")</f>
        <v/>
      </c>
      <c r="Y244" s="5" t="str">
        <f t="shared" si="24"/>
        <v/>
      </c>
      <c r="Z244" s="5" t="str">
        <f t="shared" si="25"/>
        <v/>
      </c>
      <c r="AA244" s="4">
        <f t="shared" si="26"/>
        <v>0</v>
      </c>
      <c r="AC244" s="2"/>
    </row>
    <row r="245" spans="1:29" ht="15.5">
      <c r="A245" s="13" t="str">
        <f>IF(OR(ISBLANK(C245),ISBLANK(D245),ISBLANK(F245),ISBLANK(G245)),"",COUNTIF($B$5:B245,"JAMBUTU"))</f>
        <v/>
      </c>
      <c r="B245" s="8" t="str">
        <f t="shared" si="27"/>
        <v/>
      </c>
      <c r="C245" s="8"/>
      <c r="D245" s="8"/>
      <c r="E245" s="13"/>
      <c r="F245" s="12"/>
      <c r="G245" s="11"/>
      <c r="H245" s="12"/>
      <c r="I245" s="11"/>
      <c r="J245" s="10">
        <f t="shared" si="21"/>
        <v>0</v>
      </c>
      <c r="K245" s="10">
        <f t="shared" si="22"/>
        <v>0</v>
      </c>
      <c r="L245" s="9" t="str">
        <f t="shared" si="23"/>
        <v/>
      </c>
      <c r="M245" s="8"/>
      <c r="N245" s="8"/>
      <c r="O245" s="8"/>
      <c r="P245" s="8"/>
      <c r="Q245" s="8"/>
      <c r="R245" s="8"/>
      <c r="S245" s="8"/>
      <c r="T245" s="8"/>
      <c r="U245" s="8"/>
      <c r="V245" s="7"/>
      <c r="W245" s="6" t="str">
        <f t="array" ref="W245">IF(NOT(ISBLANK(D245)),_xludf.XLOOKUP(D245,[2]CODE!$A$4:$A$100,[2]CODE!$D$4:$D$100),"")</f>
        <v/>
      </c>
      <c r="X245" s="5" t="str">
        <f t="array" ref="X245">IF(NOT(AND(ISBLANK(D245),ISBLANK(C245))),_xludf.XLOOKUP(D245,[2]CODE!$A$4:$A$100,[2]CODE!$E$4:$E$100),"")</f>
        <v/>
      </c>
      <c r="Y245" s="5" t="str">
        <f t="shared" si="24"/>
        <v/>
      </c>
      <c r="Z245" s="5" t="str">
        <f t="shared" si="25"/>
        <v/>
      </c>
      <c r="AA245" s="4">
        <f t="shared" si="26"/>
        <v>0</v>
      </c>
      <c r="AC245" s="2"/>
    </row>
    <row r="246" spans="1:29" ht="15.5">
      <c r="A246" s="13" t="str">
        <f>IF(OR(ISBLANK(C246),ISBLANK(D246),ISBLANK(F246),ISBLANK(G246)),"",COUNTIF($B$5:B246,"JAMBUTU"))</f>
        <v/>
      </c>
      <c r="B246" s="8" t="str">
        <f t="shared" si="27"/>
        <v/>
      </c>
      <c r="C246" s="8"/>
      <c r="D246" s="8"/>
      <c r="E246" s="13"/>
      <c r="F246" s="12"/>
      <c r="G246" s="11"/>
      <c r="H246" s="12"/>
      <c r="I246" s="11"/>
      <c r="J246" s="10">
        <f t="shared" si="21"/>
        <v>0</v>
      </c>
      <c r="K246" s="10">
        <f t="shared" si="22"/>
        <v>0</v>
      </c>
      <c r="L246" s="9" t="str">
        <f t="shared" si="23"/>
        <v/>
      </c>
      <c r="M246" s="8"/>
      <c r="N246" s="8"/>
      <c r="O246" s="8"/>
      <c r="P246" s="8"/>
      <c r="Q246" s="8"/>
      <c r="R246" s="8"/>
      <c r="S246" s="8"/>
      <c r="T246" s="8"/>
      <c r="U246" s="8"/>
      <c r="V246" s="7"/>
      <c r="W246" s="6" t="str">
        <f t="array" ref="W246">IF(NOT(ISBLANK(D246)),_xludf.XLOOKUP(D246,[2]CODE!$A$4:$A$100,[2]CODE!$D$4:$D$100),"")</f>
        <v/>
      </c>
      <c r="X246" s="5" t="str">
        <f t="array" ref="X246">IF(NOT(AND(ISBLANK(D246),ISBLANK(C246))),_xludf.XLOOKUP(D246,[2]CODE!$A$4:$A$100,[2]CODE!$E$4:$E$100),"")</f>
        <v/>
      </c>
      <c r="Y246" s="5" t="str">
        <f t="shared" si="24"/>
        <v/>
      </c>
      <c r="Z246" s="5" t="str">
        <f t="shared" si="25"/>
        <v/>
      </c>
      <c r="AA246" s="4">
        <f t="shared" si="26"/>
        <v>0</v>
      </c>
      <c r="AC246" s="2"/>
    </row>
    <row r="247" spans="1:29" ht="15.5">
      <c r="A247" s="13" t="str">
        <f>IF(OR(ISBLANK(C247),ISBLANK(D247),ISBLANK(F247),ISBLANK(G247)),"",COUNTIF($B$5:B247,"JAMBUTU"))</f>
        <v/>
      </c>
      <c r="B247" s="8" t="str">
        <f t="shared" si="27"/>
        <v/>
      </c>
      <c r="C247" s="8"/>
      <c r="D247" s="8"/>
      <c r="E247" s="13"/>
      <c r="F247" s="12"/>
      <c r="G247" s="11"/>
      <c r="H247" s="12"/>
      <c r="I247" s="11"/>
      <c r="J247" s="10">
        <f t="shared" si="21"/>
        <v>0</v>
      </c>
      <c r="K247" s="10">
        <f t="shared" si="22"/>
        <v>0</v>
      </c>
      <c r="L247" s="9" t="str">
        <f t="shared" si="23"/>
        <v/>
      </c>
      <c r="M247" s="8"/>
      <c r="N247" s="8"/>
      <c r="O247" s="8"/>
      <c r="P247" s="8"/>
      <c r="Q247" s="8"/>
      <c r="R247" s="8"/>
      <c r="S247" s="8"/>
      <c r="T247" s="8"/>
      <c r="U247" s="8"/>
      <c r="V247" s="7"/>
      <c r="W247" s="6" t="str">
        <f t="array" ref="W247">IF(NOT(ISBLANK(D247)),_xludf.XLOOKUP(D247,[2]CODE!$A$4:$A$100,[2]CODE!$D$4:$D$100),"")</f>
        <v/>
      </c>
      <c r="X247" s="5" t="str">
        <f t="array" ref="X247">IF(NOT(AND(ISBLANK(D247),ISBLANK(C247))),_xludf.XLOOKUP(D247,[2]CODE!$A$4:$A$100,[2]CODE!$E$4:$E$100),"")</f>
        <v/>
      </c>
      <c r="Y247" s="5" t="str">
        <f t="shared" si="24"/>
        <v/>
      </c>
      <c r="Z247" s="5" t="str">
        <f t="shared" si="25"/>
        <v/>
      </c>
      <c r="AA247" s="4">
        <f t="shared" si="26"/>
        <v>0</v>
      </c>
      <c r="AC247" s="2"/>
    </row>
    <row r="248" spans="1:29" ht="15.5">
      <c r="A248" s="13" t="str">
        <f>IF(OR(ISBLANK(C248),ISBLANK(D248),ISBLANK(F248),ISBLANK(G248)),"",COUNTIF($B$5:B248,"JAMBUTU"))</f>
        <v/>
      </c>
      <c r="B248" s="8" t="str">
        <f t="shared" si="27"/>
        <v/>
      </c>
      <c r="C248" s="8"/>
      <c r="D248" s="8"/>
      <c r="E248" s="13"/>
      <c r="F248" s="12"/>
      <c r="G248" s="11"/>
      <c r="H248" s="12"/>
      <c r="I248" s="11"/>
      <c r="J248" s="10">
        <f t="shared" si="21"/>
        <v>0</v>
      </c>
      <c r="K248" s="10">
        <f t="shared" si="22"/>
        <v>0</v>
      </c>
      <c r="L248" s="9" t="str">
        <f t="shared" si="23"/>
        <v/>
      </c>
      <c r="M248" s="8"/>
      <c r="N248" s="8"/>
      <c r="O248" s="8"/>
      <c r="P248" s="8"/>
      <c r="Q248" s="8"/>
      <c r="R248" s="8"/>
      <c r="S248" s="8"/>
      <c r="T248" s="8"/>
      <c r="U248" s="8"/>
      <c r="V248" s="7"/>
      <c r="W248" s="6" t="str">
        <f t="array" ref="W248">IF(NOT(ISBLANK(D248)),_xludf.XLOOKUP(D248,[2]CODE!$A$4:$A$100,[2]CODE!$D$4:$D$100),"")</f>
        <v/>
      </c>
      <c r="X248" s="5" t="str">
        <f t="array" ref="X248">IF(NOT(AND(ISBLANK(D248),ISBLANK(C248))),_xludf.XLOOKUP(D248,[2]CODE!$A$4:$A$100,[2]CODE!$E$4:$E$100),"")</f>
        <v/>
      </c>
      <c r="Y248" s="5" t="str">
        <f t="shared" si="24"/>
        <v/>
      </c>
      <c r="Z248" s="5" t="str">
        <f t="shared" si="25"/>
        <v/>
      </c>
      <c r="AA248" s="4">
        <f t="shared" si="26"/>
        <v>0</v>
      </c>
      <c r="AC248" s="2"/>
    </row>
    <row r="249" spans="1:29" ht="15.5">
      <c r="A249" s="13" t="str">
        <f>IF(OR(ISBLANK(C249),ISBLANK(D249),ISBLANK(F249),ISBLANK(G249)),"",COUNTIF($B$5:B249,"JAMBUTU"))</f>
        <v/>
      </c>
      <c r="B249" s="8" t="str">
        <f t="shared" si="27"/>
        <v/>
      </c>
      <c r="C249" s="8"/>
      <c r="D249" s="8"/>
      <c r="E249" s="13"/>
      <c r="F249" s="12"/>
      <c r="G249" s="11"/>
      <c r="H249" s="12"/>
      <c r="I249" s="11"/>
      <c r="J249" s="10">
        <f t="shared" si="21"/>
        <v>0</v>
      </c>
      <c r="K249" s="10">
        <f t="shared" si="22"/>
        <v>0</v>
      </c>
      <c r="L249" s="9" t="str">
        <f t="shared" si="23"/>
        <v/>
      </c>
      <c r="M249" s="8"/>
      <c r="N249" s="8"/>
      <c r="O249" s="8"/>
      <c r="P249" s="8"/>
      <c r="Q249" s="8"/>
      <c r="R249" s="8"/>
      <c r="S249" s="8"/>
      <c r="T249" s="8"/>
      <c r="U249" s="8"/>
      <c r="V249" s="7"/>
      <c r="W249" s="6" t="str">
        <f t="array" ref="W249">IF(NOT(ISBLANK(D249)),_xludf.XLOOKUP(D249,[2]CODE!$A$4:$A$100,[2]CODE!$D$4:$D$100),"")</f>
        <v/>
      </c>
      <c r="X249" s="5" t="str">
        <f t="array" ref="X249">IF(NOT(AND(ISBLANK(D249),ISBLANK(C249))),_xludf.XLOOKUP(D249,[2]CODE!$A$4:$A$100,[2]CODE!$E$4:$E$100),"")</f>
        <v/>
      </c>
      <c r="Y249" s="5" t="str">
        <f t="shared" si="24"/>
        <v/>
      </c>
      <c r="Z249" s="5" t="str">
        <f t="shared" si="25"/>
        <v/>
      </c>
      <c r="AA249" s="4">
        <f t="shared" si="26"/>
        <v>0</v>
      </c>
      <c r="AC249" s="2"/>
    </row>
    <row r="250" spans="1:29" ht="15.5">
      <c r="A250" s="13" t="str">
        <f>IF(OR(ISBLANK(C250),ISBLANK(D250),ISBLANK(F250),ISBLANK(G250)),"",COUNTIF($B$5:B250,"JAMBUTU"))</f>
        <v/>
      </c>
      <c r="B250" s="8" t="str">
        <f t="shared" si="27"/>
        <v/>
      </c>
      <c r="C250" s="8"/>
      <c r="D250" s="8"/>
      <c r="E250" s="13"/>
      <c r="F250" s="12"/>
      <c r="G250" s="11"/>
      <c r="H250" s="12"/>
      <c r="I250" s="11"/>
      <c r="J250" s="10">
        <f t="shared" si="21"/>
        <v>0</v>
      </c>
      <c r="K250" s="10">
        <f t="shared" si="22"/>
        <v>0</v>
      </c>
      <c r="L250" s="9" t="str">
        <f t="shared" si="23"/>
        <v/>
      </c>
      <c r="M250" s="8"/>
      <c r="N250" s="8"/>
      <c r="O250" s="8"/>
      <c r="P250" s="8"/>
      <c r="Q250" s="8"/>
      <c r="R250" s="8"/>
      <c r="S250" s="8"/>
      <c r="T250" s="8"/>
      <c r="U250" s="8"/>
      <c r="V250" s="7"/>
      <c r="W250" s="6" t="str">
        <f t="array" ref="W250">IF(NOT(ISBLANK(D250)),_xludf.XLOOKUP(D250,[2]CODE!$A$4:$A$100,[2]CODE!$D$4:$D$100),"")</f>
        <v/>
      </c>
      <c r="X250" s="5" t="str">
        <f t="array" ref="X250">IF(NOT(AND(ISBLANK(D250),ISBLANK(C250))),_xludf.XLOOKUP(D250,[2]CODE!$A$4:$A$100,[2]CODE!$E$4:$E$100),"")</f>
        <v/>
      </c>
      <c r="Y250" s="5" t="str">
        <f t="shared" si="24"/>
        <v/>
      </c>
      <c r="Z250" s="5" t="str">
        <f t="shared" si="25"/>
        <v/>
      </c>
      <c r="AA250" s="4">
        <f t="shared" si="26"/>
        <v>0</v>
      </c>
      <c r="AC250" s="2"/>
    </row>
    <row r="251" spans="1:29" ht="15.5">
      <c r="A251" s="13" t="str">
        <f>IF(OR(ISBLANK(C251),ISBLANK(D251),ISBLANK(F251),ISBLANK(G251)),"",COUNTIF($B$5:B251,"JAMBUTU"))</f>
        <v/>
      </c>
      <c r="B251" s="8" t="str">
        <f t="shared" si="27"/>
        <v/>
      </c>
      <c r="C251" s="8"/>
      <c r="D251" s="8"/>
      <c r="E251" s="13"/>
      <c r="F251" s="12"/>
      <c r="G251" s="11"/>
      <c r="H251" s="12"/>
      <c r="I251" s="11"/>
      <c r="J251" s="10">
        <f t="shared" si="21"/>
        <v>0</v>
      </c>
      <c r="K251" s="10">
        <f t="shared" si="22"/>
        <v>0</v>
      </c>
      <c r="L251" s="9" t="str">
        <f t="shared" si="23"/>
        <v/>
      </c>
      <c r="M251" s="8"/>
      <c r="N251" s="8"/>
      <c r="O251" s="8"/>
      <c r="P251" s="8"/>
      <c r="Q251" s="8"/>
      <c r="R251" s="8"/>
      <c r="S251" s="8"/>
      <c r="T251" s="8"/>
      <c r="U251" s="8"/>
      <c r="V251" s="7"/>
      <c r="W251" s="6" t="str">
        <f t="array" ref="W251">IF(NOT(ISBLANK(D251)),_xludf.XLOOKUP(D251,[2]CODE!$A$4:$A$100,[2]CODE!$D$4:$D$100),"")</f>
        <v/>
      </c>
      <c r="X251" s="5" t="str">
        <f t="array" ref="X251">IF(NOT(AND(ISBLANK(D251),ISBLANK(C251))),_xludf.XLOOKUP(D251,[2]CODE!$A$4:$A$100,[2]CODE!$E$4:$E$100),"")</f>
        <v/>
      </c>
      <c r="Y251" s="5" t="str">
        <f t="shared" si="24"/>
        <v/>
      </c>
      <c r="Z251" s="5" t="str">
        <f t="shared" si="25"/>
        <v/>
      </c>
      <c r="AA251" s="4">
        <f t="shared" si="26"/>
        <v>0</v>
      </c>
      <c r="AC251" s="2"/>
    </row>
    <row r="252" spans="1:29" ht="15.5">
      <c r="A252" s="13" t="str">
        <f>IF(OR(ISBLANK(C252),ISBLANK(D252),ISBLANK(F252),ISBLANK(G252)),"",COUNTIF($B$5:B252,"JAMBUTU"))</f>
        <v/>
      </c>
      <c r="B252" s="8" t="str">
        <f t="shared" si="27"/>
        <v/>
      </c>
      <c r="C252" s="8"/>
      <c r="D252" s="8"/>
      <c r="E252" s="13"/>
      <c r="F252" s="12"/>
      <c r="G252" s="11"/>
      <c r="H252" s="12"/>
      <c r="I252" s="11"/>
      <c r="J252" s="10">
        <f t="shared" si="21"/>
        <v>0</v>
      </c>
      <c r="K252" s="10">
        <f t="shared" si="22"/>
        <v>0</v>
      </c>
      <c r="L252" s="9" t="str">
        <f t="shared" si="23"/>
        <v/>
      </c>
      <c r="M252" s="8"/>
      <c r="N252" s="8"/>
      <c r="O252" s="8"/>
      <c r="P252" s="8"/>
      <c r="Q252" s="8"/>
      <c r="R252" s="8"/>
      <c r="S252" s="8"/>
      <c r="T252" s="8"/>
      <c r="U252" s="8"/>
      <c r="V252" s="7"/>
      <c r="W252" s="6" t="str">
        <f t="array" ref="W252">IF(NOT(ISBLANK(D252)),_xludf.XLOOKUP(D252,[2]CODE!$A$4:$A$100,[2]CODE!$D$4:$D$100),"")</f>
        <v/>
      </c>
      <c r="X252" s="5" t="str">
        <f t="array" ref="X252">IF(NOT(AND(ISBLANK(D252),ISBLANK(C252))),_xludf.XLOOKUP(D252,[2]CODE!$A$4:$A$100,[2]CODE!$E$4:$E$100),"")</f>
        <v/>
      </c>
      <c r="Y252" s="5" t="str">
        <f t="shared" si="24"/>
        <v/>
      </c>
      <c r="Z252" s="5" t="str">
        <f t="shared" si="25"/>
        <v/>
      </c>
      <c r="AA252" s="4">
        <f t="shared" si="26"/>
        <v>0</v>
      </c>
      <c r="AC252" s="2"/>
    </row>
    <row r="253" spans="1:29" ht="15.5">
      <c r="A253" s="13" t="str">
        <f>IF(OR(ISBLANK(C253),ISBLANK(D253),ISBLANK(F253),ISBLANK(G253)),"",COUNTIF($B$5:B253,"JAMBUTU"))</f>
        <v/>
      </c>
      <c r="B253" s="8" t="str">
        <f t="shared" si="27"/>
        <v/>
      </c>
      <c r="C253" s="8"/>
      <c r="D253" s="8"/>
      <c r="E253" s="13"/>
      <c r="F253" s="12"/>
      <c r="G253" s="11"/>
      <c r="H253" s="12"/>
      <c r="I253" s="11"/>
      <c r="J253" s="10">
        <f t="shared" si="21"/>
        <v>0</v>
      </c>
      <c r="K253" s="10">
        <f t="shared" si="22"/>
        <v>0</v>
      </c>
      <c r="L253" s="9" t="str">
        <f t="shared" si="23"/>
        <v/>
      </c>
      <c r="M253" s="8"/>
      <c r="N253" s="8"/>
      <c r="O253" s="8"/>
      <c r="P253" s="8"/>
      <c r="Q253" s="8"/>
      <c r="R253" s="8"/>
      <c r="S253" s="8"/>
      <c r="T253" s="8"/>
      <c r="U253" s="8"/>
      <c r="V253" s="7"/>
      <c r="W253" s="6" t="str">
        <f t="array" ref="W253">IF(NOT(ISBLANK(D253)),_xludf.XLOOKUP(D253,[2]CODE!$A$4:$A$100,[2]CODE!$D$4:$D$100),"")</f>
        <v/>
      </c>
      <c r="X253" s="5" t="str">
        <f t="array" ref="X253">IF(NOT(AND(ISBLANK(D253),ISBLANK(C253))),_xludf.XLOOKUP(D253,[2]CODE!$A$4:$A$100,[2]CODE!$E$4:$E$100),"")</f>
        <v/>
      </c>
      <c r="Y253" s="5" t="str">
        <f t="shared" si="24"/>
        <v/>
      </c>
      <c r="Z253" s="5" t="str">
        <f t="shared" si="25"/>
        <v/>
      </c>
      <c r="AA253" s="4">
        <f t="shared" si="26"/>
        <v>0</v>
      </c>
      <c r="AC253" s="2"/>
    </row>
    <row r="254" spans="1:29" ht="15.5">
      <c r="A254" s="13" t="str">
        <f>IF(OR(ISBLANK(C254),ISBLANK(D254),ISBLANK(F254),ISBLANK(G254)),"",COUNTIF($B$5:B254,"JAMBUTU"))</f>
        <v/>
      </c>
      <c r="B254" s="8" t="str">
        <f t="shared" si="27"/>
        <v/>
      </c>
      <c r="C254" s="8"/>
      <c r="D254" s="8"/>
      <c r="E254" s="13"/>
      <c r="F254" s="12"/>
      <c r="G254" s="11"/>
      <c r="H254" s="12"/>
      <c r="I254" s="11"/>
      <c r="J254" s="10">
        <f t="shared" si="21"/>
        <v>0</v>
      </c>
      <c r="K254" s="10">
        <f t="shared" si="22"/>
        <v>0</v>
      </c>
      <c r="L254" s="9" t="str">
        <f t="shared" si="23"/>
        <v/>
      </c>
      <c r="M254" s="8"/>
      <c r="N254" s="8"/>
      <c r="O254" s="8"/>
      <c r="P254" s="8"/>
      <c r="Q254" s="8"/>
      <c r="R254" s="8"/>
      <c r="S254" s="8"/>
      <c r="T254" s="8"/>
      <c r="U254" s="8"/>
      <c r="V254" s="7"/>
      <c r="W254" s="6" t="str">
        <f t="array" ref="W254">IF(NOT(ISBLANK(D254)),_xludf.XLOOKUP(D254,[2]CODE!$A$4:$A$100,[2]CODE!$D$4:$D$100),"")</f>
        <v/>
      </c>
      <c r="X254" s="5" t="str">
        <f t="array" ref="X254">IF(NOT(AND(ISBLANK(D254),ISBLANK(C254))),_xludf.XLOOKUP(D254,[2]CODE!$A$4:$A$100,[2]CODE!$E$4:$E$100),"")</f>
        <v/>
      </c>
      <c r="Y254" s="5" t="str">
        <f t="shared" si="24"/>
        <v/>
      </c>
      <c r="Z254" s="5" t="str">
        <f t="shared" si="25"/>
        <v/>
      </c>
      <c r="AA254" s="4">
        <f t="shared" si="26"/>
        <v>0</v>
      </c>
      <c r="AC254" s="2"/>
    </row>
    <row r="255" spans="1:29" ht="15.5">
      <c r="A255" s="13" t="str">
        <f>IF(OR(ISBLANK(C255),ISBLANK(D255),ISBLANK(F255),ISBLANK(G255)),"",COUNTIF($B$5:B255,"JAMBUTU"))</f>
        <v/>
      </c>
      <c r="B255" s="8" t="str">
        <f t="shared" si="27"/>
        <v/>
      </c>
      <c r="C255" s="8"/>
      <c r="D255" s="8"/>
      <c r="E255" s="13"/>
      <c r="F255" s="12"/>
      <c r="G255" s="11"/>
      <c r="H255" s="12"/>
      <c r="I255" s="11"/>
      <c r="J255" s="10">
        <f t="shared" si="21"/>
        <v>0</v>
      </c>
      <c r="K255" s="10">
        <f t="shared" si="22"/>
        <v>0</v>
      </c>
      <c r="L255" s="9" t="str">
        <f t="shared" si="23"/>
        <v/>
      </c>
      <c r="M255" s="8"/>
      <c r="N255" s="8"/>
      <c r="O255" s="8"/>
      <c r="P255" s="8"/>
      <c r="Q255" s="8"/>
      <c r="R255" s="8"/>
      <c r="S255" s="8"/>
      <c r="T255" s="8"/>
      <c r="U255" s="8"/>
      <c r="V255" s="7"/>
      <c r="W255" s="6" t="str">
        <f t="array" ref="W255">IF(NOT(ISBLANK(D255)),_xludf.XLOOKUP(D255,[2]CODE!$A$4:$A$100,[2]CODE!$D$4:$D$100),"")</f>
        <v/>
      </c>
      <c r="X255" s="5" t="str">
        <f t="array" ref="X255">IF(NOT(AND(ISBLANK(D255),ISBLANK(C255))),_xludf.XLOOKUP(D255,[2]CODE!$A$4:$A$100,[2]CODE!$E$4:$E$100),"")</f>
        <v/>
      </c>
      <c r="Y255" s="5" t="str">
        <f t="shared" si="24"/>
        <v/>
      </c>
      <c r="Z255" s="5" t="str">
        <f t="shared" si="25"/>
        <v/>
      </c>
      <c r="AA255" s="4">
        <f t="shared" si="26"/>
        <v>0</v>
      </c>
      <c r="AC255" s="2"/>
    </row>
    <row r="256" spans="1:29" ht="15.5">
      <c r="A256" s="13" t="str">
        <f>IF(OR(ISBLANK(C256),ISBLANK(D256),ISBLANK(F256),ISBLANK(G256)),"",COUNTIF($B$5:B256,"JAMBUTU"))</f>
        <v/>
      </c>
      <c r="B256" s="8" t="str">
        <f t="shared" si="27"/>
        <v/>
      </c>
      <c r="C256" s="8"/>
      <c r="D256" s="8"/>
      <c r="E256" s="13"/>
      <c r="F256" s="12"/>
      <c r="G256" s="11"/>
      <c r="H256" s="12"/>
      <c r="I256" s="11"/>
      <c r="J256" s="10">
        <f t="shared" si="21"/>
        <v>0</v>
      </c>
      <c r="K256" s="10">
        <f t="shared" si="22"/>
        <v>0</v>
      </c>
      <c r="L256" s="9" t="str">
        <f t="shared" si="23"/>
        <v/>
      </c>
      <c r="M256" s="8"/>
      <c r="N256" s="8"/>
      <c r="O256" s="8"/>
      <c r="P256" s="8"/>
      <c r="Q256" s="8"/>
      <c r="R256" s="8"/>
      <c r="S256" s="8"/>
      <c r="T256" s="8"/>
      <c r="U256" s="8"/>
      <c r="V256" s="7"/>
      <c r="W256" s="6" t="str">
        <f t="array" ref="W256">IF(NOT(ISBLANK(D256)),_xludf.XLOOKUP(D256,[2]CODE!$A$4:$A$100,[2]CODE!$D$4:$D$100),"")</f>
        <v/>
      </c>
      <c r="X256" s="5" t="str">
        <f t="array" ref="X256">IF(NOT(AND(ISBLANK(D256),ISBLANK(C256))),_xludf.XLOOKUP(D256,[2]CODE!$A$4:$A$100,[2]CODE!$E$4:$E$100),"")</f>
        <v/>
      </c>
      <c r="Y256" s="5" t="str">
        <f t="shared" si="24"/>
        <v/>
      </c>
      <c r="Z256" s="5" t="str">
        <f t="shared" si="25"/>
        <v/>
      </c>
      <c r="AA256" s="4">
        <f t="shared" si="26"/>
        <v>0</v>
      </c>
      <c r="AC256" s="2"/>
    </row>
    <row r="257" spans="1:29" ht="15.5">
      <c r="A257" s="13" t="str">
        <f>IF(OR(ISBLANK(C257),ISBLANK(D257),ISBLANK(F257),ISBLANK(G257)),"",COUNTIF($B$5:B257,"JAMBUTU"))</f>
        <v/>
      </c>
      <c r="B257" s="8" t="str">
        <f t="shared" si="27"/>
        <v/>
      </c>
      <c r="C257" s="8"/>
      <c r="D257" s="8"/>
      <c r="E257" s="13"/>
      <c r="F257" s="12"/>
      <c r="G257" s="11"/>
      <c r="H257" s="12"/>
      <c r="I257" s="11"/>
      <c r="J257" s="10">
        <f t="shared" si="21"/>
        <v>0</v>
      </c>
      <c r="K257" s="10">
        <f t="shared" si="22"/>
        <v>0</v>
      </c>
      <c r="L257" s="9" t="str">
        <f t="shared" si="23"/>
        <v/>
      </c>
      <c r="M257" s="8"/>
      <c r="N257" s="8"/>
      <c r="O257" s="8"/>
      <c r="P257" s="8"/>
      <c r="Q257" s="8"/>
      <c r="R257" s="8"/>
      <c r="S257" s="8"/>
      <c r="T257" s="8"/>
      <c r="U257" s="8"/>
      <c r="V257" s="7"/>
      <c r="W257" s="6" t="str">
        <f t="array" ref="W257">IF(NOT(ISBLANK(D257)),_xludf.XLOOKUP(D257,[2]CODE!$A$4:$A$100,[2]CODE!$D$4:$D$100),"")</f>
        <v/>
      </c>
      <c r="X257" s="5" t="str">
        <f t="array" ref="X257">IF(NOT(AND(ISBLANK(D257),ISBLANK(C257))),_xludf.XLOOKUP(D257,[2]CODE!$A$4:$A$100,[2]CODE!$E$4:$E$100),"")</f>
        <v/>
      </c>
      <c r="Y257" s="5" t="str">
        <f t="shared" si="24"/>
        <v/>
      </c>
      <c r="Z257" s="5" t="str">
        <f t="shared" si="25"/>
        <v/>
      </c>
      <c r="AA257" s="4">
        <f t="shared" si="26"/>
        <v>0</v>
      </c>
      <c r="AC257" s="2"/>
    </row>
    <row r="258" spans="1:29" ht="15.5">
      <c r="A258" s="13" t="str">
        <f>IF(OR(ISBLANK(C258),ISBLANK(D258),ISBLANK(F258),ISBLANK(G258)),"",COUNTIF($B$5:B258,"JAMBUTU"))</f>
        <v/>
      </c>
      <c r="B258" s="8" t="str">
        <f t="shared" si="27"/>
        <v/>
      </c>
      <c r="C258" s="8"/>
      <c r="D258" s="8"/>
      <c r="E258" s="13"/>
      <c r="F258" s="12"/>
      <c r="G258" s="11"/>
      <c r="H258" s="12"/>
      <c r="I258" s="11"/>
      <c r="J258" s="10">
        <f t="shared" si="21"/>
        <v>0</v>
      </c>
      <c r="K258" s="10">
        <f t="shared" si="22"/>
        <v>0</v>
      </c>
      <c r="L258" s="9" t="str">
        <f t="shared" si="23"/>
        <v/>
      </c>
      <c r="M258" s="8"/>
      <c r="N258" s="8"/>
      <c r="O258" s="8"/>
      <c r="P258" s="8"/>
      <c r="Q258" s="8"/>
      <c r="R258" s="8"/>
      <c r="S258" s="8"/>
      <c r="T258" s="8"/>
      <c r="U258" s="8"/>
      <c r="V258" s="7"/>
      <c r="W258" s="6" t="str">
        <f t="array" ref="W258">IF(NOT(ISBLANK(D258)),_xludf.XLOOKUP(D258,[2]CODE!$A$4:$A$100,[2]CODE!$D$4:$D$100),"")</f>
        <v/>
      </c>
      <c r="X258" s="5" t="str">
        <f t="array" ref="X258">IF(NOT(AND(ISBLANK(D258),ISBLANK(C258))),_xludf.XLOOKUP(D258,[2]CODE!$A$4:$A$100,[2]CODE!$E$4:$E$100),"")</f>
        <v/>
      </c>
      <c r="Y258" s="5" t="str">
        <f t="shared" si="24"/>
        <v/>
      </c>
      <c r="Z258" s="5" t="str">
        <f t="shared" si="25"/>
        <v/>
      </c>
      <c r="AA258" s="4">
        <f t="shared" si="26"/>
        <v>0</v>
      </c>
      <c r="AC258" s="2"/>
    </row>
    <row r="259" spans="1:29" ht="15.5">
      <c r="A259" s="13" t="str">
        <f>IF(OR(ISBLANK(C259),ISBLANK(D259),ISBLANK(F259),ISBLANK(G259)),"",COUNTIF($B$5:B259,"JAMBUTU"))</f>
        <v/>
      </c>
      <c r="B259" s="8" t="str">
        <f t="shared" si="27"/>
        <v/>
      </c>
      <c r="C259" s="8"/>
      <c r="D259" s="8"/>
      <c r="E259" s="13"/>
      <c r="F259" s="12"/>
      <c r="G259" s="11"/>
      <c r="H259" s="12"/>
      <c r="I259" s="11"/>
      <c r="J259" s="10">
        <f t="shared" si="21"/>
        <v>0</v>
      </c>
      <c r="K259" s="10">
        <f t="shared" si="22"/>
        <v>0</v>
      </c>
      <c r="L259" s="9" t="str">
        <f t="shared" si="23"/>
        <v/>
      </c>
      <c r="M259" s="8"/>
      <c r="N259" s="8"/>
      <c r="O259" s="8"/>
      <c r="P259" s="8"/>
      <c r="Q259" s="8"/>
      <c r="R259" s="8"/>
      <c r="S259" s="8"/>
      <c r="T259" s="8"/>
      <c r="U259" s="8"/>
      <c r="V259" s="7"/>
      <c r="W259" s="6" t="str">
        <f t="array" ref="W259">IF(NOT(ISBLANK(D259)),_xludf.XLOOKUP(D259,[2]CODE!$A$4:$A$100,[2]CODE!$D$4:$D$100),"")</f>
        <v/>
      </c>
      <c r="X259" s="5" t="str">
        <f t="array" ref="X259">IF(NOT(AND(ISBLANK(D259),ISBLANK(C259))),_xludf.XLOOKUP(D259,[2]CODE!$A$4:$A$100,[2]CODE!$E$4:$E$100),"")</f>
        <v/>
      </c>
      <c r="Y259" s="5" t="str">
        <f t="shared" si="24"/>
        <v/>
      </c>
      <c r="Z259" s="5" t="str">
        <f t="shared" si="25"/>
        <v/>
      </c>
      <c r="AA259" s="4">
        <f t="shared" si="26"/>
        <v>0</v>
      </c>
      <c r="AC259" s="2"/>
    </row>
    <row r="260" spans="1:29" ht="15.5">
      <c r="A260" s="13" t="str">
        <f>IF(OR(ISBLANK(C260),ISBLANK(D260),ISBLANK(F260),ISBLANK(G260)),"",COUNTIF($B$5:B260,"JAMBUTU"))</f>
        <v/>
      </c>
      <c r="B260" s="8" t="str">
        <f t="shared" si="27"/>
        <v/>
      </c>
      <c r="C260" s="8"/>
      <c r="D260" s="8"/>
      <c r="E260" s="13"/>
      <c r="F260" s="12"/>
      <c r="G260" s="11"/>
      <c r="H260" s="12"/>
      <c r="I260" s="11"/>
      <c r="J260" s="10">
        <f t="shared" si="21"/>
        <v>0</v>
      </c>
      <c r="K260" s="10">
        <f t="shared" si="22"/>
        <v>0</v>
      </c>
      <c r="L260" s="9" t="str">
        <f t="shared" si="23"/>
        <v/>
      </c>
      <c r="M260" s="8"/>
      <c r="N260" s="8"/>
      <c r="O260" s="8"/>
      <c r="P260" s="8"/>
      <c r="Q260" s="8"/>
      <c r="R260" s="8"/>
      <c r="S260" s="8"/>
      <c r="T260" s="8"/>
      <c r="U260" s="8"/>
      <c r="V260" s="7"/>
      <c r="W260" s="6" t="str">
        <f t="array" ref="W260">IF(NOT(ISBLANK(D260)),_xludf.XLOOKUP(D260,[2]CODE!$A$4:$A$100,[2]CODE!$D$4:$D$100),"")</f>
        <v/>
      </c>
      <c r="X260" s="5" t="str">
        <f t="array" ref="X260">IF(NOT(AND(ISBLANK(D260),ISBLANK(C260))),_xludf.XLOOKUP(D260,[2]CODE!$A$4:$A$100,[2]CODE!$E$4:$E$100),"")</f>
        <v/>
      </c>
      <c r="Y260" s="5" t="str">
        <f t="shared" si="24"/>
        <v/>
      </c>
      <c r="Z260" s="5" t="str">
        <f t="shared" si="25"/>
        <v/>
      </c>
      <c r="AA260" s="4">
        <f t="shared" si="26"/>
        <v>0</v>
      </c>
      <c r="AC260" s="2"/>
    </row>
    <row r="261" spans="1:29" ht="15.5">
      <c r="A261" s="13" t="str">
        <f>IF(OR(ISBLANK(C261),ISBLANK(D261),ISBLANK(F261),ISBLANK(G261)),"",COUNTIF($B$5:B261,"JAMBUTU"))</f>
        <v/>
      </c>
      <c r="B261" s="8" t="str">
        <f t="shared" si="27"/>
        <v/>
      </c>
      <c r="C261" s="8"/>
      <c r="D261" s="8"/>
      <c r="E261" s="13"/>
      <c r="F261" s="12"/>
      <c r="G261" s="11"/>
      <c r="H261" s="12"/>
      <c r="I261" s="11"/>
      <c r="J261" s="10">
        <f t="shared" ref="J261:J324" si="28">DATE(YEAR(F261),MONTH(F261),DAY(F261))+TIME(HOUR(G261),MINUTE(G261), SECOND(G261))</f>
        <v>0</v>
      </c>
      <c r="K261" s="10">
        <f t="shared" ref="K261:K324" si="29">DATE(YEAR(H261),MONTH(H261),DAY(H261))+TIME(HOUR(I261),MINUTE(I261), SECOND(I261))</f>
        <v>0</v>
      </c>
      <c r="L261" s="9" t="str">
        <f t="shared" ref="L261:L324" si="30">IF(ISBLANK(I261),"",IF(J261&gt;K261,(K261+1)-J261,K261-J261))</f>
        <v/>
      </c>
      <c r="M261" s="8"/>
      <c r="N261" s="8"/>
      <c r="O261" s="8"/>
      <c r="P261" s="8"/>
      <c r="Q261" s="8"/>
      <c r="R261" s="8"/>
      <c r="S261" s="8"/>
      <c r="T261" s="8"/>
      <c r="U261" s="8"/>
      <c r="V261" s="7"/>
      <c r="W261" s="6" t="str">
        <f t="array" ref="W261">IF(NOT(ISBLANK(D261)),_xludf.XLOOKUP(D261,[2]CODE!$A$4:$A$100,[2]CODE!$D$4:$D$100),"")</f>
        <v/>
      </c>
      <c r="X261" s="5" t="str">
        <f t="array" ref="X261">IF(NOT(AND(ISBLANK(D261),ISBLANK(C261))),_xludf.XLOOKUP(D261,[2]CODE!$A$4:$A$100,[2]CODE!$E$4:$E$100),"")</f>
        <v/>
      </c>
      <c r="Y261" s="5" t="str">
        <f t="shared" ref="Y261:Y324" si="31">LEFT(C261,4)</f>
        <v/>
      </c>
      <c r="Z261" s="5" t="str">
        <f t="shared" ref="Z261:Z324" si="32">IF(NOT(ISBLANK(C261)), IF(K261&gt;J261,"YES","NO"),"")</f>
        <v/>
      </c>
      <c r="AA261" s="4">
        <f t="shared" ref="AA261:AA324" si="33">IF(AND(F261=H261,Z261="NO"),1+H261,H261)</f>
        <v>0</v>
      </c>
      <c r="AC261" s="2"/>
    </row>
    <row r="262" spans="1:29" ht="15.5">
      <c r="A262" s="13" t="str">
        <f>IF(OR(ISBLANK(C262),ISBLANK(D262),ISBLANK(F262),ISBLANK(G262)),"",COUNTIF($B$5:B262,"JAMBUTU"))</f>
        <v/>
      </c>
      <c r="B262" s="8" t="str">
        <f t="shared" si="27"/>
        <v/>
      </c>
      <c r="C262" s="8"/>
      <c r="D262" s="8"/>
      <c r="E262" s="13"/>
      <c r="F262" s="12"/>
      <c r="G262" s="11"/>
      <c r="H262" s="12"/>
      <c r="I262" s="11"/>
      <c r="J262" s="10">
        <f t="shared" si="28"/>
        <v>0</v>
      </c>
      <c r="K262" s="10">
        <f t="shared" si="29"/>
        <v>0</v>
      </c>
      <c r="L262" s="9" t="str">
        <f t="shared" si="30"/>
        <v/>
      </c>
      <c r="M262" s="8"/>
      <c r="N262" s="8"/>
      <c r="O262" s="8"/>
      <c r="P262" s="8"/>
      <c r="Q262" s="8"/>
      <c r="R262" s="8"/>
      <c r="S262" s="8"/>
      <c r="T262" s="8"/>
      <c r="U262" s="8"/>
      <c r="V262" s="7"/>
      <c r="W262" s="6" t="str">
        <f t="array" ref="W262">IF(NOT(ISBLANK(D262)),_xludf.XLOOKUP(D262,[2]CODE!$A$4:$A$100,[2]CODE!$D$4:$D$100),"")</f>
        <v/>
      </c>
      <c r="X262" s="5" t="str">
        <f t="array" ref="X262">IF(NOT(AND(ISBLANK(D262),ISBLANK(C262))),_xludf.XLOOKUP(D262,[2]CODE!$A$4:$A$100,[2]CODE!$E$4:$E$100),"")</f>
        <v/>
      </c>
      <c r="Y262" s="5" t="str">
        <f t="shared" si="31"/>
        <v/>
      </c>
      <c r="Z262" s="5" t="str">
        <f t="shared" si="32"/>
        <v/>
      </c>
      <c r="AA262" s="4">
        <f t="shared" si="33"/>
        <v>0</v>
      </c>
      <c r="AC262" s="2"/>
    </row>
    <row r="263" spans="1:29" ht="15.5">
      <c r="A263" s="13" t="str">
        <f>IF(OR(ISBLANK(C263),ISBLANK(D263),ISBLANK(F263),ISBLANK(G263)),"",COUNTIF($B$5:B263,"JAMBUTU"))</f>
        <v/>
      </c>
      <c r="B263" s="8" t="str">
        <f t="shared" si="27"/>
        <v/>
      </c>
      <c r="C263" s="8"/>
      <c r="D263" s="8"/>
      <c r="E263" s="13"/>
      <c r="F263" s="12"/>
      <c r="G263" s="11"/>
      <c r="H263" s="12"/>
      <c r="I263" s="11"/>
      <c r="J263" s="10">
        <f t="shared" si="28"/>
        <v>0</v>
      </c>
      <c r="K263" s="10">
        <f t="shared" si="29"/>
        <v>0</v>
      </c>
      <c r="L263" s="9" t="str">
        <f t="shared" si="30"/>
        <v/>
      </c>
      <c r="M263" s="8"/>
      <c r="N263" s="8"/>
      <c r="O263" s="8"/>
      <c r="P263" s="8"/>
      <c r="Q263" s="8"/>
      <c r="R263" s="8"/>
      <c r="S263" s="8"/>
      <c r="T263" s="8"/>
      <c r="U263" s="8"/>
      <c r="V263" s="7"/>
      <c r="W263" s="6" t="str">
        <f t="array" ref="W263">IF(NOT(ISBLANK(D263)),_xludf.XLOOKUP(D263,[2]CODE!$A$4:$A$100,[2]CODE!$D$4:$D$100),"")</f>
        <v/>
      </c>
      <c r="X263" s="5" t="str">
        <f t="array" ref="X263">IF(NOT(AND(ISBLANK(D263),ISBLANK(C263))),_xludf.XLOOKUP(D263,[2]CODE!$A$4:$A$100,[2]CODE!$E$4:$E$100),"")</f>
        <v/>
      </c>
      <c r="Y263" s="5" t="str">
        <f t="shared" si="31"/>
        <v/>
      </c>
      <c r="Z263" s="5" t="str">
        <f t="shared" si="32"/>
        <v/>
      </c>
      <c r="AA263" s="4">
        <f t="shared" si="33"/>
        <v>0</v>
      </c>
      <c r="AC263" s="2"/>
    </row>
    <row r="264" spans="1:29" ht="15.5">
      <c r="A264" s="13" t="str">
        <f>IF(OR(ISBLANK(C264),ISBLANK(D264),ISBLANK(F264),ISBLANK(G264)),"",COUNTIF($B$5:B264,"JAMBUTU"))</f>
        <v/>
      </c>
      <c r="B264" s="8" t="str">
        <f t="shared" si="27"/>
        <v/>
      </c>
      <c r="C264" s="8"/>
      <c r="D264" s="8"/>
      <c r="E264" s="13"/>
      <c r="F264" s="12"/>
      <c r="G264" s="11"/>
      <c r="H264" s="12"/>
      <c r="I264" s="11"/>
      <c r="J264" s="10">
        <f t="shared" si="28"/>
        <v>0</v>
      </c>
      <c r="K264" s="10">
        <f t="shared" si="29"/>
        <v>0</v>
      </c>
      <c r="L264" s="9" t="str">
        <f t="shared" si="30"/>
        <v/>
      </c>
      <c r="M264" s="8"/>
      <c r="N264" s="8"/>
      <c r="O264" s="8"/>
      <c r="P264" s="8"/>
      <c r="Q264" s="8"/>
      <c r="R264" s="8"/>
      <c r="S264" s="8"/>
      <c r="T264" s="8"/>
      <c r="U264" s="8"/>
      <c r="V264" s="7"/>
      <c r="W264" s="6" t="str">
        <f t="array" ref="W264">IF(NOT(ISBLANK(D264)),_xludf.XLOOKUP(D264,[2]CODE!$A$4:$A$100,[2]CODE!$D$4:$D$100),"")</f>
        <v/>
      </c>
      <c r="X264" s="5" t="str">
        <f t="array" ref="X264">IF(NOT(AND(ISBLANK(D264),ISBLANK(C264))),_xludf.XLOOKUP(D264,[2]CODE!$A$4:$A$100,[2]CODE!$E$4:$E$100),"")</f>
        <v/>
      </c>
      <c r="Y264" s="5" t="str">
        <f t="shared" si="31"/>
        <v/>
      </c>
      <c r="Z264" s="5" t="str">
        <f t="shared" si="32"/>
        <v/>
      </c>
      <c r="AA264" s="4">
        <f t="shared" si="33"/>
        <v>0</v>
      </c>
      <c r="AC264" s="2"/>
    </row>
    <row r="265" spans="1:29" ht="15.5">
      <c r="A265" s="13" t="str">
        <f>IF(OR(ISBLANK(C265),ISBLANK(D265),ISBLANK(F265),ISBLANK(G265)),"",COUNTIF($B$5:B265,"JAMBUTU"))</f>
        <v/>
      </c>
      <c r="B265" s="8" t="str">
        <f t="shared" si="27"/>
        <v/>
      </c>
      <c r="C265" s="8"/>
      <c r="D265" s="8"/>
      <c r="E265" s="13"/>
      <c r="F265" s="12"/>
      <c r="G265" s="11"/>
      <c r="H265" s="12"/>
      <c r="I265" s="11"/>
      <c r="J265" s="10">
        <f t="shared" si="28"/>
        <v>0</v>
      </c>
      <c r="K265" s="10">
        <f t="shared" si="29"/>
        <v>0</v>
      </c>
      <c r="L265" s="9" t="str">
        <f t="shared" si="30"/>
        <v/>
      </c>
      <c r="M265" s="8"/>
      <c r="N265" s="8"/>
      <c r="O265" s="8"/>
      <c r="P265" s="8"/>
      <c r="Q265" s="8"/>
      <c r="R265" s="8"/>
      <c r="S265" s="8"/>
      <c r="T265" s="8"/>
      <c r="U265" s="8"/>
      <c r="V265" s="7"/>
      <c r="W265" s="6" t="str">
        <f t="array" ref="W265">IF(NOT(ISBLANK(D265)),_xludf.XLOOKUP(D265,[2]CODE!$A$4:$A$100,[2]CODE!$D$4:$D$100),"")</f>
        <v/>
      </c>
      <c r="X265" s="5" t="str">
        <f t="array" ref="X265">IF(NOT(AND(ISBLANK(D265),ISBLANK(C265))),_xludf.XLOOKUP(D265,[2]CODE!$A$4:$A$100,[2]CODE!$E$4:$E$100),"")</f>
        <v/>
      </c>
      <c r="Y265" s="5" t="str">
        <f t="shared" si="31"/>
        <v/>
      </c>
      <c r="Z265" s="5" t="str">
        <f t="shared" si="32"/>
        <v/>
      </c>
      <c r="AA265" s="4">
        <f t="shared" si="33"/>
        <v>0</v>
      </c>
      <c r="AC265" s="2"/>
    </row>
    <row r="266" spans="1:29" ht="15.5">
      <c r="A266" s="13" t="str">
        <f>IF(OR(ISBLANK(C266),ISBLANK(D266),ISBLANK(F266),ISBLANK(G266)),"",COUNTIF($B$5:B266,"JAMBUTU"))</f>
        <v/>
      </c>
      <c r="B266" s="8" t="str">
        <f t="shared" si="27"/>
        <v/>
      </c>
      <c r="C266" s="8"/>
      <c r="D266" s="8"/>
      <c r="E266" s="13"/>
      <c r="F266" s="12"/>
      <c r="G266" s="11"/>
      <c r="H266" s="12"/>
      <c r="I266" s="11"/>
      <c r="J266" s="10">
        <f t="shared" si="28"/>
        <v>0</v>
      </c>
      <c r="K266" s="10">
        <f t="shared" si="29"/>
        <v>0</v>
      </c>
      <c r="L266" s="9" t="str">
        <f t="shared" si="30"/>
        <v/>
      </c>
      <c r="M266" s="8"/>
      <c r="N266" s="8"/>
      <c r="O266" s="8"/>
      <c r="P266" s="8"/>
      <c r="Q266" s="8"/>
      <c r="R266" s="8"/>
      <c r="S266" s="8"/>
      <c r="T266" s="8"/>
      <c r="U266" s="8"/>
      <c r="V266" s="7"/>
      <c r="W266" s="6" t="str">
        <f t="array" ref="W266">IF(NOT(ISBLANK(D266)),_xludf.XLOOKUP(D266,[2]CODE!$A$4:$A$100,[2]CODE!$D$4:$D$100),"")</f>
        <v/>
      </c>
      <c r="X266" s="5" t="str">
        <f t="array" ref="X266">IF(NOT(AND(ISBLANK(D266),ISBLANK(C266))),_xludf.XLOOKUP(D266,[2]CODE!$A$4:$A$100,[2]CODE!$E$4:$E$100),"")</f>
        <v/>
      </c>
      <c r="Y266" s="5" t="str">
        <f t="shared" si="31"/>
        <v/>
      </c>
      <c r="Z266" s="5" t="str">
        <f t="shared" si="32"/>
        <v/>
      </c>
      <c r="AA266" s="4">
        <f t="shared" si="33"/>
        <v>0</v>
      </c>
      <c r="AC266" s="2"/>
    </row>
    <row r="267" spans="1:29" ht="15.5">
      <c r="A267" s="13" t="str">
        <f>IF(OR(ISBLANK(C267),ISBLANK(D267),ISBLANK(F267),ISBLANK(G267)),"",COUNTIF($B$5:B267,"JAMBUTU"))</f>
        <v/>
      </c>
      <c r="B267" s="8" t="str">
        <f t="shared" si="27"/>
        <v/>
      </c>
      <c r="C267" s="8"/>
      <c r="D267" s="8"/>
      <c r="E267" s="13"/>
      <c r="F267" s="12"/>
      <c r="G267" s="11"/>
      <c r="H267" s="12"/>
      <c r="I267" s="11"/>
      <c r="J267" s="10">
        <f t="shared" si="28"/>
        <v>0</v>
      </c>
      <c r="K267" s="10">
        <f t="shared" si="29"/>
        <v>0</v>
      </c>
      <c r="L267" s="9" t="str">
        <f t="shared" si="30"/>
        <v/>
      </c>
      <c r="M267" s="8"/>
      <c r="N267" s="8"/>
      <c r="O267" s="8"/>
      <c r="P267" s="8"/>
      <c r="Q267" s="8"/>
      <c r="R267" s="8"/>
      <c r="S267" s="8"/>
      <c r="T267" s="8"/>
      <c r="U267" s="8"/>
      <c r="V267" s="7"/>
      <c r="W267" s="6" t="str">
        <f t="array" ref="W267">IF(NOT(ISBLANK(D267)),_xludf.XLOOKUP(D267,[2]CODE!$A$4:$A$100,[2]CODE!$D$4:$D$100),"")</f>
        <v/>
      </c>
      <c r="X267" s="5" t="str">
        <f t="array" ref="X267">IF(NOT(AND(ISBLANK(D267),ISBLANK(C267))),_xludf.XLOOKUP(D267,[2]CODE!$A$4:$A$100,[2]CODE!$E$4:$E$100),"")</f>
        <v/>
      </c>
      <c r="Y267" s="5" t="str">
        <f t="shared" si="31"/>
        <v/>
      </c>
      <c r="Z267" s="5" t="str">
        <f t="shared" si="32"/>
        <v/>
      </c>
      <c r="AA267" s="4">
        <f t="shared" si="33"/>
        <v>0</v>
      </c>
      <c r="AC267" s="2"/>
    </row>
    <row r="268" spans="1:29" ht="15.5">
      <c r="A268" s="13" t="str">
        <f>IF(OR(ISBLANK(C268),ISBLANK(D268),ISBLANK(F268),ISBLANK(G268)),"",COUNTIF($B$5:B268,"JAMBUTU"))</f>
        <v/>
      </c>
      <c r="B268" s="8" t="str">
        <f t="shared" si="27"/>
        <v/>
      </c>
      <c r="C268" s="8"/>
      <c r="D268" s="8"/>
      <c r="E268" s="13"/>
      <c r="F268" s="12"/>
      <c r="G268" s="11"/>
      <c r="H268" s="12"/>
      <c r="I268" s="11"/>
      <c r="J268" s="10">
        <f t="shared" si="28"/>
        <v>0</v>
      </c>
      <c r="K268" s="10">
        <f t="shared" si="29"/>
        <v>0</v>
      </c>
      <c r="L268" s="9" t="str">
        <f t="shared" si="30"/>
        <v/>
      </c>
      <c r="M268" s="8"/>
      <c r="N268" s="8"/>
      <c r="O268" s="8"/>
      <c r="P268" s="8"/>
      <c r="Q268" s="8"/>
      <c r="R268" s="8"/>
      <c r="S268" s="8"/>
      <c r="T268" s="8"/>
      <c r="U268" s="8"/>
      <c r="V268" s="7"/>
      <c r="W268" s="6" t="str">
        <f t="array" ref="W268">IF(NOT(ISBLANK(D268)),_xludf.XLOOKUP(D268,[2]CODE!$A$4:$A$100,[2]CODE!$D$4:$D$100),"")</f>
        <v/>
      </c>
      <c r="X268" s="5" t="str">
        <f t="array" ref="X268">IF(NOT(AND(ISBLANK(D268),ISBLANK(C268))),_xludf.XLOOKUP(D268,[2]CODE!$A$4:$A$100,[2]CODE!$E$4:$E$100),"")</f>
        <v/>
      </c>
      <c r="Y268" s="5" t="str">
        <f t="shared" si="31"/>
        <v/>
      </c>
      <c r="Z268" s="5" t="str">
        <f t="shared" si="32"/>
        <v/>
      </c>
      <c r="AA268" s="4">
        <f t="shared" si="33"/>
        <v>0</v>
      </c>
      <c r="AC268" s="2"/>
    </row>
    <row r="269" spans="1:29" ht="15.5">
      <c r="A269" s="13" t="str">
        <f>IF(OR(ISBLANK(C269),ISBLANK(D269),ISBLANK(F269),ISBLANK(G269)),"",COUNTIF($B$5:B269,"JAMBUTU"))</f>
        <v/>
      </c>
      <c r="B269" s="8" t="str">
        <f t="shared" si="27"/>
        <v/>
      </c>
      <c r="C269" s="8"/>
      <c r="D269" s="8"/>
      <c r="E269" s="13"/>
      <c r="F269" s="12"/>
      <c r="G269" s="11"/>
      <c r="H269" s="12"/>
      <c r="I269" s="11"/>
      <c r="J269" s="10">
        <f t="shared" si="28"/>
        <v>0</v>
      </c>
      <c r="K269" s="10">
        <f t="shared" si="29"/>
        <v>0</v>
      </c>
      <c r="L269" s="9" t="str">
        <f t="shared" si="30"/>
        <v/>
      </c>
      <c r="M269" s="8"/>
      <c r="N269" s="8"/>
      <c r="O269" s="8"/>
      <c r="P269" s="8"/>
      <c r="Q269" s="8"/>
      <c r="R269" s="8"/>
      <c r="S269" s="8"/>
      <c r="T269" s="8"/>
      <c r="U269" s="8"/>
      <c r="V269" s="7"/>
      <c r="W269" s="6" t="str">
        <f t="array" ref="W269">IF(NOT(ISBLANK(D269)),_xludf.XLOOKUP(D269,[2]CODE!$A$4:$A$100,[2]CODE!$D$4:$D$100),"")</f>
        <v/>
      </c>
      <c r="X269" s="5" t="str">
        <f t="array" ref="X269">IF(NOT(AND(ISBLANK(D269),ISBLANK(C269))),_xludf.XLOOKUP(D269,[2]CODE!$A$4:$A$100,[2]CODE!$E$4:$E$100),"")</f>
        <v/>
      </c>
      <c r="Y269" s="5" t="str">
        <f t="shared" si="31"/>
        <v/>
      </c>
      <c r="Z269" s="5" t="str">
        <f t="shared" si="32"/>
        <v/>
      </c>
      <c r="AA269" s="4">
        <f t="shared" si="33"/>
        <v>0</v>
      </c>
      <c r="AC269" s="2"/>
    </row>
    <row r="270" spans="1:29" ht="15.5">
      <c r="A270" s="13" t="str">
        <f>IF(OR(ISBLANK(C270),ISBLANK(D270),ISBLANK(F270),ISBLANK(G270)),"",COUNTIF($B$5:B270,"JAMBUTU"))</f>
        <v/>
      </c>
      <c r="B270" s="8" t="str">
        <f t="shared" si="27"/>
        <v/>
      </c>
      <c r="C270" s="8"/>
      <c r="D270" s="8"/>
      <c r="E270" s="13"/>
      <c r="F270" s="12"/>
      <c r="G270" s="11"/>
      <c r="H270" s="12"/>
      <c r="I270" s="11"/>
      <c r="J270" s="10">
        <f t="shared" si="28"/>
        <v>0</v>
      </c>
      <c r="K270" s="10">
        <f t="shared" si="29"/>
        <v>0</v>
      </c>
      <c r="L270" s="9" t="str">
        <f t="shared" si="30"/>
        <v/>
      </c>
      <c r="M270" s="8"/>
      <c r="N270" s="8"/>
      <c r="O270" s="8"/>
      <c r="P270" s="8"/>
      <c r="Q270" s="8"/>
      <c r="R270" s="8"/>
      <c r="S270" s="8"/>
      <c r="T270" s="8"/>
      <c r="U270" s="8"/>
      <c r="V270" s="7"/>
      <c r="W270" s="6" t="str">
        <f t="array" ref="W270">IF(NOT(ISBLANK(D270)),_xludf.XLOOKUP(D270,[2]CODE!$A$4:$A$100,[2]CODE!$D$4:$D$100),"")</f>
        <v/>
      </c>
      <c r="X270" s="5" t="str">
        <f t="array" ref="X270">IF(NOT(AND(ISBLANK(D270),ISBLANK(C270))),_xludf.XLOOKUP(D270,[2]CODE!$A$4:$A$100,[2]CODE!$E$4:$E$100),"")</f>
        <v/>
      </c>
      <c r="Y270" s="5" t="str">
        <f t="shared" si="31"/>
        <v/>
      </c>
      <c r="Z270" s="5" t="str">
        <f t="shared" si="32"/>
        <v/>
      </c>
      <c r="AA270" s="4">
        <f t="shared" si="33"/>
        <v>0</v>
      </c>
      <c r="AC270" s="2"/>
    </row>
    <row r="271" spans="1:29" ht="15.5">
      <c r="A271" s="13" t="str">
        <f>IF(OR(ISBLANK(C271),ISBLANK(D271),ISBLANK(F271),ISBLANK(G271)),"",COUNTIF($B$5:B271,"JAMBUTU"))</f>
        <v/>
      </c>
      <c r="B271" s="8" t="str">
        <f t="shared" si="27"/>
        <v/>
      </c>
      <c r="C271" s="8"/>
      <c r="D271" s="8"/>
      <c r="E271" s="13"/>
      <c r="F271" s="12"/>
      <c r="G271" s="11"/>
      <c r="H271" s="12"/>
      <c r="I271" s="11"/>
      <c r="J271" s="10">
        <f t="shared" si="28"/>
        <v>0</v>
      </c>
      <c r="K271" s="10">
        <f t="shared" si="29"/>
        <v>0</v>
      </c>
      <c r="L271" s="9" t="str">
        <f t="shared" si="30"/>
        <v/>
      </c>
      <c r="M271" s="8"/>
      <c r="N271" s="8"/>
      <c r="O271" s="8"/>
      <c r="P271" s="8"/>
      <c r="Q271" s="8"/>
      <c r="R271" s="8"/>
      <c r="S271" s="16"/>
      <c r="T271" s="8"/>
      <c r="U271" s="8"/>
      <c r="V271" s="7"/>
      <c r="W271" s="6" t="str">
        <f t="array" ref="W271">IF(NOT(ISBLANK(D271)),_xludf.XLOOKUP(D271,[2]CODE!$A$4:$A$100,[2]CODE!$D$4:$D$100),"")</f>
        <v/>
      </c>
      <c r="X271" s="5" t="str">
        <f t="array" ref="X271">IF(NOT(AND(ISBLANK(D271),ISBLANK(C271))),_xludf.XLOOKUP(D271,[2]CODE!$A$4:$A$100,[2]CODE!$E$4:$E$100),"")</f>
        <v/>
      </c>
      <c r="Y271" s="5" t="str">
        <f t="shared" si="31"/>
        <v/>
      </c>
      <c r="Z271" s="5" t="str">
        <f t="shared" si="32"/>
        <v/>
      </c>
      <c r="AA271" s="4">
        <f t="shared" si="33"/>
        <v>0</v>
      </c>
      <c r="AC271" s="2"/>
    </row>
    <row r="272" spans="1:29" ht="15.5">
      <c r="A272" s="13" t="str">
        <f>IF(OR(ISBLANK(C272),ISBLANK(D272),ISBLANK(F272),ISBLANK(G272)),"",COUNTIF($B$5:B272,"JAMBUTU"))</f>
        <v/>
      </c>
      <c r="B272" s="8" t="str">
        <f t="shared" si="27"/>
        <v/>
      </c>
      <c r="C272" s="8"/>
      <c r="D272" s="8"/>
      <c r="E272" s="13"/>
      <c r="F272" s="12"/>
      <c r="G272" s="11"/>
      <c r="H272" s="12"/>
      <c r="I272" s="11"/>
      <c r="J272" s="10">
        <f t="shared" si="28"/>
        <v>0</v>
      </c>
      <c r="K272" s="10">
        <f t="shared" si="29"/>
        <v>0</v>
      </c>
      <c r="L272" s="9" t="str">
        <f t="shared" si="30"/>
        <v/>
      </c>
      <c r="M272" s="8"/>
      <c r="N272" s="8"/>
      <c r="O272" s="8"/>
      <c r="P272" s="8"/>
      <c r="Q272" s="8"/>
      <c r="R272" s="8"/>
      <c r="S272" s="8"/>
      <c r="T272" s="8"/>
      <c r="U272" s="8"/>
      <c r="V272" s="7"/>
      <c r="W272" s="6" t="str">
        <f t="array" ref="W272">IF(NOT(ISBLANK(D272)),_xludf.XLOOKUP(D272,[2]CODE!$A$4:$A$100,[2]CODE!$D$4:$D$100),"")</f>
        <v/>
      </c>
      <c r="X272" s="5" t="str">
        <f t="array" ref="X272">IF(NOT(AND(ISBLANK(D272),ISBLANK(C272))),_xludf.XLOOKUP(D272,[2]CODE!$A$4:$A$100,[2]CODE!$E$4:$E$100),"")</f>
        <v/>
      </c>
      <c r="Y272" s="5" t="str">
        <f t="shared" si="31"/>
        <v/>
      </c>
      <c r="Z272" s="5" t="str">
        <f t="shared" si="32"/>
        <v/>
      </c>
      <c r="AA272" s="4">
        <f t="shared" si="33"/>
        <v>0</v>
      </c>
      <c r="AC272" s="2"/>
    </row>
    <row r="273" spans="1:29" ht="15.5">
      <c r="A273" s="13" t="str">
        <f>IF(OR(ISBLANK(C273),ISBLANK(D273),ISBLANK(F273),ISBLANK(G273)),"",COUNTIF($B$5:B273,"JAMBUTU"))</f>
        <v/>
      </c>
      <c r="B273" s="8" t="str">
        <f t="shared" si="27"/>
        <v/>
      </c>
      <c r="C273" s="8"/>
      <c r="D273" s="8"/>
      <c r="E273" s="13"/>
      <c r="F273" s="12"/>
      <c r="G273" s="11"/>
      <c r="H273" s="12"/>
      <c r="I273" s="11"/>
      <c r="J273" s="10">
        <f t="shared" si="28"/>
        <v>0</v>
      </c>
      <c r="K273" s="10">
        <f t="shared" si="29"/>
        <v>0</v>
      </c>
      <c r="L273" s="9" t="str">
        <f t="shared" si="30"/>
        <v/>
      </c>
      <c r="M273" s="8"/>
      <c r="N273" s="8"/>
      <c r="O273" s="8"/>
      <c r="P273" s="8"/>
      <c r="Q273" s="8"/>
      <c r="R273" s="8"/>
      <c r="S273" s="8"/>
      <c r="T273" s="8"/>
      <c r="U273" s="8"/>
      <c r="V273" s="7"/>
      <c r="W273" s="6" t="str">
        <f t="array" ref="W273">IF(NOT(ISBLANK(D273)),_xludf.XLOOKUP(D273,[2]CODE!$A$4:$A$100,[2]CODE!$D$4:$D$100),"")</f>
        <v/>
      </c>
      <c r="X273" s="5" t="str">
        <f t="array" ref="X273">IF(NOT(AND(ISBLANK(D273),ISBLANK(C273))),_xludf.XLOOKUP(D273,[2]CODE!$A$4:$A$100,[2]CODE!$E$4:$E$100),"")</f>
        <v/>
      </c>
      <c r="Y273" s="5" t="str">
        <f t="shared" si="31"/>
        <v/>
      </c>
      <c r="Z273" s="5" t="str">
        <f t="shared" si="32"/>
        <v/>
      </c>
      <c r="AA273" s="4">
        <f t="shared" si="33"/>
        <v>0</v>
      </c>
      <c r="AC273" s="2"/>
    </row>
    <row r="274" spans="1:29" ht="15.5">
      <c r="A274" s="13" t="str">
        <f>IF(OR(ISBLANK(C274),ISBLANK(D274),ISBLANK(F274),ISBLANK(G274)),"",COUNTIF($B$5:B274,"JAMBUTU"))</f>
        <v/>
      </c>
      <c r="B274" s="8" t="str">
        <f t="shared" si="27"/>
        <v/>
      </c>
      <c r="C274" s="8"/>
      <c r="D274" s="8"/>
      <c r="E274" s="13"/>
      <c r="F274" s="12"/>
      <c r="G274" s="11"/>
      <c r="H274" s="12"/>
      <c r="I274" s="11"/>
      <c r="J274" s="10">
        <f t="shared" si="28"/>
        <v>0</v>
      </c>
      <c r="K274" s="10">
        <f t="shared" si="29"/>
        <v>0</v>
      </c>
      <c r="L274" s="9" t="str">
        <f t="shared" si="30"/>
        <v/>
      </c>
      <c r="M274" s="8"/>
      <c r="N274" s="8"/>
      <c r="O274" s="8"/>
      <c r="P274" s="8"/>
      <c r="Q274" s="8"/>
      <c r="R274" s="8"/>
      <c r="S274" s="8"/>
      <c r="T274" s="8"/>
      <c r="U274" s="8"/>
      <c r="V274" s="7"/>
      <c r="W274" s="6" t="str">
        <f t="array" ref="W274">IF(NOT(ISBLANK(D274)),_xludf.XLOOKUP(D274,[2]CODE!$A$4:$A$100,[2]CODE!$D$4:$D$100),"")</f>
        <v/>
      </c>
      <c r="X274" s="5" t="str">
        <f t="array" ref="X274">IF(NOT(AND(ISBLANK(D274),ISBLANK(C274))),_xludf.XLOOKUP(D274,[2]CODE!$A$4:$A$100,[2]CODE!$E$4:$E$100),"")</f>
        <v/>
      </c>
      <c r="Y274" s="5" t="str">
        <f t="shared" si="31"/>
        <v/>
      </c>
      <c r="Z274" s="5" t="str">
        <f t="shared" si="32"/>
        <v/>
      </c>
      <c r="AA274" s="4">
        <f t="shared" si="33"/>
        <v>0</v>
      </c>
      <c r="AC274" s="2"/>
    </row>
    <row r="275" spans="1:29" ht="15.5">
      <c r="A275" s="13" t="str">
        <f>IF(OR(ISBLANK(C275),ISBLANK(D275),ISBLANK(F275),ISBLANK(G275)),"",COUNTIF($B$5:B275,"JAMBUTU"))</f>
        <v/>
      </c>
      <c r="B275" s="8" t="str">
        <f t="shared" ref="B275:B338" si="34">IF(C275&lt;&gt;"","Jambutu","")</f>
        <v/>
      </c>
      <c r="C275" s="8"/>
      <c r="D275" s="8"/>
      <c r="E275" s="13"/>
      <c r="F275" s="12"/>
      <c r="G275" s="11"/>
      <c r="H275" s="12"/>
      <c r="I275" s="11"/>
      <c r="J275" s="10">
        <f t="shared" si="28"/>
        <v>0</v>
      </c>
      <c r="K275" s="10">
        <f t="shared" si="29"/>
        <v>0</v>
      </c>
      <c r="L275" s="9" t="str">
        <f t="shared" si="30"/>
        <v/>
      </c>
      <c r="M275" s="8"/>
      <c r="N275" s="8"/>
      <c r="O275" s="8"/>
      <c r="P275" s="8"/>
      <c r="Q275" s="8"/>
      <c r="R275" s="8"/>
      <c r="S275" s="8"/>
      <c r="T275" s="8"/>
      <c r="U275" s="8"/>
      <c r="V275" s="7"/>
      <c r="W275" s="6" t="str">
        <f t="array" ref="W275">IF(NOT(ISBLANK(D275)),_xludf.XLOOKUP(D275,[2]CODE!$A$4:$A$100,[2]CODE!$D$4:$D$100),"")</f>
        <v/>
      </c>
      <c r="X275" s="5" t="str">
        <f t="array" ref="X275">IF(NOT(AND(ISBLANK(D275),ISBLANK(C275))),_xludf.XLOOKUP(D275,[2]CODE!$A$4:$A$100,[2]CODE!$E$4:$E$100),"")</f>
        <v/>
      </c>
      <c r="Y275" s="5" t="str">
        <f t="shared" si="31"/>
        <v/>
      </c>
      <c r="Z275" s="5" t="str">
        <f t="shared" si="32"/>
        <v/>
      </c>
      <c r="AA275" s="4">
        <f t="shared" si="33"/>
        <v>0</v>
      </c>
      <c r="AC275" s="2"/>
    </row>
    <row r="276" spans="1:29" ht="15.5">
      <c r="A276" s="13" t="str">
        <f>IF(OR(ISBLANK(C276),ISBLANK(D276),ISBLANK(F276),ISBLANK(G276)),"",COUNTIF($B$5:B276,"JAMBUTU"))</f>
        <v/>
      </c>
      <c r="B276" s="8" t="str">
        <f t="shared" si="34"/>
        <v/>
      </c>
      <c r="C276" s="8"/>
      <c r="D276" s="8"/>
      <c r="E276" s="13"/>
      <c r="F276" s="12"/>
      <c r="G276" s="11"/>
      <c r="H276" s="12"/>
      <c r="I276" s="11"/>
      <c r="J276" s="10">
        <f t="shared" si="28"/>
        <v>0</v>
      </c>
      <c r="K276" s="10">
        <f t="shared" si="29"/>
        <v>0</v>
      </c>
      <c r="L276" s="9" t="str">
        <f t="shared" si="30"/>
        <v/>
      </c>
      <c r="M276" s="8"/>
      <c r="N276" s="8"/>
      <c r="O276" s="8"/>
      <c r="P276" s="8"/>
      <c r="Q276" s="8"/>
      <c r="R276" s="8"/>
      <c r="S276" s="8"/>
      <c r="T276" s="8"/>
      <c r="U276" s="8"/>
      <c r="V276" s="7"/>
      <c r="W276" s="6" t="str">
        <f t="array" ref="W276">IF(NOT(ISBLANK(D276)),_xludf.XLOOKUP(D276,[2]CODE!$A$4:$A$100,[2]CODE!$D$4:$D$100),"")</f>
        <v/>
      </c>
      <c r="X276" s="5" t="str">
        <f t="array" ref="X276">IF(NOT(AND(ISBLANK(D276),ISBLANK(C276))),_xludf.XLOOKUP(D276,[2]CODE!$A$4:$A$100,[2]CODE!$E$4:$E$100),"")</f>
        <v/>
      </c>
      <c r="Y276" s="5" t="str">
        <f t="shared" si="31"/>
        <v/>
      </c>
      <c r="Z276" s="5" t="str">
        <f t="shared" si="32"/>
        <v/>
      </c>
      <c r="AA276" s="4">
        <f t="shared" si="33"/>
        <v>0</v>
      </c>
      <c r="AC276" s="2"/>
    </row>
    <row r="277" spans="1:29" ht="15.5">
      <c r="A277" s="13" t="str">
        <f>IF(OR(ISBLANK(C277),ISBLANK(D277),ISBLANK(F277),ISBLANK(G277)),"",COUNTIF($B$5:B277,"JAMBUTU"))</f>
        <v/>
      </c>
      <c r="B277" s="8" t="str">
        <f t="shared" si="34"/>
        <v/>
      </c>
      <c r="C277" s="8"/>
      <c r="D277" s="8"/>
      <c r="E277" s="13"/>
      <c r="F277" s="12"/>
      <c r="G277" s="11"/>
      <c r="H277" s="12"/>
      <c r="I277" s="11"/>
      <c r="J277" s="10">
        <f t="shared" si="28"/>
        <v>0</v>
      </c>
      <c r="K277" s="10">
        <f t="shared" si="29"/>
        <v>0</v>
      </c>
      <c r="L277" s="9" t="str">
        <f t="shared" si="30"/>
        <v/>
      </c>
      <c r="M277" s="8"/>
      <c r="N277" s="8"/>
      <c r="O277" s="8"/>
      <c r="P277" s="8"/>
      <c r="Q277" s="8"/>
      <c r="R277" s="8"/>
      <c r="S277" s="8"/>
      <c r="T277" s="8"/>
      <c r="U277" s="8"/>
      <c r="V277" s="7"/>
      <c r="W277" s="6" t="str">
        <f t="array" ref="W277">IF(NOT(ISBLANK(D277)),_xludf.XLOOKUP(D277,[2]CODE!$A$4:$A$100,[2]CODE!$D$4:$D$100),"")</f>
        <v/>
      </c>
      <c r="X277" s="5" t="str">
        <f t="array" ref="X277">IF(NOT(AND(ISBLANK(D277),ISBLANK(C277))),_xludf.XLOOKUP(D277,[2]CODE!$A$4:$A$100,[2]CODE!$E$4:$E$100),"")</f>
        <v/>
      </c>
      <c r="Y277" s="5" t="str">
        <f t="shared" si="31"/>
        <v/>
      </c>
      <c r="Z277" s="5" t="str">
        <f t="shared" si="32"/>
        <v/>
      </c>
      <c r="AA277" s="4">
        <f t="shared" si="33"/>
        <v>0</v>
      </c>
      <c r="AC277" s="2"/>
    </row>
    <row r="278" spans="1:29" ht="15.5">
      <c r="A278" s="13" t="str">
        <f>IF(OR(ISBLANK(C278),ISBLANK(D278),ISBLANK(F278),ISBLANK(G278)),"",COUNTIF($B$5:B278,"JAMBUTU"))</f>
        <v/>
      </c>
      <c r="B278" s="8" t="str">
        <f t="shared" si="34"/>
        <v/>
      </c>
      <c r="C278" s="8"/>
      <c r="D278" s="8"/>
      <c r="E278" s="13"/>
      <c r="F278" s="12"/>
      <c r="G278" s="11"/>
      <c r="H278" s="12"/>
      <c r="I278" s="11"/>
      <c r="J278" s="10">
        <f t="shared" si="28"/>
        <v>0</v>
      </c>
      <c r="K278" s="10">
        <f t="shared" si="29"/>
        <v>0</v>
      </c>
      <c r="L278" s="9" t="str">
        <f t="shared" si="30"/>
        <v/>
      </c>
      <c r="M278" s="8"/>
      <c r="N278" s="8"/>
      <c r="O278" s="8"/>
      <c r="P278" s="8"/>
      <c r="Q278" s="8"/>
      <c r="R278" s="8"/>
      <c r="S278" s="8"/>
      <c r="T278" s="8"/>
      <c r="U278" s="8"/>
      <c r="V278" s="7"/>
      <c r="W278" s="6" t="str">
        <f t="array" ref="W278">IF(NOT(ISBLANK(D278)),_xludf.XLOOKUP(D278,[2]CODE!$A$4:$A$100,[2]CODE!$D$4:$D$100),"")</f>
        <v/>
      </c>
      <c r="X278" s="5" t="str">
        <f t="array" ref="X278">IF(NOT(AND(ISBLANK(D278),ISBLANK(C278))),_xludf.XLOOKUP(D278,[2]CODE!$A$4:$A$100,[2]CODE!$E$4:$E$100),"")</f>
        <v/>
      </c>
      <c r="Y278" s="5" t="str">
        <f t="shared" si="31"/>
        <v/>
      </c>
      <c r="Z278" s="5" t="str">
        <f t="shared" si="32"/>
        <v/>
      </c>
      <c r="AA278" s="4">
        <f t="shared" si="33"/>
        <v>0</v>
      </c>
      <c r="AC278" s="2"/>
    </row>
    <row r="279" spans="1:29" ht="15.5">
      <c r="A279" s="13" t="str">
        <f>IF(OR(ISBLANK(C279),ISBLANK(D279),ISBLANK(F279),ISBLANK(G279)),"",COUNTIF($B$5:B279,"JAMBUTU"))</f>
        <v/>
      </c>
      <c r="B279" s="8" t="str">
        <f t="shared" si="34"/>
        <v/>
      </c>
      <c r="C279" s="8"/>
      <c r="D279" s="8"/>
      <c r="E279" s="13"/>
      <c r="F279" s="12"/>
      <c r="G279" s="11"/>
      <c r="H279" s="12"/>
      <c r="I279" s="11"/>
      <c r="J279" s="10">
        <f t="shared" si="28"/>
        <v>0</v>
      </c>
      <c r="K279" s="10">
        <f t="shared" si="29"/>
        <v>0</v>
      </c>
      <c r="L279" s="9" t="str">
        <f t="shared" si="30"/>
        <v/>
      </c>
      <c r="M279" s="8"/>
      <c r="N279" s="8"/>
      <c r="O279" s="8"/>
      <c r="P279" s="8"/>
      <c r="Q279" s="8"/>
      <c r="R279" s="8"/>
      <c r="S279" s="8"/>
      <c r="T279" s="8"/>
      <c r="U279" s="8"/>
      <c r="V279" s="7"/>
      <c r="W279" s="6" t="str">
        <f t="array" ref="W279">IF(NOT(ISBLANK(D279)),_xludf.XLOOKUP(D279,[2]CODE!$A$4:$A$100,[2]CODE!$D$4:$D$100),"")</f>
        <v/>
      </c>
      <c r="X279" s="5" t="str">
        <f t="array" ref="X279">IF(NOT(AND(ISBLANK(D279),ISBLANK(C279))),_xludf.XLOOKUP(D279,[2]CODE!$A$4:$A$100,[2]CODE!$E$4:$E$100),"")</f>
        <v/>
      </c>
      <c r="Y279" s="5" t="str">
        <f t="shared" si="31"/>
        <v/>
      </c>
      <c r="Z279" s="5" t="str">
        <f t="shared" si="32"/>
        <v/>
      </c>
      <c r="AA279" s="4">
        <f t="shared" si="33"/>
        <v>0</v>
      </c>
      <c r="AC279" s="2"/>
    </row>
    <row r="280" spans="1:29" ht="15.5">
      <c r="A280" s="13" t="str">
        <f>IF(OR(ISBLANK(C280),ISBLANK(D280),ISBLANK(F280),ISBLANK(G280)),"",COUNTIF($B$5:B280,"JAMBUTU"))</f>
        <v/>
      </c>
      <c r="B280" s="8" t="str">
        <f t="shared" si="34"/>
        <v/>
      </c>
      <c r="C280" s="8"/>
      <c r="D280" s="8"/>
      <c r="E280" s="13"/>
      <c r="F280" s="12"/>
      <c r="G280" s="11"/>
      <c r="H280" s="12"/>
      <c r="I280" s="11"/>
      <c r="J280" s="10">
        <f t="shared" si="28"/>
        <v>0</v>
      </c>
      <c r="K280" s="10">
        <f t="shared" si="29"/>
        <v>0</v>
      </c>
      <c r="L280" s="9" t="str">
        <f t="shared" si="30"/>
        <v/>
      </c>
      <c r="M280" s="8"/>
      <c r="N280" s="8"/>
      <c r="O280" s="8"/>
      <c r="P280" s="8"/>
      <c r="Q280" s="8"/>
      <c r="R280" s="8"/>
      <c r="S280" s="8"/>
      <c r="T280" s="8"/>
      <c r="U280" s="8"/>
      <c r="V280" s="7"/>
      <c r="W280" s="6" t="str">
        <f t="array" ref="W280">IF(NOT(ISBLANK(D280)),_xludf.XLOOKUP(D280,[2]CODE!$A$4:$A$100,[2]CODE!$D$4:$D$100),"")</f>
        <v/>
      </c>
      <c r="X280" s="5" t="str">
        <f t="array" ref="X280">IF(NOT(AND(ISBLANK(D280),ISBLANK(C280))),_xludf.XLOOKUP(D280,[2]CODE!$A$4:$A$100,[2]CODE!$E$4:$E$100),"")</f>
        <v/>
      </c>
      <c r="Y280" s="5" t="str">
        <f t="shared" si="31"/>
        <v/>
      </c>
      <c r="Z280" s="5" t="str">
        <f t="shared" si="32"/>
        <v/>
      </c>
      <c r="AA280" s="4">
        <f t="shared" si="33"/>
        <v>0</v>
      </c>
      <c r="AC280" s="2"/>
    </row>
    <row r="281" spans="1:29" ht="15.5">
      <c r="A281" s="13" t="str">
        <f>IF(OR(ISBLANK(C281),ISBLANK(D281),ISBLANK(F281),ISBLANK(G281)),"",COUNTIF($B$5:B281,"JAMBUTU"))</f>
        <v/>
      </c>
      <c r="B281" s="8" t="str">
        <f t="shared" si="34"/>
        <v/>
      </c>
      <c r="C281" s="8"/>
      <c r="D281" s="8"/>
      <c r="E281" s="13"/>
      <c r="F281" s="12"/>
      <c r="G281" s="11"/>
      <c r="H281" s="12"/>
      <c r="I281" s="11"/>
      <c r="J281" s="10">
        <f t="shared" si="28"/>
        <v>0</v>
      </c>
      <c r="K281" s="10">
        <f t="shared" si="29"/>
        <v>0</v>
      </c>
      <c r="L281" s="9" t="str">
        <f t="shared" si="30"/>
        <v/>
      </c>
      <c r="M281" s="8"/>
      <c r="N281" s="8"/>
      <c r="O281" s="8"/>
      <c r="P281" s="8"/>
      <c r="Q281" s="8"/>
      <c r="R281" s="8"/>
      <c r="S281" s="8"/>
      <c r="T281" s="8"/>
      <c r="U281" s="8"/>
      <c r="V281" s="7"/>
      <c r="W281" s="6" t="str">
        <f t="array" ref="W281">IF(NOT(ISBLANK(D281)),_xludf.XLOOKUP(D281,[2]CODE!$A$4:$A$100,[2]CODE!$D$4:$D$100),"")</f>
        <v/>
      </c>
      <c r="X281" s="5" t="str">
        <f t="array" ref="X281">IF(NOT(AND(ISBLANK(D281),ISBLANK(C281))),_xludf.XLOOKUP(D281,[2]CODE!$A$4:$A$100,[2]CODE!$E$4:$E$100),"")</f>
        <v/>
      </c>
      <c r="Y281" s="5" t="str">
        <f t="shared" si="31"/>
        <v/>
      </c>
      <c r="Z281" s="5" t="str">
        <f t="shared" si="32"/>
        <v/>
      </c>
      <c r="AA281" s="4">
        <f t="shared" si="33"/>
        <v>0</v>
      </c>
      <c r="AC281" s="2"/>
    </row>
    <row r="282" spans="1:29" ht="15.5">
      <c r="A282" s="13" t="str">
        <f>IF(OR(ISBLANK(C282),ISBLANK(D282),ISBLANK(F282),ISBLANK(G282)),"",COUNTIF($B$5:B282,"JAMBUTU"))</f>
        <v/>
      </c>
      <c r="B282" s="8" t="str">
        <f t="shared" si="34"/>
        <v/>
      </c>
      <c r="C282" s="8"/>
      <c r="D282" s="8"/>
      <c r="E282" s="13"/>
      <c r="F282" s="12"/>
      <c r="G282" s="11"/>
      <c r="H282" s="12"/>
      <c r="I282" s="11"/>
      <c r="J282" s="10">
        <f t="shared" si="28"/>
        <v>0</v>
      </c>
      <c r="K282" s="10">
        <f t="shared" si="29"/>
        <v>0</v>
      </c>
      <c r="L282" s="9" t="str">
        <f t="shared" si="30"/>
        <v/>
      </c>
      <c r="M282" s="8"/>
      <c r="N282" s="8"/>
      <c r="O282" s="8"/>
      <c r="P282" s="8"/>
      <c r="Q282" s="8"/>
      <c r="R282" s="8"/>
      <c r="S282" s="8"/>
      <c r="T282" s="8"/>
      <c r="U282" s="8"/>
      <c r="V282" s="7"/>
      <c r="W282" s="6" t="str">
        <f t="array" ref="W282">IF(NOT(ISBLANK(D282)),_xludf.XLOOKUP(D282,[2]CODE!$A$4:$A$100,[2]CODE!$D$4:$D$100),"")</f>
        <v/>
      </c>
      <c r="X282" s="5" t="str">
        <f t="array" ref="X282">IF(NOT(AND(ISBLANK(D282),ISBLANK(C282))),_xludf.XLOOKUP(D282,[2]CODE!$A$4:$A$100,[2]CODE!$E$4:$E$100),"")</f>
        <v/>
      </c>
      <c r="Y282" s="5" t="str">
        <f t="shared" si="31"/>
        <v/>
      </c>
      <c r="Z282" s="5" t="str">
        <f t="shared" si="32"/>
        <v/>
      </c>
      <c r="AA282" s="4">
        <f t="shared" si="33"/>
        <v>0</v>
      </c>
      <c r="AC282" s="2"/>
    </row>
    <row r="283" spans="1:29" ht="15.5">
      <c r="A283" s="13" t="str">
        <f>IF(OR(ISBLANK(C283),ISBLANK(D283),ISBLANK(F283),ISBLANK(G283)),"",COUNTIF($B$5:B283,"JAMBUTU"))</f>
        <v/>
      </c>
      <c r="B283" s="8" t="str">
        <f t="shared" si="34"/>
        <v/>
      </c>
      <c r="C283" s="8"/>
      <c r="D283" s="8"/>
      <c r="E283" s="13"/>
      <c r="F283" s="12"/>
      <c r="G283" s="11"/>
      <c r="H283" s="12"/>
      <c r="I283" s="11"/>
      <c r="J283" s="10">
        <f t="shared" si="28"/>
        <v>0</v>
      </c>
      <c r="K283" s="10">
        <f t="shared" si="29"/>
        <v>0</v>
      </c>
      <c r="L283" s="9" t="str">
        <f t="shared" si="30"/>
        <v/>
      </c>
      <c r="M283" s="8"/>
      <c r="N283" s="8"/>
      <c r="O283" s="8"/>
      <c r="P283" s="8"/>
      <c r="Q283" s="8"/>
      <c r="R283" s="8"/>
      <c r="S283" s="8"/>
      <c r="T283" s="8"/>
      <c r="U283" s="8"/>
      <c r="V283" s="7"/>
      <c r="W283" s="6" t="str">
        <f t="array" ref="W283">IF(NOT(ISBLANK(D283)),_xludf.XLOOKUP(D283,[2]CODE!$A$4:$A$100,[2]CODE!$D$4:$D$100),"")</f>
        <v/>
      </c>
      <c r="X283" s="5" t="str">
        <f t="array" ref="X283">IF(NOT(AND(ISBLANK(D283),ISBLANK(C283))),_xludf.XLOOKUP(D283,[2]CODE!$A$4:$A$100,[2]CODE!$E$4:$E$100),"")</f>
        <v/>
      </c>
      <c r="Y283" s="5" t="str">
        <f t="shared" si="31"/>
        <v/>
      </c>
      <c r="Z283" s="5" t="str">
        <f t="shared" si="32"/>
        <v/>
      </c>
      <c r="AA283" s="4">
        <f t="shared" si="33"/>
        <v>0</v>
      </c>
      <c r="AC283" s="2"/>
    </row>
    <row r="284" spans="1:29" ht="15.5">
      <c r="A284" s="13" t="str">
        <f>IF(OR(ISBLANK(C284),ISBLANK(D284),ISBLANK(F284),ISBLANK(G284)),"",COUNTIF($B$5:B284,"JAMBUTU"))</f>
        <v/>
      </c>
      <c r="B284" s="8" t="str">
        <f t="shared" si="34"/>
        <v/>
      </c>
      <c r="C284" s="8"/>
      <c r="D284" s="8"/>
      <c r="E284" s="13"/>
      <c r="F284" s="12"/>
      <c r="G284" s="11"/>
      <c r="H284" s="12"/>
      <c r="I284" s="11"/>
      <c r="J284" s="10">
        <f t="shared" si="28"/>
        <v>0</v>
      </c>
      <c r="K284" s="10">
        <f t="shared" si="29"/>
        <v>0</v>
      </c>
      <c r="L284" s="9" t="str">
        <f t="shared" si="30"/>
        <v/>
      </c>
      <c r="M284" s="8"/>
      <c r="N284" s="8"/>
      <c r="O284" s="8"/>
      <c r="P284" s="8"/>
      <c r="Q284" s="8"/>
      <c r="R284" s="8"/>
      <c r="S284" s="8"/>
      <c r="T284" s="8"/>
      <c r="U284" s="8"/>
      <c r="V284" s="7"/>
      <c r="W284" s="6" t="str">
        <f t="array" ref="W284">IF(NOT(ISBLANK(D284)),_xludf.XLOOKUP(D284,[2]CODE!$A$4:$A$100,[2]CODE!$D$4:$D$100),"")</f>
        <v/>
      </c>
      <c r="X284" s="5" t="str">
        <f t="array" ref="X284">IF(NOT(AND(ISBLANK(D284),ISBLANK(C284))),_xludf.XLOOKUP(D284,[2]CODE!$A$4:$A$100,[2]CODE!$E$4:$E$100),"")</f>
        <v/>
      </c>
      <c r="Y284" s="5" t="str">
        <f t="shared" si="31"/>
        <v/>
      </c>
      <c r="Z284" s="5" t="str">
        <f t="shared" si="32"/>
        <v/>
      </c>
      <c r="AA284" s="4">
        <f t="shared" si="33"/>
        <v>0</v>
      </c>
      <c r="AC284" s="2"/>
    </row>
    <row r="285" spans="1:29" ht="15.5">
      <c r="A285" s="13" t="str">
        <f>IF(OR(ISBLANK(C285),ISBLANK(D285),ISBLANK(F285),ISBLANK(G285)),"",COUNTIF($B$5:B285,"JAMBUTU"))</f>
        <v/>
      </c>
      <c r="B285" s="8" t="str">
        <f t="shared" si="34"/>
        <v/>
      </c>
      <c r="C285" s="8"/>
      <c r="D285" s="8"/>
      <c r="E285" s="13"/>
      <c r="F285" s="12"/>
      <c r="G285" s="11"/>
      <c r="H285" s="12"/>
      <c r="I285" s="11"/>
      <c r="J285" s="10">
        <f t="shared" si="28"/>
        <v>0</v>
      </c>
      <c r="K285" s="10">
        <f t="shared" si="29"/>
        <v>0</v>
      </c>
      <c r="L285" s="9" t="str">
        <f t="shared" si="30"/>
        <v/>
      </c>
      <c r="M285" s="8"/>
      <c r="N285" s="8"/>
      <c r="O285" s="8"/>
      <c r="P285" s="8"/>
      <c r="Q285" s="8"/>
      <c r="R285" s="8"/>
      <c r="S285" s="8"/>
      <c r="T285" s="8"/>
      <c r="U285" s="8"/>
      <c r="V285" s="7"/>
      <c r="W285" s="6" t="str">
        <f t="array" ref="W285">IF(NOT(ISBLANK(D285)),_xludf.XLOOKUP(D285,[2]CODE!$A$4:$A$100,[2]CODE!$D$4:$D$100),"")</f>
        <v/>
      </c>
      <c r="X285" s="5" t="str">
        <f t="array" ref="X285">IF(NOT(AND(ISBLANK(D285),ISBLANK(C285))),_xludf.XLOOKUP(D285,[2]CODE!$A$4:$A$100,[2]CODE!$E$4:$E$100),"")</f>
        <v/>
      </c>
      <c r="Y285" s="5" t="str">
        <f t="shared" si="31"/>
        <v/>
      </c>
      <c r="Z285" s="5" t="str">
        <f t="shared" si="32"/>
        <v/>
      </c>
      <c r="AA285" s="4">
        <f t="shared" si="33"/>
        <v>0</v>
      </c>
      <c r="AC285" s="2"/>
    </row>
    <row r="286" spans="1:29" ht="15.5">
      <c r="A286" s="13" t="str">
        <f>IF(OR(ISBLANK(C286),ISBLANK(D286),ISBLANK(F286),ISBLANK(G286)),"",COUNTIF($B$5:B286,"JAMBUTU"))</f>
        <v/>
      </c>
      <c r="B286" s="8" t="str">
        <f t="shared" si="34"/>
        <v/>
      </c>
      <c r="C286" s="8"/>
      <c r="D286" s="8"/>
      <c r="E286" s="13"/>
      <c r="F286" s="12"/>
      <c r="G286" s="11"/>
      <c r="H286" s="12"/>
      <c r="I286" s="11"/>
      <c r="J286" s="10">
        <f t="shared" si="28"/>
        <v>0</v>
      </c>
      <c r="K286" s="10">
        <f t="shared" si="29"/>
        <v>0</v>
      </c>
      <c r="L286" s="9" t="str">
        <f t="shared" si="30"/>
        <v/>
      </c>
      <c r="M286" s="8"/>
      <c r="N286" s="8"/>
      <c r="O286" s="8"/>
      <c r="P286" s="8"/>
      <c r="Q286" s="8"/>
      <c r="R286" s="8"/>
      <c r="S286" s="8"/>
      <c r="T286" s="8"/>
      <c r="U286" s="8"/>
      <c r="V286" s="7"/>
      <c r="W286" s="6" t="str">
        <f t="array" ref="W286">IF(NOT(ISBLANK(D286)),_xludf.XLOOKUP(D286,[2]CODE!$A$4:$A$100,[2]CODE!$D$4:$D$100),"")</f>
        <v/>
      </c>
      <c r="X286" s="5" t="str">
        <f t="array" ref="X286">IF(NOT(AND(ISBLANK(D286),ISBLANK(C286))),_xludf.XLOOKUP(D286,[2]CODE!$A$4:$A$100,[2]CODE!$E$4:$E$100),"")</f>
        <v/>
      </c>
      <c r="Y286" s="5" t="str">
        <f t="shared" si="31"/>
        <v/>
      </c>
      <c r="Z286" s="5" t="str">
        <f t="shared" si="32"/>
        <v/>
      </c>
      <c r="AA286" s="4">
        <f t="shared" si="33"/>
        <v>0</v>
      </c>
      <c r="AC286" s="2"/>
    </row>
    <row r="287" spans="1:29" ht="15.5">
      <c r="A287" s="13" t="str">
        <f>IF(OR(ISBLANK(C287),ISBLANK(D287),ISBLANK(F287),ISBLANK(G287)),"",COUNTIF($B$5:B287,"JAMBUTU"))</f>
        <v/>
      </c>
      <c r="B287" s="8" t="str">
        <f t="shared" si="34"/>
        <v/>
      </c>
      <c r="C287" s="8"/>
      <c r="D287" s="8"/>
      <c r="E287" s="13"/>
      <c r="F287" s="12"/>
      <c r="G287" s="11"/>
      <c r="H287" s="12"/>
      <c r="I287" s="11"/>
      <c r="J287" s="10">
        <f t="shared" si="28"/>
        <v>0</v>
      </c>
      <c r="K287" s="10">
        <f t="shared" si="29"/>
        <v>0</v>
      </c>
      <c r="L287" s="9" t="str">
        <f t="shared" si="30"/>
        <v/>
      </c>
      <c r="M287" s="8"/>
      <c r="N287" s="8"/>
      <c r="O287" s="8"/>
      <c r="P287" s="8"/>
      <c r="Q287" s="8"/>
      <c r="R287" s="8"/>
      <c r="S287" s="8"/>
      <c r="T287" s="8"/>
      <c r="U287" s="8"/>
      <c r="V287" s="7"/>
      <c r="W287" s="6" t="str">
        <f t="array" ref="W287">IF(NOT(ISBLANK(D287)),_xludf.XLOOKUP(D287,[2]CODE!$A$4:$A$100,[2]CODE!$D$4:$D$100),"")</f>
        <v/>
      </c>
      <c r="X287" s="5" t="str">
        <f t="array" ref="X287">IF(NOT(AND(ISBLANK(D287),ISBLANK(C287))),_xludf.XLOOKUP(D287,[2]CODE!$A$4:$A$100,[2]CODE!$E$4:$E$100),"")</f>
        <v/>
      </c>
      <c r="Y287" s="5" t="str">
        <f t="shared" si="31"/>
        <v/>
      </c>
      <c r="Z287" s="5" t="str">
        <f t="shared" si="32"/>
        <v/>
      </c>
      <c r="AA287" s="4">
        <f t="shared" si="33"/>
        <v>0</v>
      </c>
      <c r="AC287" s="2"/>
    </row>
    <row r="288" spans="1:29" ht="15.5">
      <c r="A288" s="13" t="str">
        <f>IF(OR(ISBLANK(C288),ISBLANK(D288),ISBLANK(F288),ISBLANK(G288)),"",COUNTIF($B$5:B288,"JAMBUTU"))</f>
        <v/>
      </c>
      <c r="B288" s="8" t="str">
        <f t="shared" si="34"/>
        <v/>
      </c>
      <c r="C288" s="8"/>
      <c r="D288" s="8"/>
      <c r="E288" s="13"/>
      <c r="F288" s="12"/>
      <c r="G288" s="11"/>
      <c r="H288" s="12"/>
      <c r="I288" s="11"/>
      <c r="J288" s="10">
        <f t="shared" si="28"/>
        <v>0</v>
      </c>
      <c r="K288" s="10">
        <f t="shared" si="29"/>
        <v>0</v>
      </c>
      <c r="L288" s="9" t="str">
        <f t="shared" si="30"/>
        <v/>
      </c>
      <c r="M288" s="8"/>
      <c r="N288" s="8"/>
      <c r="O288" s="8"/>
      <c r="P288" s="8"/>
      <c r="Q288" s="8"/>
      <c r="R288" s="8"/>
      <c r="S288" s="8"/>
      <c r="T288" s="8"/>
      <c r="U288" s="8"/>
      <c r="V288" s="7"/>
      <c r="W288" s="6" t="str">
        <f t="array" ref="W288">IF(NOT(ISBLANK(D288)),_xludf.XLOOKUP(D288,[2]CODE!$A$4:$A$100,[2]CODE!$D$4:$D$100),"")</f>
        <v/>
      </c>
      <c r="X288" s="5" t="str">
        <f t="array" ref="X288">IF(NOT(AND(ISBLANK(D288),ISBLANK(C288))),_xludf.XLOOKUP(D288,[2]CODE!$A$4:$A$100,[2]CODE!$E$4:$E$100),"")</f>
        <v/>
      </c>
      <c r="Y288" s="5" t="str">
        <f t="shared" si="31"/>
        <v/>
      </c>
      <c r="Z288" s="5" t="str">
        <f t="shared" si="32"/>
        <v/>
      </c>
      <c r="AA288" s="4">
        <f t="shared" si="33"/>
        <v>0</v>
      </c>
      <c r="AC288" s="2"/>
    </row>
    <row r="289" spans="1:29" ht="15.5">
      <c r="A289" s="13" t="str">
        <f>IF(OR(ISBLANK(C289),ISBLANK(D289),ISBLANK(F289),ISBLANK(G289)),"",COUNTIF($B$5:B289,"JAMBUTU"))</f>
        <v/>
      </c>
      <c r="B289" s="8" t="str">
        <f t="shared" si="34"/>
        <v/>
      </c>
      <c r="C289" s="8"/>
      <c r="D289" s="8"/>
      <c r="E289" s="13"/>
      <c r="F289" s="12"/>
      <c r="G289" s="11"/>
      <c r="H289" s="12"/>
      <c r="I289" s="11"/>
      <c r="J289" s="10">
        <f t="shared" si="28"/>
        <v>0</v>
      </c>
      <c r="K289" s="10">
        <f t="shared" si="29"/>
        <v>0</v>
      </c>
      <c r="L289" s="9" t="str">
        <f t="shared" si="30"/>
        <v/>
      </c>
      <c r="M289" s="8"/>
      <c r="N289" s="8"/>
      <c r="O289" s="8"/>
      <c r="P289" s="8"/>
      <c r="Q289" s="8"/>
      <c r="R289" s="8"/>
      <c r="S289" s="8"/>
      <c r="T289" s="8"/>
      <c r="U289" s="8"/>
      <c r="V289" s="7"/>
      <c r="W289" s="6" t="str">
        <f t="array" ref="W289">IF(NOT(ISBLANK(D289)),_xludf.XLOOKUP(D289,[2]CODE!$A$4:$A$100,[2]CODE!$D$4:$D$100),"")</f>
        <v/>
      </c>
      <c r="X289" s="5" t="str">
        <f t="array" ref="X289">IF(NOT(AND(ISBLANK(D289),ISBLANK(C289))),_xludf.XLOOKUP(D289,[2]CODE!$A$4:$A$100,[2]CODE!$E$4:$E$100),"")</f>
        <v/>
      </c>
      <c r="Y289" s="5" t="str">
        <f t="shared" si="31"/>
        <v/>
      </c>
      <c r="Z289" s="5" t="str">
        <f t="shared" si="32"/>
        <v/>
      </c>
      <c r="AA289" s="4">
        <f t="shared" si="33"/>
        <v>0</v>
      </c>
      <c r="AC289" s="2"/>
    </row>
    <row r="290" spans="1:29" ht="15.5">
      <c r="A290" s="13" t="str">
        <f>IF(OR(ISBLANK(C290),ISBLANK(D290),ISBLANK(F290),ISBLANK(G290)),"",COUNTIF($B$5:B290,"JAMBUTU"))</f>
        <v/>
      </c>
      <c r="B290" s="8" t="str">
        <f t="shared" si="34"/>
        <v/>
      </c>
      <c r="C290" s="8"/>
      <c r="D290" s="8"/>
      <c r="E290" s="13"/>
      <c r="F290" s="12"/>
      <c r="G290" s="11"/>
      <c r="H290" s="12"/>
      <c r="I290" s="11"/>
      <c r="J290" s="10">
        <f t="shared" si="28"/>
        <v>0</v>
      </c>
      <c r="K290" s="10">
        <f t="shared" si="29"/>
        <v>0</v>
      </c>
      <c r="L290" s="9" t="str">
        <f t="shared" si="30"/>
        <v/>
      </c>
      <c r="M290" s="8"/>
      <c r="N290" s="8"/>
      <c r="O290" s="8"/>
      <c r="P290" s="8"/>
      <c r="Q290" s="8"/>
      <c r="R290" s="8"/>
      <c r="S290" s="8"/>
      <c r="T290" s="8"/>
      <c r="U290" s="8"/>
      <c r="V290" s="7"/>
      <c r="W290" s="6" t="str">
        <f t="array" ref="W290">IF(NOT(ISBLANK(D290)),_xludf.XLOOKUP(D290,[2]CODE!$A$4:$A$100,[2]CODE!$D$4:$D$100),"")</f>
        <v/>
      </c>
      <c r="X290" s="5" t="str">
        <f t="array" ref="X290">IF(NOT(AND(ISBLANK(D290),ISBLANK(C290))),_xludf.XLOOKUP(D290,[2]CODE!$A$4:$A$100,[2]CODE!$E$4:$E$100),"")</f>
        <v/>
      </c>
      <c r="Y290" s="5" t="str">
        <f t="shared" si="31"/>
        <v/>
      </c>
      <c r="Z290" s="5" t="str">
        <f t="shared" si="32"/>
        <v/>
      </c>
      <c r="AA290" s="4">
        <f t="shared" si="33"/>
        <v>0</v>
      </c>
      <c r="AC290" s="2"/>
    </row>
    <row r="291" spans="1:29" ht="15.5">
      <c r="A291" s="13" t="str">
        <f>IF(OR(ISBLANK(C291),ISBLANK(D291),ISBLANK(F291),ISBLANK(G291)),"",COUNTIF($B$5:B291,"JAMBUTU"))</f>
        <v/>
      </c>
      <c r="B291" s="8" t="str">
        <f t="shared" si="34"/>
        <v/>
      </c>
      <c r="C291" s="8"/>
      <c r="D291" s="8"/>
      <c r="E291" s="13"/>
      <c r="F291" s="12"/>
      <c r="G291" s="11"/>
      <c r="H291" s="12"/>
      <c r="I291" s="11"/>
      <c r="J291" s="10">
        <f t="shared" si="28"/>
        <v>0</v>
      </c>
      <c r="K291" s="10">
        <f t="shared" si="29"/>
        <v>0</v>
      </c>
      <c r="L291" s="9" t="str">
        <f t="shared" si="30"/>
        <v/>
      </c>
      <c r="M291" s="8"/>
      <c r="N291" s="8"/>
      <c r="O291" s="8"/>
      <c r="P291" s="8"/>
      <c r="Q291" s="8"/>
      <c r="R291" s="8"/>
      <c r="S291" s="8"/>
      <c r="T291" s="8"/>
      <c r="U291" s="8"/>
      <c r="V291" s="7"/>
      <c r="W291" s="6" t="str">
        <f t="array" ref="W291">IF(NOT(ISBLANK(D291)),_xludf.XLOOKUP(D291,[2]CODE!$A$4:$A$100,[2]CODE!$D$4:$D$100),"")</f>
        <v/>
      </c>
      <c r="X291" s="5" t="str">
        <f t="array" ref="X291">IF(NOT(AND(ISBLANK(D291),ISBLANK(C291))),_xludf.XLOOKUP(D291,[2]CODE!$A$4:$A$100,[2]CODE!$E$4:$E$100),"")</f>
        <v/>
      </c>
      <c r="Y291" s="5" t="str">
        <f t="shared" si="31"/>
        <v/>
      </c>
      <c r="Z291" s="5" t="str">
        <f t="shared" si="32"/>
        <v/>
      </c>
      <c r="AA291" s="4">
        <f t="shared" si="33"/>
        <v>0</v>
      </c>
      <c r="AC291" s="2"/>
    </row>
    <row r="292" spans="1:29" ht="15.5">
      <c r="A292" s="13" t="str">
        <f>IF(OR(ISBLANK(C292),ISBLANK(D292),ISBLANK(F292),ISBLANK(G292)),"",COUNTIF($B$5:B292,"JAMBUTU"))</f>
        <v/>
      </c>
      <c r="B292" s="8" t="str">
        <f t="shared" si="34"/>
        <v/>
      </c>
      <c r="C292" s="8"/>
      <c r="D292" s="8"/>
      <c r="E292" s="13"/>
      <c r="F292" s="12"/>
      <c r="G292" s="11"/>
      <c r="H292" s="12"/>
      <c r="I292" s="11"/>
      <c r="J292" s="10">
        <f t="shared" si="28"/>
        <v>0</v>
      </c>
      <c r="K292" s="10">
        <f t="shared" si="29"/>
        <v>0</v>
      </c>
      <c r="L292" s="9" t="str">
        <f t="shared" si="30"/>
        <v/>
      </c>
      <c r="M292" s="8"/>
      <c r="N292" s="8"/>
      <c r="O292" s="8"/>
      <c r="P292" s="8"/>
      <c r="Q292" s="8"/>
      <c r="R292" s="8"/>
      <c r="S292" s="8"/>
      <c r="T292" s="8"/>
      <c r="U292" s="8"/>
      <c r="V292" s="7"/>
      <c r="W292" s="6" t="str">
        <f t="array" ref="W292">IF(NOT(ISBLANK(D292)),_xludf.XLOOKUP(D292,[2]CODE!$A$4:$A$100,[2]CODE!$D$4:$D$100),"")</f>
        <v/>
      </c>
      <c r="X292" s="5" t="str">
        <f t="array" ref="X292">IF(NOT(AND(ISBLANK(D292),ISBLANK(C292))),_xludf.XLOOKUP(D292,[2]CODE!$A$4:$A$100,[2]CODE!$E$4:$E$100),"")</f>
        <v/>
      </c>
      <c r="Y292" s="5" t="str">
        <f t="shared" si="31"/>
        <v/>
      </c>
      <c r="Z292" s="5" t="str">
        <f t="shared" si="32"/>
        <v/>
      </c>
      <c r="AA292" s="4">
        <f t="shared" si="33"/>
        <v>0</v>
      </c>
      <c r="AC292" s="2"/>
    </row>
    <row r="293" spans="1:29" ht="15.5">
      <c r="A293" s="13" t="str">
        <f>IF(OR(ISBLANK(C293),ISBLANK(D293),ISBLANK(F293),ISBLANK(G293)),"",COUNTIF($B$5:B293,"JAMBUTU"))</f>
        <v/>
      </c>
      <c r="B293" s="8" t="str">
        <f t="shared" si="34"/>
        <v/>
      </c>
      <c r="C293" s="8"/>
      <c r="D293" s="8"/>
      <c r="E293" s="13"/>
      <c r="F293" s="12"/>
      <c r="G293" s="11"/>
      <c r="H293" s="12"/>
      <c r="I293" s="11"/>
      <c r="J293" s="10">
        <f t="shared" si="28"/>
        <v>0</v>
      </c>
      <c r="K293" s="10">
        <f t="shared" si="29"/>
        <v>0</v>
      </c>
      <c r="L293" s="9" t="str">
        <f t="shared" si="30"/>
        <v/>
      </c>
      <c r="M293" s="8"/>
      <c r="N293" s="8"/>
      <c r="O293" s="8"/>
      <c r="P293" s="8"/>
      <c r="Q293" s="8"/>
      <c r="R293" s="8"/>
      <c r="S293" s="8"/>
      <c r="T293" s="8"/>
      <c r="U293" s="8"/>
      <c r="V293" s="7"/>
      <c r="W293" s="6" t="str">
        <f t="array" ref="W293">IF(NOT(ISBLANK(D293)),_xludf.XLOOKUP(D293,[2]CODE!$A$4:$A$100,[2]CODE!$D$4:$D$100),"")</f>
        <v/>
      </c>
      <c r="X293" s="5" t="str">
        <f t="array" ref="X293">IF(NOT(AND(ISBLANK(D293),ISBLANK(C293))),_xludf.XLOOKUP(D293,[2]CODE!$A$4:$A$100,[2]CODE!$E$4:$E$100),"")</f>
        <v/>
      </c>
      <c r="Y293" s="5" t="str">
        <f t="shared" si="31"/>
        <v/>
      </c>
      <c r="Z293" s="5" t="str">
        <f t="shared" si="32"/>
        <v/>
      </c>
      <c r="AA293" s="4">
        <f t="shared" si="33"/>
        <v>0</v>
      </c>
      <c r="AC293" s="2"/>
    </row>
    <row r="294" spans="1:29" ht="15.5">
      <c r="A294" s="13" t="str">
        <f>IF(OR(ISBLANK(C294),ISBLANK(D294),ISBLANK(F294),ISBLANK(G294)),"",COUNTIF($B$5:B294,"JAMBUTU"))</f>
        <v/>
      </c>
      <c r="B294" s="8" t="str">
        <f t="shared" si="34"/>
        <v/>
      </c>
      <c r="C294" s="8"/>
      <c r="D294" s="8"/>
      <c r="E294" s="13"/>
      <c r="F294" s="12"/>
      <c r="G294" s="11"/>
      <c r="H294" s="12"/>
      <c r="I294" s="11"/>
      <c r="J294" s="10">
        <f t="shared" si="28"/>
        <v>0</v>
      </c>
      <c r="K294" s="10">
        <f t="shared" si="29"/>
        <v>0</v>
      </c>
      <c r="L294" s="9" t="str">
        <f t="shared" si="30"/>
        <v/>
      </c>
      <c r="M294" s="8"/>
      <c r="N294" s="8"/>
      <c r="O294" s="8"/>
      <c r="P294" s="8"/>
      <c r="Q294" s="8"/>
      <c r="R294" s="8"/>
      <c r="S294" s="8"/>
      <c r="T294" s="8"/>
      <c r="U294" s="8"/>
      <c r="V294" s="7"/>
      <c r="W294" s="6" t="str">
        <f t="array" ref="W294">IF(NOT(ISBLANK(D294)),_xludf.XLOOKUP(D294,[2]CODE!$A$4:$A$100,[2]CODE!$D$4:$D$100),"")</f>
        <v/>
      </c>
      <c r="X294" s="5" t="str">
        <f t="array" ref="X294">IF(NOT(AND(ISBLANK(D294),ISBLANK(C294))),_xludf.XLOOKUP(D294,[2]CODE!$A$4:$A$100,[2]CODE!$E$4:$E$100),"")</f>
        <v/>
      </c>
      <c r="Y294" s="5" t="str">
        <f t="shared" si="31"/>
        <v/>
      </c>
      <c r="Z294" s="5" t="str">
        <f t="shared" si="32"/>
        <v/>
      </c>
      <c r="AA294" s="4">
        <f t="shared" si="33"/>
        <v>0</v>
      </c>
      <c r="AC294" s="2"/>
    </row>
    <row r="295" spans="1:29" ht="15.5">
      <c r="A295" s="13" t="str">
        <f>IF(OR(ISBLANK(C295),ISBLANK(D295),ISBLANK(F295),ISBLANK(G295)),"",COUNTIF($B$5:B295,"JAMBUTU"))</f>
        <v/>
      </c>
      <c r="B295" s="8" t="str">
        <f t="shared" si="34"/>
        <v/>
      </c>
      <c r="C295" s="8"/>
      <c r="D295" s="8"/>
      <c r="E295" s="13"/>
      <c r="F295" s="12"/>
      <c r="G295" s="11"/>
      <c r="H295" s="12"/>
      <c r="I295" s="11"/>
      <c r="J295" s="10">
        <f t="shared" si="28"/>
        <v>0</v>
      </c>
      <c r="K295" s="10">
        <f t="shared" si="29"/>
        <v>0</v>
      </c>
      <c r="L295" s="9" t="str">
        <f t="shared" si="30"/>
        <v/>
      </c>
      <c r="M295" s="8"/>
      <c r="N295" s="8"/>
      <c r="O295" s="8"/>
      <c r="P295" s="8"/>
      <c r="Q295" s="8"/>
      <c r="R295" s="8"/>
      <c r="S295" s="8"/>
      <c r="T295" s="8"/>
      <c r="U295" s="8"/>
      <c r="V295" s="7"/>
      <c r="W295" s="6" t="str">
        <f t="array" ref="W295">IF(NOT(ISBLANK(D295)),_xludf.XLOOKUP(D295,[2]CODE!$A$4:$A$100,[2]CODE!$D$4:$D$100),"")</f>
        <v/>
      </c>
      <c r="X295" s="5" t="str">
        <f t="array" ref="X295">IF(NOT(AND(ISBLANK(D295),ISBLANK(C295))),_xludf.XLOOKUP(D295,[2]CODE!$A$4:$A$100,[2]CODE!$E$4:$E$100),"")</f>
        <v/>
      </c>
      <c r="Y295" s="5" t="str">
        <f t="shared" si="31"/>
        <v/>
      </c>
      <c r="Z295" s="5" t="str">
        <f t="shared" si="32"/>
        <v/>
      </c>
      <c r="AA295" s="4">
        <f t="shared" si="33"/>
        <v>0</v>
      </c>
      <c r="AC295" s="2"/>
    </row>
    <row r="296" spans="1:29" ht="15.5">
      <c r="A296" s="13" t="str">
        <f>IF(OR(ISBLANK(C296),ISBLANK(D296),ISBLANK(F296),ISBLANK(G296)),"",COUNTIF($B$5:B296,"JAMBUTU"))</f>
        <v/>
      </c>
      <c r="B296" s="8" t="str">
        <f t="shared" si="34"/>
        <v/>
      </c>
      <c r="C296" s="8"/>
      <c r="D296" s="8"/>
      <c r="E296" s="13"/>
      <c r="F296" s="12"/>
      <c r="G296" s="11"/>
      <c r="H296" s="12"/>
      <c r="I296" s="11"/>
      <c r="J296" s="10">
        <f t="shared" si="28"/>
        <v>0</v>
      </c>
      <c r="K296" s="10">
        <f t="shared" si="29"/>
        <v>0</v>
      </c>
      <c r="L296" s="9" t="str">
        <f t="shared" si="30"/>
        <v/>
      </c>
      <c r="M296" s="8"/>
      <c r="N296" s="8"/>
      <c r="O296" s="8"/>
      <c r="P296" s="8"/>
      <c r="Q296" s="8"/>
      <c r="R296" s="8"/>
      <c r="S296" s="8"/>
      <c r="T296" s="8"/>
      <c r="U296" s="8"/>
      <c r="V296" s="7"/>
      <c r="W296" s="6" t="str">
        <f t="array" ref="W296">IF(NOT(ISBLANK(D296)),_xludf.XLOOKUP(D296,[2]CODE!$A$4:$A$100,[2]CODE!$D$4:$D$100),"")</f>
        <v/>
      </c>
      <c r="X296" s="5" t="str">
        <f t="array" ref="X296">IF(NOT(AND(ISBLANK(D296),ISBLANK(C296))),_xludf.XLOOKUP(D296,[2]CODE!$A$4:$A$100,[2]CODE!$E$4:$E$100),"")</f>
        <v/>
      </c>
      <c r="Y296" s="5" t="str">
        <f t="shared" si="31"/>
        <v/>
      </c>
      <c r="Z296" s="5" t="str">
        <f t="shared" si="32"/>
        <v/>
      </c>
      <c r="AA296" s="4">
        <f t="shared" si="33"/>
        <v>0</v>
      </c>
      <c r="AC296" s="2"/>
    </row>
    <row r="297" spans="1:29" ht="15.5">
      <c r="A297" s="13" t="str">
        <f>IF(OR(ISBLANK(C297),ISBLANK(D297),ISBLANK(F297),ISBLANK(G297)),"",COUNTIF($B$5:B297,"JAMBUTU"))</f>
        <v/>
      </c>
      <c r="B297" s="8" t="str">
        <f t="shared" si="34"/>
        <v/>
      </c>
      <c r="C297" s="8"/>
      <c r="D297" s="8"/>
      <c r="E297" s="13"/>
      <c r="F297" s="12"/>
      <c r="G297" s="11"/>
      <c r="H297" s="12"/>
      <c r="I297" s="11"/>
      <c r="J297" s="10">
        <f t="shared" si="28"/>
        <v>0</v>
      </c>
      <c r="K297" s="10">
        <f t="shared" si="29"/>
        <v>0</v>
      </c>
      <c r="L297" s="9" t="str">
        <f t="shared" si="30"/>
        <v/>
      </c>
      <c r="M297" s="8"/>
      <c r="N297" s="8"/>
      <c r="O297" s="8"/>
      <c r="P297" s="8"/>
      <c r="Q297" s="8"/>
      <c r="R297" s="8"/>
      <c r="S297" s="8"/>
      <c r="T297" s="8"/>
      <c r="U297" s="8"/>
      <c r="V297" s="7"/>
      <c r="W297" s="6" t="str">
        <f t="array" ref="W297">IF(NOT(ISBLANK(D297)),_xludf.XLOOKUP(D297,[2]CODE!$A$4:$A$100,[2]CODE!$D$4:$D$100),"")</f>
        <v/>
      </c>
      <c r="X297" s="5" t="str">
        <f t="array" ref="X297">IF(NOT(AND(ISBLANK(D297),ISBLANK(C297))),_xludf.XLOOKUP(D297,[2]CODE!$A$4:$A$100,[2]CODE!$E$4:$E$100),"")</f>
        <v/>
      </c>
      <c r="Y297" s="5" t="str">
        <f t="shared" si="31"/>
        <v/>
      </c>
      <c r="Z297" s="5" t="str">
        <f t="shared" si="32"/>
        <v/>
      </c>
      <c r="AA297" s="4">
        <f t="shared" si="33"/>
        <v>0</v>
      </c>
      <c r="AC297" s="2"/>
    </row>
    <row r="298" spans="1:29" ht="15.5">
      <c r="A298" s="13" t="str">
        <f>IF(OR(ISBLANK(C298),ISBLANK(D298),ISBLANK(F298),ISBLANK(G298)),"",COUNTIF($B$5:B298,"JAMBUTU"))</f>
        <v/>
      </c>
      <c r="B298" s="8" t="str">
        <f t="shared" si="34"/>
        <v/>
      </c>
      <c r="C298" s="8"/>
      <c r="D298" s="8"/>
      <c r="E298" s="13"/>
      <c r="F298" s="12"/>
      <c r="G298" s="11"/>
      <c r="H298" s="12"/>
      <c r="I298" s="11"/>
      <c r="J298" s="10">
        <f t="shared" si="28"/>
        <v>0</v>
      </c>
      <c r="K298" s="10">
        <f t="shared" si="29"/>
        <v>0</v>
      </c>
      <c r="L298" s="9" t="str">
        <f t="shared" si="30"/>
        <v/>
      </c>
      <c r="M298" s="8"/>
      <c r="N298" s="8"/>
      <c r="O298" s="8"/>
      <c r="P298" s="8"/>
      <c r="Q298" s="8"/>
      <c r="R298" s="8"/>
      <c r="S298" s="8"/>
      <c r="T298" s="8"/>
      <c r="U298" s="8"/>
      <c r="V298" s="7"/>
      <c r="W298" s="6" t="str">
        <f t="array" ref="W298">IF(NOT(ISBLANK(D298)),_xludf.XLOOKUP(D298,[2]CODE!$A$4:$A$100,[2]CODE!$D$4:$D$100),"")</f>
        <v/>
      </c>
      <c r="X298" s="5" t="str">
        <f t="array" ref="X298">IF(NOT(AND(ISBLANK(D298),ISBLANK(C298))),_xludf.XLOOKUP(D298,[2]CODE!$A$4:$A$100,[2]CODE!$E$4:$E$100),"")</f>
        <v/>
      </c>
      <c r="Y298" s="5" t="str">
        <f t="shared" si="31"/>
        <v/>
      </c>
      <c r="Z298" s="5" t="str">
        <f t="shared" si="32"/>
        <v/>
      </c>
      <c r="AA298" s="4">
        <f t="shared" si="33"/>
        <v>0</v>
      </c>
      <c r="AC298" s="2"/>
    </row>
    <row r="299" spans="1:29" ht="15.5">
      <c r="A299" s="13" t="str">
        <f>IF(OR(ISBLANK(C299),ISBLANK(D299),ISBLANK(F299),ISBLANK(G299)),"",COUNTIF($B$5:B299,"JAMBUTU"))</f>
        <v/>
      </c>
      <c r="B299" s="8" t="str">
        <f t="shared" si="34"/>
        <v/>
      </c>
      <c r="C299" s="8"/>
      <c r="D299" s="8"/>
      <c r="E299" s="13"/>
      <c r="F299" s="12"/>
      <c r="G299" s="11"/>
      <c r="H299" s="12"/>
      <c r="I299" s="11"/>
      <c r="J299" s="10">
        <f t="shared" si="28"/>
        <v>0</v>
      </c>
      <c r="K299" s="10">
        <f t="shared" si="29"/>
        <v>0</v>
      </c>
      <c r="L299" s="9" t="str">
        <f t="shared" si="30"/>
        <v/>
      </c>
      <c r="M299" s="8"/>
      <c r="N299" s="8"/>
      <c r="O299" s="8"/>
      <c r="P299" s="8"/>
      <c r="Q299" s="8"/>
      <c r="R299" s="8"/>
      <c r="S299" s="8"/>
      <c r="T299" s="8"/>
      <c r="U299" s="8"/>
      <c r="V299" s="7"/>
      <c r="W299" s="6" t="str">
        <f t="array" ref="W299">IF(NOT(ISBLANK(D299)),_xludf.XLOOKUP(D299,[2]CODE!$A$4:$A$100,[2]CODE!$D$4:$D$100),"")</f>
        <v/>
      </c>
      <c r="X299" s="5" t="str">
        <f t="array" ref="X299">IF(NOT(AND(ISBLANK(D299),ISBLANK(C299))),_xludf.XLOOKUP(D299,[2]CODE!$A$4:$A$100,[2]CODE!$E$4:$E$100),"")</f>
        <v/>
      </c>
      <c r="Y299" s="5" t="str">
        <f t="shared" si="31"/>
        <v/>
      </c>
      <c r="Z299" s="5" t="str">
        <f t="shared" si="32"/>
        <v/>
      </c>
      <c r="AA299" s="4">
        <f t="shared" si="33"/>
        <v>0</v>
      </c>
      <c r="AC299" s="2"/>
    </row>
    <row r="300" spans="1:29" ht="15.5">
      <c r="A300" s="13" t="str">
        <f>IF(OR(ISBLANK(C300),ISBLANK(D300),ISBLANK(F300),ISBLANK(G300)),"",COUNTIF($B$5:B300,"JAMBUTU"))</f>
        <v/>
      </c>
      <c r="B300" s="8" t="str">
        <f t="shared" si="34"/>
        <v/>
      </c>
      <c r="C300" s="8"/>
      <c r="D300" s="8"/>
      <c r="E300" s="13"/>
      <c r="F300" s="12"/>
      <c r="G300" s="11"/>
      <c r="H300" s="12"/>
      <c r="I300" s="11"/>
      <c r="J300" s="10">
        <f t="shared" si="28"/>
        <v>0</v>
      </c>
      <c r="K300" s="10">
        <f t="shared" si="29"/>
        <v>0</v>
      </c>
      <c r="L300" s="9" t="str">
        <f t="shared" si="30"/>
        <v/>
      </c>
      <c r="M300" s="8"/>
      <c r="N300" s="8"/>
      <c r="O300" s="8"/>
      <c r="P300" s="8"/>
      <c r="Q300" s="8"/>
      <c r="R300" s="8"/>
      <c r="S300" s="8"/>
      <c r="T300" s="8"/>
      <c r="U300" s="8"/>
      <c r="V300" s="7"/>
      <c r="W300" s="6" t="str">
        <f t="array" ref="W300">IF(NOT(ISBLANK(D300)),_xludf.XLOOKUP(D300,[2]CODE!$A$4:$A$100,[2]CODE!$D$4:$D$100),"")</f>
        <v/>
      </c>
      <c r="X300" s="5" t="str">
        <f t="array" ref="X300">IF(NOT(AND(ISBLANK(D300),ISBLANK(C300))),_xludf.XLOOKUP(D300,[2]CODE!$A$4:$A$100,[2]CODE!$E$4:$E$100),"")</f>
        <v/>
      </c>
      <c r="Y300" s="5" t="str">
        <f t="shared" si="31"/>
        <v/>
      </c>
      <c r="Z300" s="5" t="str">
        <f t="shared" si="32"/>
        <v/>
      </c>
      <c r="AA300" s="4">
        <f t="shared" si="33"/>
        <v>0</v>
      </c>
      <c r="AC300" s="2"/>
    </row>
    <row r="301" spans="1:29" ht="15.5">
      <c r="A301" s="13" t="str">
        <f>IF(OR(ISBLANK(C301),ISBLANK(D301),ISBLANK(F301),ISBLANK(G301)),"",COUNTIF($B$5:B301,"JAMBUTU"))</f>
        <v/>
      </c>
      <c r="B301" s="8" t="str">
        <f t="shared" si="34"/>
        <v/>
      </c>
      <c r="C301" s="8"/>
      <c r="D301" s="8"/>
      <c r="E301" s="13"/>
      <c r="F301" s="12"/>
      <c r="G301" s="11"/>
      <c r="H301" s="12"/>
      <c r="I301" s="11"/>
      <c r="J301" s="10">
        <f t="shared" si="28"/>
        <v>0</v>
      </c>
      <c r="K301" s="10">
        <f t="shared" si="29"/>
        <v>0</v>
      </c>
      <c r="L301" s="9" t="str">
        <f t="shared" si="30"/>
        <v/>
      </c>
      <c r="M301" s="8"/>
      <c r="N301" s="8"/>
      <c r="O301" s="8"/>
      <c r="P301" s="8"/>
      <c r="Q301" s="8"/>
      <c r="R301" s="8"/>
      <c r="S301" s="8"/>
      <c r="T301" s="8"/>
      <c r="U301" s="8"/>
      <c r="V301" s="7"/>
      <c r="W301" s="6" t="str">
        <f t="array" ref="W301">IF(NOT(ISBLANK(D301)),_xludf.XLOOKUP(D301,[2]CODE!$A$4:$A$100,[2]CODE!$D$4:$D$100),"")</f>
        <v/>
      </c>
      <c r="X301" s="5" t="str">
        <f t="array" ref="X301">IF(NOT(AND(ISBLANK(D301),ISBLANK(C301))),_xludf.XLOOKUP(D301,[2]CODE!$A$4:$A$100,[2]CODE!$E$4:$E$100),"")</f>
        <v/>
      </c>
      <c r="Y301" s="5" t="str">
        <f t="shared" si="31"/>
        <v/>
      </c>
      <c r="Z301" s="5" t="str">
        <f t="shared" si="32"/>
        <v/>
      </c>
      <c r="AA301" s="4">
        <f t="shared" si="33"/>
        <v>0</v>
      </c>
      <c r="AC301" s="2"/>
    </row>
    <row r="302" spans="1:29" ht="15.5">
      <c r="A302" s="13" t="str">
        <f>IF(OR(ISBLANK(C302),ISBLANK(D302),ISBLANK(F302),ISBLANK(G302)),"",COUNTIF($B$5:B302,"JAMBUTU"))</f>
        <v/>
      </c>
      <c r="B302" s="8" t="str">
        <f t="shared" si="34"/>
        <v/>
      </c>
      <c r="C302" s="8"/>
      <c r="D302" s="8"/>
      <c r="E302" s="13"/>
      <c r="F302" s="12"/>
      <c r="G302" s="11"/>
      <c r="H302" s="12"/>
      <c r="I302" s="11"/>
      <c r="J302" s="10">
        <f t="shared" si="28"/>
        <v>0</v>
      </c>
      <c r="K302" s="10">
        <f t="shared" si="29"/>
        <v>0</v>
      </c>
      <c r="L302" s="9" t="str">
        <f t="shared" si="30"/>
        <v/>
      </c>
      <c r="M302" s="8"/>
      <c r="N302" s="8"/>
      <c r="O302" s="8"/>
      <c r="P302" s="8"/>
      <c r="Q302" s="8"/>
      <c r="R302" s="8"/>
      <c r="S302" s="8"/>
      <c r="T302" s="8"/>
      <c r="U302" s="8"/>
      <c r="V302" s="7"/>
      <c r="W302" s="6" t="str">
        <f t="array" ref="W302">IF(NOT(ISBLANK(D302)),_xludf.XLOOKUP(D302,[2]CODE!$A$4:$A$100,[2]CODE!$D$4:$D$100),"")</f>
        <v/>
      </c>
      <c r="X302" s="5" t="str">
        <f t="array" ref="X302">IF(NOT(AND(ISBLANK(D302),ISBLANK(C302))),_xludf.XLOOKUP(D302,[2]CODE!$A$4:$A$100,[2]CODE!$E$4:$E$100),"")</f>
        <v/>
      </c>
      <c r="Y302" s="5" t="str">
        <f t="shared" si="31"/>
        <v/>
      </c>
      <c r="Z302" s="5" t="str">
        <f t="shared" si="32"/>
        <v/>
      </c>
      <c r="AA302" s="4">
        <f t="shared" si="33"/>
        <v>0</v>
      </c>
      <c r="AC302" s="2"/>
    </row>
    <row r="303" spans="1:29" ht="15.5">
      <c r="A303" s="13" t="str">
        <f>IF(OR(ISBLANK(C303),ISBLANK(D303),ISBLANK(F303),ISBLANK(G303)),"",COUNTIF($B$5:B303,"JAMBUTU"))</f>
        <v/>
      </c>
      <c r="B303" s="8" t="str">
        <f t="shared" si="34"/>
        <v/>
      </c>
      <c r="C303" s="8"/>
      <c r="D303" s="8"/>
      <c r="E303" s="13"/>
      <c r="F303" s="12"/>
      <c r="G303" s="11"/>
      <c r="H303" s="12"/>
      <c r="I303" s="11"/>
      <c r="J303" s="10">
        <f t="shared" si="28"/>
        <v>0</v>
      </c>
      <c r="K303" s="10">
        <f t="shared" si="29"/>
        <v>0</v>
      </c>
      <c r="L303" s="9" t="str">
        <f t="shared" si="30"/>
        <v/>
      </c>
      <c r="M303" s="8"/>
      <c r="N303" s="8"/>
      <c r="O303" s="8"/>
      <c r="P303" s="8"/>
      <c r="Q303" s="8"/>
      <c r="R303" s="8"/>
      <c r="S303" s="8"/>
      <c r="T303" s="8"/>
      <c r="U303" s="8"/>
      <c r="V303" s="7"/>
      <c r="W303" s="6" t="str">
        <f t="array" ref="W303">IF(NOT(ISBLANK(D303)),_xludf.XLOOKUP(D303,[2]CODE!$A$4:$A$100,[2]CODE!$D$4:$D$100),"")</f>
        <v/>
      </c>
      <c r="X303" s="5" t="str">
        <f t="array" ref="X303">IF(NOT(AND(ISBLANK(D303),ISBLANK(C303))),_xludf.XLOOKUP(D303,[2]CODE!$A$4:$A$100,[2]CODE!$E$4:$E$100),"")</f>
        <v/>
      </c>
      <c r="Y303" s="5" t="str">
        <f t="shared" si="31"/>
        <v/>
      </c>
      <c r="Z303" s="5" t="str">
        <f t="shared" si="32"/>
        <v/>
      </c>
      <c r="AA303" s="4">
        <f t="shared" si="33"/>
        <v>0</v>
      </c>
      <c r="AC303" s="2"/>
    </row>
    <row r="304" spans="1:29" ht="15.5">
      <c r="A304" s="13" t="str">
        <f>IF(OR(ISBLANK(C304),ISBLANK(D304),ISBLANK(F304),ISBLANK(G304)),"",COUNTIF($B$5:B304,"JAMBUTU"))</f>
        <v/>
      </c>
      <c r="B304" s="8" t="str">
        <f t="shared" si="34"/>
        <v/>
      </c>
      <c r="C304" s="8"/>
      <c r="D304" s="8"/>
      <c r="E304" s="13"/>
      <c r="F304" s="12"/>
      <c r="G304" s="11"/>
      <c r="H304" s="12"/>
      <c r="I304" s="11"/>
      <c r="J304" s="10">
        <f t="shared" si="28"/>
        <v>0</v>
      </c>
      <c r="K304" s="10">
        <f t="shared" si="29"/>
        <v>0</v>
      </c>
      <c r="L304" s="9" t="str">
        <f t="shared" si="30"/>
        <v/>
      </c>
      <c r="M304" s="8"/>
      <c r="N304" s="8"/>
      <c r="O304" s="8"/>
      <c r="P304" s="8"/>
      <c r="Q304" s="8"/>
      <c r="R304" s="8"/>
      <c r="S304" s="8"/>
      <c r="T304" s="8"/>
      <c r="U304" s="8"/>
      <c r="V304" s="7"/>
      <c r="W304" s="6" t="str">
        <f t="array" ref="W304">IF(NOT(ISBLANK(D304)),_xludf.XLOOKUP(D304,[2]CODE!$A$4:$A$100,[2]CODE!$D$4:$D$100),"")</f>
        <v/>
      </c>
      <c r="X304" s="5" t="str">
        <f t="array" ref="X304">IF(NOT(AND(ISBLANK(D304),ISBLANK(C304))),_xludf.XLOOKUP(D304,[2]CODE!$A$4:$A$100,[2]CODE!$E$4:$E$100),"")</f>
        <v/>
      </c>
      <c r="Y304" s="5" t="str">
        <f t="shared" si="31"/>
        <v/>
      </c>
      <c r="Z304" s="5" t="str">
        <f t="shared" si="32"/>
        <v/>
      </c>
      <c r="AA304" s="4">
        <f t="shared" si="33"/>
        <v>0</v>
      </c>
      <c r="AC304" s="2"/>
    </row>
    <row r="305" spans="1:29" ht="15.5">
      <c r="A305" s="13" t="str">
        <f>IF(OR(ISBLANK(C305),ISBLANK(D305),ISBLANK(F305),ISBLANK(G305)),"",COUNTIF($B$5:B305,"JAMBUTU"))</f>
        <v/>
      </c>
      <c r="B305" s="8" t="str">
        <f t="shared" si="34"/>
        <v/>
      </c>
      <c r="C305" s="8"/>
      <c r="D305" s="8"/>
      <c r="E305" s="13"/>
      <c r="F305" s="12"/>
      <c r="G305" s="11"/>
      <c r="H305" s="12"/>
      <c r="I305" s="11"/>
      <c r="J305" s="10">
        <f t="shared" si="28"/>
        <v>0</v>
      </c>
      <c r="K305" s="10">
        <f t="shared" si="29"/>
        <v>0</v>
      </c>
      <c r="L305" s="9" t="str">
        <f t="shared" si="30"/>
        <v/>
      </c>
      <c r="M305" s="8"/>
      <c r="N305" s="8"/>
      <c r="O305" s="8"/>
      <c r="P305" s="8"/>
      <c r="Q305" s="8"/>
      <c r="R305" s="8"/>
      <c r="S305" s="8"/>
      <c r="T305" s="8"/>
      <c r="U305" s="8"/>
      <c r="V305" s="7"/>
      <c r="W305" s="6" t="str">
        <f t="array" ref="W305">IF(NOT(ISBLANK(D305)),_xludf.XLOOKUP(D305,[2]CODE!$A$4:$A$100,[2]CODE!$D$4:$D$100),"")</f>
        <v/>
      </c>
      <c r="X305" s="5" t="str">
        <f t="array" ref="X305">IF(NOT(AND(ISBLANK(D305),ISBLANK(C305))),_xludf.XLOOKUP(D305,[2]CODE!$A$4:$A$100,[2]CODE!$E$4:$E$100),"")</f>
        <v/>
      </c>
      <c r="Y305" s="5" t="str">
        <f t="shared" si="31"/>
        <v/>
      </c>
      <c r="Z305" s="5" t="str">
        <f t="shared" si="32"/>
        <v/>
      </c>
      <c r="AA305" s="4">
        <f t="shared" si="33"/>
        <v>0</v>
      </c>
      <c r="AC305" s="2"/>
    </row>
    <row r="306" spans="1:29" ht="15.5">
      <c r="A306" s="13" t="str">
        <f>IF(OR(ISBLANK(C306),ISBLANK(D306),ISBLANK(F306),ISBLANK(G306)),"",COUNTIF($B$5:B306,"JAMBUTU"))</f>
        <v/>
      </c>
      <c r="B306" s="8" t="str">
        <f t="shared" si="34"/>
        <v/>
      </c>
      <c r="C306" s="8"/>
      <c r="D306" s="8"/>
      <c r="E306" s="13"/>
      <c r="F306" s="12"/>
      <c r="G306" s="11"/>
      <c r="H306" s="12"/>
      <c r="I306" s="15"/>
      <c r="J306" s="10">
        <f t="shared" si="28"/>
        <v>0</v>
      </c>
      <c r="K306" s="10">
        <f t="shared" si="29"/>
        <v>0</v>
      </c>
      <c r="L306" s="9" t="str">
        <f t="shared" si="30"/>
        <v/>
      </c>
      <c r="M306" s="8"/>
      <c r="N306" s="8"/>
      <c r="O306" s="8"/>
      <c r="P306" s="8"/>
      <c r="Q306" s="8"/>
      <c r="R306" s="8"/>
      <c r="S306" s="8"/>
      <c r="T306" s="8"/>
      <c r="U306" s="8"/>
      <c r="V306" s="7"/>
      <c r="W306" s="6" t="str">
        <f t="array" ref="W306">IF(NOT(ISBLANK(D306)),_xludf.XLOOKUP(D306,[2]CODE!$A$4:$A$100,[2]CODE!$D$4:$D$100),"")</f>
        <v/>
      </c>
      <c r="X306" s="5" t="str">
        <f t="array" ref="X306">IF(NOT(AND(ISBLANK(D306),ISBLANK(C306))),_xludf.XLOOKUP(D306,[2]CODE!$A$4:$A$100,[2]CODE!$E$4:$E$100),"")</f>
        <v/>
      </c>
      <c r="Y306" s="5" t="str">
        <f t="shared" si="31"/>
        <v/>
      </c>
      <c r="Z306" s="5" t="str">
        <f t="shared" si="32"/>
        <v/>
      </c>
      <c r="AA306" s="4">
        <f t="shared" si="33"/>
        <v>0</v>
      </c>
      <c r="AC306" s="2"/>
    </row>
    <row r="307" spans="1:29" ht="15.5">
      <c r="A307" s="13" t="str">
        <f>IF(OR(ISBLANK(C307),ISBLANK(D307),ISBLANK(F307),ISBLANK(G307)),"",COUNTIF($B$5:B307,"JAMBUTU"))</f>
        <v/>
      </c>
      <c r="B307" s="8" t="str">
        <f t="shared" si="34"/>
        <v/>
      </c>
      <c r="C307" s="8"/>
      <c r="D307" s="8"/>
      <c r="E307" s="13"/>
      <c r="F307" s="12"/>
      <c r="G307" s="11"/>
      <c r="H307" s="12"/>
      <c r="I307" s="11"/>
      <c r="J307" s="10">
        <f t="shared" si="28"/>
        <v>0</v>
      </c>
      <c r="K307" s="10">
        <f t="shared" si="29"/>
        <v>0</v>
      </c>
      <c r="L307" s="9" t="str">
        <f t="shared" si="30"/>
        <v/>
      </c>
      <c r="M307" s="8"/>
      <c r="N307" s="8"/>
      <c r="O307" s="8"/>
      <c r="P307" s="8"/>
      <c r="Q307" s="8"/>
      <c r="R307" s="8"/>
      <c r="S307" s="8"/>
      <c r="T307" s="8"/>
      <c r="U307" s="8"/>
      <c r="V307" s="7"/>
      <c r="W307" s="6" t="str">
        <f t="array" ref="W307">IF(NOT(ISBLANK(D307)),_xludf.XLOOKUP(D307,[2]CODE!$A$4:$A$100,[2]CODE!$D$4:$D$100),"")</f>
        <v/>
      </c>
      <c r="X307" s="5" t="str">
        <f t="array" ref="X307">IF(NOT(AND(ISBLANK(D307),ISBLANK(C307))),_xludf.XLOOKUP(D307,[2]CODE!$A$4:$A$100,[2]CODE!$E$4:$E$100),"")</f>
        <v/>
      </c>
      <c r="Y307" s="5" t="str">
        <f t="shared" si="31"/>
        <v/>
      </c>
      <c r="Z307" s="5" t="str">
        <f t="shared" si="32"/>
        <v/>
      </c>
      <c r="AA307" s="4">
        <f t="shared" si="33"/>
        <v>0</v>
      </c>
      <c r="AC307" s="2"/>
    </row>
    <row r="308" spans="1:29" ht="15.5">
      <c r="A308" s="13" t="str">
        <f>IF(OR(ISBLANK(C308),ISBLANK(D308),ISBLANK(F308),ISBLANK(G308)),"",COUNTIF($B$5:B308,"JAMBUTU"))</f>
        <v/>
      </c>
      <c r="B308" s="8" t="str">
        <f t="shared" si="34"/>
        <v/>
      </c>
      <c r="C308" s="8"/>
      <c r="D308" s="8"/>
      <c r="E308" s="13"/>
      <c r="F308" s="12"/>
      <c r="G308" s="11"/>
      <c r="H308" s="12"/>
      <c r="I308" s="11"/>
      <c r="J308" s="10">
        <f t="shared" si="28"/>
        <v>0</v>
      </c>
      <c r="K308" s="10">
        <f t="shared" si="29"/>
        <v>0</v>
      </c>
      <c r="L308" s="9" t="str">
        <f t="shared" si="30"/>
        <v/>
      </c>
      <c r="M308" s="8"/>
      <c r="N308" s="8"/>
      <c r="O308" s="8"/>
      <c r="P308" s="8"/>
      <c r="Q308" s="8"/>
      <c r="R308" s="8"/>
      <c r="S308" s="8"/>
      <c r="T308" s="8"/>
      <c r="U308" s="8"/>
      <c r="V308" s="7"/>
      <c r="W308" s="6" t="str">
        <f t="array" ref="W308">IF(NOT(ISBLANK(D308)),_xludf.XLOOKUP(D308,[2]CODE!$A$4:$A$100,[2]CODE!$D$4:$D$100),"")</f>
        <v/>
      </c>
      <c r="X308" s="5" t="str">
        <f t="array" ref="X308">IF(NOT(AND(ISBLANK(D308),ISBLANK(C308))),_xludf.XLOOKUP(D308,[2]CODE!$A$4:$A$100,[2]CODE!$E$4:$E$100),"")</f>
        <v/>
      </c>
      <c r="Y308" s="5" t="str">
        <f t="shared" si="31"/>
        <v/>
      </c>
      <c r="Z308" s="5" t="str">
        <f t="shared" si="32"/>
        <v/>
      </c>
      <c r="AA308" s="4">
        <f t="shared" si="33"/>
        <v>0</v>
      </c>
      <c r="AC308" s="2"/>
    </row>
    <row r="309" spans="1:29" ht="15.5">
      <c r="A309" s="13" t="str">
        <f>IF(OR(ISBLANK(C309),ISBLANK(D309),ISBLANK(F309),ISBLANK(G309)),"",COUNTIF($B$5:B309,"JAMBUTU"))</f>
        <v/>
      </c>
      <c r="B309" s="8" t="str">
        <f t="shared" si="34"/>
        <v/>
      </c>
      <c r="C309" s="8"/>
      <c r="D309" s="8"/>
      <c r="E309" s="13"/>
      <c r="F309" s="12"/>
      <c r="G309" s="11"/>
      <c r="H309" s="12"/>
      <c r="I309" s="15"/>
      <c r="J309" s="10">
        <f t="shared" si="28"/>
        <v>0</v>
      </c>
      <c r="K309" s="10">
        <f t="shared" si="29"/>
        <v>0</v>
      </c>
      <c r="L309" s="9" t="str">
        <f t="shared" si="30"/>
        <v/>
      </c>
      <c r="M309" s="8"/>
      <c r="N309" s="8"/>
      <c r="O309" s="8"/>
      <c r="P309" s="8"/>
      <c r="Q309" s="8"/>
      <c r="R309" s="8"/>
      <c r="S309" s="8"/>
      <c r="T309" s="8"/>
      <c r="U309" s="8"/>
      <c r="V309" s="7"/>
      <c r="W309" s="6" t="str">
        <f t="array" ref="W309">IF(NOT(ISBLANK(D309)),_xludf.XLOOKUP(D309,[2]CODE!$A$4:$A$100,[2]CODE!$D$4:$D$100),"")</f>
        <v/>
      </c>
      <c r="X309" s="5" t="str">
        <f t="array" ref="X309">IF(NOT(AND(ISBLANK(D309),ISBLANK(C309))),_xludf.XLOOKUP(D309,[2]CODE!$A$4:$A$100,[2]CODE!$E$4:$E$100),"")</f>
        <v/>
      </c>
      <c r="Y309" s="5" t="str">
        <f t="shared" si="31"/>
        <v/>
      </c>
      <c r="Z309" s="5" t="str">
        <f t="shared" si="32"/>
        <v/>
      </c>
      <c r="AA309" s="4">
        <f t="shared" si="33"/>
        <v>0</v>
      </c>
      <c r="AC309" s="2"/>
    </row>
    <row r="310" spans="1:29" ht="15.5">
      <c r="A310" s="13" t="str">
        <f>IF(OR(ISBLANK(C310),ISBLANK(D310),ISBLANK(F310),ISBLANK(G310)),"",COUNTIF($B$5:B310,"JAMBUTU"))</f>
        <v/>
      </c>
      <c r="B310" s="8" t="str">
        <f t="shared" si="34"/>
        <v/>
      </c>
      <c r="C310" s="8"/>
      <c r="D310" s="8"/>
      <c r="E310" s="13"/>
      <c r="F310" s="12"/>
      <c r="G310" s="11"/>
      <c r="H310" s="12"/>
      <c r="I310" s="11"/>
      <c r="J310" s="10">
        <f t="shared" si="28"/>
        <v>0</v>
      </c>
      <c r="K310" s="10">
        <f t="shared" si="29"/>
        <v>0</v>
      </c>
      <c r="L310" s="9" t="str">
        <f t="shared" si="30"/>
        <v/>
      </c>
      <c r="M310" s="8"/>
      <c r="N310" s="8"/>
      <c r="O310" s="8"/>
      <c r="P310" s="8"/>
      <c r="Q310" s="8"/>
      <c r="R310" s="8"/>
      <c r="S310" s="8"/>
      <c r="T310" s="8"/>
      <c r="U310" s="8"/>
      <c r="V310" s="7"/>
      <c r="W310" s="6" t="str">
        <f t="array" ref="W310">IF(NOT(ISBLANK(D310)),_xludf.XLOOKUP(D310,[2]CODE!$A$4:$A$100,[2]CODE!$D$4:$D$100),"")</f>
        <v/>
      </c>
      <c r="X310" s="5" t="str">
        <f t="array" ref="X310">IF(NOT(AND(ISBLANK(D310),ISBLANK(C310))),_xludf.XLOOKUP(D310,[2]CODE!$A$4:$A$100,[2]CODE!$E$4:$E$100),"")</f>
        <v/>
      </c>
      <c r="Y310" s="5" t="str">
        <f t="shared" si="31"/>
        <v/>
      </c>
      <c r="Z310" s="5" t="str">
        <f t="shared" si="32"/>
        <v/>
      </c>
      <c r="AA310" s="4">
        <f t="shared" si="33"/>
        <v>0</v>
      </c>
      <c r="AC310" s="2"/>
    </row>
    <row r="311" spans="1:29" ht="15.5">
      <c r="A311" s="13" t="str">
        <f>IF(OR(ISBLANK(C311),ISBLANK(D311),ISBLANK(F311),ISBLANK(G311)),"",COUNTIF($B$5:B311,"JAMBUTU"))</f>
        <v/>
      </c>
      <c r="B311" s="8" t="str">
        <f t="shared" si="34"/>
        <v/>
      </c>
      <c r="C311" s="8"/>
      <c r="D311" s="8"/>
      <c r="E311" s="13"/>
      <c r="F311" s="12"/>
      <c r="G311" s="11"/>
      <c r="H311" s="12"/>
      <c r="I311" s="11"/>
      <c r="J311" s="10">
        <f t="shared" si="28"/>
        <v>0</v>
      </c>
      <c r="K311" s="10">
        <f t="shared" si="29"/>
        <v>0</v>
      </c>
      <c r="L311" s="9" t="str">
        <f t="shared" si="30"/>
        <v/>
      </c>
      <c r="M311" s="8"/>
      <c r="N311" s="8"/>
      <c r="O311" s="8"/>
      <c r="P311" s="8"/>
      <c r="Q311" s="8"/>
      <c r="R311" s="8"/>
      <c r="S311" s="8"/>
      <c r="T311" s="8"/>
      <c r="U311" s="8"/>
      <c r="V311" s="7"/>
      <c r="W311" s="6" t="str">
        <f t="array" ref="W311">IF(NOT(ISBLANK(D311)),_xludf.XLOOKUP(D311,[2]CODE!$A$4:$A$100,[2]CODE!$D$4:$D$100),"")</f>
        <v/>
      </c>
      <c r="X311" s="5" t="str">
        <f t="array" ref="X311">IF(NOT(AND(ISBLANK(D311),ISBLANK(C311))),_xludf.XLOOKUP(D311,[2]CODE!$A$4:$A$100,[2]CODE!$E$4:$E$100),"")</f>
        <v/>
      </c>
      <c r="Y311" s="5" t="str">
        <f t="shared" si="31"/>
        <v/>
      </c>
      <c r="Z311" s="5" t="str">
        <f t="shared" si="32"/>
        <v/>
      </c>
      <c r="AA311" s="4">
        <f t="shared" si="33"/>
        <v>0</v>
      </c>
      <c r="AC311" s="2"/>
    </row>
    <row r="312" spans="1:29" ht="15.5">
      <c r="A312" s="13" t="str">
        <f>IF(OR(ISBLANK(C312),ISBLANK(D312),ISBLANK(F312),ISBLANK(G312)),"",COUNTIF($B$5:B312,"JAMBUTU"))</f>
        <v/>
      </c>
      <c r="B312" s="8" t="str">
        <f t="shared" si="34"/>
        <v/>
      </c>
      <c r="C312" s="8"/>
      <c r="D312" s="8"/>
      <c r="E312" s="13"/>
      <c r="F312" s="12"/>
      <c r="G312" s="11"/>
      <c r="H312" s="12"/>
      <c r="I312" s="11"/>
      <c r="J312" s="10">
        <f t="shared" si="28"/>
        <v>0</v>
      </c>
      <c r="K312" s="10">
        <f t="shared" si="29"/>
        <v>0</v>
      </c>
      <c r="L312" s="9" t="str">
        <f t="shared" si="30"/>
        <v/>
      </c>
      <c r="M312" s="8"/>
      <c r="N312" s="8"/>
      <c r="O312" s="8"/>
      <c r="P312" s="8"/>
      <c r="Q312" s="8"/>
      <c r="R312" s="8"/>
      <c r="S312" s="8"/>
      <c r="T312" s="8"/>
      <c r="U312" s="8"/>
      <c r="V312" s="7"/>
      <c r="W312" s="6" t="str">
        <f t="array" ref="W312">IF(NOT(ISBLANK(D312)),_xludf.XLOOKUP(D312,[2]CODE!$A$4:$A$100,[2]CODE!$D$4:$D$100),"")</f>
        <v/>
      </c>
      <c r="X312" s="5" t="str">
        <f t="array" ref="X312">IF(NOT(AND(ISBLANK(D312),ISBLANK(C312))),_xludf.XLOOKUP(D312,[2]CODE!$A$4:$A$100,[2]CODE!$E$4:$E$100),"")</f>
        <v/>
      </c>
      <c r="Y312" s="5" t="str">
        <f t="shared" si="31"/>
        <v/>
      </c>
      <c r="Z312" s="5" t="str">
        <f t="shared" si="32"/>
        <v/>
      </c>
      <c r="AA312" s="4">
        <f t="shared" si="33"/>
        <v>0</v>
      </c>
      <c r="AC312" s="2"/>
    </row>
    <row r="313" spans="1:29" ht="15.5">
      <c r="A313" s="13" t="str">
        <f>IF(OR(ISBLANK(C313),ISBLANK(D313),ISBLANK(F313),ISBLANK(G313)),"",COUNTIF($B$5:B313,"JAMBUTU"))</f>
        <v/>
      </c>
      <c r="B313" s="8" t="str">
        <f t="shared" si="34"/>
        <v/>
      </c>
      <c r="C313" s="8"/>
      <c r="D313" s="8"/>
      <c r="E313" s="13"/>
      <c r="F313" s="12"/>
      <c r="G313" s="11"/>
      <c r="H313" s="12"/>
      <c r="I313" s="15"/>
      <c r="J313" s="10">
        <f t="shared" si="28"/>
        <v>0</v>
      </c>
      <c r="K313" s="10">
        <f t="shared" si="29"/>
        <v>0</v>
      </c>
      <c r="L313" s="9" t="str">
        <f t="shared" si="30"/>
        <v/>
      </c>
      <c r="M313" s="8"/>
      <c r="N313" s="8"/>
      <c r="O313" s="8"/>
      <c r="P313" s="8"/>
      <c r="Q313" s="8"/>
      <c r="R313" s="8"/>
      <c r="S313" s="8"/>
      <c r="T313" s="8"/>
      <c r="U313" s="8"/>
      <c r="V313" s="7"/>
      <c r="W313" s="6" t="str">
        <f t="array" ref="W313">IF(NOT(ISBLANK(D313)),_xludf.XLOOKUP(D313,[2]CODE!$A$4:$A$100,[2]CODE!$D$4:$D$100),"")</f>
        <v/>
      </c>
      <c r="X313" s="5" t="str">
        <f t="array" ref="X313">IF(NOT(AND(ISBLANK(D313),ISBLANK(C313))),_xludf.XLOOKUP(D313,[2]CODE!$A$4:$A$100,[2]CODE!$E$4:$E$100),"")</f>
        <v/>
      </c>
      <c r="Y313" s="5" t="str">
        <f t="shared" si="31"/>
        <v/>
      </c>
      <c r="Z313" s="5" t="str">
        <f t="shared" si="32"/>
        <v/>
      </c>
      <c r="AA313" s="4">
        <f t="shared" si="33"/>
        <v>0</v>
      </c>
      <c r="AC313" s="2"/>
    </row>
    <row r="314" spans="1:29" ht="15.5">
      <c r="A314" s="13" t="str">
        <f>IF(OR(ISBLANK(C314),ISBLANK(D314),ISBLANK(F314),ISBLANK(G314)),"",COUNTIF($B$5:B314,"JAMBUTU"))</f>
        <v/>
      </c>
      <c r="B314" s="8" t="str">
        <f t="shared" si="34"/>
        <v/>
      </c>
      <c r="C314" s="8"/>
      <c r="D314" s="8"/>
      <c r="E314" s="13"/>
      <c r="F314" s="12"/>
      <c r="G314" s="11"/>
      <c r="H314" s="12"/>
      <c r="I314" s="11"/>
      <c r="J314" s="10">
        <f t="shared" si="28"/>
        <v>0</v>
      </c>
      <c r="K314" s="10">
        <f t="shared" si="29"/>
        <v>0</v>
      </c>
      <c r="L314" s="9" t="str">
        <f t="shared" si="30"/>
        <v/>
      </c>
      <c r="M314" s="8"/>
      <c r="N314" s="8"/>
      <c r="O314" s="8"/>
      <c r="P314" s="8"/>
      <c r="Q314" s="8"/>
      <c r="R314" s="8"/>
      <c r="S314" s="8"/>
      <c r="T314" s="8"/>
      <c r="U314" s="8"/>
      <c r="V314" s="7"/>
      <c r="W314" s="6" t="str">
        <f t="array" ref="W314">IF(NOT(ISBLANK(D314)),_xludf.XLOOKUP(D314,[2]CODE!$A$4:$A$100,[2]CODE!$D$4:$D$100),"")</f>
        <v/>
      </c>
      <c r="X314" s="5" t="str">
        <f t="array" ref="X314">IF(NOT(AND(ISBLANK(D314),ISBLANK(C314))),_xludf.XLOOKUP(D314,[2]CODE!$A$4:$A$100,[2]CODE!$E$4:$E$100),"")</f>
        <v/>
      </c>
      <c r="Y314" s="5" t="str">
        <f t="shared" si="31"/>
        <v/>
      </c>
      <c r="Z314" s="5" t="str">
        <f t="shared" si="32"/>
        <v/>
      </c>
      <c r="AA314" s="4">
        <f t="shared" si="33"/>
        <v>0</v>
      </c>
      <c r="AC314" s="2"/>
    </row>
    <row r="315" spans="1:29" ht="15.5">
      <c r="A315" s="13" t="str">
        <f>IF(OR(ISBLANK(C315),ISBLANK(D315),ISBLANK(F315),ISBLANK(G315)),"",COUNTIF($B$5:B315,"JAMBUTU"))</f>
        <v/>
      </c>
      <c r="B315" s="8" t="str">
        <f t="shared" si="34"/>
        <v/>
      </c>
      <c r="C315" s="8"/>
      <c r="D315" s="8"/>
      <c r="E315" s="13"/>
      <c r="F315" s="12"/>
      <c r="G315" s="11"/>
      <c r="H315" s="12"/>
      <c r="I315" s="11"/>
      <c r="J315" s="10">
        <f t="shared" si="28"/>
        <v>0</v>
      </c>
      <c r="K315" s="10">
        <f t="shared" si="29"/>
        <v>0</v>
      </c>
      <c r="L315" s="9" t="str">
        <f t="shared" si="30"/>
        <v/>
      </c>
      <c r="M315" s="8"/>
      <c r="N315" s="8"/>
      <c r="O315" s="8"/>
      <c r="P315" s="8"/>
      <c r="Q315" s="8"/>
      <c r="R315" s="8"/>
      <c r="S315" s="8"/>
      <c r="T315" s="8"/>
      <c r="U315" s="8"/>
      <c r="V315" s="7"/>
      <c r="W315" s="6" t="str">
        <f t="array" ref="W315">IF(NOT(ISBLANK(D315)),_xludf.XLOOKUP(D315,[2]CODE!$A$4:$A$100,[2]CODE!$D$4:$D$100),"")</f>
        <v/>
      </c>
      <c r="X315" s="5" t="str">
        <f t="array" ref="X315">IF(NOT(AND(ISBLANK(D315),ISBLANK(C315))),_xludf.XLOOKUP(D315,[2]CODE!$A$4:$A$100,[2]CODE!$E$4:$E$100),"")</f>
        <v/>
      </c>
      <c r="Y315" s="5" t="str">
        <f t="shared" si="31"/>
        <v/>
      </c>
      <c r="Z315" s="5" t="str">
        <f t="shared" si="32"/>
        <v/>
      </c>
      <c r="AA315" s="4">
        <f t="shared" si="33"/>
        <v>0</v>
      </c>
      <c r="AC315" s="2"/>
    </row>
    <row r="316" spans="1:29" ht="15.5">
      <c r="A316" s="13" t="str">
        <f>IF(OR(ISBLANK(C316),ISBLANK(D316),ISBLANK(F316),ISBLANK(G316)),"",COUNTIF($B$5:B316,"JAMBUTU"))</f>
        <v/>
      </c>
      <c r="B316" s="8" t="str">
        <f t="shared" si="34"/>
        <v/>
      </c>
      <c r="C316" s="8"/>
      <c r="D316" s="8"/>
      <c r="E316" s="13"/>
      <c r="F316" s="12"/>
      <c r="G316" s="11"/>
      <c r="H316" s="12"/>
      <c r="I316" s="15"/>
      <c r="J316" s="10">
        <f t="shared" si="28"/>
        <v>0</v>
      </c>
      <c r="K316" s="10">
        <f t="shared" si="29"/>
        <v>0</v>
      </c>
      <c r="L316" s="9" t="str">
        <f t="shared" si="30"/>
        <v/>
      </c>
      <c r="M316" s="8"/>
      <c r="N316" s="8"/>
      <c r="O316" s="8"/>
      <c r="P316" s="8"/>
      <c r="Q316" s="8"/>
      <c r="R316" s="8"/>
      <c r="S316" s="8"/>
      <c r="T316" s="8"/>
      <c r="U316" s="8"/>
      <c r="V316" s="7"/>
      <c r="W316" s="6" t="str">
        <f t="array" ref="W316">IF(NOT(ISBLANK(D316)),_xludf.XLOOKUP(D316,[2]CODE!$A$4:$A$100,[2]CODE!$D$4:$D$100),"")</f>
        <v/>
      </c>
      <c r="X316" s="5" t="str">
        <f t="array" ref="X316">IF(NOT(AND(ISBLANK(D316),ISBLANK(C316))),_xludf.XLOOKUP(D316,[2]CODE!$A$4:$A$100,[2]CODE!$E$4:$E$100),"")</f>
        <v/>
      </c>
      <c r="Y316" s="5" t="str">
        <f t="shared" si="31"/>
        <v/>
      </c>
      <c r="Z316" s="5" t="str">
        <f t="shared" si="32"/>
        <v/>
      </c>
      <c r="AA316" s="4">
        <f t="shared" si="33"/>
        <v>0</v>
      </c>
      <c r="AC316" s="2"/>
    </row>
    <row r="317" spans="1:29" ht="15.5">
      <c r="A317" s="13" t="str">
        <f>IF(OR(ISBLANK(C317),ISBLANK(D317),ISBLANK(F317),ISBLANK(G317)),"",COUNTIF($B$5:B317,"JAMBUTU"))</f>
        <v/>
      </c>
      <c r="B317" s="8" t="str">
        <f t="shared" si="34"/>
        <v/>
      </c>
      <c r="C317" s="8"/>
      <c r="D317" s="8"/>
      <c r="E317" s="13"/>
      <c r="F317" s="12"/>
      <c r="G317" s="15"/>
      <c r="H317" s="12"/>
      <c r="I317" s="15"/>
      <c r="J317" s="10">
        <f t="shared" si="28"/>
        <v>0</v>
      </c>
      <c r="K317" s="10">
        <f t="shared" si="29"/>
        <v>0</v>
      </c>
      <c r="L317" s="9" t="str">
        <f t="shared" si="30"/>
        <v/>
      </c>
      <c r="M317" s="8"/>
      <c r="N317" s="8"/>
      <c r="O317" s="8"/>
      <c r="P317" s="8"/>
      <c r="Q317" s="8"/>
      <c r="R317" s="8"/>
      <c r="S317" s="8"/>
      <c r="T317" s="8"/>
      <c r="U317" s="8"/>
      <c r="V317" s="7"/>
      <c r="W317" s="6" t="str">
        <f t="array" ref="W317">IF(NOT(ISBLANK(D317)),_xludf.XLOOKUP(D317,[2]CODE!$A$4:$A$100,[2]CODE!$D$4:$D$100),"")</f>
        <v/>
      </c>
      <c r="X317" s="5" t="str">
        <f t="array" ref="X317">IF(NOT(AND(ISBLANK(D317),ISBLANK(C317))),_xludf.XLOOKUP(D317,[2]CODE!$A$4:$A$100,[2]CODE!$E$4:$E$100),"")</f>
        <v/>
      </c>
      <c r="Y317" s="5" t="str">
        <f t="shared" si="31"/>
        <v/>
      </c>
      <c r="Z317" s="5" t="str">
        <f t="shared" si="32"/>
        <v/>
      </c>
      <c r="AA317" s="4">
        <f t="shared" si="33"/>
        <v>0</v>
      </c>
      <c r="AC317" s="2"/>
    </row>
    <row r="318" spans="1:29" ht="15.5">
      <c r="A318" s="13" t="str">
        <f>IF(OR(ISBLANK(C318),ISBLANK(D318),ISBLANK(F318),ISBLANK(G318)),"",COUNTIF($B$5:B318,"JAMBUTU"))</f>
        <v/>
      </c>
      <c r="B318" s="8" t="str">
        <f t="shared" si="34"/>
        <v/>
      </c>
      <c r="C318" s="8"/>
      <c r="D318" s="8"/>
      <c r="E318" s="13"/>
      <c r="F318" s="12"/>
      <c r="G318" s="11"/>
      <c r="H318" s="12"/>
      <c r="I318" s="15"/>
      <c r="J318" s="10">
        <f t="shared" si="28"/>
        <v>0</v>
      </c>
      <c r="K318" s="10">
        <f t="shared" si="29"/>
        <v>0</v>
      </c>
      <c r="L318" s="9" t="str">
        <f t="shared" si="30"/>
        <v/>
      </c>
      <c r="M318" s="8"/>
      <c r="N318" s="8"/>
      <c r="O318" s="8"/>
      <c r="P318" s="8"/>
      <c r="Q318" s="8"/>
      <c r="R318" s="8"/>
      <c r="S318" s="8"/>
      <c r="T318" s="8"/>
      <c r="U318" s="8"/>
      <c r="V318" s="7"/>
      <c r="W318" s="6" t="str">
        <f t="array" ref="W318">IF(NOT(ISBLANK(D318)),_xludf.XLOOKUP(D318,[2]CODE!$A$4:$A$100,[2]CODE!$D$4:$D$100),"")</f>
        <v/>
      </c>
      <c r="X318" s="5" t="str">
        <f t="array" ref="X318">IF(NOT(AND(ISBLANK(D318),ISBLANK(C318))),_xludf.XLOOKUP(D318,[2]CODE!$A$4:$A$100,[2]CODE!$E$4:$E$100),"")</f>
        <v/>
      </c>
      <c r="Y318" s="5" t="str">
        <f t="shared" si="31"/>
        <v/>
      </c>
      <c r="Z318" s="5" t="str">
        <f t="shared" si="32"/>
        <v/>
      </c>
      <c r="AA318" s="4">
        <f t="shared" si="33"/>
        <v>0</v>
      </c>
      <c r="AC318" s="2"/>
    </row>
    <row r="319" spans="1:29" ht="15.5">
      <c r="A319" s="13" t="str">
        <f>IF(OR(ISBLANK(C319),ISBLANK(D319),ISBLANK(F319),ISBLANK(G319)),"",COUNTIF($B$5:B319,"JAMBUTU"))</f>
        <v/>
      </c>
      <c r="B319" s="8" t="str">
        <f t="shared" si="34"/>
        <v/>
      </c>
      <c r="C319" s="8"/>
      <c r="D319" s="8"/>
      <c r="E319" s="13"/>
      <c r="F319" s="12"/>
      <c r="G319" s="11"/>
      <c r="H319" s="12"/>
      <c r="I319" s="15"/>
      <c r="J319" s="10">
        <f t="shared" si="28"/>
        <v>0</v>
      </c>
      <c r="K319" s="10">
        <f t="shared" si="29"/>
        <v>0</v>
      </c>
      <c r="L319" s="9" t="str">
        <f t="shared" si="30"/>
        <v/>
      </c>
      <c r="M319" s="8"/>
      <c r="N319" s="8"/>
      <c r="O319" s="8"/>
      <c r="P319" s="8"/>
      <c r="Q319" s="8"/>
      <c r="R319" s="8"/>
      <c r="S319" s="8"/>
      <c r="T319" s="8"/>
      <c r="U319" s="8"/>
      <c r="V319" s="7"/>
      <c r="W319" s="6" t="str">
        <f t="array" ref="W319">IF(NOT(ISBLANK(D319)),_xludf.XLOOKUP(D319,[2]CODE!$A$4:$A$100,[2]CODE!$D$4:$D$100),"")</f>
        <v/>
      </c>
      <c r="X319" s="5" t="str">
        <f t="array" ref="X319">IF(NOT(AND(ISBLANK(D319),ISBLANK(C319))),_xludf.XLOOKUP(D319,[2]CODE!$A$4:$A$100,[2]CODE!$E$4:$E$100),"")</f>
        <v/>
      </c>
      <c r="Y319" s="5" t="str">
        <f t="shared" si="31"/>
        <v/>
      </c>
      <c r="Z319" s="5" t="str">
        <f t="shared" si="32"/>
        <v/>
      </c>
      <c r="AA319" s="4">
        <f t="shared" si="33"/>
        <v>0</v>
      </c>
      <c r="AC319" s="2"/>
    </row>
    <row r="320" spans="1:29" ht="15.5">
      <c r="A320" s="13" t="str">
        <f>IF(OR(ISBLANK(C320),ISBLANK(D320),ISBLANK(F320),ISBLANK(G320)),"",COUNTIF($B$5:B320,"JAMBUTU"))</f>
        <v/>
      </c>
      <c r="B320" s="8" t="str">
        <f t="shared" si="34"/>
        <v/>
      </c>
      <c r="C320" s="8"/>
      <c r="D320" s="8"/>
      <c r="E320" s="13"/>
      <c r="F320" s="12"/>
      <c r="G320" s="11"/>
      <c r="H320" s="12"/>
      <c r="I320" s="15"/>
      <c r="J320" s="10">
        <f t="shared" si="28"/>
        <v>0</v>
      </c>
      <c r="K320" s="10">
        <f t="shared" si="29"/>
        <v>0</v>
      </c>
      <c r="L320" s="9" t="str">
        <f t="shared" si="30"/>
        <v/>
      </c>
      <c r="M320" s="8"/>
      <c r="N320" s="8"/>
      <c r="O320" s="8"/>
      <c r="P320" s="8"/>
      <c r="Q320" s="8"/>
      <c r="R320" s="8"/>
      <c r="S320" s="8"/>
      <c r="T320" s="8"/>
      <c r="U320" s="8"/>
      <c r="V320" s="7"/>
      <c r="W320" s="6" t="str">
        <f t="array" ref="W320">IF(NOT(ISBLANK(D320)),_xludf.XLOOKUP(D320,[2]CODE!$A$4:$A$100,[2]CODE!$D$4:$D$100),"")</f>
        <v/>
      </c>
      <c r="X320" s="5" t="str">
        <f t="array" ref="X320">IF(NOT(AND(ISBLANK(D320),ISBLANK(C320))),_xludf.XLOOKUP(D320,[2]CODE!$A$4:$A$100,[2]CODE!$E$4:$E$100),"")</f>
        <v/>
      </c>
      <c r="Y320" s="5" t="str">
        <f t="shared" si="31"/>
        <v/>
      </c>
      <c r="Z320" s="5" t="str">
        <f t="shared" si="32"/>
        <v/>
      </c>
      <c r="AA320" s="4">
        <f t="shared" si="33"/>
        <v>0</v>
      </c>
      <c r="AC320" s="2"/>
    </row>
    <row r="321" spans="1:29" ht="15.5">
      <c r="A321" s="13" t="str">
        <f>IF(OR(ISBLANK(C321),ISBLANK(D321),ISBLANK(F321),ISBLANK(G321)),"",COUNTIF($B$5:B321,"JAMBUTU"))</f>
        <v/>
      </c>
      <c r="B321" s="8" t="str">
        <f t="shared" si="34"/>
        <v/>
      </c>
      <c r="C321" s="8"/>
      <c r="D321" s="8"/>
      <c r="E321" s="13"/>
      <c r="F321" s="12"/>
      <c r="G321" s="11"/>
      <c r="H321" s="12"/>
      <c r="I321" s="15"/>
      <c r="J321" s="10">
        <f t="shared" si="28"/>
        <v>0</v>
      </c>
      <c r="K321" s="10">
        <f t="shared" si="29"/>
        <v>0</v>
      </c>
      <c r="L321" s="9" t="str">
        <f t="shared" si="30"/>
        <v/>
      </c>
      <c r="M321" s="8"/>
      <c r="N321" s="8"/>
      <c r="O321" s="8"/>
      <c r="P321" s="8"/>
      <c r="Q321" s="8"/>
      <c r="R321" s="8"/>
      <c r="S321" s="8"/>
      <c r="T321" s="8"/>
      <c r="U321" s="8"/>
      <c r="V321" s="7"/>
      <c r="W321" s="6" t="str">
        <f t="array" ref="W321">IF(NOT(ISBLANK(D321)),_xludf.XLOOKUP(D321,[2]CODE!$A$4:$A$100,[2]CODE!$D$4:$D$100),"")</f>
        <v/>
      </c>
      <c r="X321" s="5" t="str">
        <f t="array" ref="X321">IF(NOT(AND(ISBLANK(D321),ISBLANK(C321))),_xludf.XLOOKUP(D321,[2]CODE!$A$4:$A$100,[2]CODE!$E$4:$E$100),"")</f>
        <v/>
      </c>
      <c r="Y321" s="5" t="str">
        <f t="shared" si="31"/>
        <v/>
      </c>
      <c r="Z321" s="5" t="str">
        <f t="shared" si="32"/>
        <v/>
      </c>
      <c r="AA321" s="4">
        <f t="shared" si="33"/>
        <v>0</v>
      </c>
      <c r="AC321" s="2"/>
    </row>
    <row r="322" spans="1:29" ht="15.5">
      <c r="A322" s="13" t="str">
        <f>IF(OR(ISBLANK(C322),ISBLANK(D322),ISBLANK(F322),ISBLANK(G322)),"",COUNTIF($B$5:B322,"JAMBUTU"))</f>
        <v/>
      </c>
      <c r="B322" s="8" t="str">
        <f t="shared" si="34"/>
        <v/>
      </c>
      <c r="C322" s="8"/>
      <c r="D322" s="8"/>
      <c r="E322" s="13"/>
      <c r="F322" s="12"/>
      <c r="G322" s="11"/>
      <c r="H322" s="12"/>
      <c r="I322" s="15"/>
      <c r="J322" s="10">
        <f t="shared" si="28"/>
        <v>0</v>
      </c>
      <c r="K322" s="10">
        <f t="shared" si="29"/>
        <v>0</v>
      </c>
      <c r="L322" s="9" t="str">
        <f t="shared" si="30"/>
        <v/>
      </c>
      <c r="M322" s="8"/>
      <c r="N322" s="8"/>
      <c r="O322" s="8"/>
      <c r="P322" s="8"/>
      <c r="Q322" s="8"/>
      <c r="R322" s="8"/>
      <c r="S322" s="8"/>
      <c r="T322" s="8"/>
      <c r="U322" s="8"/>
      <c r="V322" s="7"/>
      <c r="W322" s="6" t="str">
        <f t="array" ref="W322">IF(NOT(ISBLANK(D322)),_xludf.XLOOKUP(D322,[2]CODE!$A$4:$A$100,[2]CODE!$D$4:$D$100),"")</f>
        <v/>
      </c>
      <c r="X322" s="5" t="str">
        <f t="array" ref="X322">IF(NOT(AND(ISBLANK(D322),ISBLANK(C322))),_xludf.XLOOKUP(D322,[2]CODE!$A$4:$A$100,[2]CODE!$E$4:$E$100),"")</f>
        <v/>
      </c>
      <c r="Y322" s="5" t="str">
        <f t="shared" si="31"/>
        <v/>
      </c>
      <c r="Z322" s="5" t="str">
        <f t="shared" si="32"/>
        <v/>
      </c>
      <c r="AA322" s="4">
        <f t="shared" si="33"/>
        <v>0</v>
      </c>
      <c r="AC322" s="2"/>
    </row>
    <row r="323" spans="1:29" ht="15.5">
      <c r="A323" s="13" t="str">
        <f>IF(OR(ISBLANK(C323),ISBLANK(D323),ISBLANK(F323),ISBLANK(G323)),"",COUNTIF($B$5:B323,"JAMBUTU"))</f>
        <v/>
      </c>
      <c r="B323" s="8" t="str">
        <f t="shared" si="34"/>
        <v/>
      </c>
      <c r="C323" s="8"/>
      <c r="D323" s="8"/>
      <c r="E323" s="13"/>
      <c r="F323" s="12"/>
      <c r="G323" s="11"/>
      <c r="H323" s="12"/>
      <c r="I323" s="11"/>
      <c r="J323" s="10">
        <f t="shared" si="28"/>
        <v>0</v>
      </c>
      <c r="K323" s="10">
        <f t="shared" si="29"/>
        <v>0</v>
      </c>
      <c r="L323" s="9" t="str">
        <f t="shared" si="30"/>
        <v/>
      </c>
      <c r="M323" s="8"/>
      <c r="N323" s="8"/>
      <c r="O323" s="8"/>
      <c r="P323" s="8"/>
      <c r="Q323" s="8"/>
      <c r="R323" s="8"/>
      <c r="S323" s="8"/>
      <c r="T323" s="8"/>
      <c r="U323" s="8"/>
      <c r="V323" s="7"/>
      <c r="W323" s="6" t="str">
        <f t="array" ref="W323">IF(NOT(ISBLANK(D323)),_xludf.XLOOKUP(D323,[2]CODE!$A$4:$A$100,[2]CODE!$D$4:$D$100),"")</f>
        <v/>
      </c>
      <c r="X323" s="5" t="str">
        <f t="array" ref="X323">IF(NOT(AND(ISBLANK(D323),ISBLANK(C323))),_xludf.XLOOKUP(D323,[2]CODE!$A$4:$A$100,[2]CODE!$E$4:$E$100),"")</f>
        <v/>
      </c>
      <c r="Y323" s="5" t="str">
        <f t="shared" si="31"/>
        <v/>
      </c>
      <c r="Z323" s="5" t="str">
        <f t="shared" si="32"/>
        <v/>
      </c>
      <c r="AA323" s="4">
        <f t="shared" si="33"/>
        <v>0</v>
      </c>
      <c r="AC323" s="2"/>
    </row>
    <row r="324" spans="1:29" ht="15.5">
      <c r="A324" s="13" t="str">
        <f>IF(OR(ISBLANK(C324),ISBLANK(D324),ISBLANK(F324),ISBLANK(G324)),"",COUNTIF($B$5:B324,"JAMBUTU"))</f>
        <v/>
      </c>
      <c r="B324" s="8" t="str">
        <f t="shared" si="34"/>
        <v/>
      </c>
      <c r="C324" s="8"/>
      <c r="D324" s="8"/>
      <c r="E324" s="13"/>
      <c r="F324" s="12"/>
      <c r="G324" s="11"/>
      <c r="H324" s="12"/>
      <c r="I324" s="11"/>
      <c r="J324" s="10">
        <f t="shared" si="28"/>
        <v>0</v>
      </c>
      <c r="K324" s="10">
        <f t="shared" si="29"/>
        <v>0</v>
      </c>
      <c r="L324" s="9" t="str">
        <f t="shared" si="30"/>
        <v/>
      </c>
      <c r="M324" s="8"/>
      <c r="N324" s="8"/>
      <c r="O324" s="8"/>
      <c r="P324" s="8"/>
      <c r="Q324" s="8"/>
      <c r="R324" s="8"/>
      <c r="S324" s="8"/>
      <c r="T324" s="8"/>
      <c r="U324" s="8"/>
      <c r="V324" s="7"/>
      <c r="W324" s="6" t="str">
        <f t="array" ref="W324">IF(NOT(ISBLANK(D324)),_xludf.XLOOKUP(D324,[2]CODE!$A$4:$A$100,[2]CODE!$D$4:$D$100),"")</f>
        <v/>
      </c>
      <c r="X324" s="5" t="str">
        <f t="array" ref="X324">IF(NOT(AND(ISBLANK(D324),ISBLANK(C324))),_xludf.XLOOKUP(D324,[2]CODE!$A$4:$A$100,[2]CODE!$E$4:$E$100),"")</f>
        <v/>
      </c>
      <c r="Y324" s="5" t="str">
        <f t="shared" si="31"/>
        <v/>
      </c>
      <c r="Z324" s="5" t="str">
        <f t="shared" si="32"/>
        <v/>
      </c>
      <c r="AA324" s="4">
        <f t="shared" si="33"/>
        <v>0</v>
      </c>
      <c r="AC324" s="2"/>
    </row>
    <row r="325" spans="1:29" ht="15.5">
      <c r="A325" s="13" t="str">
        <f>IF(OR(ISBLANK(C325),ISBLANK(D325),ISBLANK(F325),ISBLANK(G325)),"",COUNTIF($B$5:B325,"JAMBUTU"))</f>
        <v/>
      </c>
      <c r="B325" s="8" t="str">
        <f t="shared" si="34"/>
        <v/>
      </c>
      <c r="C325" s="8"/>
      <c r="D325" s="8"/>
      <c r="E325" s="13"/>
      <c r="F325" s="12"/>
      <c r="G325" s="15"/>
      <c r="H325" s="12"/>
      <c r="I325" s="15"/>
      <c r="J325" s="10">
        <f t="shared" ref="J325:J388" si="35">DATE(YEAR(F325),MONTH(F325),DAY(F325))+TIME(HOUR(G325),MINUTE(G325), SECOND(G325))</f>
        <v>0</v>
      </c>
      <c r="K325" s="10">
        <f t="shared" ref="K325:K388" si="36">DATE(YEAR(H325),MONTH(H325),DAY(H325))+TIME(HOUR(I325),MINUTE(I325), SECOND(I325))</f>
        <v>0</v>
      </c>
      <c r="L325" s="9" t="str">
        <f t="shared" ref="L325:L388" si="37">IF(ISBLANK(I325),"",IF(J325&gt;K325,(K325+1)-J325,K325-J325))</f>
        <v/>
      </c>
      <c r="M325" s="8"/>
      <c r="N325" s="8"/>
      <c r="O325" s="8"/>
      <c r="P325" s="8"/>
      <c r="Q325" s="8"/>
      <c r="R325" s="8"/>
      <c r="S325" s="8"/>
      <c r="T325" s="8"/>
      <c r="U325" s="8"/>
      <c r="V325" s="7"/>
      <c r="W325" s="6" t="str">
        <f t="array" ref="W325">IF(NOT(ISBLANK(D325)),_xludf.XLOOKUP(D325,[2]CODE!$A$4:$A$100,[2]CODE!$D$4:$D$100),"")</f>
        <v/>
      </c>
      <c r="X325" s="5" t="str">
        <f t="array" ref="X325">IF(NOT(AND(ISBLANK(D325),ISBLANK(C325))),_xludf.XLOOKUP(D325,[2]CODE!$A$4:$A$100,[2]CODE!$E$4:$E$100),"")</f>
        <v/>
      </c>
      <c r="Y325" s="5" t="str">
        <f t="shared" ref="Y325:Y388" si="38">LEFT(C325,4)</f>
        <v/>
      </c>
      <c r="Z325" s="5" t="str">
        <f t="shared" ref="Z325:Z388" si="39">IF(NOT(ISBLANK(C325)), IF(K325&gt;J325,"YES","NO"),"")</f>
        <v/>
      </c>
      <c r="AA325" s="4">
        <f t="shared" ref="AA325:AA388" si="40">IF(AND(F325=H325,Z325="NO"),1+H325,H325)</f>
        <v>0</v>
      </c>
      <c r="AC325" s="2"/>
    </row>
    <row r="326" spans="1:29" ht="15.5">
      <c r="A326" s="13" t="str">
        <f>IF(OR(ISBLANK(C326),ISBLANK(D326),ISBLANK(F326),ISBLANK(G326)),"",COUNTIF($B$5:B326,"JAMBUTU"))</f>
        <v/>
      </c>
      <c r="B326" s="8" t="str">
        <f t="shared" si="34"/>
        <v/>
      </c>
      <c r="C326" s="8"/>
      <c r="D326" s="8"/>
      <c r="E326" s="13"/>
      <c r="F326" s="12"/>
      <c r="G326" s="15"/>
      <c r="H326" s="12"/>
      <c r="I326" s="15"/>
      <c r="J326" s="10">
        <f t="shared" si="35"/>
        <v>0</v>
      </c>
      <c r="K326" s="10">
        <f t="shared" si="36"/>
        <v>0</v>
      </c>
      <c r="L326" s="9" t="str">
        <f t="shared" si="37"/>
        <v/>
      </c>
      <c r="M326" s="8"/>
      <c r="N326" s="8"/>
      <c r="O326" s="8"/>
      <c r="P326" s="8"/>
      <c r="Q326" s="8"/>
      <c r="R326" s="8"/>
      <c r="S326" s="8"/>
      <c r="T326" s="8"/>
      <c r="U326" s="8"/>
      <c r="V326" s="7"/>
      <c r="W326" s="6" t="str">
        <f t="array" ref="W326">IF(NOT(ISBLANK(D326)),_xludf.XLOOKUP(D326,[2]CODE!$A$4:$A$100,[2]CODE!$D$4:$D$100),"")</f>
        <v/>
      </c>
      <c r="X326" s="5" t="str">
        <f t="array" ref="X326">IF(NOT(AND(ISBLANK(D326),ISBLANK(C326))),_xludf.XLOOKUP(D326,[2]CODE!$A$4:$A$100,[2]CODE!$E$4:$E$100),"")</f>
        <v/>
      </c>
      <c r="Y326" s="5" t="str">
        <f t="shared" si="38"/>
        <v/>
      </c>
      <c r="Z326" s="5" t="str">
        <f t="shared" si="39"/>
        <v/>
      </c>
      <c r="AA326" s="4">
        <f t="shared" si="40"/>
        <v>0</v>
      </c>
      <c r="AC326" s="2"/>
    </row>
    <row r="327" spans="1:29" ht="15.5">
      <c r="A327" s="13" t="str">
        <f>IF(OR(ISBLANK(C327),ISBLANK(D327),ISBLANK(F327),ISBLANK(G327)),"",COUNTIF($B$5:B327,"JAMBUTU"))</f>
        <v/>
      </c>
      <c r="B327" s="8" t="str">
        <f t="shared" si="34"/>
        <v/>
      </c>
      <c r="C327" s="8"/>
      <c r="D327" s="8"/>
      <c r="E327" s="13"/>
      <c r="F327" s="12"/>
      <c r="G327" s="11"/>
      <c r="H327" s="12"/>
      <c r="I327" s="15"/>
      <c r="J327" s="10">
        <f t="shared" si="35"/>
        <v>0</v>
      </c>
      <c r="K327" s="10">
        <f t="shared" si="36"/>
        <v>0</v>
      </c>
      <c r="L327" s="9" t="str">
        <f t="shared" si="37"/>
        <v/>
      </c>
      <c r="M327" s="8"/>
      <c r="N327" s="8"/>
      <c r="O327" s="8"/>
      <c r="P327" s="8"/>
      <c r="Q327" s="8"/>
      <c r="R327" s="8"/>
      <c r="S327" s="8"/>
      <c r="T327" s="8"/>
      <c r="U327" s="8"/>
      <c r="V327" s="7"/>
      <c r="W327" s="6" t="str">
        <f t="array" ref="W327">IF(NOT(ISBLANK(D327)),_xludf.XLOOKUP(D327,[2]CODE!$A$4:$A$100,[2]CODE!$D$4:$D$100),"")</f>
        <v/>
      </c>
      <c r="X327" s="5" t="str">
        <f t="array" ref="X327">IF(NOT(AND(ISBLANK(D327),ISBLANK(C327))),_xludf.XLOOKUP(D327,[2]CODE!$A$4:$A$100,[2]CODE!$E$4:$E$100),"")</f>
        <v/>
      </c>
      <c r="Y327" s="5" t="str">
        <f t="shared" si="38"/>
        <v/>
      </c>
      <c r="Z327" s="5" t="str">
        <f t="shared" si="39"/>
        <v/>
      </c>
      <c r="AA327" s="4">
        <f t="shared" si="40"/>
        <v>0</v>
      </c>
      <c r="AC327" s="2"/>
    </row>
    <row r="328" spans="1:29" ht="15.5">
      <c r="A328" s="13" t="str">
        <f>IF(OR(ISBLANK(C328),ISBLANK(D328),ISBLANK(F328),ISBLANK(G328)),"",COUNTIF($B$5:B328,"JAMBUTU"))</f>
        <v/>
      </c>
      <c r="B328" s="8" t="str">
        <f t="shared" si="34"/>
        <v/>
      </c>
      <c r="C328" s="8"/>
      <c r="D328" s="8"/>
      <c r="E328" s="13"/>
      <c r="F328" s="12"/>
      <c r="G328" s="11"/>
      <c r="H328" s="12"/>
      <c r="I328" s="15"/>
      <c r="J328" s="10">
        <f t="shared" si="35"/>
        <v>0</v>
      </c>
      <c r="K328" s="10">
        <f t="shared" si="36"/>
        <v>0</v>
      </c>
      <c r="L328" s="9" t="str">
        <f t="shared" si="37"/>
        <v/>
      </c>
      <c r="M328" s="8"/>
      <c r="N328" s="8"/>
      <c r="O328" s="8"/>
      <c r="P328" s="8"/>
      <c r="Q328" s="8"/>
      <c r="R328" s="8"/>
      <c r="S328" s="8"/>
      <c r="T328" s="8"/>
      <c r="U328" s="8"/>
      <c r="V328" s="7"/>
      <c r="W328" s="6" t="str">
        <f t="array" ref="W328">IF(NOT(ISBLANK(D328)),_xludf.XLOOKUP(D328,[2]CODE!$A$4:$A$100,[2]CODE!$D$4:$D$100),"")</f>
        <v/>
      </c>
      <c r="X328" s="5" t="str">
        <f t="array" ref="X328">IF(NOT(AND(ISBLANK(D328),ISBLANK(C328))),_xludf.XLOOKUP(D328,[2]CODE!$A$4:$A$100,[2]CODE!$E$4:$E$100),"")</f>
        <v/>
      </c>
      <c r="Y328" s="5" t="str">
        <f t="shared" si="38"/>
        <v/>
      </c>
      <c r="Z328" s="5" t="str">
        <f t="shared" si="39"/>
        <v/>
      </c>
      <c r="AA328" s="4">
        <f t="shared" si="40"/>
        <v>0</v>
      </c>
      <c r="AC328" s="2"/>
    </row>
    <row r="329" spans="1:29" ht="15.5">
      <c r="A329" s="13" t="str">
        <f>IF(OR(ISBLANK(C329),ISBLANK(D329),ISBLANK(F329),ISBLANK(G329)),"",COUNTIF($B$5:B329,"JAMBUTU"))</f>
        <v/>
      </c>
      <c r="B329" s="8" t="str">
        <f t="shared" si="34"/>
        <v/>
      </c>
      <c r="C329" s="8"/>
      <c r="D329" s="8"/>
      <c r="E329" s="13"/>
      <c r="F329" s="12"/>
      <c r="G329" s="11"/>
      <c r="H329" s="12"/>
      <c r="I329" s="15"/>
      <c r="J329" s="10">
        <f t="shared" si="35"/>
        <v>0</v>
      </c>
      <c r="K329" s="10">
        <f t="shared" si="36"/>
        <v>0</v>
      </c>
      <c r="L329" s="9" t="str">
        <f t="shared" si="37"/>
        <v/>
      </c>
      <c r="M329" s="8"/>
      <c r="N329" s="8"/>
      <c r="O329" s="8"/>
      <c r="P329" s="8"/>
      <c r="Q329" s="8"/>
      <c r="R329" s="8"/>
      <c r="S329" s="8"/>
      <c r="T329" s="8"/>
      <c r="U329" s="8"/>
      <c r="V329" s="7"/>
      <c r="W329" s="6" t="str">
        <f t="array" ref="W329">IF(NOT(ISBLANK(D329)),_xludf.XLOOKUP(D329,[2]CODE!$A$4:$A$100,[2]CODE!$D$4:$D$100),"")</f>
        <v/>
      </c>
      <c r="X329" s="5" t="str">
        <f t="array" ref="X329">IF(NOT(AND(ISBLANK(D329),ISBLANK(C329))),_xludf.XLOOKUP(D329,[2]CODE!$A$4:$A$100,[2]CODE!$E$4:$E$100),"")</f>
        <v/>
      </c>
      <c r="Y329" s="5" t="str">
        <f t="shared" si="38"/>
        <v/>
      </c>
      <c r="Z329" s="5" t="str">
        <f t="shared" si="39"/>
        <v/>
      </c>
      <c r="AA329" s="4">
        <f t="shared" si="40"/>
        <v>0</v>
      </c>
      <c r="AC329" s="2"/>
    </row>
    <row r="330" spans="1:29" ht="15.5">
      <c r="A330" s="13" t="str">
        <f>IF(OR(ISBLANK(C330),ISBLANK(D330),ISBLANK(F330),ISBLANK(G330)),"",COUNTIF($B$5:B330,"JAMBUTU"))</f>
        <v/>
      </c>
      <c r="B330" s="8" t="str">
        <f t="shared" si="34"/>
        <v/>
      </c>
      <c r="C330" s="8"/>
      <c r="D330" s="8"/>
      <c r="E330" s="13"/>
      <c r="F330" s="12"/>
      <c r="G330" s="11"/>
      <c r="H330" s="12"/>
      <c r="I330" s="15"/>
      <c r="J330" s="10">
        <f t="shared" si="35"/>
        <v>0</v>
      </c>
      <c r="K330" s="10">
        <f t="shared" si="36"/>
        <v>0</v>
      </c>
      <c r="L330" s="9" t="str">
        <f t="shared" si="37"/>
        <v/>
      </c>
      <c r="M330" s="8"/>
      <c r="N330" s="8"/>
      <c r="O330" s="8"/>
      <c r="P330" s="8"/>
      <c r="Q330" s="8"/>
      <c r="R330" s="8"/>
      <c r="S330" s="8"/>
      <c r="T330" s="8"/>
      <c r="U330" s="8"/>
      <c r="V330" s="7"/>
      <c r="W330" s="6" t="str">
        <f t="array" ref="W330">IF(NOT(ISBLANK(D330)),_xludf.XLOOKUP(D330,[2]CODE!$A$4:$A$100,[2]CODE!$D$4:$D$100),"")</f>
        <v/>
      </c>
      <c r="X330" s="5" t="str">
        <f t="array" ref="X330">IF(NOT(AND(ISBLANK(D330),ISBLANK(C330))),_xludf.XLOOKUP(D330,[2]CODE!$A$4:$A$100,[2]CODE!$E$4:$E$100),"")</f>
        <v/>
      </c>
      <c r="Y330" s="5" t="str">
        <f t="shared" si="38"/>
        <v/>
      </c>
      <c r="Z330" s="5" t="str">
        <f t="shared" si="39"/>
        <v/>
      </c>
      <c r="AA330" s="4">
        <f t="shared" si="40"/>
        <v>0</v>
      </c>
      <c r="AC330" s="2"/>
    </row>
    <row r="331" spans="1:29" ht="15.5">
      <c r="A331" s="13" t="str">
        <f>IF(OR(ISBLANK(C331),ISBLANK(D331),ISBLANK(F331),ISBLANK(G331)),"",COUNTIF($B$5:B331,"JAMBUTU"))</f>
        <v/>
      </c>
      <c r="B331" s="8" t="str">
        <f t="shared" si="34"/>
        <v/>
      </c>
      <c r="C331" s="8"/>
      <c r="D331" s="8"/>
      <c r="E331" s="13"/>
      <c r="F331" s="12"/>
      <c r="G331" s="11"/>
      <c r="H331" s="12"/>
      <c r="I331" s="15"/>
      <c r="J331" s="10">
        <f t="shared" si="35"/>
        <v>0</v>
      </c>
      <c r="K331" s="10">
        <f t="shared" si="36"/>
        <v>0</v>
      </c>
      <c r="L331" s="9" t="str">
        <f t="shared" si="37"/>
        <v/>
      </c>
      <c r="M331" s="8"/>
      <c r="N331" s="8"/>
      <c r="O331" s="8"/>
      <c r="P331" s="8"/>
      <c r="Q331" s="8"/>
      <c r="R331" s="8"/>
      <c r="S331" s="8"/>
      <c r="T331" s="8"/>
      <c r="U331" s="8"/>
      <c r="V331" s="7"/>
      <c r="W331" s="6" t="str">
        <f t="array" ref="W331">IF(NOT(ISBLANK(D331)),_xludf.XLOOKUP(D331,[2]CODE!$A$4:$A$100,[2]CODE!$D$4:$D$100),"")</f>
        <v/>
      </c>
      <c r="X331" s="5" t="str">
        <f t="array" ref="X331">IF(NOT(AND(ISBLANK(D331),ISBLANK(C331))),_xludf.XLOOKUP(D331,[2]CODE!$A$4:$A$100,[2]CODE!$E$4:$E$100),"")</f>
        <v/>
      </c>
      <c r="Y331" s="5" t="str">
        <f t="shared" si="38"/>
        <v/>
      </c>
      <c r="Z331" s="5" t="str">
        <f t="shared" si="39"/>
        <v/>
      </c>
      <c r="AA331" s="4">
        <f t="shared" si="40"/>
        <v>0</v>
      </c>
      <c r="AC331" s="2"/>
    </row>
    <row r="332" spans="1:29" ht="15.5">
      <c r="A332" s="13" t="str">
        <f>IF(OR(ISBLANK(C332),ISBLANK(D332),ISBLANK(F332),ISBLANK(G332)),"",COUNTIF($B$5:B332,"JAMBUTU"))</f>
        <v/>
      </c>
      <c r="B332" s="8" t="str">
        <f t="shared" si="34"/>
        <v/>
      </c>
      <c r="C332" s="8"/>
      <c r="D332" s="8"/>
      <c r="E332" s="13"/>
      <c r="F332" s="12"/>
      <c r="G332" s="11"/>
      <c r="H332" s="12"/>
      <c r="I332" s="15"/>
      <c r="J332" s="10">
        <f t="shared" si="35"/>
        <v>0</v>
      </c>
      <c r="K332" s="10">
        <f t="shared" si="36"/>
        <v>0</v>
      </c>
      <c r="L332" s="9" t="str">
        <f t="shared" si="37"/>
        <v/>
      </c>
      <c r="M332" s="8"/>
      <c r="N332" s="8"/>
      <c r="O332" s="8"/>
      <c r="P332" s="8"/>
      <c r="Q332" s="8"/>
      <c r="R332" s="8"/>
      <c r="S332" s="8"/>
      <c r="T332" s="8"/>
      <c r="U332" s="8"/>
      <c r="V332" s="7"/>
      <c r="W332" s="6" t="str">
        <f t="array" ref="W332">IF(NOT(ISBLANK(D332)),_xludf.XLOOKUP(D332,[2]CODE!$A$4:$A$100,[2]CODE!$D$4:$D$100),"")</f>
        <v/>
      </c>
      <c r="X332" s="5" t="str">
        <f t="array" ref="X332">IF(NOT(AND(ISBLANK(D332),ISBLANK(C332))),_xludf.XLOOKUP(D332,[2]CODE!$A$4:$A$100,[2]CODE!$E$4:$E$100),"")</f>
        <v/>
      </c>
      <c r="Y332" s="5" t="str">
        <f t="shared" si="38"/>
        <v/>
      </c>
      <c r="Z332" s="5" t="str">
        <f t="shared" si="39"/>
        <v/>
      </c>
      <c r="AA332" s="4">
        <f t="shared" si="40"/>
        <v>0</v>
      </c>
      <c r="AC332" s="2"/>
    </row>
    <row r="333" spans="1:29" ht="15.5">
      <c r="A333" s="13" t="str">
        <f>IF(OR(ISBLANK(C333),ISBLANK(D333),ISBLANK(F333),ISBLANK(G333)),"",COUNTIF($B$5:B333,"JAMBUTU"))</f>
        <v/>
      </c>
      <c r="B333" s="8" t="str">
        <f t="shared" si="34"/>
        <v/>
      </c>
      <c r="C333" s="8"/>
      <c r="D333" s="8"/>
      <c r="E333" s="13"/>
      <c r="F333" s="12"/>
      <c r="G333" s="11"/>
      <c r="H333" s="12"/>
      <c r="I333" s="15"/>
      <c r="J333" s="10">
        <f t="shared" si="35"/>
        <v>0</v>
      </c>
      <c r="K333" s="10">
        <f t="shared" si="36"/>
        <v>0</v>
      </c>
      <c r="L333" s="9" t="str">
        <f t="shared" si="37"/>
        <v/>
      </c>
      <c r="M333" s="8"/>
      <c r="N333" s="8"/>
      <c r="O333" s="8"/>
      <c r="P333" s="8"/>
      <c r="Q333" s="8"/>
      <c r="R333" s="8"/>
      <c r="S333" s="8"/>
      <c r="T333" s="8"/>
      <c r="U333" s="8"/>
      <c r="V333" s="7"/>
      <c r="W333" s="6" t="str">
        <f t="array" ref="W333">IF(NOT(ISBLANK(D333)),_xludf.XLOOKUP(D333,[2]CODE!$A$4:$A$100,[2]CODE!$D$4:$D$100),"")</f>
        <v/>
      </c>
      <c r="X333" s="5" t="str">
        <f t="array" ref="X333">IF(NOT(AND(ISBLANK(D333),ISBLANK(C333))),_xludf.XLOOKUP(D333,[2]CODE!$A$4:$A$100,[2]CODE!$E$4:$E$100),"")</f>
        <v/>
      </c>
      <c r="Y333" s="5" t="str">
        <f t="shared" si="38"/>
        <v/>
      </c>
      <c r="Z333" s="5" t="str">
        <f t="shared" si="39"/>
        <v/>
      </c>
      <c r="AA333" s="4">
        <f t="shared" si="40"/>
        <v>0</v>
      </c>
      <c r="AC333" s="2"/>
    </row>
    <row r="334" spans="1:29" ht="15.5">
      <c r="A334" s="13" t="str">
        <f>IF(OR(ISBLANK(C334),ISBLANK(D334),ISBLANK(F334),ISBLANK(G334)),"",COUNTIF($B$5:B334,"JAMBUTU"))</f>
        <v/>
      </c>
      <c r="B334" s="8" t="str">
        <f t="shared" si="34"/>
        <v/>
      </c>
      <c r="C334" s="8"/>
      <c r="D334" s="8"/>
      <c r="E334" s="13"/>
      <c r="F334" s="12"/>
      <c r="G334" s="11"/>
      <c r="H334" s="12"/>
      <c r="I334" s="15"/>
      <c r="J334" s="10">
        <f t="shared" si="35"/>
        <v>0</v>
      </c>
      <c r="K334" s="10">
        <f t="shared" si="36"/>
        <v>0</v>
      </c>
      <c r="L334" s="9" t="str">
        <f t="shared" si="37"/>
        <v/>
      </c>
      <c r="M334" s="8"/>
      <c r="N334" s="8"/>
      <c r="O334" s="8"/>
      <c r="P334" s="8"/>
      <c r="Q334" s="8"/>
      <c r="R334" s="8"/>
      <c r="S334" s="8"/>
      <c r="T334" s="8"/>
      <c r="U334" s="8"/>
      <c r="V334" s="7"/>
      <c r="W334" s="6" t="str">
        <f t="array" ref="W334">IF(NOT(ISBLANK(D334)),_xludf.XLOOKUP(D334,[2]CODE!$A$4:$A$100,[2]CODE!$D$4:$D$100),"")</f>
        <v/>
      </c>
      <c r="X334" s="5" t="str">
        <f t="array" ref="X334">IF(NOT(AND(ISBLANK(D334),ISBLANK(C334))),_xludf.XLOOKUP(D334,[2]CODE!$A$4:$A$100,[2]CODE!$E$4:$E$100),"")</f>
        <v/>
      </c>
      <c r="Y334" s="5" t="str">
        <f t="shared" si="38"/>
        <v/>
      </c>
      <c r="Z334" s="5" t="str">
        <f t="shared" si="39"/>
        <v/>
      </c>
      <c r="AA334" s="4">
        <f t="shared" si="40"/>
        <v>0</v>
      </c>
      <c r="AC334" s="2"/>
    </row>
    <row r="335" spans="1:29" ht="15.5">
      <c r="A335" s="13" t="str">
        <f>IF(OR(ISBLANK(C335),ISBLANK(D335),ISBLANK(F335),ISBLANK(G335)),"",COUNTIF($B$5:B335,"JAMBUTU"))</f>
        <v/>
      </c>
      <c r="B335" s="8" t="str">
        <f t="shared" si="34"/>
        <v/>
      </c>
      <c r="C335" s="8"/>
      <c r="D335" s="8"/>
      <c r="E335" s="13"/>
      <c r="F335" s="12"/>
      <c r="G335" s="11"/>
      <c r="H335" s="12"/>
      <c r="I335" s="11"/>
      <c r="J335" s="10">
        <f t="shared" si="35"/>
        <v>0</v>
      </c>
      <c r="K335" s="10">
        <f t="shared" si="36"/>
        <v>0</v>
      </c>
      <c r="L335" s="9" t="str">
        <f t="shared" si="37"/>
        <v/>
      </c>
      <c r="M335" s="8"/>
      <c r="N335" s="8"/>
      <c r="O335" s="8"/>
      <c r="P335" s="8"/>
      <c r="Q335" s="8"/>
      <c r="R335" s="8"/>
      <c r="S335" s="8"/>
      <c r="T335" s="8"/>
      <c r="U335" s="8"/>
      <c r="V335" s="7"/>
      <c r="W335" s="6" t="str">
        <f t="array" ref="W335">IF(NOT(ISBLANK(D335)),_xludf.XLOOKUP(D335,[2]CODE!$A$4:$A$100,[2]CODE!$D$4:$D$100),"")</f>
        <v/>
      </c>
      <c r="X335" s="5" t="str">
        <f t="array" ref="X335">IF(NOT(AND(ISBLANK(D335),ISBLANK(C335))),_xludf.XLOOKUP(D335,[2]CODE!$A$4:$A$100,[2]CODE!$E$4:$E$100),"")</f>
        <v/>
      </c>
      <c r="Y335" s="5" t="str">
        <f t="shared" si="38"/>
        <v/>
      </c>
      <c r="Z335" s="5" t="str">
        <f t="shared" si="39"/>
        <v/>
      </c>
      <c r="AA335" s="4">
        <f t="shared" si="40"/>
        <v>0</v>
      </c>
      <c r="AC335" s="2"/>
    </row>
    <row r="336" spans="1:29" ht="15.5">
      <c r="A336" s="13" t="str">
        <f>IF(OR(ISBLANK(C336),ISBLANK(D336),ISBLANK(F336),ISBLANK(G336)),"",COUNTIF($B$5:B336,"JAMBUTU"))</f>
        <v/>
      </c>
      <c r="B336" s="8" t="str">
        <f t="shared" si="34"/>
        <v/>
      </c>
      <c r="C336" s="8"/>
      <c r="D336" s="8"/>
      <c r="E336" s="13"/>
      <c r="F336" s="12"/>
      <c r="G336" s="11"/>
      <c r="H336" s="12"/>
      <c r="I336" s="11"/>
      <c r="J336" s="10">
        <f t="shared" si="35"/>
        <v>0</v>
      </c>
      <c r="K336" s="10">
        <f t="shared" si="36"/>
        <v>0</v>
      </c>
      <c r="L336" s="9" t="str">
        <f t="shared" si="37"/>
        <v/>
      </c>
      <c r="M336" s="8"/>
      <c r="N336" s="8"/>
      <c r="O336" s="8"/>
      <c r="P336" s="8"/>
      <c r="Q336" s="8"/>
      <c r="R336" s="8"/>
      <c r="S336" s="8"/>
      <c r="T336" s="8"/>
      <c r="U336" s="8"/>
      <c r="V336" s="7"/>
      <c r="W336" s="6" t="str">
        <f t="array" ref="W336">IF(NOT(ISBLANK(D336)),_xludf.XLOOKUP(D336,[2]CODE!$A$4:$A$100,[2]CODE!$D$4:$D$100),"")</f>
        <v/>
      </c>
      <c r="X336" s="5" t="str">
        <f t="array" ref="X336">IF(NOT(AND(ISBLANK(D336),ISBLANK(C336))),_xludf.XLOOKUP(D336,[2]CODE!$A$4:$A$100,[2]CODE!$E$4:$E$100),"")</f>
        <v/>
      </c>
      <c r="Y336" s="5" t="str">
        <f t="shared" si="38"/>
        <v/>
      </c>
      <c r="Z336" s="5" t="str">
        <f t="shared" si="39"/>
        <v/>
      </c>
      <c r="AA336" s="4">
        <f t="shared" si="40"/>
        <v>0</v>
      </c>
      <c r="AC336" s="2"/>
    </row>
    <row r="337" spans="1:29" ht="15.5">
      <c r="A337" s="13" t="str">
        <f>IF(OR(ISBLANK(C337),ISBLANK(D337),ISBLANK(F337),ISBLANK(G337)),"",COUNTIF($B$5:B337,"JAMBUTU"))</f>
        <v/>
      </c>
      <c r="B337" s="8" t="str">
        <f t="shared" si="34"/>
        <v/>
      </c>
      <c r="C337" s="8"/>
      <c r="D337" s="8"/>
      <c r="E337" s="13"/>
      <c r="F337" s="12"/>
      <c r="G337" s="11"/>
      <c r="H337" s="12"/>
      <c r="I337" s="11"/>
      <c r="J337" s="10">
        <f t="shared" si="35"/>
        <v>0</v>
      </c>
      <c r="K337" s="10">
        <f t="shared" si="36"/>
        <v>0</v>
      </c>
      <c r="L337" s="9" t="str">
        <f t="shared" si="37"/>
        <v/>
      </c>
      <c r="M337" s="8"/>
      <c r="N337" s="8"/>
      <c r="O337" s="8"/>
      <c r="P337" s="8"/>
      <c r="Q337" s="8"/>
      <c r="R337" s="8"/>
      <c r="S337" s="8"/>
      <c r="T337" s="8"/>
      <c r="U337" s="8"/>
      <c r="V337" s="7"/>
      <c r="W337" s="6" t="str">
        <f t="array" ref="W337">IF(NOT(ISBLANK(D337)),_xludf.XLOOKUP(D337,[2]CODE!$A$4:$A$100,[2]CODE!$D$4:$D$100),"")</f>
        <v/>
      </c>
      <c r="X337" s="5" t="str">
        <f t="array" ref="X337">IF(NOT(AND(ISBLANK(D337),ISBLANK(C337))),_xludf.XLOOKUP(D337,[2]CODE!$A$4:$A$100,[2]CODE!$E$4:$E$100),"")</f>
        <v/>
      </c>
      <c r="Y337" s="5" t="str">
        <f t="shared" si="38"/>
        <v/>
      </c>
      <c r="Z337" s="5" t="str">
        <f t="shared" si="39"/>
        <v/>
      </c>
      <c r="AA337" s="4">
        <f t="shared" si="40"/>
        <v>0</v>
      </c>
      <c r="AC337" s="2"/>
    </row>
    <row r="338" spans="1:29" ht="15.5">
      <c r="A338" s="13" t="str">
        <f>IF(OR(ISBLANK(C338),ISBLANK(D338),ISBLANK(F338),ISBLANK(G338)),"",COUNTIF($B$5:B338,"JAMBUTU"))</f>
        <v/>
      </c>
      <c r="B338" s="8" t="str">
        <f t="shared" si="34"/>
        <v/>
      </c>
      <c r="C338" s="8"/>
      <c r="D338" s="8"/>
      <c r="E338" s="13"/>
      <c r="F338" s="12"/>
      <c r="G338" s="11"/>
      <c r="H338" s="12"/>
      <c r="I338" s="11"/>
      <c r="J338" s="10">
        <f t="shared" si="35"/>
        <v>0</v>
      </c>
      <c r="K338" s="10">
        <f t="shared" si="36"/>
        <v>0</v>
      </c>
      <c r="L338" s="9" t="str">
        <f t="shared" si="37"/>
        <v/>
      </c>
      <c r="M338" s="8"/>
      <c r="N338" s="8"/>
      <c r="O338" s="8"/>
      <c r="P338" s="8"/>
      <c r="Q338" s="8"/>
      <c r="R338" s="8"/>
      <c r="S338" s="8"/>
      <c r="T338" s="8"/>
      <c r="U338" s="8"/>
      <c r="V338" s="7"/>
      <c r="W338" s="6" t="str">
        <f t="array" ref="W338">IF(NOT(ISBLANK(D338)),_xludf.XLOOKUP(D338,[2]CODE!$A$4:$A$100,[2]CODE!$D$4:$D$100),"")</f>
        <v/>
      </c>
      <c r="X338" s="5" t="str">
        <f t="array" ref="X338">IF(NOT(AND(ISBLANK(D338),ISBLANK(C338))),_xludf.XLOOKUP(D338,[2]CODE!$A$4:$A$100,[2]CODE!$E$4:$E$100),"")</f>
        <v/>
      </c>
      <c r="Y338" s="5" t="str">
        <f t="shared" si="38"/>
        <v/>
      </c>
      <c r="Z338" s="5" t="str">
        <f t="shared" si="39"/>
        <v/>
      </c>
      <c r="AA338" s="4">
        <f t="shared" si="40"/>
        <v>0</v>
      </c>
      <c r="AC338" s="2"/>
    </row>
    <row r="339" spans="1:29" ht="15.5">
      <c r="A339" s="13" t="str">
        <f>IF(OR(ISBLANK(C339),ISBLANK(D339),ISBLANK(F339),ISBLANK(G339)),"",COUNTIF($B$5:B339,"JAMBUTU"))</f>
        <v/>
      </c>
      <c r="B339" s="8" t="str">
        <f t="shared" ref="B339:B402" si="41">IF(C339&lt;&gt;"","Jambutu","")</f>
        <v/>
      </c>
      <c r="C339" s="8"/>
      <c r="D339" s="8"/>
      <c r="E339" s="13"/>
      <c r="F339" s="12"/>
      <c r="G339" s="11"/>
      <c r="H339" s="12"/>
      <c r="I339" s="11"/>
      <c r="J339" s="10">
        <f t="shared" si="35"/>
        <v>0</v>
      </c>
      <c r="K339" s="10">
        <f t="shared" si="36"/>
        <v>0</v>
      </c>
      <c r="L339" s="9" t="str">
        <f t="shared" si="37"/>
        <v/>
      </c>
      <c r="M339" s="8"/>
      <c r="N339" s="8"/>
      <c r="O339" s="8"/>
      <c r="P339" s="8"/>
      <c r="Q339" s="8"/>
      <c r="R339" s="8"/>
      <c r="S339" s="8"/>
      <c r="T339" s="8"/>
      <c r="U339" s="8"/>
      <c r="V339" s="7"/>
      <c r="W339" s="6" t="str">
        <f t="array" ref="W339">IF(NOT(ISBLANK(D339)),_xludf.XLOOKUP(D339,[2]CODE!$A$4:$A$100,[2]CODE!$D$4:$D$100),"")</f>
        <v/>
      </c>
      <c r="X339" s="5" t="str">
        <f t="array" ref="X339">IF(NOT(AND(ISBLANK(D339),ISBLANK(C339))),_xludf.XLOOKUP(D339,[2]CODE!$A$4:$A$100,[2]CODE!$E$4:$E$100),"")</f>
        <v/>
      </c>
      <c r="Y339" s="5" t="str">
        <f t="shared" si="38"/>
        <v/>
      </c>
      <c r="Z339" s="5" t="str">
        <f t="shared" si="39"/>
        <v/>
      </c>
      <c r="AA339" s="4">
        <f t="shared" si="40"/>
        <v>0</v>
      </c>
      <c r="AC339" s="2"/>
    </row>
    <row r="340" spans="1:29" ht="15.5">
      <c r="A340" s="13" t="str">
        <f>IF(OR(ISBLANK(C340),ISBLANK(D340),ISBLANK(F340),ISBLANK(G340)),"",COUNTIF($B$5:B340,"JAMBUTU"))</f>
        <v/>
      </c>
      <c r="B340" s="8" t="str">
        <f t="shared" si="41"/>
        <v/>
      </c>
      <c r="C340" s="8"/>
      <c r="D340" s="8"/>
      <c r="E340" s="13"/>
      <c r="F340" s="12"/>
      <c r="G340" s="11"/>
      <c r="H340" s="12"/>
      <c r="I340" s="11"/>
      <c r="J340" s="10">
        <f t="shared" si="35"/>
        <v>0</v>
      </c>
      <c r="K340" s="10">
        <f t="shared" si="36"/>
        <v>0</v>
      </c>
      <c r="L340" s="9" t="str">
        <f t="shared" si="37"/>
        <v/>
      </c>
      <c r="M340" s="8"/>
      <c r="N340" s="8"/>
      <c r="O340" s="8"/>
      <c r="P340" s="8"/>
      <c r="Q340" s="8"/>
      <c r="R340" s="8"/>
      <c r="S340" s="8"/>
      <c r="T340" s="8"/>
      <c r="U340" s="8"/>
      <c r="V340" s="7"/>
      <c r="W340" s="6" t="str">
        <f t="array" ref="W340">IF(NOT(ISBLANK(D340)),_xludf.XLOOKUP(D340,[2]CODE!$A$4:$A$100,[2]CODE!$D$4:$D$100),"")</f>
        <v/>
      </c>
      <c r="X340" s="5" t="str">
        <f t="array" ref="X340">IF(NOT(AND(ISBLANK(D340),ISBLANK(C340))),_xludf.XLOOKUP(D340,[2]CODE!$A$4:$A$100,[2]CODE!$E$4:$E$100),"")</f>
        <v/>
      </c>
      <c r="Y340" s="5" t="str">
        <f t="shared" si="38"/>
        <v/>
      </c>
      <c r="Z340" s="5" t="str">
        <f t="shared" si="39"/>
        <v/>
      </c>
      <c r="AA340" s="4">
        <f t="shared" si="40"/>
        <v>0</v>
      </c>
      <c r="AC340" s="2"/>
    </row>
    <row r="341" spans="1:29" ht="15.5">
      <c r="A341" s="13" t="str">
        <f>IF(OR(ISBLANK(C341),ISBLANK(D341),ISBLANK(F341),ISBLANK(G341)),"",COUNTIF($B$5:B341,"JAMBUTU"))</f>
        <v/>
      </c>
      <c r="B341" s="8" t="str">
        <f t="shared" si="41"/>
        <v/>
      </c>
      <c r="C341" s="8"/>
      <c r="D341" s="8"/>
      <c r="E341" s="13"/>
      <c r="F341" s="12"/>
      <c r="G341" s="11"/>
      <c r="H341" s="12"/>
      <c r="I341" s="11"/>
      <c r="J341" s="10">
        <f t="shared" si="35"/>
        <v>0</v>
      </c>
      <c r="K341" s="10">
        <f t="shared" si="36"/>
        <v>0</v>
      </c>
      <c r="L341" s="9" t="str">
        <f t="shared" si="37"/>
        <v/>
      </c>
      <c r="M341" s="8"/>
      <c r="N341" s="8"/>
      <c r="O341" s="8"/>
      <c r="P341" s="8"/>
      <c r="Q341" s="8"/>
      <c r="R341" s="8"/>
      <c r="S341" s="8"/>
      <c r="T341" s="8"/>
      <c r="U341" s="8"/>
      <c r="V341" s="7"/>
      <c r="W341" s="6" t="str">
        <f t="array" ref="W341">IF(NOT(ISBLANK(D341)),_xludf.XLOOKUP(D341,[2]CODE!$A$4:$A$100,[2]CODE!$D$4:$D$100),"")</f>
        <v/>
      </c>
      <c r="X341" s="5" t="str">
        <f t="array" ref="X341">IF(NOT(AND(ISBLANK(D341),ISBLANK(C341))),_xludf.XLOOKUP(D341,[2]CODE!$A$4:$A$100,[2]CODE!$E$4:$E$100),"")</f>
        <v/>
      </c>
      <c r="Y341" s="5" t="str">
        <f t="shared" si="38"/>
        <v/>
      </c>
      <c r="Z341" s="5" t="str">
        <f t="shared" si="39"/>
        <v/>
      </c>
      <c r="AA341" s="4">
        <f t="shared" si="40"/>
        <v>0</v>
      </c>
      <c r="AC341" s="2"/>
    </row>
    <row r="342" spans="1:29" ht="15.5">
      <c r="A342" s="13" t="str">
        <f>IF(OR(ISBLANK(C342),ISBLANK(D342),ISBLANK(F342),ISBLANK(G342)),"",COUNTIF($B$5:B342,"JAMBUTU"))</f>
        <v/>
      </c>
      <c r="B342" s="8" t="str">
        <f t="shared" si="41"/>
        <v/>
      </c>
      <c r="C342" s="8"/>
      <c r="D342" s="8"/>
      <c r="E342" s="13"/>
      <c r="F342" s="12"/>
      <c r="G342" s="11"/>
      <c r="H342" s="12"/>
      <c r="I342" s="11"/>
      <c r="J342" s="10">
        <f t="shared" si="35"/>
        <v>0</v>
      </c>
      <c r="K342" s="10">
        <f t="shared" si="36"/>
        <v>0</v>
      </c>
      <c r="L342" s="9" t="str">
        <f t="shared" si="37"/>
        <v/>
      </c>
      <c r="M342" s="8"/>
      <c r="N342" s="8"/>
      <c r="O342" s="8"/>
      <c r="P342" s="8"/>
      <c r="Q342" s="8"/>
      <c r="R342" s="8"/>
      <c r="S342" s="8"/>
      <c r="T342" s="8"/>
      <c r="U342" s="8"/>
      <c r="V342" s="7"/>
      <c r="W342" s="6" t="str">
        <f t="array" ref="W342">IF(NOT(ISBLANK(D342)),_xludf.XLOOKUP(D342,[2]CODE!$A$4:$A$100,[2]CODE!$D$4:$D$100),"")</f>
        <v/>
      </c>
      <c r="X342" s="5" t="str">
        <f t="array" ref="X342">IF(NOT(AND(ISBLANK(D342),ISBLANK(C342))),_xludf.XLOOKUP(D342,[2]CODE!$A$4:$A$100,[2]CODE!$E$4:$E$100),"")</f>
        <v/>
      </c>
      <c r="Y342" s="5" t="str">
        <f t="shared" si="38"/>
        <v/>
      </c>
      <c r="Z342" s="5" t="str">
        <f t="shared" si="39"/>
        <v/>
      </c>
      <c r="AA342" s="4">
        <f t="shared" si="40"/>
        <v>0</v>
      </c>
      <c r="AC342" s="2"/>
    </row>
    <row r="343" spans="1:29" ht="15.5">
      <c r="A343" s="13" t="str">
        <f>IF(OR(ISBLANK(C343),ISBLANK(D343),ISBLANK(F343),ISBLANK(G343)),"",COUNTIF($B$5:B343,"JAMBUTU"))</f>
        <v/>
      </c>
      <c r="B343" s="8" t="str">
        <f t="shared" si="41"/>
        <v/>
      </c>
      <c r="C343" s="8"/>
      <c r="D343" s="8"/>
      <c r="E343" s="13"/>
      <c r="F343" s="12"/>
      <c r="G343" s="11"/>
      <c r="H343" s="12"/>
      <c r="I343" s="11"/>
      <c r="J343" s="10">
        <f t="shared" si="35"/>
        <v>0</v>
      </c>
      <c r="K343" s="10">
        <f t="shared" si="36"/>
        <v>0</v>
      </c>
      <c r="L343" s="9" t="str">
        <f t="shared" si="37"/>
        <v/>
      </c>
      <c r="M343" s="8"/>
      <c r="N343" s="8"/>
      <c r="O343" s="8"/>
      <c r="P343" s="8"/>
      <c r="Q343" s="8"/>
      <c r="R343" s="8"/>
      <c r="S343" s="8"/>
      <c r="T343" s="8"/>
      <c r="U343" s="8"/>
      <c r="V343" s="7"/>
      <c r="W343" s="6" t="str">
        <f t="array" ref="W343">IF(NOT(ISBLANK(D343)),_xludf.XLOOKUP(D343,[2]CODE!$A$4:$A$100,[2]CODE!$D$4:$D$100),"")</f>
        <v/>
      </c>
      <c r="X343" s="5" t="str">
        <f t="array" ref="X343">IF(NOT(AND(ISBLANK(D343),ISBLANK(C343))),_xludf.XLOOKUP(D343,[2]CODE!$A$4:$A$100,[2]CODE!$E$4:$E$100),"")</f>
        <v/>
      </c>
      <c r="Y343" s="5" t="str">
        <f t="shared" si="38"/>
        <v/>
      </c>
      <c r="Z343" s="5" t="str">
        <f t="shared" si="39"/>
        <v/>
      </c>
      <c r="AA343" s="4">
        <f t="shared" si="40"/>
        <v>0</v>
      </c>
      <c r="AC343" s="2"/>
    </row>
    <row r="344" spans="1:29" ht="15.5">
      <c r="A344" s="13" t="str">
        <f>IF(OR(ISBLANK(C344),ISBLANK(D344),ISBLANK(F344),ISBLANK(G344)),"",COUNTIF($B$5:B344,"JAMBUTU"))</f>
        <v/>
      </c>
      <c r="B344" s="8" t="str">
        <f t="shared" si="41"/>
        <v/>
      </c>
      <c r="C344" s="8"/>
      <c r="D344" s="8"/>
      <c r="E344" s="13"/>
      <c r="F344" s="12"/>
      <c r="G344" s="11"/>
      <c r="H344" s="12"/>
      <c r="I344" s="11"/>
      <c r="J344" s="10">
        <f t="shared" si="35"/>
        <v>0</v>
      </c>
      <c r="K344" s="10">
        <f t="shared" si="36"/>
        <v>0</v>
      </c>
      <c r="L344" s="9" t="str">
        <f t="shared" si="37"/>
        <v/>
      </c>
      <c r="M344" s="8"/>
      <c r="N344" s="8"/>
      <c r="O344" s="8"/>
      <c r="P344" s="8"/>
      <c r="Q344" s="8"/>
      <c r="R344" s="8"/>
      <c r="S344" s="8"/>
      <c r="T344" s="8"/>
      <c r="U344" s="8"/>
      <c r="V344" s="7"/>
      <c r="W344" s="6" t="str">
        <f t="array" ref="W344">IF(NOT(ISBLANK(D344)),_xludf.XLOOKUP(D344,[2]CODE!$A$4:$A$100,[2]CODE!$D$4:$D$100),"")</f>
        <v/>
      </c>
      <c r="X344" s="5" t="str">
        <f t="array" ref="X344">IF(NOT(AND(ISBLANK(D344),ISBLANK(C344))),_xludf.XLOOKUP(D344,[2]CODE!$A$4:$A$100,[2]CODE!$E$4:$E$100),"")</f>
        <v/>
      </c>
      <c r="Y344" s="5" t="str">
        <f t="shared" si="38"/>
        <v/>
      </c>
      <c r="Z344" s="5" t="str">
        <f t="shared" si="39"/>
        <v/>
      </c>
      <c r="AA344" s="4">
        <f t="shared" si="40"/>
        <v>0</v>
      </c>
      <c r="AC344" s="2"/>
    </row>
    <row r="345" spans="1:29" ht="15.5">
      <c r="A345" s="13" t="str">
        <f>IF(OR(ISBLANK(C345),ISBLANK(D345),ISBLANK(F345),ISBLANK(G345)),"",COUNTIF($B$5:B345,"JAMBUTU"))</f>
        <v/>
      </c>
      <c r="B345" s="8" t="str">
        <f t="shared" si="41"/>
        <v/>
      </c>
      <c r="C345" s="8"/>
      <c r="D345" s="8"/>
      <c r="E345" s="13"/>
      <c r="F345" s="12"/>
      <c r="G345" s="11"/>
      <c r="H345" s="12"/>
      <c r="I345" s="11"/>
      <c r="J345" s="10">
        <f t="shared" si="35"/>
        <v>0</v>
      </c>
      <c r="K345" s="10">
        <f t="shared" si="36"/>
        <v>0</v>
      </c>
      <c r="L345" s="9" t="str">
        <f t="shared" si="37"/>
        <v/>
      </c>
      <c r="M345" s="8"/>
      <c r="N345" s="8"/>
      <c r="O345" s="8"/>
      <c r="P345" s="8"/>
      <c r="Q345" s="8"/>
      <c r="R345" s="8"/>
      <c r="S345" s="8"/>
      <c r="T345" s="8"/>
      <c r="U345" s="8"/>
      <c r="V345" s="7"/>
      <c r="W345" s="6" t="str">
        <f t="array" ref="W345">IF(NOT(ISBLANK(D345)),_xludf.XLOOKUP(D345,[2]CODE!$A$4:$A$100,[2]CODE!$D$4:$D$100),"")</f>
        <v/>
      </c>
      <c r="X345" s="5" t="str">
        <f t="array" ref="X345">IF(NOT(AND(ISBLANK(D345),ISBLANK(C345))),_xludf.XLOOKUP(D345,[2]CODE!$A$4:$A$100,[2]CODE!$E$4:$E$100),"")</f>
        <v/>
      </c>
      <c r="Y345" s="5" t="str">
        <f t="shared" si="38"/>
        <v/>
      </c>
      <c r="Z345" s="5" t="str">
        <f t="shared" si="39"/>
        <v/>
      </c>
      <c r="AA345" s="4">
        <f t="shared" si="40"/>
        <v>0</v>
      </c>
      <c r="AC345" s="2"/>
    </row>
    <row r="346" spans="1:29" ht="15.5">
      <c r="A346" s="13" t="str">
        <f>IF(OR(ISBLANK(C346),ISBLANK(D346),ISBLANK(F346),ISBLANK(G346)),"",COUNTIF($B$5:B346,"JAMBUTU"))</f>
        <v/>
      </c>
      <c r="B346" s="8" t="str">
        <f t="shared" si="41"/>
        <v/>
      </c>
      <c r="C346" s="8"/>
      <c r="D346" s="8"/>
      <c r="E346" s="13"/>
      <c r="F346" s="12"/>
      <c r="G346" s="11"/>
      <c r="H346" s="12"/>
      <c r="I346" s="11"/>
      <c r="J346" s="10">
        <f t="shared" si="35"/>
        <v>0</v>
      </c>
      <c r="K346" s="10">
        <f t="shared" si="36"/>
        <v>0</v>
      </c>
      <c r="L346" s="9" t="str">
        <f t="shared" si="37"/>
        <v/>
      </c>
      <c r="M346" s="8"/>
      <c r="N346" s="8"/>
      <c r="O346" s="8"/>
      <c r="P346" s="8"/>
      <c r="Q346" s="8"/>
      <c r="R346" s="8"/>
      <c r="S346" s="8"/>
      <c r="T346" s="8"/>
      <c r="U346" s="8"/>
      <c r="V346" s="7"/>
      <c r="W346" s="6" t="str">
        <f t="array" ref="W346">IF(NOT(ISBLANK(D346)),_xludf.XLOOKUP(D346,[2]CODE!$A$4:$A$100,[2]CODE!$D$4:$D$100),"")</f>
        <v/>
      </c>
      <c r="X346" s="5" t="str">
        <f t="array" ref="X346">IF(NOT(AND(ISBLANK(D346),ISBLANK(C346))),_xludf.XLOOKUP(D346,[2]CODE!$A$4:$A$100,[2]CODE!$E$4:$E$100),"")</f>
        <v/>
      </c>
      <c r="Y346" s="5" t="str">
        <f t="shared" si="38"/>
        <v/>
      </c>
      <c r="Z346" s="5" t="str">
        <f t="shared" si="39"/>
        <v/>
      </c>
      <c r="AA346" s="4">
        <f t="shared" si="40"/>
        <v>0</v>
      </c>
      <c r="AC346" s="2"/>
    </row>
    <row r="347" spans="1:29" ht="15.5">
      <c r="A347" s="13" t="str">
        <f>IF(OR(ISBLANK(C347),ISBLANK(D347),ISBLANK(F347),ISBLANK(G347)),"",COUNTIF($B$5:B347,"JAMBUTU"))</f>
        <v/>
      </c>
      <c r="B347" s="8" t="str">
        <f t="shared" si="41"/>
        <v/>
      </c>
      <c r="C347" s="8"/>
      <c r="D347" s="8"/>
      <c r="E347" s="13"/>
      <c r="F347" s="12"/>
      <c r="G347" s="11"/>
      <c r="H347" s="12"/>
      <c r="I347" s="11"/>
      <c r="J347" s="10">
        <f t="shared" si="35"/>
        <v>0</v>
      </c>
      <c r="K347" s="10">
        <f t="shared" si="36"/>
        <v>0</v>
      </c>
      <c r="L347" s="9" t="str">
        <f t="shared" si="37"/>
        <v/>
      </c>
      <c r="M347" s="8"/>
      <c r="N347" s="8"/>
      <c r="O347" s="8"/>
      <c r="P347" s="8"/>
      <c r="Q347" s="8"/>
      <c r="R347" s="8"/>
      <c r="S347" s="8"/>
      <c r="T347" s="8"/>
      <c r="U347" s="8"/>
      <c r="V347" s="7"/>
      <c r="W347" s="6" t="str">
        <f t="array" ref="W347">IF(NOT(ISBLANK(D347)),_xludf.XLOOKUP(D347,[2]CODE!$A$4:$A$100,[2]CODE!$D$4:$D$100),"")</f>
        <v/>
      </c>
      <c r="X347" s="5" t="str">
        <f t="array" ref="X347">IF(NOT(AND(ISBLANK(D347),ISBLANK(C347))),_xludf.XLOOKUP(D347,[2]CODE!$A$4:$A$100,[2]CODE!$E$4:$E$100),"")</f>
        <v/>
      </c>
      <c r="Y347" s="5" t="str">
        <f t="shared" si="38"/>
        <v/>
      </c>
      <c r="Z347" s="5" t="str">
        <f t="shared" si="39"/>
        <v/>
      </c>
      <c r="AA347" s="4">
        <f t="shared" si="40"/>
        <v>0</v>
      </c>
      <c r="AC347" s="2"/>
    </row>
    <row r="348" spans="1:29" ht="15.5">
      <c r="A348" s="13" t="str">
        <f>IF(OR(ISBLANK(C348),ISBLANK(D348),ISBLANK(F348),ISBLANK(G348)),"",COUNTIF($B$5:B348,"JAMBUTU"))</f>
        <v/>
      </c>
      <c r="B348" s="8" t="str">
        <f t="shared" si="41"/>
        <v/>
      </c>
      <c r="C348" s="8"/>
      <c r="D348" s="8"/>
      <c r="E348" s="13"/>
      <c r="F348" s="12"/>
      <c r="G348" s="11"/>
      <c r="H348" s="12"/>
      <c r="I348" s="11"/>
      <c r="J348" s="10">
        <f t="shared" si="35"/>
        <v>0</v>
      </c>
      <c r="K348" s="10">
        <f t="shared" si="36"/>
        <v>0</v>
      </c>
      <c r="L348" s="9" t="str">
        <f t="shared" si="37"/>
        <v/>
      </c>
      <c r="M348" s="8"/>
      <c r="N348" s="8"/>
      <c r="O348" s="8"/>
      <c r="P348" s="8"/>
      <c r="Q348" s="8"/>
      <c r="R348" s="8"/>
      <c r="S348" s="8"/>
      <c r="T348" s="8"/>
      <c r="U348" s="8"/>
      <c r="V348" s="7"/>
      <c r="W348" s="6" t="str">
        <f t="array" ref="W348">IF(NOT(ISBLANK(D348)),_xludf.XLOOKUP(D348,[2]CODE!$A$4:$A$100,[2]CODE!$D$4:$D$100),"")</f>
        <v/>
      </c>
      <c r="X348" s="5" t="str">
        <f t="array" ref="X348">IF(NOT(AND(ISBLANK(D348),ISBLANK(C348))),_xludf.XLOOKUP(D348,[2]CODE!$A$4:$A$100,[2]CODE!$E$4:$E$100),"")</f>
        <v/>
      </c>
      <c r="Y348" s="5" t="str">
        <f t="shared" si="38"/>
        <v/>
      </c>
      <c r="Z348" s="5" t="str">
        <f t="shared" si="39"/>
        <v/>
      </c>
      <c r="AA348" s="4">
        <f t="shared" si="40"/>
        <v>0</v>
      </c>
      <c r="AC348" s="2"/>
    </row>
    <row r="349" spans="1:29" ht="15.5">
      <c r="A349" s="13" t="str">
        <f>IF(OR(ISBLANK(C349),ISBLANK(D349),ISBLANK(F349),ISBLANK(G349)),"",COUNTIF($B$5:B349,"JAMBUTU"))</f>
        <v/>
      </c>
      <c r="B349" s="8" t="str">
        <f t="shared" si="41"/>
        <v/>
      </c>
      <c r="C349" s="8"/>
      <c r="D349" s="8"/>
      <c r="E349" s="13"/>
      <c r="F349" s="12"/>
      <c r="G349" s="11"/>
      <c r="H349" s="12"/>
      <c r="I349" s="11"/>
      <c r="J349" s="10">
        <f t="shared" si="35"/>
        <v>0</v>
      </c>
      <c r="K349" s="10">
        <f t="shared" si="36"/>
        <v>0</v>
      </c>
      <c r="L349" s="9" t="str">
        <f t="shared" si="37"/>
        <v/>
      </c>
      <c r="M349" s="8"/>
      <c r="N349" s="8"/>
      <c r="O349" s="8"/>
      <c r="P349" s="8"/>
      <c r="Q349" s="8"/>
      <c r="R349" s="8"/>
      <c r="S349" s="8"/>
      <c r="T349" s="8"/>
      <c r="U349" s="8"/>
      <c r="V349" s="7"/>
      <c r="W349" s="6" t="str">
        <f t="array" ref="W349">IF(NOT(ISBLANK(D349)),_xludf.XLOOKUP(D349,[2]CODE!$A$4:$A$100,[2]CODE!$D$4:$D$100),"")</f>
        <v/>
      </c>
      <c r="X349" s="5" t="str">
        <f t="array" ref="X349">IF(NOT(AND(ISBLANK(D349),ISBLANK(C349))),_xludf.XLOOKUP(D349,[2]CODE!$A$4:$A$100,[2]CODE!$E$4:$E$100),"")</f>
        <v/>
      </c>
      <c r="Y349" s="5" t="str">
        <f t="shared" si="38"/>
        <v/>
      </c>
      <c r="Z349" s="5" t="str">
        <f t="shared" si="39"/>
        <v/>
      </c>
      <c r="AA349" s="4">
        <f t="shared" si="40"/>
        <v>0</v>
      </c>
      <c r="AC349" s="2"/>
    </row>
    <row r="350" spans="1:29" ht="15.5">
      <c r="A350" s="13" t="str">
        <f>IF(OR(ISBLANK(C350),ISBLANK(D350),ISBLANK(F350),ISBLANK(G350)),"",COUNTIF($B$5:B350,"JAMBUTU"))</f>
        <v/>
      </c>
      <c r="B350" s="8" t="str">
        <f t="shared" si="41"/>
        <v/>
      </c>
      <c r="C350" s="8"/>
      <c r="D350" s="8"/>
      <c r="E350" s="13"/>
      <c r="F350" s="12"/>
      <c r="G350" s="11"/>
      <c r="H350" s="12"/>
      <c r="I350" s="11"/>
      <c r="J350" s="10">
        <f t="shared" si="35"/>
        <v>0</v>
      </c>
      <c r="K350" s="10">
        <f t="shared" si="36"/>
        <v>0</v>
      </c>
      <c r="L350" s="9" t="str">
        <f t="shared" si="37"/>
        <v/>
      </c>
      <c r="M350" s="8"/>
      <c r="N350" s="8"/>
      <c r="O350" s="8"/>
      <c r="P350" s="8"/>
      <c r="Q350" s="8"/>
      <c r="R350" s="8"/>
      <c r="S350" s="8"/>
      <c r="T350" s="8"/>
      <c r="U350" s="8"/>
      <c r="V350" s="7"/>
      <c r="W350" s="6" t="str">
        <f t="array" ref="W350">IF(NOT(ISBLANK(D350)),_xludf.XLOOKUP(D350,[2]CODE!$A$4:$A$100,[2]CODE!$D$4:$D$100),"")</f>
        <v/>
      </c>
      <c r="X350" s="5" t="str">
        <f t="array" ref="X350">IF(NOT(AND(ISBLANK(D350),ISBLANK(C350))),_xludf.XLOOKUP(D350,[2]CODE!$A$4:$A$100,[2]CODE!$E$4:$E$100),"")</f>
        <v/>
      </c>
      <c r="Y350" s="5" t="str">
        <f t="shared" si="38"/>
        <v/>
      </c>
      <c r="Z350" s="5" t="str">
        <f t="shared" si="39"/>
        <v/>
      </c>
      <c r="AA350" s="4">
        <f t="shared" si="40"/>
        <v>0</v>
      </c>
      <c r="AC350" s="2"/>
    </row>
    <row r="351" spans="1:29" ht="15.5">
      <c r="A351" s="13" t="str">
        <f>IF(OR(ISBLANK(C351),ISBLANK(D351),ISBLANK(F351),ISBLANK(G351)),"",COUNTIF($B$5:B351,"JAMBUTU"))</f>
        <v/>
      </c>
      <c r="B351" s="8" t="str">
        <f t="shared" si="41"/>
        <v/>
      </c>
      <c r="C351" s="8"/>
      <c r="D351" s="8"/>
      <c r="E351" s="13"/>
      <c r="F351" s="12"/>
      <c r="G351" s="11"/>
      <c r="H351" s="12"/>
      <c r="I351" s="11"/>
      <c r="J351" s="10">
        <f t="shared" si="35"/>
        <v>0</v>
      </c>
      <c r="K351" s="10">
        <f t="shared" si="36"/>
        <v>0</v>
      </c>
      <c r="L351" s="9" t="str">
        <f t="shared" si="37"/>
        <v/>
      </c>
      <c r="M351" s="8"/>
      <c r="N351" s="8"/>
      <c r="O351" s="8"/>
      <c r="P351" s="8"/>
      <c r="Q351" s="8"/>
      <c r="R351" s="8"/>
      <c r="S351" s="8"/>
      <c r="T351" s="8"/>
      <c r="U351" s="8"/>
      <c r="V351" s="7"/>
      <c r="W351" s="6" t="str">
        <f t="array" ref="W351">IF(NOT(ISBLANK(D351)),_xludf.XLOOKUP(D351,[2]CODE!$A$4:$A$100,[2]CODE!$D$4:$D$100),"")</f>
        <v/>
      </c>
      <c r="X351" s="5" t="str">
        <f t="array" ref="X351">IF(NOT(AND(ISBLANK(D351),ISBLANK(C351))),_xludf.XLOOKUP(D351,[2]CODE!$A$4:$A$100,[2]CODE!$E$4:$E$100),"")</f>
        <v/>
      </c>
      <c r="Y351" s="5" t="str">
        <f t="shared" si="38"/>
        <v/>
      </c>
      <c r="Z351" s="5" t="str">
        <f t="shared" si="39"/>
        <v/>
      </c>
      <c r="AA351" s="4">
        <f t="shared" si="40"/>
        <v>0</v>
      </c>
      <c r="AC351" s="2"/>
    </row>
    <row r="352" spans="1:29" ht="15.5">
      <c r="A352" s="13" t="str">
        <f>IF(OR(ISBLANK(C352),ISBLANK(D352),ISBLANK(F352),ISBLANK(G352)),"",COUNTIF($B$5:B352,"JAMBUTU"))</f>
        <v/>
      </c>
      <c r="B352" s="8" t="str">
        <f t="shared" si="41"/>
        <v/>
      </c>
      <c r="C352" s="8"/>
      <c r="D352" s="8"/>
      <c r="E352" s="13"/>
      <c r="F352" s="12"/>
      <c r="G352" s="11"/>
      <c r="H352" s="12"/>
      <c r="I352" s="11"/>
      <c r="J352" s="10">
        <f t="shared" si="35"/>
        <v>0</v>
      </c>
      <c r="K352" s="10">
        <f t="shared" si="36"/>
        <v>0</v>
      </c>
      <c r="L352" s="9" t="str">
        <f t="shared" si="37"/>
        <v/>
      </c>
      <c r="M352" s="8"/>
      <c r="N352" s="8"/>
      <c r="O352" s="8"/>
      <c r="P352" s="8"/>
      <c r="Q352" s="8"/>
      <c r="R352" s="8"/>
      <c r="S352" s="8"/>
      <c r="T352" s="8"/>
      <c r="U352" s="8"/>
      <c r="V352" s="7"/>
      <c r="W352" s="6" t="str">
        <f t="array" ref="W352">IF(NOT(ISBLANK(D352)),_xludf.XLOOKUP(D352,[2]CODE!$A$4:$A$100,[2]CODE!$D$4:$D$100),"")</f>
        <v/>
      </c>
      <c r="X352" s="5" t="str">
        <f t="array" ref="X352">IF(NOT(AND(ISBLANK(D352),ISBLANK(C352))),_xludf.XLOOKUP(D352,[2]CODE!$A$4:$A$100,[2]CODE!$E$4:$E$100),"")</f>
        <v/>
      </c>
      <c r="Y352" s="5" t="str">
        <f t="shared" si="38"/>
        <v/>
      </c>
      <c r="Z352" s="5" t="str">
        <f t="shared" si="39"/>
        <v/>
      </c>
      <c r="AA352" s="4">
        <f t="shared" si="40"/>
        <v>0</v>
      </c>
      <c r="AC352" s="2"/>
    </row>
    <row r="353" spans="1:29" ht="15.5">
      <c r="A353" s="13" t="str">
        <f>IF(OR(ISBLANK(C353),ISBLANK(D353),ISBLANK(F353),ISBLANK(G353)),"",COUNTIF($B$5:B353,"JAMBUTU"))</f>
        <v/>
      </c>
      <c r="B353" s="8" t="str">
        <f t="shared" si="41"/>
        <v/>
      </c>
      <c r="C353" s="8"/>
      <c r="D353" s="8"/>
      <c r="E353" s="13"/>
      <c r="F353" s="12"/>
      <c r="G353" s="11"/>
      <c r="H353" s="12"/>
      <c r="I353" s="11"/>
      <c r="J353" s="10">
        <f t="shared" si="35"/>
        <v>0</v>
      </c>
      <c r="K353" s="10">
        <f t="shared" si="36"/>
        <v>0</v>
      </c>
      <c r="L353" s="9" t="str">
        <f t="shared" si="37"/>
        <v/>
      </c>
      <c r="M353" s="8"/>
      <c r="N353" s="8"/>
      <c r="O353" s="8"/>
      <c r="P353" s="8"/>
      <c r="Q353" s="8"/>
      <c r="R353" s="8"/>
      <c r="S353" s="8"/>
      <c r="T353" s="8"/>
      <c r="U353" s="8"/>
      <c r="V353" s="7"/>
      <c r="W353" s="6" t="str">
        <f t="array" ref="W353">IF(NOT(ISBLANK(D353)),_xludf.XLOOKUP(D353,[2]CODE!$A$4:$A$100,[2]CODE!$D$4:$D$100),"")</f>
        <v/>
      </c>
      <c r="X353" s="5" t="str">
        <f t="array" ref="X353">IF(NOT(AND(ISBLANK(D353),ISBLANK(C353))),_xludf.XLOOKUP(D353,[2]CODE!$A$4:$A$100,[2]CODE!$E$4:$E$100),"")</f>
        <v/>
      </c>
      <c r="Y353" s="5" t="str">
        <f t="shared" si="38"/>
        <v/>
      </c>
      <c r="Z353" s="5" t="str">
        <f t="shared" si="39"/>
        <v/>
      </c>
      <c r="AA353" s="4">
        <f t="shared" si="40"/>
        <v>0</v>
      </c>
      <c r="AC353" s="2"/>
    </row>
    <row r="354" spans="1:29" ht="15.5">
      <c r="A354" s="13" t="str">
        <f>IF(OR(ISBLANK(C354),ISBLANK(D354),ISBLANK(F354),ISBLANK(G354)),"",COUNTIF($B$5:B354,"JAMBUTU"))</f>
        <v/>
      </c>
      <c r="B354" s="8" t="str">
        <f t="shared" si="41"/>
        <v/>
      </c>
      <c r="C354" s="8"/>
      <c r="D354" s="8"/>
      <c r="E354" s="13"/>
      <c r="F354" s="12"/>
      <c r="G354" s="11"/>
      <c r="H354" s="12"/>
      <c r="I354" s="11"/>
      <c r="J354" s="10">
        <f t="shared" si="35"/>
        <v>0</v>
      </c>
      <c r="K354" s="10">
        <f t="shared" si="36"/>
        <v>0</v>
      </c>
      <c r="L354" s="9" t="str">
        <f t="shared" si="37"/>
        <v/>
      </c>
      <c r="M354" s="8"/>
      <c r="N354" s="8"/>
      <c r="O354" s="8"/>
      <c r="P354" s="8"/>
      <c r="Q354" s="8"/>
      <c r="R354" s="8"/>
      <c r="S354" s="8"/>
      <c r="T354" s="8"/>
      <c r="U354" s="8"/>
      <c r="V354" s="7"/>
      <c r="W354" s="6" t="str">
        <f t="array" ref="W354">IF(NOT(ISBLANK(D354)),_xludf.XLOOKUP(D354,[2]CODE!$A$4:$A$100,[2]CODE!$D$4:$D$100),"")</f>
        <v/>
      </c>
      <c r="X354" s="5" t="str">
        <f t="array" ref="X354">IF(NOT(AND(ISBLANK(D354),ISBLANK(C354))),_xludf.XLOOKUP(D354,[2]CODE!$A$4:$A$100,[2]CODE!$E$4:$E$100),"")</f>
        <v/>
      </c>
      <c r="Y354" s="5" t="str">
        <f t="shared" si="38"/>
        <v/>
      </c>
      <c r="Z354" s="5" t="str">
        <f t="shared" si="39"/>
        <v/>
      </c>
      <c r="AA354" s="4">
        <f t="shared" si="40"/>
        <v>0</v>
      </c>
      <c r="AC354" s="2"/>
    </row>
    <row r="355" spans="1:29" ht="15.5">
      <c r="A355" s="13" t="str">
        <f>IF(OR(ISBLANK(C355),ISBLANK(D355),ISBLANK(F355),ISBLANK(G355)),"",COUNTIF($B$5:B355,"JAMBUTU"))</f>
        <v/>
      </c>
      <c r="B355" s="8" t="str">
        <f t="shared" si="41"/>
        <v/>
      </c>
      <c r="C355" s="8"/>
      <c r="D355" s="8"/>
      <c r="E355" s="13"/>
      <c r="F355" s="12"/>
      <c r="G355" s="11"/>
      <c r="H355" s="12"/>
      <c r="I355" s="11"/>
      <c r="J355" s="10">
        <f t="shared" si="35"/>
        <v>0</v>
      </c>
      <c r="K355" s="10">
        <f t="shared" si="36"/>
        <v>0</v>
      </c>
      <c r="L355" s="9" t="str">
        <f t="shared" si="37"/>
        <v/>
      </c>
      <c r="M355" s="8"/>
      <c r="N355" s="8"/>
      <c r="O355" s="8"/>
      <c r="P355" s="8"/>
      <c r="Q355" s="8"/>
      <c r="R355" s="8"/>
      <c r="S355" s="8"/>
      <c r="T355" s="8"/>
      <c r="U355" s="8"/>
      <c r="V355" s="7"/>
      <c r="W355" s="6" t="str">
        <f t="array" ref="W355">IF(NOT(ISBLANK(D355)),_xludf.XLOOKUP(D355,[2]CODE!$A$4:$A$100,[2]CODE!$D$4:$D$100),"")</f>
        <v/>
      </c>
      <c r="X355" s="5" t="str">
        <f t="array" ref="X355">IF(NOT(AND(ISBLANK(D355),ISBLANK(C355))),_xludf.XLOOKUP(D355,[2]CODE!$A$4:$A$100,[2]CODE!$E$4:$E$100),"")</f>
        <v/>
      </c>
      <c r="Y355" s="5" t="str">
        <f t="shared" si="38"/>
        <v/>
      </c>
      <c r="Z355" s="5" t="str">
        <f t="shared" si="39"/>
        <v/>
      </c>
      <c r="AA355" s="4">
        <f t="shared" si="40"/>
        <v>0</v>
      </c>
      <c r="AC355" s="2"/>
    </row>
    <row r="356" spans="1:29" ht="15.5">
      <c r="A356" s="13" t="str">
        <f>IF(OR(ISBLANK(C356),ISBLANK(D356),ISBLANK(F356),ISBLANK(G356)),"",COUNTIF($B$5:B356,"JAMBUTU"))</f>
        <v/>
      </c>
      <c r="B356" s="8" t="str">
        <f t="shared" si="41"/>
        <v/>
      </c>
      <c r="C356" s="8"/>
      <c r="D356" s="8"/>
      <c r="E356" s="13"/>
      <c r="F356" s="12"/>
      <c r="G356" s="11"/>
      <c r="H356" s="12"/>
      <c r="I356" s="11"/>
      <c r="J356" s="10">
        <f t="shared" si="35"/>
        <v>0</v>
      </c>
      <c r="K356" s="10">
        <f t="shared" si="36"/>
        <v>0</v>
      </c>
      <c r="L356" s="9" t="str">
        <f t="shared" si="37"/>
        <v/>
      </c>
      <c r="M356" s="8"/>
      <c r="N356" s="8"/>
      <c r="O356" s="8"/>
      <c r="P356" s="8"/>
      <c r="Q356" s="8"/>
      <c r="R356" s="8"/>
      <c r="S356" s="8"/>
      <c r="T356" s="8"/>
      <c r="U356" s="8"/>
      <c r="V356" s="7"/>
      <c r="W356" s="6" t="str">
        <f t="array" ref="W356">IF(NOT(ISBLANK(D356)),_xludf.XLOOKUP(D356,[2]CODE!$A$4:$A$100,[2]CODE!$D$4:$D$100),"")</f>
        <v/>
      </c>
      <c r="X356" s="5" t="str">
        <f t="array" ref="X356">IF(NOT(AND(ISBLANK(D356),ISBLANK(C356))),_xludf.XLOOKUP(D356,[2]CODE!$A$4:$A$100,[2]CODE!$E$4:$E$100),"")</f>
        <v/>
      </c>
      <c r="Y356" s="5" t="str">
        <f t="shared" si="38"/>
        <v/>
      </c>
      <c r="Z356" s="5" t="str">
        <f t="shared" si="39"/>
        <v/>
      </c>
      <c r="AA356" s="4">
        <f t="shared" si="40"/>
        <v>0</v>
      </c>
      <c r="AC356" s="2"/>
    </row>
    <row r="357" spans="1:29" ht="15.5">
      <c r="A357" s="13" t="str">
        <f>IF(OR(ISBLANK(C357),ISBLANK(D357),ISBLANK(F357),ISBLANK(G357)),"",COUNTIF($B$5:B357,"JAMBUTU"))</f>
        <v/>
      </c>
      <c r="B357" s="8" t="str">
        <f t="shared" si="41"/>
        <v/>
      </c>
      <c r="C357" s="8"/>
      <c r="D357" s="8"/>
      <c r="E357" s="13"/>
      <c r="F357" s="12"/>
      <c r="G357" s="11"/>
      <c r="H357" s="12"/>
      <c r="I357" s="11"/>
      <c r="J357" s="10">
        <f t="shared" si="35"/>
        <v>0</v>
      </c>
      <c r="K357" s="10">
        <f t="shared" si="36"/>
        <v>0</v>
      </c>
      <c r="L357" s="9" t="str">
        <f t="shared" si="37"/>
        <v/>
      </c>
      <c r="M357" s="8"/>
      <c r="N357" s="8"/>
      <c r="O357" s="8"/>
      <c r="P357" s="8"/>
      <c r="Q357" s="8"/>
      <c r="R357" s="8"/>
      <c r="S357" s="8"/>
      <c r="T357" s="8"/>
      <c r="U357" s="8"/>
      <c r="V357" s="7"/>
      <c r="W357" s="6" t="str">
        <f t="array" ref="W357">IF(NOT(ISBLANK(D357)),_xludf.XLOOKUP(D357,[2]CODE!$A$4:$A$100,[2]CODE!$D$4:$D$100),"")</f>
        <v/>
      </c>
      <c r="X357" s="5" t="str">
        <f t="array" ref="X357">IF(NOT(AND(ISBLANK(D357),ISBLANK(C357))),_xludf.XLOOKUP(D357,[2]CODE!$A$4:$A$100,[2]CODE!$E$4:$E$100),"")</f>
        <v/>
      </c>
      <c r="Y357" s="5" t="str">
        <f t="shared" si="38"/>
        <v/>
      </c>
      <c r="Z357" s="5" t="str">
        <f t="shared" si="39"/>
        <v/>
      </c>
      <c r="AA357" s="4">
        <f t="shared" si="40"/>
        <v>0</v>
      </c>
      <c r="AC357" s="2"/>
    </row>
    <row r="358" spans="1:29" ht="15.5">
      <c r="A358" s="13" t="str">
        <f>IF(OR(ISBLANK(C358),ISBLANK(D358),ISBLANK(F358),ISBLANK(G358)),"",COUNTIF($B$5:B358,"JAMBUTU"))</f>
        <v/>
      </c>
      <c r="B358" s="8" t="str">
        <f t="shared" si="41"/>
        <v/>
      </c>
      <c r="C358" s="8"/>
      <c r="D358" s="8"/>
      <c r="E358" s="13"/>
      <c r="F358" s="12"/>
      <c r="G358" s="11"/>
      <c r="H358" s="12"/>
      <c r="I358" s="11"/>
      <c r="J358" s="10">
        <f t="shared" si="35"/>
        <v>0</v>
      </c>
      <c r="K358" s="10">
        <f t="shared" si="36"/>
        <v>0</v>
      </c>
      <c r="L358" s="9" t="str">
        <f t="shared" si="37"/>
        <v/>
      </c>
      <c r="M358" s="8"/>
      <c r="N358" s="8"/>
      <c r="O358" s="8"/>
      <c r="P358" s="8"/>
      <c r="Q358" s="8"/>
      <c r="R358" s="8"/>
      <c r="S358" s="8"/>
      <c r="T358" s="8"/>
      <c r="U358" s="8"/>
      <c r="V358" s="7"/>
      <c r="W358" s="6" t="str">
        <f t="array" ref="W358">IF(NOT(ISBLANK(D358)),_xludf.XLOOKUP(D358,[2]CODE!$A$4:$A$100,[2]CODE!$D$4:$D$100),"")</f>
        <v/>
      </c>
      <c r="X358" s="5" t="str">
        <f t="array" ref="X358">IF(NOT(AND(ISBLANK(D358),ISBLANK(C358))),_xludf.XLOOKUP(D358,[2]CODE!$A$4:$A$100,[2]CODE!$E$4:$E$100),"")</f>
        <v/>
      </c>
      <c r="Y358" s="5" t="str">
        <f t="shared" si="38"/>
        <v/>
      </c>
      <c r="Z358" s="5" t="str">
        <f t="shared" si="39"/>
        <v/>
      </c>
      <c r="AA358" s="4">
        <f t="shared" si="40"/>
        <v>0</v>
      </c>
      <c r="AC358" s="2"/>
    </row>
    <row r="359" spans="1:29" ht="15.5">
      <c r="A359" s="13" t="str">
        <f>IF(OR(ISBLANK(C359),ISBLANK(D359),ISBLANK(F359),ISBLANK(G359)),"",COUNTIF($B$5:B359,"JAMBUTU"))</f>
        <v/>
      </c>
      <c r="B359" s="8" t="str">
        <f t="shared" si="41"/>
        <v/>
      </c>
      <c r="C359" s="8"/>
      <c r="D359" s="8"/>
      <c r="E359" s="13"/>
      <c r="F359" s="12"/>
      <c r="G359" s="11"/>
      <c r="H359" s="12"/>
      <c r="I359" s="11"/>
      <c r="J359" s="10">
        <f t="shared" si="35"/>
        <v>0</v>
      </c>
      <c r="K359" s="10">
        <f t="shared" si="36"/>
        <v>0</v>
      </c>
      <c r="L359" s="9" t="str">
        <f t="shared" si="37"/>
        <v/>
      </c>
      <c r="M359" s="8"/>
      <c r="N359" s="8"/>
      <c r="O359" s="8"/>
      <c r="P359" s="8"/>
      <c r="Q359" s="8"/>
      <c r="R359" s="8"/>
      <c r="S359" s="8"/>
      <c r="T359" s="8"/>
      <c r="U359" s="8"/>
      <c r="V359" s="7"/>
      <c r="W359" s="6" t="str">
        <f t="array" ref="W359">IF(NOT(ISBLANK(D359)),_xludf.XLOOKUP(D359,[2]CODE!$A$4:$A$100,[2]CODE!$D$4:$D$100),"")</f>
        <v/>
      </c>
      <c r="X359" s="5" t="str">
        <f t="array" ref="X359">IF(NOT(AND(ISBLANK(D359),ISBLANK(C359))),_xludf.XLOOKUP(D359,[2]CODE!$A$4:$A$100,[2]CODE!$E$4:$E$100),"")</f>
        <v/>
      </c>
      <c r="Y359" s="5" t="str">
        <f t="shared" si="38"/>
        <v/>
      </c>
      <c r="Z359" s="5" t="str">
        <f t="shared" si="39"/>
        <v/>
      </c>
      <c r="AA359" s="4">
        <f t="shared" si="40"/>
        <v>0</v>
      </c>
      <c r="AC359" s="2"/>
    </row>
    <row r="360" spans="1:29" ht="15.5">
      <c r="A360" s="13" t="str">
        <f>IF(OR(ISBLANK(C360),ISBLANK(D360),ISBLANK(F360),ISBLANK(G360)),"",COUNTIF($B$5:B360,"JAMBUTU"))</f>
        <v/>
      </c>
      <c r="B360" s="8" t="str">
        <f t="shared" si="41"/>
        <v/>
      </c>
      <c r="C360" s="8"/>
      <c r="D360" s="8"/>
      <c r="E360" s="13"/>
      <c r="F360" s="12"/>
      <c r="G360" s="11"/>
      <c r="H360" s="12"/>
      <c r="I360" s="11"/>
      <c r="J360" s="10">
        <f t="shared" si="35"/>
        <v>0</v>
      </c>
      <c r="K360" s="10">
        <f t="shared" si="36"/>
        <v>0</v>
      </c>
      <c r="L360" s="9" t="str">
        <f t="shared" si="37"/>
        <v/>
      </c>
      <c r="M360" s="8"/>
      <c r="N360" s="8"/>
      <c r="O360" s="8"/>
      <c r="P360" s="8"/>
      <c r="Q360" s="8"/>
      <c r="R360" s="8"/>
      <c r="S360" s="8"/>
      <c r="T360" s="8"/>
      <c r="U360" s="8"/>
      <c r="V360" s="7"/>
      <c r="W360" s="6" t="str">
        <f t="array" ref="W360">IF(NOT(ISBLANK(D360)),_xludf.XLOOKUP(D360,[2]CODE!$A$4:$A$100,[2]CODE!$D$4:$D$100),"")</f>
        <v/>
      </c>
      <c r="X360" s="5" t="str">
        <f t="array" ref="X360">IF(NOT(AND(ISBLANK(D360),ISBLANK(C360))),_xludf.XLOOKUP(D360,[2]CODE!$A$4:$A$100,[2]CODE!$E$4:$E$100),"")</f>
        <v/>
      </c>
      <c r="Y360" s="5" t="str">
        <f t="shared" si="38"/>
        <v/>
      </c>
      <c r="Z360" s="5" t="str">
        <f t="shared" si="39"/>
        <v/>
      </c>
      <c r="AA360" s="4">
        <f t="shared" si="40"/>
        <v>0</v>
      </c>
      <c r="AC360" s="2"/>
    </row>
    <row r="361" spans="1:29" ht="15.5">
      <c r="A361" s="13" t="str">
        <f>IF(OR(ISBLANK(C361),ISBLANK(D361),ISBLANK(F361),ISBLANK(G361)),"",COUNTIF($B$5:B361,"JAMBUTU"))</f>
        <v/>
      </c>
      <c r="B361" s="8" t="str">
        <f t="shared" si="41"/>
        <v/>
      </c>
      <c r="C361" s="8"/>
      <c r="D361" s="8"/>
      <c r="E361" s="13"/>
      <c r="F361" s="12"/>
      <c r="G361" s="11"/>
      <c r="H361" s="12"/>
      <c r="I361" s="11"/>
      <c r="J361" s="10">
        <f t="shared" si="35"/>
        <v>0</v>
      </c>
      <c r="K361" s="10">
        <f t="shared" si="36"/>
        <v>0</v>
      </c>
      <c r="L361" s="9" t="str">
        <f t="shared" si="37"/>
        <v/>
      </c>
      <c r="M361" s="8"/>
      <c r="N361" s="8"/>
      <c r="O361" s="8"/>
      <c r="P361" s="8"/>
      <c r="Q361" s="8"/>
      <c r="R361" s="8"/>
      <c r="S361" s="8"/>
      <c r="T361" s="8"/>
      <c r="U361" s="8"/>
      <c r="V361" s="7"/>
      <c r="W361" s="6" t="str">
        <f t="array" ref="W361">IF(NOT(ISBLANK(D361)),_xludf.XLOOKUP(D361,[2]CODE!$A$4:$A$100,[2]CODE!$D$4:$D$100),"")</f>
        <v/>
      </c>
      <c r="X361" s="5" t="str">
        <f t="array" ref="X361">IF(NOT(AND(ISBLANK(D361),ISBLANK(C361))),_xludf.XLOOKUP(D361,[2]CODE!$A$4:$A$100,[2]CODE!$E$4:$E$100),"")</f>
        <v/>
      </c>
      <c r="Y361" s="5" t="str">
        <f t="shared" si="38"/>
        <v/>
      </c>
      <c r="Z361" s="5" t="str">
        <f t="shared" si="39"/>
        <v/>
      </c>
      <c r="AA361" s="4">
        <f t="shared" si="40"/>
        <v>0</v>
      </c>
      <c r="AC361" s="2"/>
    </row>
    <row r="362" spans="1:29" ht="15.5">
      <c r="A362" s="13" t="str">
        <f>IF(OR(ISBLANK(C362),ISBLANK(D362),ISBLANK(F362),ISBLANK(G362)),"",COUNTIF($B$5:B362,"JAMBUTU"))</f>
        <v/>
      </c>
      <c r="B362" s="8" t="str">
        <f t="shared" si="41"/>
        <v/>
      </c>
      <c r="C362" s="8"/>
      <c r="D362" s="8"/>
      <c r="E362" s="13"/>
      <c r="F362" s="12"/>
      <c r="G362" s="11"/>
      <c r="H362" s="12"/>
      <c r="I362" s="11"/>
      <c r="J362" s="10">
        <f t="shared" si="35"/>
        <v>0</v>
      </c>
      <c r="K362" s="10">
        <f t="shared" si="36"/>
        <v>0</v>
      </c>
      <c r="L362" s="9" t="str">
        <f t="shared" si="37"/>
        <v/>
      </c>
      <c r="M362" s="8"/>
      <c r="N362" s="8"/>
      <c r="O362" s="8"/>
      <c r="P362" s="8"/>
      <c r="Q362" s="8"/>
      <c r="R362" s="8"/>
      <c r="S362" s="8"/>
      <c r="T362" s="8"/>
      <c r="U362" s="8"/>
      <c r="V362" s="7"/>
      <c r="W362" s="6" t="str">
        <f t="array" ref="W362">IF(NOT(ISBLANK(D362)),_xludf.XLOOKUP(D362,[2]CODE!$A$4:$A$100,[2]CODE!$D$4:$D$100),"")</f>
        <v/>
      </c>
      <c r="X362" s="5" t="str">
        <f t="array" ref="X362">IF(NOT(AND(ISBLANK(D362),ISBLANK(C362))),_xludf.XLOOKUP(D362,[2]CODE!$A$4:$A$100,[2]CODE!$E$4:$E$100),"")</f>
        <v/>
      </c>
      <c r="Y362" s="5" t="str">
        <f t="shared" si="38"/>
        <v/>
      </c>
      <c r="Z362" s="5" t="str">
        <f t="shared" si="39"/>
        <v/>
      </c>
      <c r="AA362" s="4">
        <f t="shared" si="40"/>
        <v>0</v>
      </c>
      <c r="AC362" s="2"/>
    </row>
    <row r="363" spans="1:29" ht="15.5">
      <c r="A363" s="13" t="str">
        <f>IF(OR(ISBLANK(C363),ISBLANK(D363),ISBLANK(F363),ISBLANK(G363)),"",COUNTIF($B$5:B363,"JAMBUTU"))</f>
        <v/>
      </c>
      <c r="B363" s="8" t="str">
        <f t="shared" si="41"/>
        <v/>
      </c>
      <c r="C363" s="8"/>
      <c r="D363" s="8"/>
      <c r="E363" s="13"/>
      <c r="F363" s="12"/>
      <c r="G363" s="11"/>
      <c r="H363" s="12"/>
      <c r="I363" s="11"/>
      <c r="J363" s="10">
        <f t="shared" si="35"/>
        <v>0</v>
      </c>
      <c r="K363" s="10">
        <f t="shared" si="36"/>
        <v>0</v>
      </c>
      <c r="L363" s="9" t="str">
        <f t="shared" si="37"/>
        <v/>
      </c>
      <c r="M363" s="8"/>
      <c r="N363" s="8"/>
      <c r="O363" s="8"/>
      <c r="P363" s="8"/>
      <c r="Q363" s="8"/>
      <c r="R363" s="8"/>
      <c r="S363" s="8"/>
      <c r="T363" s="8"/>
      <c r="U363" s="8"/>
      <c r="V363" s="7"/>
      <c r="W363" s="6" t="str">
        <f t="array" ref="W363">IF(NOT(ISBLANK(D363)),_xludf.XLOOKUP(D363,[2]CODE!$A$4:$A$100,[2]CODE!$D$4:$D$100),"")</f>
        <v/>
      </c>
      <c r="X363" s="5" t="str">
        <f t="array" ref="X363">IF(NOT(AND(ISBLANK(D363),ISBLANK(C363))),_xludf.XLOOKUP(D363,[2]CODE!$A$4:$A$100,[2]CODE!$E$4:$E$100),"")</f>
        <v/>
      </c>
      <c r="Y363" s="5" t="str">
        <f t="shared" si="38"/>
        <v/>
      </c>
      <c r="Z363" s="5" t="str">
        <f t="shared" si="39"/>
        <v/>
      </c>
      <c r="AA363" s="4">
        <f t="shared" si="40"/>
        <v>0</v>
      </c>
      <c r="AC363" s="2"/>
    </row>
    <row r="364" spans="1:29" ht="15.5">
      <c r="A364" s="13" t="str">
        <f>IF(OR(ISBLANK(C364),ISBLANK(D364),ISBLANK(F364),ISBLANK(G364)),"",COUNTIF($B$5:B364,"JAMBUTU"))</f>
        <v/>
      </c>
      <c r="B364" s="8" t="str">
        <f t="shared" si="41"/>
        <v/>
      </c>
      <c r="C364" s="8"/>
      <c r="D364" s="8"/>
      <c r="E364" s="13"/>
      <c r="F364" s="12"/>
      <c r="G364" s="11"/>
      <c r="H364" s="12"/>
      <c r="I364" s="11"/>
      <c r="J364" s="10">
        <f t="shared" si="35"/>
        <v>0</v>
      </c>
      <c r="K364" s="10">
        <f t="shared" si="36"/>
        <v>0</v>
      </c>
      <c r="L364" s="9" t="str">
        <f t="shared" si="37"/>
        <v/>
      </c>
      <c r="M364" s="8"/>
      <c r="N364" s="8"/>
      <c r="O364" s="8"/>
      <c r="P364" s="8"/>
      <c r="Q364" s="8"/>
      <c r="R364" s="8"/>
      <c r="S364" s="8"/>
      <c r="T364" s="8"/>
      <c r="U364" s="8"/>
      <c r="V364" s="7"/>
      <c r="W364" s="6" t="str">
        <f t="array" ref="W364">IF(NOT(ISBLANK(D364)),_xludf.XLOOKUP(D364,[2]CODE!$A$4:$A$100,[2]CODE!$D$4:$D$100),"")</f>
        <v/>
      </c>
      <c r="X364" s="5" t="str">
        <f t="array" ref="X364">IF(NOT(AND(ISBLANK(D364),ISBLANK(C364))),_xludf.XLOOKUP(D364,[2]CODE!$A$4:$A$100,[2]CODE!$E$4:$E$100),"")</f>
        <v/>
      </c>
      <c r="Y364" s="5" t="str">
        <f t="shared" si="38"/>
        <v/>
      </c>
      <c r="Z364" s="5" t="str">
        <f t="shared" si="39"/>
        <v/>
      </c>
      <c r="AA364" s="4">
        <f t="shared" si="40"/>
        <v>0</v>
      </c>
      <c r="AC364" s="2"/>
    </row>
    <row r="365" spans="1:29" ht="15.5">
      <c r="A365" s="13" t="str">
        <f>IF(OR(ISBLANK(C365),ISBLANK(D365),ISBLANK(F365),ISBLANK(G365)),"",COUNTIF($B$5:B365,"JAMBUTU"))</f>
        <v/>
      </c>
      <c r="B365" s="8" t="str">
        <f t="shared" si="41"/>
        <v/>
      </c>
      <c r="C365" s="8"/>
      <c r="D365" s="8"/>
      <c r="E365" s="13"/>
      <c r="F365" s="12"/>
      <c r="G365" s="11"/>
      <c r="H365" s="12"/>
      <c r="I365" s="11"/>
      <c r="J365" s="10">
        <f t="shared" si="35"/>
        <v>0</v>
      </c>
      <c r="K365" s="10">
        <f t="shared" si="36"/>
        <v>0</v>
      </c>
      <c r="L365" s="9" t="str">
        <f t="shared" si="37"/>
        <v/>
      </c>
      <c r="M365" s="8"/>
      <c r="N365" s="8"/>
      <c r="O365" s="8"/>
      <c r="P365" s="8"/>
      <c r="Q365" s="8"/>
      <c r="R365" s="8"/>
      <c r="S365" s="8"/>
      <c r="T365" s="8"/>
      <c r="U365" s="8"/>
      <c r="V365" s="7"/>
      <c r="W365" s="6" t="str">
        <f t="array" ref="W365">IF(NOT(ISBLANK(D365)),_xludf.XLOOKUP(D365,[2]CODE!$A$4:$A$100,[2]CODE!$D$4:$D$100),"")</f>
        <v/>
      </c>
      <c r="X365" s="5" t="str">
        <f t="array" ref="X365">IF(NOT(AND(ISBLANK(D365),ISBLANK(C365))),_xludf.XLOOKUP(D365,[2]CODE!$A$4:$A$100,[2]CODE!$E$4:$E$100),"")</f>
        <v/>
      </c>
      <c r="Y365" s="5" t="str">
        <f t="shared" si="38"/>
        <v/>
      </c>
      <c r="Z365" s="5" t="str">
        <f t="shared" si="39"/>
        <v/>
      </c>
      <c r="AA365" s="4">
        <f t="shared" si="40"/>
        <v>0</v>
      </c>
      <c r="AC365" s="2"/>
    </row>
    <row r="366" spans="1:29" ht="15.5">
      <c r="A366" s="13" t="str">
        <f>IF(OR(ISBLANK(C366),ISBLANK(D366),ISBLANK(F366),ISBLANK(G366)),"",COUNTIF($B$5:B366,"JAMBUTU"))</f>
        <v/>
      </c>
      <c r="B366" s="8" t="str">
        <f t="shared" si="41"/>
        <v/>
      </c>
      <c r="C366" s="8"/>
      <c r="D366" s="8"/>
      <c r="E366" s="13"/>
      <c r="F366" s="12"/>
      <c r="G366" s="11"/>
      <c r="H366" s="12"/>
      <c r="I366" s="11"/>
      <c r="J366" s="10">
        <f t="shared" si="35"/>
        <v>0</v>
      </c>
      <c r="K366" s="10">
        <f t="shared" si="36"/>
        <v>0</v>
      </c>
      <c r="L366" s="9" t="str">
        <f t="shared" si="37"/>
        <v/>
      </c>
      <c r="M366" s="8"/>
      <c r="N366" s="8"/>
      <c r="O366" s="8"/>
      <c r="P366" s="8"/>
      <c r="Q366" s="8"/>
      <c r="R366" s="8"/>
      <c r="S366" s="8"/>
      <c r="T366" s="8"/>
      <c r="U366" s="8"/>
      <c r="V366" s="7"/>
      <c r="W366" s="6" t="str">
        <f t="array" ref="W366">IF(NOT(ISBLANK(D366)),_xludf.XLOOKUP(D366,[2]CODE!$A$4:$A$100,[2]CODE!$D$4:$D$100),"")</f>
        <v/>
      </c>
      <c r="X366" s="5" t="str">
        <f t="array" ref="X366">IF(NOT(AND(ISBLANK(D366),ISBLANK(C366))),_xludf.XLOOKUP(D366,[2]CODE!$A$4:$A$100,[2]CODE!$E$4:$E$100),"")</f>
        <v/>
      </c>
      <c r="Y366" s="5" t="str">
        <f t="shared" si="38"/>
        <v/>
      </c>
      <c r="Z366" s="5" t="str">
        <f t="shared" si="39"/>
        <v/>
      </c>
      <c r="AA366" s="4">
        <f t="shared" si="40"/>
        <v>0</v>
      </c>
      <c r="AC366" s="2"/>
    </row>
    <row r="367" spans="1:29" ht="15.5">
      <c r="A367" s="13" t="str">
        <f>IF(OR(ISBLANK(C367),ISBLANK(D367),ISBLANK(F367),ISBLANK(G367)),"",COUNTIF($B$5:B367,"JAMBUTU"))</f>
        <v/>
      </c>
      <c r="B367" s="8" t="str">
        <f t="shared" si="41"/>
        <v/>
      </c>
      <c r="C367" s="8"/>
      <c r="D367" s="8"/>
      <c r="E367" s="13"/>
      <c r="F367" s="12"/>
      <c r="G367" s="11"/>
      <c r="H367" s="12"/>
      <c r="I367" s="11"/>
      <c r="J367" s="10">
        <f t="shared" si="35"/>
        <v>0</v>
      </c>
      <c r="K367" s="10">
        <f t="shared" si="36"/>
        <v>0</v>
      </c>
      <c r="L367" s="9" t="str">
        <f t="shared" si="37"/>
        <v/>
      </c>
      <c r="M367" s="8"/>
      <c r="N367" s="8"/>
      <c r="O367" s="8"/>
      <c r="P367" s="8"/>
      <c r="Q367" s="8"/>
      <c r="R367" s="8"/>
      <c r="S367" s="8"/>
      <c r="T367" s="8"/>
      <c r="U367" s="8"/>
      <c r="V367" s="7"/>
      <c r="W367" s="6" t="str">
        <f t="array" ref="W367">IF(NOT(ISBLANK(D367)),_xludf.XLOOKUP(D367,[2]CODE!$A$4:$A$100,[2]CODE!$D$4:$D$100),"")</f>
        <v/>
      </c>
      <c r="X367" s="5" t="str">
        <f t="array" ref="X367">IF(NOT(AND(ISBLANK(D367),ISBLANK(C367))),_xludf.XLOOKUP(D367,[2]CODE!$A$4:$A$100,[2]CODE!$E$4:$E$100),"")</f>
        <v/>
      </c>
      <c r="Y367" s="5" t="str">
        <f t="shared" si="38"/>
        <v/>
      </c>
      <c r="Z367" s="5" t="str">
        <f t="shared" si="39"/>
        <v/>
      </c>
      <c r="AA367" s="4">
        <f t="shared" si="40"/>
        <v>0</v>
      </c>
      <c r="AC367" s="2"/>
    </row>
    <row r="368" spans="1:29" ht="15.5">
      <c r="A368" s="13" t="str">
        <f>IF(OR(ISBLANK(C368),ISBLANK(D368),ISBLANK(F368),ISBLANK(G368)),"",COUNTIF($B$5:B368,"JAMBUTU"))</f>
        <v/>
      </c>
      <c r="B368" s="8" t="str">
        <f t="shared" si="41"/>
        <v/>
      </c>
      <c r="C368" s="8"/>
      <c r="D368" s="8"/>
      <c r="E368" s="13"/>
      <c r="F368" s="12"/>
      <c r="G368" s="11"/>
      <c r="H368" s="12"/>
      <c r="I368" s="11"/>
      <c r="J368" s="10">
        <f t="shared" si="35"/>
        <v>0</v>
      </c>
      <c r="K368" s="10">
        <f t="shared" si="36"/>
        <v>0</v>
      </c>
      <c r="L368" s="9" t="str">
        <f t="shared" si="37"/>
        <v/>
      </c>
      <c r="M368" s="8"/>
      <c r="N368" s="8"/>
      <c r="O368" s="8"/>
      <c r="P368" s="8"/>
      <c r="Q368" s="8"/>
      <c r="R368" s="8"/>
      <c r="S368" s="8"/>
      <c r="T368" s="8"/>
      <c r="U368" s="8"/>
      <c r="V368" s="7"/>
      <c r="W368" s="6" t="str">
        <f t="array" ref="W368">IF(NOT(ISBLANK(D368)),_xludf.XLOOKUP(D368,[2]CODE!$A$4:$A$100,[2]CODE!$D$4:$D$100),"")</f>
        <v/>
      </c>
      <c r="X368" s="5" t="str">
        <f t="array" ref="X368">IF(NOT(AND(ISBLANK(D368),ISBLANK(C368))),_xludf.XLOOKUP(D368,[2]CODE!$A$4:$A$100,[2]CODE!$E$4:$E$100),"")</f>
        <v/>
      </c>
      <c r="Y368" s="5" t="str">
        <f t="shared" si="38"/>
        <v/>
      </c>
      <c r="Z368" s="5" t="str">
        <f t="shared" si="39"/>
        <v/>
      </c>
      <c r="AA368" s="4">
        <f t="shared" si="40"/>
        <v>0</v>
      </c>
      <c r="AC368" s="2"/>
    </row>
    <row r="369" spans="1:29" ht="15.5">
      <c r="A369" s="13" t="str">
        <f>IF(OR(ISBLANK(C369),ISBLANK(D369),ISBLANK(F369),ISBLANK(G369)),"",COUNTIF($B$5:B369,"JAMBUTU"))</f>
        <v/>
      </c>
      <c r="B369" s="8" t="str">
        <f t="shared" si="41"/>
        <v/>
      </c>
      <c r="C369" s="8"/>
      <c r="D369" s="8"/>
      <c r="E369" s="13"/>
      <c r="F369" s="12"/>
      <c r="G369" s="11"/>
      <c r="H369" s="12"/>
      <c r="I369" s="11"/>
      <c r="J369" s="10">
        <f t="shared" si="35"/>
        <v>0</v>
      </c>
      <c r="K369" s="10">
        <f t="shared" si="36"/>
        <v>0</v>
      </c>
      <c r="L369" s="9" t="str">
        <f t="shared" si="37"/>
        <v/>
      </c>
      <c r="M369" s="8"/>
      <c r="N369" s="8"/>
      <c r="O369" s="8"/>
      <c r="P369" s="8"/>
      <c r="Q369" s="8"/>
      <c r="R369" s="8"/>
      <c r="S369" s="8"/>
      <c r="T369" s="8"/>
      <c r="U369" s="8"/>
      <c r="V369" s="7"/>
      <c r="W369" s="6" t="str">
        <f t="array" ref="W369">IF(NOT(ISBLANK(D369)),_xludf.XLOOKUP(D369,[2]CODE!$A$4:$A$100,[2]CODE!$D$4:$D$100),"")</f>
        <v/>
      </c>
      <c r="X369" s="5" t="str">
        <f t="array" ref="X369">IF(NOT(AND(ISBLANK(D369),ISBLANK(C369))),_xludf.XLOOKUP(D369,[2]CODE!$A$4:$A$100,[2]CODE!$E$4:$E$100),"")</f>
        <v/>
      </c>
      <c r="Y369" s="5" t="str">
        <f t="shared" si="38"/>
        <v/>
      </c>
      <c r="Z369" s="5" t="str">
        <f t="shared" si="39"/>
        <v/>
      </c>
      <c r="AA369" s="4">
        <f t="shared" si="40"/>
        <v>0</v>
      </c>
      <c r="AC369" s="2"/>
    </row>
    <row r="370" spans="1:29" ht="15.5">
      <c r="A370" s="13" t="str">
        <f>IF(OR(ISBLANK(C370),ISBLANK(D370),ISBLANK(F370),ISBLANK(G370)),"",COUNTIF($B$5:B370,"JAMBUTU"))</f>
        <v/>
      </c>
      <c r="B370" s="8" t="str">
        <f t="shared" si="41"/>
        <v/>
      </c>
      <c r="C370" s="8"/>
      <c r="D370" s="8"/>
      <c r="E370" s="13"/>
      <c r="F370" s="12"/>
      <c r="G370" s="11"/>
      <c r="H370" s="12"/>
      <c r="I370" s="11"/>
      <c r="J370" s="10">
        <f t="shared" si="35"/>
        <v>0</v>
      </c>
      <c r="K370" s="10">
        <f t="shared" si="36"/>
        <v>0</v>
      </c>
      <c r="L370" s="9" t="str">
        <f t="shared" si="37"/>
        <v/>
      </c>
      <c r="M370" s="8"/>
      <c r="N370" s="8"/>
      <c r="O370" s="8"/>
      <c r="P370" s="8"/>
      <c r="Q370" s="8"/>
      <c r="R370" s="8"/>
      <c r="S370" s="8"/>
      <c r="T370" s="8"/>
      <c r="U370" s="8"/>
      <c r="V370" s="7"/>
      <c r="W370" s="6" t="str">
        <f t="array" ref="W370">IF(NOT(ISBLANK(D370)),_xludf.XLOOKUP(D370,[2]CODE!$A$4:$A$100,[2]CODE!$D$4:$D$100),"")</f>
        <v/>
      </c>
      <c r="X370" s="5" t="str">
        <f t="array" ref="X370">IF(NOT(AND(ISBLANK(D370),ISBLANK(C370))),_xludf.XLOOKUP(D370,[2]CODE!$A$4:$A$100,[2]CODE!$E$4:$E$100),"")</f>
        <v/>
      </c>
      <c r="Y370" s="5" t="str">
        <f t="shared" si="38"/>
        <v/>
      </c>
      <c r="Z370" s="5" t="str">
        <f t="shared" si="39"/>
        <v/>
      </c>
      <c r="AA370" s="4">
        <f t="shared" si="40"/>
        <v>0</v>
      </c>
      <c r="AC370" s="2"/>
    </row>
    <row r="371" spans="1:29" ht="15.5">
      <c r="A371" s="13" t="str">
        <f>IF(OR(ISBLANK(C371),ISBLANK(D371),ISBLANK(F371),ISBLANK(G371)),"",COUNTIF($B$5:B371,"JAMBUTU"))</f>
        <v/>
      </c>
      <c r="B371" s="8" t="str">
        <f t="shared" si="41"/>
        <v/>
      </c>
      <c r="C371" s="8"/>
      <c r="D371" s="8"/>
      <c r="E371" s="13"/>
      <c r="F371" s="12"/>
      <c r="G371" s="11"/>
      <c r="H371" s="12"/>
      <c r="I371" s="11"/>
      <c r="J371" s="10">
        <f t="shared" si="35"/>
        <v>0</v>
      </c>
      <c r="K371" s="10">
        <f t="shared" si="36"/>
        <v>0</v>
      </c>
      <c r="L371" s="9" t="str">
        <f t="shared" si="37"/>
        <v/>
      </c>
      <c r="M371" s="8"/>
      <c r="N371" s="8"/>
      <c r="O371" s="8"/>
      <c r="P371" s="8"/>
      <c r="Q371" s="8"/>
      <c r="R371" s="8"/>
      <c r="S371" s="8"/>
      <c r="T371" s="8"/>
      <c r="U371" s="8"/>
      <c r="V371" s="7"/>
      <c r="W371" s="6" t="str">
        <f t="array" ref="W371">IF(NOT(ISBLANK(D371)),_xludf.XLOOKUP(D371,[2]CODE!$A$4:$A$100,[2]CODE!$D$4:$D$100),"")</f>
        <v/>
      </c>
      <c r="X371" s="5" t="str">
        <f t="array" ref="X371">IF(NOT(AND(ISBLANK(D371),ISBLANK(C371))),_xludf.XLOOKUP(D371,[2]CODE!$A$4:$A$100,[2]CODE!$E$4:$E$100),"")</f>
        <v/>
      </c>
      <c r="Y371" s="5" t="str">
        <f t="shared" si="38"/>
        <v/>
      </c>
      <c r="Z371" s="5" t="str">
        <f t="shared" si="39"/>
        <v/>
      </c>
      <c r="AA371" s="4">
        <f t="shared" si="40"/>
        <v>0</v>
      </c>
      <c r="AC371" s="2"/>
    </row>
    <row r="372" spans="1:29" ht="15.5">
      <c r="A372" s="13" t="str">
        <f>IF(OR(ISBLANK(C372),ISBLANK(D372),ISBLANK(F372),ISBLANK(G372)),"",COUNTIF($B$5:B372,"JAMBUTU"))</f>
        <v/>
      </c>
      <c r="B372" s="8" t="str">
        <f t="shared" si="41"/>
        <v/>
      </c>
      <c r="C372" s="8"/>
      <c r="D372" s="8"/>
      <c r="E372" s="13"/>
      <c r="F372" s="12"/>
      <c r="G372" s="11"/>
      <c r="H372" s="12"/>
      <c r="I372" s="11"/>
      <c r="J372" s="10">
        <f t="shared" si="35"/>
        <v>0</v>
      </c>
      <c r="K372" s="10">
        <f t="shared" si="36"/>
        <v>0</v>
      </c>
      <c r="L372" s="9" t="str">
        <f t="shared" si="37"/>
        <v/>
      </c>
      <c r="M372" s="8"/>
      <c r="N372" s="8"/>
      <c r="O372" s="8"/>
      <c r="P372" s="8"/>
      <c r="Q372" s="8"/>
      <c r="R372" s="8"/>
      <c r="S372" s="8"/>
      <c r="T372" s="8"/>
      <c r="U372" s="8"/>
      <c r="V372" s="7"/>
      <c r="W372" s="6" t="str">
        <f t="array" ref="W372">IF(NOT(ISBLANK(D372)),_xludf.XLOOKUP(D372,[2]CODE!$A$4:$A$100,[2]CODE!$D$4:$D$100),"")</f>
        <v/>
      </c>
      <c r="X372" s="5" t="str">
        <f t="array" ref="X372">IF(NOT(AND(ISBLANK(D372),ISBLANK(C372))),_xludf.XLOOKUP(D372,[2]CODE!$A$4:$A$100,[2]CODE!$E$4:$E$100),"")</f>
        <v/>
      </c>
      <c r="Y372" s="5" t="str">
        <f t="shared" si="38"/>
        <v/>
      </c>
      <c r="Z372" s="5" t="str">
        <f t="shared" si="39"/>
        <v/>
      </c>
      <c r="AA372" s="4">
        <f t="shared" si="40"/>
        <v>0</v>
      </c>
      <c r="AC372" s="2"/>
    </row>
    <row r="373" spans="1:29" ht="15.5">
      <c r="A373" s="13" t="str">
        <f>IF(OR(ISBLANK(C373),ISBLANK(D373),ISBLANK(F373),ISBLANK(G373)),"",COUNTIF($B$5:B373,"JAMBUTU"))</f>
        <v/>
      </c>
      <c r="B373" s="8" t="str">
        <f t="shared" si="41"/>
        <v/>
      </c>
      <c r="C373" s="8"/>
      <c r="D373" s="8"/>
      <c r="E373" s="13"/>
      <c r="F373" s="12"/>
      <c r="G373" s="11"/>
      <c r="H373" s="12"/>
      <c r="I373" s="11"/>
      <c r="J373" s="10">
        <f t="shared" si="35"/>
        <v>0</v>
      </c>
      <c r="K373" s="10">
        <f t="shared" si="36"/>
        <v>0</v>
      </c>
      <c r="L373" s="9" t="str">
        <f t="shared" si="37"/>
        <v/>
      </c>
      <c r="M373" s="8"/>
      <c r="N373" s="8"/>
      <c r="O373" s="8"/>
      <c r="P373" s="8"/>
      <c r="Q373" s="8"/>
      <c r="R373" s="8"/>
      <c r="S373" s="8"/>
      <c r="T373" s="8"/>
      <c r="U373" s="8"/>
      <c r="V373" s="7"/>
      <c r="W373" s="6" t="str">
        <f t="array" ref="W373">IF(NOT(ISBLANK(D373)),_xludf.XLOOKUP(D373,[2]CODE!$A$4:$A$100,[2]CODE!$D$4:$D$100),"")</f>
        <v/>
      </c>
      <c r="X373" s="5" t="str">
        <f t="array" ref="X373">IF(NOT(AND(ISBLANK(D373),ISBLANK(C373))),_xludf.XLOOKUP(D373,[2]CODE!$A$4:$A$100,[2]CODE!$E$4:$E$100),"")</f>
        <v/>
      </c>
      <c r="Y373" s="5" t="str">
        <f t="shared" si="38"/>
        <v/>
      </c>
      <c r="Z373" s="5" t="str">
        <f t="shared" si="39"/>
        <v/>
      </c>
      <c r="AA373" s="4">
        <f t="shared" si="40"/>
        <v>0</v>
      </c>
      <c r="AC373" s="2"/>
    </row>
    <row r="374" spans="1:29" ht="15.5">
      <c r="A374" s="13" t="str">
        <f>IF(OR(ISBLANK(C374),ISBLANK(D374),ISBLANK(F374),ISBLANK(G374)),"",COUNTIF($B$5:B374,"JAMBUTU"))</f>
        <v/>
      </c>
      <c r="B374" s="8" t="str">
        <f t="shared" si="41"/>
        <v/>
      </c>
      <c r="C374" s="8"/>
      <c r="D374" s="8"/>
      <c r="E374" s="13"/>
      <c r="F374" s="12"/>
      <c r="G374" s="11"/>
      <c r="H374" s="12"/>
      <c r="I374" s="11"/>
      <c r="J374" s="10">
        <f t="shared" si="35"/>
        <v>0</v>
      </c>
      <c r="K374" s="10">
        <f t="shared" si="36"/>
        <v>0</v>
      </c>
      <c r="L374" s="9" t="str">
        <f t="shared" si="37"/>
        <v/>
      </c>
      <c r="M374" s="8"/>
      <c r="N374" s="8"/>
      <c r="O374" s="8"/>
      <c r="P374" s="8"/>
      <c r="Q374" s="8"/>
      <c r="R374" s="8"/>
      <c r="S374" s="8"/>
      <c r="T374" s="8"/>
      <c r="U374" s="8"/>
      <c r="V374" s="7"/>
      <c r="W374" s="6" t="str">
        <f t="array" ref="W374">IF(NOT(ISBLANK(D374)),_xludf.XLOOKUP(D374,[2]CODE!$A$4:$A$100,[2]CODE!$D$4:$D$100),"")</f>
        <v/>
      </c>
      <c r="X374" s="5" t="str">
        <f t="array" ref="X374">IF(NOT(AND(ISBLANK(D374),ISBLANK(C374))),_xludf.XLOOKUP(D374,[2]CODE!$A$4:$A$100,[2]CODE!$E$4:$E$100),"")</f>
        <v/>
      </c>
      <c r="Y374" s="5" t="str">
        <f t="shared" si="38"/>
        <v/>
      </c>
      <c r="Z374" s="5" t="str">
        <f t="shared" si="39"/>
        <v/>
      </c>
      <c r="AA374" s="4">
        <f t="shared" si="40"/>
        <v>0</v>
      </c>
      <c r="AC374" s="2"/>
    </row>
    <row r="375" spans="1:29" ht="15.5">
      <c r="A375" s="13" t="str">
        <f>IF(OR(ISBLANK(C375),ISBLANK(D375),ISBLANK(F375),ISBLANK(G375)),"",COUNTIF($B$5:B375,"JAMBUTU"))</f>
        <v/>
      </c>
      <c r="B375" s="8" t="str">
        <f t="shared" si="41"/>
        <v/>
      </c>
      <c r="C375" s="8"/>
      <c r="D375" s="8"/>
      <c r="E375" s="13"/>
      <c r="F375" s="12"/>
      <c r="G375" s="11"/>
      <c r="H375" s="12"/>
      <c r="I375" s="11"/>
      <c r="J375" s="10">
        <f t="shared" si="35"/>
        <v>0</v>
      </c>
      <c r="K375" s="10">
        <f t="shared" si="36"/>
        <v>0</v>
      </c>
      <c r="L375" s="9" t="str">
        <f t="shared" si="37"/>
        <v/>
      </c>
      <c r="M375" s="8"/>
      <c r="N375" s="8"/>
      <c r="O375" s="8"/>
      <c r="P375" s="8"/>
      <c r="Q375" s="8"/>
      <c r="R375" s="8"/>
      <c r="S375" s="8"/>
      <c r="T375" s="8"/>
      <c r="U375" s="8"/>
      <c r="V375" s="7"/>
      <c r="W375" s="6" t="str">
        <f t="array" ref="W375">IF(NOT(ISBLANK(D375)),_xludf.XLOOKUP(D375,[2]CODE!$A$4:$A$100,[2]CODE!$D$4:$D$100),"")</f>
        <v/>
      </c>
      <c r="X375" s="5" t="str">
        <f t="array" ref="X375">IF(NOT(AND(ISBLANK(D375),ISBLANK(C375))),_xludf.XLOOKUP(D375,[2]CODE!$A$4:$A$100,[2]CODE!$E$4:$E$100),"")</f>
        <v/>
      </c>
      <c r="Y375" s="5" t="str">
        <f t="shared" si="38"/>
        <v/>
      </c>
      <c r="Z375" s="5" t="str">
        <f t="shared" si="39"/>
        <v/>
      </c>
      <c r="AA375" s="4">
        <f t="shared" si="40"/>
        <v>0</v>
      </c>
      <c r="AC375" s="2"/>
    </row>
    <row r="376" spans="1:29" ht="15.5">
      <c r="A376" s="13" t="str">
        <f>IF(OR(ISBLANK(C376),ISBLANK(D376),ISBLANK(F376),ISBLANK(G376)),"",COUNTIF($B$5:B376,"JAMBUTU"))</f>
        <v/>
      </c>
      <c r="B376" s="8" t="str">
        <f t="shared" si="41"/>
        <v/>
      </c>
      <c r="C376" s="8"/>
      <c r="D376" s="8"/>
      <c r="E376" s="13"/>
      <c r="F376" s="12"/>
      <c r="G376" s="11"/>
      <c r="H376" s="12"/>
      <c r="I376" s="11"/>
      <c r="J376" s="10">
        <f t="shared" si="35"/>
        <v>0</v>
      </c>
      <c r="K376" s="10">
        <f t="shared" si="36"/>
        <v>0</v>
      </c>
      <c r="L376" s="9" t="str">
        <f t="shared" si="37"/>
        <v/>
      </c>
      <c r="M376" s="8"/>
      <c r="N376" s="8"/>
      <c r="O376" s="8"/>
      <c r="P376" s="8"/>
      <c r="Q376" s="8"/>
      <c r="R376" s="8"/>
      <c r="S376" s="8"/>
      <c r="T376" s="8"/>
      <c r="U376" s="8"/>
      <c r="V376" s="7"/>
      <c r="W376" s="6" t="str">
        <f t="array" ref="W376">IF(NOT(ISBLANK(D376)),_xludf.XLOOKUP(D376,[2]CODE!$A$4:$A$100,[2]CODE!$D$4:$D$100),"")</f>
        <v/>
      </c>
      <c r="X376" s="5" t="str">
        <f t="array" ref="X376">IF(NOT(AND(ISBLANK(D376),ISBLANK(C376))),_xludf.XLOOKUP(D376,[2]CODE!$A$4:$A$100,[2]CODE!$E$4:$E$100),"")</f>
        <v/>
      </c>
      <c r="Y376" s="5" t="str">
        <f t="shared" si="38"/>
        <v/>
      </c>
      <c r="Z376" s="5" t="str">
        <f t="shared" si="39"/>
        <v/>
      </c>
      <c r="AA376" s="4">
        <f t="shared" si="40"/>
        <v>0</v>
      </c>
      <c r="AC376" s="2"/>
    </row>
    <row r="377" spans="1:29" ht="15.5">
      <c r="A377" s="13" t="str">
        <f>IF(OR(ISBLANK(C377),ISBLANK(D377),ISBLANK(F377),ISBLANK(G377)),"",COUNTIF($B$5:B377,"JAMBUTU"))</f>
        <v/>
      </c>
      <c r="B377" s="8" t="str">
        <f t="shared" si="41"/>
        <v/>
      </c>
      <c r="C377" s="8"/>
      <c r="D377" s="8"/>
      <c r="E377" s="13"/>
      <c r="F377" s="12"/>
      <c r="G377" s="11"/>
      <c r="H377" s="12"/>
      <c r="I377" s="11"/>
      <c r="J377" s="10">
        <f t="shared" si="35"/>
        <v>0</v>
      </c>
      <c r="K377" s="10">
        <f t="shared" si="36"/>
        <v>0</v>
      </c>
      <c r="L377" s="9" t="str">
        <f t="shared" si="37"/>
        <v/>
      </c>
      <c r="M377" s="8"/>
      <c r="N377" s="8"/>
      <c r="O377" s="8"/>
      <c r="P377" s="8"/>
      <c r="Q377" s="8"/>
      <c r="R377" s="8"/>
      <c r="S377" s="8"/>
      <c r="T377" s="8"/>
      <c r="U377" s="8"/>
      <c r="V377" s="7"/>
      <c r="W377" s="6" t="str">
        <f t="array" ref="W377">IF(NOT(ISBLANK(D377)),_xludf.XLOOKUP(D377,[2]CODE!$A$4:$A$100,[2]CODE!$D$4:$D$100),"")</f>
        <v/>
      </c>
      <c r="X377" s="5" t="str">
        <f t="array" ref="X377">IF(NOT(AND(ISBLANK(D377),ISBLANK(C377))),_xludf.XLOOKUP(D377,[2]CODE!$A$4:$A$100,[2]CODE!$E$4:$E$100),"")</f>
        <v/>
      </c>
      <c r="Y377" s="5" t="str">
        <f t="shared" si="38"/>
        <v/>
      </c>
      <c r="Z377" s="5" t="str">
        <f t="shared" si="39"/>
        <v/>
      </c>
      <c r="AA377" s="4">
        <f t="shared" si="40"/>
        <v>0</v>
      </c>
      <c r="AC377" s="2"/>
    </row>
    <row r="378" spans="1:29" ht="15.5">
      <c r="A378" s="13" t="str">
        <f>IF(OR(ISBLANK(C378),ISBLANK(D378),ISBLANK(F378),ISBLANK(G378)),"",COUNTIF($B$5:B378,"JAMBUTU"))</f>
        <v/>
      </c>
      <c r="B378" s="8" t="str">
        <f t="shared" si="41"/>
        <v/>
      </c>
      <c r="C378" s="8"/>
      <c r="D378" s="8"/>
      <c r="E378" s="13"/>
      <c r="F378" s="12"/>
      <c r="G378" s="11"/>
      <c r="H378" s="12"/>
      <c r="I378" s="11"/>
      <c r="J378" s="10">
        <f t="shared" si="35"/>
        <v>0</v>
      </c>
      <c r="K378" s="10">
        <f t="shared" si="36"/>
        <v>0</v>
      </c>
      <c r="L378" s="9" t="str">
        <f t="shared" si="37"/>
        <v/>
      </c>
      <c r="M378" s="8"/>
      <c r="N378" s="8"/>
      <c r="O378" s="8"/>
      <c r="P378" s="8"/>
      <c r="Q378" s="8"/>
      <c r="R378" s="8"/>
      <c r="S378" s="8"/>
      <c r="T378" s="8"/>
      <c r="U378" s="8"/>
      <c r="V378" s="7"/>
      <c r="W378" s="6" t="str">
        <f t="array" ref="W378">IF(NOT(ISBLANK(D378)),_xludf.XLOOKUP(D378,[2]CODE!$A$4:$A$100,[2]CODE!$D$4:$D$100),"")</f>
        <v/>
      </c>
      <c r="X378" s="5" t="str">
        <f t="array" ref="X378">IF(NOT(AND(ISBLANK(D378),ISBLANK(C378))),_xludf.XLOOKUP(D378,[2]CODE!$A$4:$A$100,[2]CODE!$E$4:$E$100),"")</f>
        <v/>
      </c>
      <c r="Y378" s="5" t="str">
        <f t="shared" si="38"/>
        <v/>
      </c>
      <c r="Z378" s="5" t="str">
        <f t="shared" si="39"/>
        <v/>
      </c>
      <c r="AA378" s="4">
        <f t="shared" si="40"/>
        <v>0</v>
      </c>
      <c r="AC378" s="2"/>
    </row>
    <row r="379" spans="1:29" ht="15.5">
      <c r="A379" s="13" t="str">
        <f>IF(OR(ISBLANK(C379),ISBLANK(D379),ISBLANK(F379),ISBLANK(G379)),"",COUNTIF($B$5:B379,"JAMBUTU"))</f>
        <v/>
      </c>
      <c r="B379" s="8" t="str">
        <f t="shared" si="41"/>
        <v/>
      </c>
      <c r="C379" s="8"/>
      <c r="D379" s="8"/>
      <c r="E379" s="13"/>
      <c r="F379" s="12"/>
      <c r="G379" s="11"/>
      <c r="H379" s="12"/>
      <c r="I379" s="11"/>
      <c r="J379" s="10">
        <f t="shared" si="35"/>
        <v>0</v>
      </c>
      <c r="K379" s="10">
        <f t="shared" si="36"/>
        <v>0</v>
      </c>
      <c r="L379" s="9" t="str">
        <f t="shared" si="37"/>
        <v/>
      </c>
      <c r="M379" s="8"/>
      <c r="N379" s="8"/>
      <c r="O379" s="8"/>
      <c r="P379" s="8"/>
      <c r="Q379" s="8"/>
      <c r="R379" s="8"/>
      <c r="S379" s="8"/>
      <c r="T379" s="8"/>
      <c r="U379" s="8"/>
      <c r="V379" s="7"/>
      <c r="W379" s="6" t="str">
        <f t="array" ref="W379">IF(NOT(ISBLANK(D379)),_xludf.XLOOKUP(D379,[2]CODE!$A$4:$A$100,[2]CODE!$D$4:$D$100),"")</f>
        <v/>
      </c>
      <c r="X379" s="5" t="str">
        <f t="array" ref="X379">IF(NOT(AND(ISBLANK(D379),ISBLANK(C379))),_xludf.XLOOKUP(D379,[2]CODE!$A$4:$A$100,[2]CODE!$E$4:$E$100),"")</f>
        <v/>
      </c>
      <c r="Y379" s="5" t="str">
        <f t="shared" si="38"/>
        <v/>
      </c>
      <c r="Z379" s="5" t="str">
        <f t="shared" si="39"/>
        <v/>
      </c>
      <c r="AA379" s="4">
        <f t="shared" si="40"/>
        <v>0</v>
      </c>
      <c r="AC379" s="2"/>
    </row>
    <row r="380" spans="1:29" ht="15.5">
      <c r="A380" s="13" t="str">
        <f>IF(OR(ISBLANK(C380),ISBLANK(D380),ISBLANK(F380),ISBLANK(G380)),"",COUNTIF($B$5:B380,"JAMBUTU"))</f>
        <v/>
      </c>
      <c r="B380" s="8" t="str">
        <f t="shared" si="41"/>
        <v/>
      </c>
      <c r="C380" s="8"/>
      <c r="D380" s="8"/>
      <c r="E380" s="13"/>
      <c r="F380" s="12"/>
      <c r="G380" s="11"/>
      <c r="H380" s="12"/>
      <c r="I380" s="11"/>
      <c r="J380" s="10">
        <f t="shared" si="35"/>
        <v>0</v>
      </c>
      <c r="K380" s="10">
        <f t="shared" si="36"/>
        <v>0</v>
      </c>
      <c r="L380" s="9" t="str">
        <f t="shared" si="37"/>
        <v/>
      </c>
      <c r="M380" s="8"/>
      <c r="N380" s="8"/>
      <c r="O380" s="8"/>
      <c r="P380" s="8"/>
      <c r="Q380" s="8"/>
      <c r="R380" s="8"/>
      <c r="S380" s="8"/>
      <c r="T380" s="8"/>
      <c r="U380" s="8"/>
      <c r="V380" s="7"/>
      <c r="W380" s="6" t="str">
        <f t="array" ref="W380">IF(NOT(ISBLANK(D380)),_xludf.XLOOKUP(D380,[2]CODE!$A$4:$A$100,[2]CODE!$D$4:$D$100),"")</f>
        <v/>
      </c>
      <c r="X380" s="5" t="str">
        <f t="array" ref="X380">IF(NOT(AND(ISBLANK(D380),ISBLANK(C380))),_xludf.XLOOKUP(D380,[2]CODE!$A$4:$A$100,[2]CODE!$E$4:$E$100),"")</f>
        <v/>
      </c>
      <c r="Y380" s="5" t="str">
        <f t="shared" si="38"/>
        <v/>
      </c>
      <c r="Z380" s="5" t="str">
        <f t="shared" si="39"/>
        <v/>
      </c>
      <c r="AA380" s="4">
        <f t="shared" si="40"/>
        <v>0</v>
      </c>
      <c r="AC380" s="2"/>
    </row>
    <row r="381" spans="1:29" ht="15.5">
      <c r="A381" s="13" t="str">
        <f>IF(OR(ISBLANK(C381),ISBLANK(D381),ISBLANK(F381),ISBLANK(G381)),"",COUNTIF($B$5:B381,"JAMBUTU"))</f>
        <v/>
      </c>
      <c r="B381" s="8" t="str">
        <f t="shared" si="41"/>
        <v/>
      </c>
      <c r="C381" s="8"/>
      <c r="D381" s="8"/>
      <c r="E381" s="13"/>
      <c r="F381" s="12"/>
      <c r="G381" s="11"/>
      <c r="H381" s="12"/>
      <c r="I381" s="11"/>
      <c r="J381" s="10">
        <f t="shared" si="35"/>
        <v>0</v>
      </c>
      <c r="K381" s="10">
        <f t="shared" si="36"/>
        <v>0</v>
      </c>
      <c r="L381" s="9" t="str">
        <f t="shared" si="37"/>
        <v/>
      </c>
      <c r="M381" s="8"/>
      <c r="N381" s="8"/>
      <c r="O381" s="8"/>
      <c r="P381" s="8"/>
      <c r="Q381" s="8"/>
      <c r="R381" s="8"/>
      <c r="S381" s="8"/>
      <c r="T381" s="8"/>
      <c r="U381" s="8"/>
      <c r="V381" s="7"/>
      <c r="W381" s="6" t="str">
        <f t="array" ref="W381">IF(NOT(ISBLANK(D381)),_xludf.XLOOKUP(D381,[2]CODE!$A$4:$A$100,[2]CODE!$D$4:$D$100),"")</f>
        <v/>
      </c>
      <c r="X381" s="5" t="str">
        <f t="array" ref="X381">IF(NOT(AND(ISBLANK(D381),ISBLANK(C381))),_xludf.XLOOKUP(D381,[2]CODE!$A$4:$A$100,[2]CODE!$E$4:$E$100),"")</f>
        <v/>
      </c>
      <c r="Y381" s="5" t="str">
        <f t="shared" si="38"/>
        <v/>
      </c>
      <c r="Z381" s="5" t="str">
        <f t="shared" si="39"/>
        <v/>
      </c>
      <c r="AA381" s="4">
        <f t="shared" si="40"/>
        <v>0</v>
      </c>
      <c r="AC381" s="2"/>
    </row>
    <row r="382" spans="1:29" ht="15.5">
      <c r="A382" s="13" t="str">
        <f>IF(OR(ISBLANK(C382),ISBLANK(D382),ISBLANK(F382),ISBLANK(G382)),"",COUNTIF($B$5:B382,"JAMBUTU"))</f>
        <v/>
      </c>
      <c r="B382" s="8" t="str">
        <f t="shared" si="41"/>
        <v/>
      </c>
      <c r="C382" s="8"/>
      <c r="D382" s="8"/>
      <c r="E382" s="13"/>
      <c r="F382" s="12"/>
      <c r="G382" s="11"/>
      <c r="H382" s="12"/>
      <c r="I382" s="11"/>
      <c r="J382" s="10">
        <f t="shared" si="35"/>
        <v>0</v>
      </c>
      <c r="K382" s="10">
        <f t="shared" si="36"/>
        <v>0</v>
      </c>
      <c r="L382" s="9" t="str">
        <f t="shared" si="37"/>
        <v/>
      </c>
      <c r="M382" s="8"/>
      <c r="N382" s="8"/>
      <c r="O382" s="8"/>
      <c r="P382" s="8"/>
      <c r="Q382" s="8"/>
      <c r="R382" s="8"/>
      <c r="S382" s="8"/>
      <c r="T382" s="8"/>
      <c r="U382" s="8"/>
      <c r="V382" s="7"/>
      <c r="W382" s="6" t="str">
        <f t="array" ref="W382">IF(NOT(ISBLANK(D382)),_xludf.XLOOKUP(D382,[2]CODE!$A$4:$A$100,[2]CODE!$D$4:$D$100),"")</f>
        <v/>
      </c>
      <c r="X382" s="5" t="str">
        <f t="array" ref="X382">IF(NOT(AND(ISBLANK(D382),ISBLANK(C382))),_xludf.XLOOKUP(D382,[2]CODE!$A$4:$A$100,[2]CODE!$E$4:$E$100),"")</f>
        <v/>
      </c>
      <c r="Y382" s="5" t="str">
        <f t="shared" si="38"/>
        <v/>
      </c>
      <c r="Z382" s="5" t="str">
        <f t="shared" si="39"/>
        <v/>
      </c>
      <c r="AA382" s="4">
        <f t="shared" si="40"/>
        <v>0</v>
      </c>
      <c r="AC382" s="2"/>
    </row>
    <row r="383" spans="1:29" ht="15.5">
      <c r="A383" s="13" t="str">
        <f>IF(OR(ISBLANK(C383),ISBLANK(D383),ISBLANK(F383),ISBLANK(G383)),"",COUNTIF($B$5:B383,"JAMBUTU"))</f>
        <v/>
      </c>
      <c r="B383" s="8" t="str">
        <f t="shared" si="41"/>
        <v/>
      </c>
      <c r="C383" s="8"/>
      <c r="D383" s="8"/>
      <c r="E383" s="13"/>
      <c r="F383" s="12"/>
      <c r="G383" s="11"/>
      <c r="H383" s="12"/>
      <c r="I383" s="11"/>
      <c r="J383" s="10">
        <f t="shared" si="35"/>
        <v>0</v>
      </c>
      <c r="K383" s="10">
        <f t="shared" si="36"/>
        <v>0</v>
      </c>
      <c r="L383" s="9" t="str">
        <f t="shared" si="37"/>
        <v/>
      </c>
      <c r="M383" s="8"/>
      <c r="N383" s="8"/>
      <c r="O383" s="8"/>
      <c r="P383" s="8"/>
      <c r="Q383" s="8"/>
      <c r="R383" s="8"/>
      <c r="S383" s="8"/>
      <c r="T383" s="8"/>
      <c r="U383" s="8"/>
      <c r="V383" s="7"/>
      <c r="W383" s="6" t="str">
        <f t="array" ref="W383">IF(NOT(ISBLANK(D383)),_xludf.XLOOKUP(D383,[2]CODE!$A$4:$A$100,[2]CODE!$D$4:$D$100),"")</f>
        <v/>
      </c>
      <c r="X383" s="5" t="str">
        <f t="array" ref="X383">IF(NOT(AND(ISBLANK(D383),ISBLANK(C383))),_xludf.XLOOKUP(D383,[2]CODE!$A$4:$A$100,[2]CODE!$E$4:$E$100),"")</f>
        <v/>
      </c>
      <c r="Y383" s="5" t="str">
        <f t="shared" si="38"/>
        <v/>
      </c>
      <c r="Z383" s="5" t="str">
        <f t="shared" si="39"/>
        <v/>
      </c>
      <c r="AA383" s="4">
        <f t="shared" si="40"/>
        <v>0</v>
      </c>
      <c r="AC383" s="2"/>
    </row>
    <row r="384" spans="1:29" ht="15.5">
      <c r="A384" s="13" t="str">
        <f>IF(OR(ISBLANK(C384),ISBLANK(D384),ISBLANK(F384),ISBLANK(G384)),"",COUNTIF($B$5:B384,"JAMBUTU"))</f>
        <v/>
      </c>
      <c r="B384" s="8" t="str">
        <f t="shared" si="41"/>
        <v/>
      </c>
      <c r="C384" s="8"/>
      <c r="D384" s="8"/>
      <c r="E384" s="13"/>
      <c r="F384" s="12"/>
      <c r="G384" s="11"/>
      <c r="H384" s="12"/>
      <c r="I384" s="11"/>
      <c r="J384" s="10">
        <f t="shared" si="35"/>
        <v>0</v>
      </c>
      <c r="K384" s="10">
        <f t="shared" si="36"/>
        <v>0</v>
      </c>
      <c r="L384" s="9" t="str">
        <f t="shared" si="37"/>
        <v/>
      </c>
      <c r="M384" s="8"/>
      <c r="N384" s="8"/>
      <c r="O384" s="8"/>
      <c r="P384" s="8"/>
      <c r="Q384" s="8"/>
      <c r="R384" s="8"/>
      <c r="S384" s="8"/>
      <c r="T384" s="8"/>
      <c r="U384" s="8"/>
      <c r="V384" s="7"/>
      <c r="W384" s="6" t="str">
        <f t="array" ref="W384">IF(NOT(ISBLANK(D384)),_xludf.XLOOKUP(D384,[2]CODE!$A$4:$A$100,[2]CODE!$D$4:$D$100),"")</f>
        <v/>
      </c>
      <c r="X384" s="5" t="str">
        <f t="array" ref="X384">IF(NOT(AND(ISBLANK(D384),ISBLANK(C384))),_xludf.XLOOKUP(D384,[2]CODE!$A$4:$A$100,[2]CODE!$E$4:$E$100),"")</f>
        <v/>
      </c>
      <c r="Y384" s="5" t="str">
        <f t="shared" si="38"/>
        <v/>
      </c>
      <c r="Z384" s="5" t="str">
        <f t="shared" si="39"/>
        <v/>
      </c>
      <c r="AA384" s="4">
        <f t="shared" si="40"/>
        <v>0</v>
      </c>
      <c r="AC384" s="2"/>
    </row>
    <row r="385" spans="1:29" ht="15.5">
      <c r="A385" s="13" t="str">
        <f>IF(OR(ISBLANK(C385),ISBLANK(D385),ISBLANK(F385),ISBLANK(G385)),"",COUNTIF($B$5:B385,"JAMBUTU"))</f>
        <v/>
      </c>
      <c r="B385" s="8" t="str">
        <f t="shared" si="41"/>
        <v/>
      </c>
      <c r="C385" s="8"/>
      <c r="D385" s="8"/>
      <c r="E385" s="13"/>
      <c r="F385" s="12"/>
      <c r="G385" s="11"/>
      <c r="H385" s="12"/>
      <c r="I385" s="11"/>
      <c r="J385" s="10">
        <f t="shared" si="35"/>
        <v>0</v>
      </c>
      <c r="K385" s="10">
        <f t="shared" si="36"/>
        <v>0</v>
      </c>
      <c r="L385" s="9" t="str">
        <f t="shared" si="37"/>
        <v/>
      </c>
      <c r="M385" s="8"/>
      <c r="N385" s="8"/>
      <c r="O385" s="8"/>
      <c r="P385" s="8"/>
      <c r="Q385" s="8"/>
      <c r="R385" s="8"/>
      <c r="S385" s="8"/>
      <c r="T385" s="8"/>
      <c r="U385" s="8"/>
      <c r="V385" s="7"/>
      <c r="W385" s="6" t="str">
        <f t="array" ref="W385">IF(NOT(ISBLANK(D385)),_xludf.XLOOKUP(D385,[2]CODE!$A$4:$A$100,[2]CODE!$D$4:$D$100),"")</f>
        <v/>
      </c>
      <c r="X385" s="5" t="str">
        <f t="array" ref="X385">IF(NOT(AND(ISBLANK(D385),ISBLANK(C385))),_xludf.XLOOKUP(D385,[2]CODE!$A$4:$A$100,[2]CODE!$E$4:$E$100),"")</f>
        <v/>
      </c>
      <c r="Y385" s="5" t="str">
        <f t="shared" si="38"/>
        <v/>
      </c>
      <c r="Z385" s="5" t="str">
        <f t="shared" si="39"/>
        <v/>
      </c>
      <c r="AA385" s="4">
        <f t="shared" si="40"/>
        <v>0</v>
      </c>
      <c r="AC385" s="2"/>
    </row>
    <row r="386" spans="1:29" ht="15.5">
      <c r="A386" s="13" t="str">
        <f>IF(OR(ISBLANK(C386),ISBLANK(D386),ISBLANK(F386),ISBLANK(G386)),"",COUNTIF($B$5:B386,"JAMBUTU"))</f>
        <v/>
      </c>
      <c r="B386" s="8" t="str">
        <f t="shared" si="41"/>
        <v/>
      </c>
      <c r="C386" s="8"/>
      <c r="D386" s="8"/>
      <c r="E386" s="13"/>
      <c r="F386" s="12"/>
      <c r="G386" s="11"/>
      <c r="H386" s="12"/>
      <c r="I386" s="11"/>
      <c r="J386" s="10">
        <f t="shared" si="35"/>
        <v>0</v>
      </c>
      <c r="K386" s="10">
        <f t="shared" si="36"/>
        <v>0</v>
      </c>
      <c r="L386" s="9" t="str">
        <f t="shared" si="37"/>
        <v/>
      </c>
      <c r="M386" s="8"/>
      <c r="N386" s="8"/>
      <c r="O386" s="8"/>
      <c r="P386" s="8"/>
      <c r="Q386" s="8"/>
      <c r="R386" s="8"/>
      <c r="S386" s="8"/>
      <c r="T386" s="8"/>
      <c r="U386" s="8"/>
      <c r="V386" s="7"/>
      <c r="W386" s="6" t="str">
        <f t="array" ref="W386">IF(NOT(ISBLANK(D386)),_xludf.XLOOKUP(D386,[2]CODE!$A$4:$A$100,[2]CODE!$D$4:$D$100),"")</f>
        <v/>
      </c>
      <c r="X386" s="5" t="str">
        <f t="array" ref="X386">IF(NOT(AND(ISBLANK(D386),ISBLANK(C386))),_xludf.XLOOKUP(D386,[2]CODE!$A$4:$A$100,[2]CODE!$E$4:$E$100),"")</f>
        <v/>
      </c>
      <c r="Y386" s="5" t="str">
        <f t="shared" si="38"/>
        <v/>
      </c>
      <c r="Z386" s="5" t="str">
        <f t="shared" si="39"/>
        <v/>
      </c>
      <c r="AA386" s="4">
        <f t="shared" si="40"/>
        <v>0</v>
      </c>
      <c r="AC386" s="2"/>
    </row>
    <row r="387" spans="1:29" ht="15.5">
      <c r="A387" s="13" t="str">
        <f>IF(OR(ISBLANK(C387),ISBLANK(D387),ISBLANK(F387),ISBLANK(G387)),"",COUNTIF($B$5:B387,"JAMBUTU"))</f>
        <v/>
      </c>
      <c r="B387" s="8" t="str">
        <f t="shared" si="41"/>
        <v/>
      </c>
      <c r="C387" s="8"/>
      <c r="D387" s="8"/>
      <c r="E387" s="13"/>
      <c r="F387" s="12"/>
      <c r="G387" s="11"/>
      <c r="H387" s="12"/>
      <c r="I387" s="11"/>
      <c r="J387" s="10">
        <f t="shared" si="35"/>
        <v>0</v>
      </c>
      <c r="K387" s="10">
        <f t="shared" si="36"/>
        <v>0</v>
      </c>
      <c r="L387" s="9" t="str">
        <f t="shared" si="37"/>
        <v/>
      </c>
      <c r="M387" s="8"/>
      <c r="N387" s="8"/>
      <c r="O387" s="8"/>
      <c r="P387" s="8"/>
      <c r="Q387" s="8"/>
      <c r="R387" s="8"/>
      <c r="S387" s="8"/>
      <c r="T387" s="8"/>
      <c r="U387" s="8"/>
      <c r="V387" s="7"/>
      <c r="W387" s="6" t="str">
        <f t="array" ref="W387">IF(NOT(ISBLANK(D387)),_xludf.XLOOKUP(D387,[2]CODE!$A$4:$A$100,[2]CODE!$D$4:$D$100),"")</f>
        <v/>
      </c>
      <c r="X387" s="5" t="str">
        <f t="array" ref="X387">IF(NOT(AND(ISBLANK(D387),ISBLANK(C387))),_xludf.XLOOKUP(D387,[2]CODE!$A$4:$A$100,[2]CODE!$E$4:$E$100),"")</f>
        <v/>
      </c>
      <c r="Y387" s="5" t="str">
        <f t="shared" si="38"/>
        <v/>
      </c>
      <c r="Z387" s="5" t="str">
        <f t="shared" si="39"/>
        <v/>
      </c>
      <c r="AA387" s="4">
        <f t="shared" si="40"/>
        <v>0</v>
      </c>
      <c r="AC387" s="2"/>
    </row>
    <row r="388" spans="1:29" ht="15.5">
      <c r="A388" s="13" t="str">
        <f>IF(OR(ISBLANK(C388),ISBLANK(D388),ISBLANK(F388),ISBLANK(G388)),"",COUNTIF($B$5:B388,"JAMBUTU"))</f>
        <v/>
      </c>
      <c r="B388" s="8" t="str">
        <f t="shared" si="41"/>
        <v/>
      </c>
      <c r="C388" s="8"/>
      <c r="D388" s="8"/>
      <c r="E388" s="13"/>
      <c r="F388" s="12"/>
      <c r="G388" s="11"/>
      <c r="H388" s="12"/>
      <c r="I388" s="11"/>
      <c r="J388" s="10">
        <f t="shared" si="35"/>
        <v>0</v>
      </c>
      <c r="K388" s="10">
        <f t="shared" si="36"/>
        <v>0</v>
      </c>
      <c r="L388" s="9" t="str">
        <f t="shared" si="37"/>
        <v/>
      </c>
      <c r="M388" s="8"/>
      <c r="N388" s="8"/>
      <c r="O388" s="8"/>
      <c r="P388" s="8"/>
      <c r="Q388" s="8"/>
      <c r="R388" s="8"/>
      <c r="S388" s="8"/>
      <c r="T388" s="8"/>
      <c r="U388" s="8"/>
      <c r="V388" s="7"/>
      <c r="W388" s="6" t="str">
        <f t="array" ref="W388">IF(NOT(ISBLANK(D388)),_xludf.XLOOKUP(D388,[2]CODE!$A$4:$A$100,[2]CODE!$D$4:$D$100),"")</f>
        <v/>
      </c>
      <c r="X388" s="5" t="str">
        <f t="array" ref="X388">IF(NOT(AND(ISBLANK(D388),ISBLANK(C388))),_xludf.XLOOKUP(D388,[2]CODE!$A$4:$A$100,[2]CODE!$E$4:$E$100),"")</f>
        <v/>
      </c>
      <c r="Y388" s="5" t="str">
        <f t="shared" si="38"/>
        <v/>
      </c>
      <c r="Z388" s="5" t="str">
        <f t="shared" si="39"/>
        <v/>
      </c>
      <c r="AA388" s="4">
        <f t="shared" si="40"/>
        <v>0</v>
      </c>
      <c r="AC388" s="2"/>
    </row>
    <row r="389" spans="1:29" ht="15.5">
      <c r="A389" s="13" t="str">
        <f>IF(OR(ISBLANK(C389),ISBLANK(D389),ISBLANK(F389),ISBLANK(G389)),"",COUNTIF($B$5:B389,"JAMBUTU"))</f>
        <v/>
      </c>
      <c r="B389" s="8" t="str">
        <f t="shared" si="41"/>
        <v/>
      </c>
      <c r="C389" s="8"/>
      <c r="D389" s="8"/>
      <c r="E389" s="13"/>
      <c r="F389" s="12"/>
      <c r="G389" s="11"/>
      <c r="H389" s="12"/>
      <c r="I389" s="11"/>
      <c r="J389" s="10">
        <f t="shared" ref="J389:J452" si="42">DATE(YEAR(F389),MONTH(F389),DAY(F389))+TIME(HOUR(G389),MINUTE(G389), SECOND(G389))</f>
        <v>0</v>
      </c>
      <c r="K389" s="10">
        <f t="shared" ref="K389:K452" si="43">DATE(YEAR(H389),MONTH(H389),DAY(H389))+TIME(HOUR(I389),MINUTE(I389), SECOND(I389))</f>
        <v>0</v>
      </c>
      <c r="L389" s="9" t="str">
        <f t="shared" ref="L389:L452" si="44">IF(ISBLANK(I389),"",IF(J389&gt;K389,(K389+1)-J389,K389-J389))</f>
        <v/>
      </c>
      <c r="M389" s="8"/>
      <c r="N389" s="8"/>
      <c r="O389" s="8"/>
      <c r="P389" s="8"/>
      <c r="Q389" s="8"/>
      <c r="R389" s="8"/>
      <c r="S389" s="8"/>
      <c r="T389" s="8"/>
      <c r="U389" s="8"/>
      <c r="V389" s="7"/>
      <c r="W389" s="6" t="str">
        <f t="array" ref="W389">IF(NOT(ISBLANK(D389)),_xludf.XLOOKUP(D389,[2]CODE!$A$4:$A$100,[2]CODE!$D$4:$D$100),"")</f>
        <v/>
      </c>
      <c r="X389" s="5" t="str">
        <f t="array" ref="X389">IF(NOT(AND(ISBLANK(D389),ISBLANK(C389))),_xludf.XLOOKUP(D389,[2]CODE!$A$4:$A$100,[2]CODE!$E$4:$E$100),"")</f>
        <v/>
      </c>
      <c r="Y389" s="5" t="str">
        <f t="shared" ref="Y389:Y452" si="45">LEFT(C389,4)</f>
        <v/>
      </c>
      <c r="Z389" s="5" t="str">
        <f t="shared" ref="Z389:Z452" si="46">IF(NOT(ISBLANK(C389)), IF(K389&gt;J389,"YES","NO"),"")</f>
        <v/>
      </c>
      <c r="AA389" s="4">
        <f t="shared" ref="AA389:AA452" si="47">IF(AND(F389=H389,Z389="NO"),1+H389,H389)</f>
        <v>0</v>
      </c>
      <c r="AC389" s="2"/>
    </row>
    <row r="390" spans="1:29" ht="15.5">
      <c r="A390" s="13" t="str">
        <f>IF(OR(ISBLANK(C390),ISBLANK(D390),ISBLANK(F390),ISBLANK(G390)),"",COUNTIF($B$5:B390,"JAMBUTU"))</f>
        <v/>
      </c>
      <c r="B390" s="8" t="str">
        <f t="shared" si="41"/>
        <v/>
      </c>
      <c r="C390" s="8"/>
      <c r="D390" s="8"/>
      <c r="E390" s="13"/>
      <c r="F390" s="12"/>
      <c r="G390" s="11"/>
      <c r="H390" s="12"/>
      <c r="I390" s="11"/>
      <c r="J390" s="10">
        <f t="shared" si="42"/>
        <v>0</v>
      </c>
      <c r="K390" s="10">
        <f t="shared" si="43"/>
        <v>0</v>
      </c>
      <c r="L390" s="9" t="str">
        <f t="shared" si="44"/>
        <v/>
      </c>
      <c r="M390" s="8"/>
      <c r="N390" s="8"/>
      <c r="O390" s="8"/>
      <c r="P390" s="8"/>
      <c r="Q390" s="8"/>
      <c r="R390" s="8"/>
      <c r="S390" s="8"/>
      <c r="T390" s="8"/>
      <c r="U390" s="8"/>
      <c r="V390" s="7"/>
      <c r="W390" s="6" t="str">
        <f t="array" ref="W390">IF(NOT(ISBLANK(D390)),_xludf.XLOOKUP(D390,[2]CODE!$A$4:$A$100,[2]CODE!$D$4:$D$100),"")</f>
        <v/>
      </c>
      <c r="X390" s="5" t="str">
        <f t="array" ref="X390">IF(NOT(AND(ISBLANK(D390),ISBLANK(C390))),_xludf.XLOOKUP(D390,[2]CODE!$A$4:$A$100,[2]CODE!$E$4:$E$100),"")</f>
        <v/>
      </c>
      <c r="Y390" s="5" t="str">
        <f t="shared" si="45"/>
        <v/>
      </c>
      <c r="Z390" s="5" t="str">
        <f t="shared" si="46"/>
        <v/>
      </c>
      <c r="AA390" s="4">
        <f t="shared" si="47"/>
        <v>0</v>
      </c>
      <c r="AC390" s="2"/>
    </row>
    <row r="391" spans="1:29" ht="15.5">
      <c r="A391" s="13" t="str">
        <f>IF(OR(ISBLANK(C391),ISBLANK(D391),ISBLANK(F391),ISBLANK(G391)),"",COUNTIF($B$5:B391,"JAMBUTU"))</f>
        <v/>
      </c>
      <c r="B391" s="8" t="str">
        <f t="shared" si="41"/>
        <v/>
      </c>
      <c r="C391" s="8"/>
      <c r="D391" s="8"/>
      <c r="E391" s="13"/>
      <c r="F391" s="12"/>
      <c r="G391" s="11"/>
      <c r="H391" s="12"/>
      <c r="I391" s="11"/>
      <c r="J391" s="10">
        <f t="shared" si="42"/>
        <v>0</v>
      </c>
      <c r="K391" s="10">
        <f t="shared" si="43"/>
        <v>0</v>
      </c>
      <c r="L391" s="9" t="str">
        <f t="shared" si="44"/>
        <v/>
      </c>
      <c r="M391" s="8"/>
      <c r="N391" s="8"/>
      <c r="O391" s="8"/>
      <c r="P391" s="8"/>
      <c r="Q391" s="8"/>
      <c r="R391" s="8"/>
      <c r="S391" s="8"/>
      <c r="T391" s="8"/>
      <c r="U391" s="8"/>
      <c r="V391" s="7"/>
      <c r="W391" s="6" t="str">
        <f t="array" ref="W391">IF(NOT(ISBLANK(D391)),_xludf.XLOOKUP(D391,[2]CODE!$A$4:$A$100,[2]CODE!$D$4:$D$100),"")</f>
        <v/>
      </c>
      <c r="X391" s="5" t="str">
        <f t="array" ref="X391">IF(NOT(AND(ISBLANK(D391),ISBLANK(C391))),_xludf.XLOOKUP(D391,[2]CODE!$A$4:$A$100,[2]CODE!$E$4:$E$100),"")</f>
        <v/>
      </c>
      <c r="Y391" s="5" t="str">
        <f t="shared" si="45"/>
        <v/>
      </c>
      <c r="Z391" s="5" t="str">
        <f t="shared" si="46"/>
        <v/>
      </c>
      <c r="AA391" s="4">
        <f t="shared" si="47"/>
        <v>0</v>
      </c>
      <c r="AC391" s="2"/>
    </row>
    <row r="392" spans="1:29" ht="15.5">
      <c r="A392" s="13" t="str">
        <f>IF(OR(ISBLANK(C392),ISBLANK(D392),ISBLANK(F392),ISBLANK(G392)),"",COUNTIF($B$5:B392,"JAMBUTU"))</f>
        <v/>
      </c>
      <c r="B392" s="8" t="str">
        <f t="shared" si="41"/>
        <v/>
      </c>
      <c r="C392" s="8"/>
      <c r="D392" s="8"/>
      <c r="E392" s="13"/>
      <c r="F392" s="12"/>
      <c r="G392" s="11"/>
      <c r="H392" s="12"/>
      <c r="I392" s="11"/>
      <c r="J392" s="10">
        <f t="shared" si="42"/>
        <v>0</v>
      </c>
      <c r="K392" s="10">
        <f t="shared" si="43"/>
        <v>0</v>
      </c>
      <c r="L392" s="9" t="str">
        <f t="shared" si="44"/>
        <v/>
      </c>
      <c r="M392" s="8"/>
      <c r="N392" s="8"/>
      <c r="O392" s="8"/>
      <c r="P392" s="8"/>
      <c r="Q392" s="8"/>
      <c r="R392" s="8"/>
      <c r="S392" s="8"/>
      <c r="T392" s="8"/>
      <c r="U392" s="8"/>
      <c r="V392" s="7"/>
      <c r="W392" s="6" t="str">
        <f t="array" ref="W392">IF(NOT(ISBLANK(D392)),_xludf.XLOOKUP(D392,[2]CODE!$A$4:$A$100,[2]CODE!$D$4:$D$100),"")</f>
        <v/>
      </c>
      <c r="X392" s="5" t="str">
        <f t="array" ref="X392">IF(NOT(AND(ISBLANK(D392),ISBLANK(C392))),_xludf.XLOOKUP(D392,[2]CODE!$A$4:$A$100,[2]CODE!$E$4:$E$100),"")</f>
        <v/>
      </c>
      <c r="Y392" s="5" t="str">
        <f t="shared" si="45"/>
        <v/>
      </c>
      <c r="Z392" s="5" t="str">
        <f t="shared" si="46"/>
        <v/>
      </c>
      <c r="AA392" s="4">
        <f t="shared" si="47"/>
        <v>0</v>
      </c>
      <c r="AC392" s="2"/>
    </row>
    <row r="393" spans="1:29" ht="15.5">
      <c r="A393" s="13" t="str">
        <f>IF(OR(ISBLANK(C393),ISBLANK(D393),ISBLANK(F393),ISBLANK(G393)),"",COUNTIF($B$5:B393,"JAMBUTU"))</f>
        <v/>
      </c>
      <c r="B393" s="8" t="str">
        <f t="shared" si="41"/>
        <v/>
      </c>
      <c r="C393" s="8"/>
      <c r="D393" s="8"/>
      <c r="E393" s="13"/>
      <c r="F393" s="12"/>
      <c r="G393" s="11"/>
      <c r="H393" s="12"/>
      <c r="I393" s="11"/>
      <c r="J393" s="10">
        <f t="shared" si="42"/>
        <v>0</v>
      </c>
      <c r="K393" s="10">
        <f t="shared" si="43"/>
        <v>0</v>
      </c>
      <c r="L393" s="9" t="str">
        <f t="shared" si="44"/>
        <v/>
      </c>
      <c r="M393" s="8"/>
      <c r="N393" s="8"/>
      <c r="O393" s="8"/>
      <c r="P393" s="8"/>
      <c r="Q393" s="8"/>
      <c r="R393" s="8"/>
      <c r="S393" s="8"/>
      <c r="T393" s="8"/>
      <c r="U393" s="8"/>
      <c r="V393" s="7"/>
      <c r="W393" s="6" t="str">
        <f t="array" ref="W393">IF(NOT(ISBLANK(D393)),_xludf.XLOOKUP(D393,[2]CODE!$A$4:$A$100,[2]CODE!$D$4:$D$100),"")</f>
        <v/>
      </c>
      <c r="X393" s="5" t="str">
        <f t="array" ref="X393">IF(NOT(AND(ISBLANK(D393),ISBLANK(C393))),_xludf.XLOOKUP(D393,[2]CODE!$A$4:$A$100,[2]CODE!$E$4:$E$100),"")</f>
        <v/>
      </c>
      <c r="Y393" s="5" t="str">
        <f t="shared" si="45"/>
        <v/>
      </c>
      <c r="Z393" s="5" t="str">
        <f t="shared" si="46"/>
        <v/>
      </c>
      <c r="AA393" s="4">
        <f t="shared" si="47"/>
        <v>0</v>
      </c>
      <c r="AC393" s="2"/>
    </row>
    <row r="394" spans="1:29" ht="15.5">
      <c r="A394" s="13" t="str">
        <f>IF(OR(ISBLANK(C394),ISBLANK(D394),ISBLANK(F394),ISBLANK(G394)),"",COUNTIF($B$5:B394,"JAMBUTU"))</f>
        <v/>
      </c>
      <c r="B394" s="8" t="str">
        <f t="shared" si="41"/>
        <v/>
      </c>
      <c r="C394" s="8"/>
      <c r="D394" s="8"/>
      <c r="E394" s="13"/>
      <c r="F394" s="12"/>
      <c r="G394" s="11"/>
      <c r="H394" s="12"/>
      <c r="I394" s="11"/>
      <c r="J394" s="10">
        <f t="shared" si="42"/>
        <v>0</v>
      </c>
      <c r="K394" s="10">
        <f t="shared" si="43"/>
        <v>0</v>
      </c>
      <c r="L394" s="9" t="str">
        <f t="shared" si="44"/>
        <v/>
      </c>
      <c r="M394" s="8"/>
      <c r="N394" s="8"/>
      <c r="O394" s="8"/>
      <c r="P394" s="8"/>
      <c r="Q394" s="8"/>
      <c r="R394" s="8"/>
      <c r="S394" s="8"/>
      <c r="T394" s="8"/>
      <c r="U394" s="8"/>
      <c r="V394" s="7"/>
      <c r="W394" s="6" t="str">
        <f t="array" ref="W394">IF(NOT(ISBLANK(D394)),_xludf.XLOOKUP(D394,[2]CODE!$A$4:$A$100,[2]CODE!$D$4:$D$100),"")</f>
        <v/>
      </c>
      <c r="X394" s="5" t="str">
        <f t="array" ref="X394">IF(NOT(AND(ISBLANK(D394),ISBLANK(C394))),_xludf.XLOOKUP(D394,[2]CODE!$A$4:$A$100,[2]CODE!$E$4:$E$100),"")</f>
        <v/>
      </c>
      <c r="Y394" s="5" t="str">
        <f t="shared" si="45"/>
        <v/>
      </c>
      <c r="Z394" s="5" t="str">
        <f t="shared" si="46"/>
        <v/>
      </c>
      <c r="AA394" s="4">
        <f t="shared" si="47"/>
        <v>0</v>
      </c>
      <c r="AC394" s="2"/>
    </row>
    <row r="395" spans="1:29" ht="15.5">
      <c r="A395" s="13" t="str">
        <f>IF(OR(ISBLANK(C395),ISBLANK(D395),ISBLANK(F395),ISBLANK(G395)),"",COUNTIF($B$5:B395,"JAMBUTU"))</f>
        <v/>
      </c>
      <c r="B395" s="8" t="str">
        <f t="shared" si="41"/>
        <v/>
      </c>
      <c r="C395" s="8"/>
      <c r="D395" s="8"/>
      <c r="E395" s="13"/>
      <c r="F395" s="12"/>
      <c r="G395" s="11"/>
      <c r="H395" s="12"/>
      <c r="I395" s="11"/>
      <c r="J395" s="10">
        <f t="shared" si="42"/>
        <v>0</v>
      </c>
      <c r="K395" s="10">
        <f t="shared" si="43"/>
        <v>0</v>
      </c>
      <c r="L395" s="9" t="str">
        <f t="shared" si="44"/>
        <v/>
      </c>
      <c r="M395" s="8"/>
      <c r="N395" s="8"/>
      <c r="O395" s="8"/>
      <c r="P395" s="8"/>
      <c r="Q395" s="8"/>
      <c r="R395" s="8"/>
      <c r="S395" s="8"/>
      <c r="T395" s="8"/>
      <c r="U395" s="8"/>
      <c r="V395" s="7"/>
      <c r="W395" s="6" t="str">
        <f t="array" ref="W395">IF(NOT(ISBLANK(D395)),_xludf.XLOOKUP(D395,[2]CODE!$A$4:$A$100,[2]CODE!$D$4:$D$100),"")</f>
        <v/>
      </c>
      <c r="X395" s="5" t="str">
        <f t="array" ref="X395">IF(NOT(AND(ISBLANK(D395),ISBLANK(C395))),_xludf.XLOOKUP(D395,[2]CODE!$A$4:$A$100,[2]CODE!$E$4:$E$100),"")</f>
        <v/>
      </c>
      <c r="Y395" s="5" t="str">
        <f t="shared" si="45"/>
        <v/>
      </c>
      <c r="Z395" s="5" t="str">
        <f t="shared" si="46"/>
        <v/>
      </c>
      <c r="AA395" s="4">
        <f t="shared" si="47"/>
        <v>0</v>
      </c>
      <c r="AC395" s="2"/>
    </row>
    <row r="396" spans="1:29" ht="15.5">
      <c r="A396" s="13" t="str">
        <f>IF(OR(ISBLANK(C396),ISBLANK(D396),ISBLANK(F396),ISBLANK(G396)),"",COUNTIF($B$5:B396,"JAMBUTU"))</f>
        <v/>
      </c>
      <c r="B396" s="8" t="str">
        <f t="shared" si="41"/>
        <v/>
      </c>
      <c r="C396" s="8"/>
      <c r="D396" s="8"/>
      <c r="E396" s="13"/>
      <c r="F396" s="12"/>
      <c r="G396" s="11"/>
      <c r="H396" s="12"/>
      <c r="I396" s="11"/>
      <c r="J396" s="10">
        <f t="shared" si="42"/>
        <v>0</v>
      </c>
      <c r="K396" s="10">
        <f t="shared" si="43"/>
        <v>0</v>
      </c>
      <c r="L396" s="9" t="str">
        <f t="shared" si="44"/>
        <v/>
      </c>
      <c r="M396" s="8"/>
      <c r="N396" s="8"/>
      <c r="O396" s="8"/>
      <c r="P396" s="8"/>
      <c r="Q396" s="8"/>
      <c r="R396" s="8"/>
      <c r="S396" s="8"/>
      <c r="T396" s="8"/>
      <c r="U396" s="8"/>
      <c r="V396" s="7"/>
      <c r="W396" s="6" t="str">
        <f t="array" ref="W396">IF(NOT(ISBLANK(D396)),_xludf.XLOOKUP(D396,[2]CODE!$A$4:$A$100,[2]CODE!$D$4:$D$100),"")</f>
        <v/>
      </c>
      <c r="X396" s="5" t="str">
        <f t="array" ref="X396">IF(NOT(AND(ISBLANK(D396),ISBLANK(C396))),_xludf.XLOOKUP(D396,[2]CODE!$A$4:$A$100,[2]CODE!$E$4:$E$100),"")</f>
        <v/>
      </c>
      <c r="Y396" s="5" t="str">
        <f t="shared" si="45"/>
        <v/>
      </c>
      <c r="Z396" s="5" t="str">
        <f t="shared" si="46"/>
        <v/>
      </c>
      <c r="AA396" s="4">
        <f t="shared" si="47"/>
        <v>0</v>
      </c>
      <c r="AC396" s="2"/>
    </row>
    <row r="397" spans="1:29" ht="15.5">
      <c r="A397" s="13" t="str">
        <f>IF(OR(ISBLANK(C397),ISBLANK(D397),ISBLANK(F397),ISBLANK(G397)),"",COUNTIF($B$5:B397,"JAMBUTU"))</f>
        <v/>
      </c>
      <c r="B397" s="8" t="str">
        <f t="shared" si="41"/>
        <v/>
      </c>
      <c r="C397" s="8"/>
      <c r="D397" s="8"/>
      <c r="E397" s="13"/>
      <c r="F397" s="12"/>
      <c r="G397" s="11"/>
      <c r="H397" s="12"/>
      <c r="I397" s="11"/>
      <c r="J397" s="10">
        <f t="shared" si="42"/>
        <v>0</v>
      </c>
      <c r="K397" s="10">
        <f t="shared" si="43"/>
        <v>0</v>
      </c>
      <c r="L397" s="9" t="str">
        <f t="shared" si="44"/>
        <v/>
      </c>
      <c r="M397" s="8"/>
      <c r="N397" s="8"/>
      <c r="O397" s="8"/>
      <c r="P397" s="8"/>
      <c r="Q397" s="8"/>
      <c r="R397" s="8"/>
      <c r="S397" s="8"/>
      <c r="T397" s="8"/>
      <c r="U397" s="8"/>
      <c r="V397" s="7"/>
      <c r="W397" s="6" t="str">
        <f t="array" ref="W397">IF(NOT(ISBLANK(D397)),_xludf.XLOOKUP(D397,[2]CODE!$A$4:$A$100,[2]CODE!$D$4:$D$100),"")</f>
        <v/>
      </c>
      <c r="X397" s="5" t="str">
        <f t="array" ref="X397">IF(NOT(AND(ISBLANK(D397),ISBLANK(C397))),_xludf.XLOOKUP(D397,[2]CODE!$A$4:$A$100,[2]CODE!$E$4:$E$100),"")</f>
        <v/>
      </c>
      <c r="Y397" s="5" t="str">
        <f t="shared" si="45"/>
        <v/>
      </c>
      <c r="Z397" s="5" t="str">
        <f t="shared" si="46"/>
        <v/>
      </c>
      <c r="AA397" s="4">
        <f t="shared" si="47"/>
        <v>0</v>
      </c>
      <c r="AC397" s="2"/>
    </row>
    <row r="398" spans="1:29" ht="15.5">
      <c r="A398" s="13" t="str">
        <f>IF(OR(ISBLANK(C398),ISBLANK(D398),ISBLANK(F398),ISBLANK(G398)),"",COUNTIF($B$5:B398,"JAMBUTU"))</f>
        <v/>
      </c>
      <c r="B398" s="8" t="str">
        <f t="shared" si="41"/>
        <v/>
      </c>
      <c r="C398" s="8"/>
      <c r="D398" s="8"/>
      <c r="E398" s="13"/>
      <c r="F398" s="12"/>
      <c r="G398" s="11"/>
      <c r="H398" s="12"/>
      <c r="I398" s="11"/>
      <c r="J398" s="10">
        <f t="shared" si="42"/>
        <v>0</v>
      </c>
      <c r="K398" s="10">
        <f t="shared" si="43"/>
        <v>0</v>
      </c>
      <c r="L398" s="9" t="str">
        <f t="shared" si="44"/>
        <v/>
      </c>
      <c r="M398" s="8"/>
      <c r="N398" s="8"/>
      <c r="O398" s="8"/>
      <c r="P398" s="8"/>
      <c r="Q398" s="8"/>
      <c r="R398" s="8"/>
      <c r="S398" s="8"/>
      <c r="T398" s="8"/>
      <c r="U398" s="8"/>
      <c r="V398" s="7"/>
      <c r="W398" s="6" t="str">
        <f t="array" ref="W398">IF(NOT(ISBLANK(D398)),_xludf.XLOOKUP(D398,[2]CODE!$A$4:$A$100,[2]CODE!$D$4:$D$100),"")</f>
        <v/>
      </c>
      <c r="X398" s="5" t="str">
        <f t="array" ref="X398">IF(NOT(AND(ISBLANK(D398),ISBLANK(C398))),_xludf.XLOOKUP(D398,[2]CODE!$A$4:$A$100,[2]CODE!$E$4:$E$100),"")</f>
        <v/>
      </c>
      <c r="Y398" s="5" t="str">
        <f t="shared" si="45"/>
        <v/>
      </c>
      <c r="Z398" s="5" t="str">
        <f t="shared" si="46"/>
        <v/>
      </c>
      <c r="AA398" s="4">
        <f t="shared" si="47"/>
        <v>0</v>
      </c>
      <c r="AC398" s="2"/>
    </row>
    <row r="399" spans="1:29" ht="15.5">
      <c r="A399" s="13" t="str">
        <f>IF(OR(ISBLANK(C399),ISBLANK(D399),ISBLANK(F399),ISBLANK(G399)),"",COUNTIF($B$5:B399,"JAMBUTU"))</f>
        <v/>
      </c>
      <c r="B399" s="8" t="str">
        <f t="shared" si="41"/>
        <v/>
      </c>
      <c r="C399" s="8"/>
      <c r="D399" s="8"/>
      <c r="E399" s="13"/>
      <c r="F399" s="12"/>
      <c r="G399" s="11"/>
      <c r="H399" s="12"/>
      <c r="I399" s="11"/>
      <c r="J399" s="10">
        <f t="shared" si="42"/>
        <v>0</v>
      </c>
      <c r="K399" s="10">
        <f t="shared" si="43"/>
        <v>0</v>
      </c>
      <c r="L399" s="9" t="str">
        <f t="shared" si="44"/>
        <v/>
      </c>
      <c r="M399" s="8"/>
      <c r="N399" s="8"/>
      <c r="O399" s="8"/>
      <c r="P399" s="8"/>
      <c r="Q399" s="8"/>
      <c r="R399" s="8"/>
      <c r="S399" s="8"/>
      <c r="T399" s="8"/>
      <c r="U399" s="8"/>
      <c r="V399" s="7"/>
      <c r="W399" s="6" t="str">
        <f t="array" ref="W399">IF(NOT(ISBLANK(D399)),_xludf.XLOOKUP(D399,[2]CODE!$A$4:$A$100,[2]CODE!$D$4:$D$100),"")</f>
        <v/>
      </c>
      <c r="X399" s="5" t="str">
        <f t="array" ref="X399">IF(NOT(AND(ISBLANK(D399),ISBLANK(C399))),_xludf.XLOOKUP(D399,[2]CODE!$A$4:$A$100,[2]CODE!$E$4:$E$100),"")</f>
        <v/>
      </c>
      <c r="Y399" s="5" t="str">
        <f t="shared" si="45"/>
        <v/>
      </c>
      <c r="Z399" s="5" t="str">
        <f t="shared" si="46"/>
        <v/>
      </c>
      <c r="AA399" s="4">
        <f t="shared" si="47"/>
        <v>0</v>
      </c>
      <c r="AC399" s="2"/>
    </row>
    <row r="400" spans="1:29" ht="15.5">
      <c r="A400" s="13" t="str">
        <f>IF(OR(ISBLANK(C400),ISBLANK(D400),ISBLANK(F400),ISBLANK(G400)),"",COUNTIF($B$5:B400,"JAMBUTU"))</f>
        <v/>
      </c>
      <c r="B400" s="8" t="str">
        <f t="shared" si="41"/>
        <v/>
      </c>
      <c r="C400" s="8"/>
      <c r="D400" s="8"/>
      <c r="E400" s="13"/>
      <c r="F400" s="12"/>
      <c r="G400" s="11"/>
      <c r="H400" s="12"/>
      <c r="I400" s="11"/>
      <c r="J400" s="10">
        <f t="shared" si="42"/>
        <v>0</v>
      </c>
      <c r="K400" s="10">
        <f t="shared" si="43"/>
        <v>0</v>
      </c>
      <c r="L400" s="9" t="str">
        <f t="shared" si="44"/>
        <v/>
      </c>
      <c r="M400" s="8"/>
      <c r="N400" s="8"/>
      <c r="O400" s="8"/>
      <c r="P400" s="8"/>
      <c r="Q400" s="8"/>
      <c r="R400" s="8"/>
      <c r="S400" s="8"/>
      <c r="T400" s="8"/>
      <c r="U400" s="8"/>
      <c r="V400" s="7"/>
      <c r="W400" s="6" t="str">
        <f t="array" ref="W400">IF(NOT(ISBLANK(D400)),_xludf.XLOOKUP(D400,[2]CODE!$A$4:$A$100,[2]CODE!$D$4:$D$100),"")</f>
        <v/>
      </c>
      <c r="X400" s="5" t="str">
        <f t="array" ref="X400">IF(NOT(AND(ISBLANK(D400),ISBLANK(C400))),_xludf.XLOOKUP(D400,[2]CODE!$A$4:$A$100,[2]CODE!$E$4:$E$100),"")</f>
        <v/>
      </c>
      <c r="Y400" s="5" t="str">
        <f t="shared" si="45"/>
        <v/>
      </c>
      <c r="Z400" s="5" t="str">
        <f t="shared" si="46"/>
        <v/>
      </c>
      <c r="AA400" s="4">
        <f t="shared" si="47"/>
        <v>0</v>
      </c>
      <c r="AC400" s="2"/>
    </row>
    <row r="401" spans="1:29" ht="15.5">
      <c r="A401" s="13" t="str">
        <f>IF(OR(ISBLANK(C401),ISBLANK(D401),ISBLANK(F401),ISBLANK(G401)),"",COUNTIF($B$5:B401,"JAMBUTU"))</f>
        <v/>
      </c>
      <c r="B401" s="8" t="str">
        <f t="shared" si="41"/>
        <v/>
      </c>
      <c r="C401" s="8"/>
      <c r="D401" s="8"/>
      <c r="E401" s="13"/>
      <c r="F401" s="12"/>
      <c r="G401" s="11"/>
      <c r="H401" s="12"/>
      <c r="I401" s="11"/>
      <c r="J401" s="10">
        <f t="shared" si="42"/>
        <v>0</v>
      </c>
      <c r="K401" s="10">
        <f t="shared" si="43"/>
        <v>0</v>
      </c>
      <c r="L401" s="9" t="str">
        <f t="shared" si="44"/>
        <v/>
      </c>
      <c r="M401" s="8"/>
      <c r="N401" s="8"/>
      <c r="O401" s="8"/>
      <c r="P401" s="8"/>
      <c r="Q401" s="8"/>
      <c r="R401" s="8"/>
      <c r="S401" s="8"/>
      <c r="T401" s="8"/>
      <c r="U401" s="8"/>
      <c r="V401" s="7"/>
      <c r="W401" s="6" t="str">
        <f t="array" ref="W401">IF(NOT(ISBLANK(D401)),_xludf.XLOOKUP(D401,[2]CODE!$A$4:$A$100,[2]CODE!$D$4:$D$100),"")</f>
        <v/>
      </c>
      <c r="X401" s="5" t="str">
        <f t="array" ref="X401">IF(NOT(AND(ISBLANK(D401),ISBLANK(C401))),_xludf.XLOOKUP(D401,[2]CODE!$A$4:$A$100,[2]CODE!$E$4:$E$100),"")</f>
        <v/>
      </c>
      <c r="Y401" s="5" t="str">
        <f t="shared" si="45"/>
        <v/>
      </c>
      <c r="Z401" s="5" t="str">
        <f t="shared" si="46"/>
        <v/>
      </c>
      <c r="AA401" s="4">
        <f t="shared" si="47"/>
        <v>0</v>
      </c>
      <c r="AC401" s="2"/>
    </row>
    <row r="402" spans="1:29" ht="15.5">
      <c r="A402" s="13" t="str">
        <f>IF(OR(ISBLANK(C402),ISBLANK(D402),ISBLANK(F402),ISBLANK(G402)),"",COUNTIF($B$5:B402,"JAMBUTU"))</f>
        <v/>
      </c>
      <c r="B402" s="8" t="str">
        <f t="shared" si="41"/>
        <v/>
      </c>
      <c r="C402" s="8"/>
      <c r="D402" s="8"/>
      <c r="E402" s="13"/>
      <c r="F402" s="12"/>
      <c r="G402" s="11"/>
      <c r="H402" s="12"/>
      <c r="I402" s="11"/>
      <c r="J402" s="10">
        <f t="shared" si="42"/>
        <v>0</v>
      </c>
      <c r="K402" s="10">
        <f t="shared" si="43"/>
        <v>0</v>
      </c>
      <c r="L402" s="9" t="str">
        <f t="shared" si="44"/>
        <v/>
      </c>
      <c r="M402" s="8"/>
      <c r="N402" s="8"/>
      <c r="O402" s="8"/>
      <c r="P402" s="8"/>
      <c r="Q402" s="8"/>
      <c r="R402" s="8"/>
      <c r="S402" s="8"/>
      <c r="T402" s="8"/>
      <c r="U402" s="8"/>
      <c r="V402" s="7"/>
      <c r="W402" s="6" t="str">
        <f t="array" ref="W402">IF(NOT(ISBLANK(D402)),_xludf.XLOOKUP(D402,[2]CODE!$A$4:$A$100,[2]CODE!$D$4:$D$100),"")</f>
        <v/>
      </c>
      <c r="X402" s="5" t="str">
        <f t="array" ref="X402">IF(NOT(AND(ISBLANK(D402),ISBLANK(C402))),_xludf.XLOOKUP(D402,[2]CODE!$A$4:$A$100,[2]CODE!$E$4:$E$100),"")</f>
        <v/>
      </c>
      <c r="Y402" s="5" t="str">
        <f t="shared" si="45"/>
        <v/>
      </c>
      <c r="Z402" s="5" t="str">
        <f t="shared" si="46"/>
        <v/>
      </c>
      <c r="AA402" s="4">
        <f t="shared" si="47"/>
        <v>0</v>
      </c>
      <c r="AC402" s="2"/>
    </row>
    <row r="403" spans="1:29" ht="15.5">
      <c r="A403" s="13" t="str">
        <f>IF(OR(ISBLANK(C403),ISBLANK(D403),ISBLANK(F403),ISBLANK(G403)),"",COUNTIF($B$5:B403,"JAMBUTU"))</f>
        <v/>
      </c>
      <c r="B403" s="8" t="str">
        <f t="shared" ref="B403:B466" si="48">IF(C403&lt;&gt;"","Jambutu","")</f>
        <v/>
      </c>
      <c r="C403" s="8"/>
      <c r="D403" s="8"/>
      <c r="E403" s="13"/>
      <c r="F403" s="12"/>
      <c r="G403" s="17"/>
      <c r="H403" s="12"/>
      <c r="I403" s="17"/>
      <c r="J403" s="10">
        <f t="shared" si="42"/>
        <v>0</v>
      </c>
      <c r="K403" s="10">
        <f t="shared" si="43"/>
        <v>0</v>
      </c>
      <c r="L403" s="9" t="str">
        <f t="shared" si="44"/>
        <v/>
      </c>
      <c r="M403" s="8"/>
      <c r="N403" s="8"/>
      <c r="O403" s="8"/>
      <c r="P403" s="8"/>
      <c r="Q403" s="8"/>
      <c r="R403" s="8"/>
      <c r="S403" s="8"/>
      <c r="T403" s="8"/>
      <c r="U403" s="8"/>
      <c r="V403" s="7"/>
      <c r="W403" s="6" t="str">
        <f t="array" ref="W403">IF(NOT(ISBLANK(D403)),_xludf.XLOOKUP(D403,[2]CODE!$A$4:$A$100,[2]CODE!$D$4:$D$100),"")</f>
        <v/>
      </c>
      <c r="X403" s="5" t="str">
        <f t="array" ref="X403">IF(NOT(AND(ISBLANK(D403),ISBLANK(C403))),_xludf.XLOOKUP(D403,[2]CODE!$A$4:$A$100,[2]CODE!$E$4:$E$100),"")</f>
        <v/>
      </c>
      <c r="Y403" s="5" t="str">
        <f t="shared" si="45"/>
        <v/>
      </c>
      <c r="Z403" s="5" t="str">
        <f t="shared" si="46"/>
        <v/>
      </c>
      <c r="AA403" s="4">
        <f t="shared" si="47"/>
        <v>0</v>
      </c>
      <c r="AC403" s="2"/>
    </row>
    <row r="404" spans="1:29" ht="15.5">
      <c r="A404" s="13" t="str">
        <f>IF(OR(ISBLANK(C404),ISBLANK(D404),ISBLANK(F404),ISBLANK(G404)),"",COUNTIF($B$5:B404,"JAMBUTU"))</f>
        <v/>
      </c>
      <c r="B404" s="8" t="str">
        <f t="shared" si="48"/>
        <v/>
      </c>
      <c r="C404" s="8"/>
      <c r="D404" s="8"/>
      <c r="E404" s="13"/>
      <c r="F404" s="12"/>
      <c r="G404" s="19"/>
      <c r="H404" s="12"/>
      <c r="I404" s="19"/>
      <c r="J404" s="10">
        <f t="shared" si="42"/>
        <v>0</v>
      </c>
      <c r="K404" s="10">
        <f t="shared" si="43"/>
        <v>0</v>
      </c>
      <c r="L404" s="9" t="str">
        <f t="shared" si="44"/>
        <v/>
      </c>
      <c r="M404" s="8"/>
      <c r="N404" s="8"/>
      <c r="O404" s="8"/>
      <c r="P404" s="8"/>
      <c r="Q404" s="8"/>
      <c r="R404" s="8"/>
      <c r="S404" s="8"/>
      <c r="T404" s="8"/>
      <c r="U404" s="8"/>
      <c r="V404" s="7"/>
      <c r="W404" s="6" t="str">
        <f t="array" ref="W404">IF(NOT(ISBLANK(D404)),_xludf.XLOOKUP(D404,[2]CODE!$A$4:$A$100,[2]CODE!$D$4:$D$100),"")</f>
        <v/>
      </c>
      <c r="X404" s="5" t="str">
        <f t="array" ref="X404">IF(NOT(AND(ISBLANK(D404),ISBLANK(C404))),_xludf.XLOOKUP(D404,[2]CODE!$A$4:$A$100,[2]CODE!$E$4:$E$100),"")</f>
        <v/>
      </c>
      <c r="Y404" s="5" t="str">
        <f t="shared" si="45"/>
        <v/>
      </c>
      <c r="Z404" s="5" t="str">
        <f t="shared" si="46"/>
        <v/>
      </c>
      <c r="AA404" s="4">
        <f t="shared" si="47"/>
        <v>0</v>
      </c>
      <c r="AC404" s="2"/>
    </row>
    <row r="405" spans="1:29" ht="15.5">
      <c r="A405" s="13" t="str">
        <f>IF(OR(ISBLANK(C405),ISBLANK(D405),ISBLANK(F405),ISBLANK(G405)),"",COUNTIF($B$5:B405,"JAMBUTU"))</f>
        <v/>
      </c>
      <c r="B405" s="8" t="str">
        <f t="shared" si="48"/>
        <v/>
      </c>
      <c r="C405" s="8"/>
      <c r="D405" s="8"/>
      <c r="E405" s="13"/>
      <c r="F405" s="12"/>
      <c r="G405" s="17"/>
      <c r="H405" s="12"/>
      <c r="I405" s="17"/>
      <c r="J405" s="10">
        <f t="shared" si="42"/>
        <v>0</v>
      </c>
      <c r="K405" s="10">
        <f t="shared" si="43"/>
        <v>0</v>
      </c>
      <c r="L405" s="9" t="str">
        <f t="shared" si="44"/>
        <v/>
      </c>
      <c r="M405" s="8"/>
      <c r="N405" s="8"/>
      <c r="O405" s="8"/>
      <c r="P405" s="8"/>
      <c r="Q405" s="8"/>
      <c r="R405" s="8"/>
      <c r="S405" s="8"/>
      <c r="T405" s="8"/>
      <c r="U405" s="8"/>
      <c r="V405" s="7"/>
      <c r="W405" s="6" t="str">
        <f t="array" ref="W405">IF(NOT(ISBLANK(D405)),_xludf.XLOOKUP(D405,[2]CODE!$A$4:$A$100,[2]CODE!$D$4:$D$100),"")</f>
        <v/>
      </c>
      <c r="X405" s="5" t="str">
        <f t="array" ref="X405">IF(NOT(AND(ISBLANK(D405),ISBLANK(C405))),_xludf.XLOOKUP(D405,[2]CODE!$A$4:$A$100,[2]CODE!$E$4:$E$100),"")</f>
        <v/>
      </c>
      <c r="Y405" s="5" t="str">
        <f t="shared" si="45"/>
        <v/>
      </c>
      <c r="Z405" s="5" t="str">
        <f t="shared" si="46"/>
        <v/>
      </c>
      <c r="AA405" s="4">
        <f t="shared" si="47"/>
        <v>0</v>
      </c>
      <c r="AC405" s="2"/>
    </row>
    <row r="406" spans="1:29" ht="15.5">
      <c r="A406" s="13" t="str">
        <f>IF(OR(ISBLANK(C406),ISBLANK(D406),ISBLANK(F406),ISBLANK(G406)),"",COUNTIF($B$5:B406,"JAMBUTU"))</f>
        <v/>
      </c>
      <c r="B406" s="8" t="str">
        <f t="shared" si="48"/>
        <v/>
      </c>
      <c r="C406" s="8"/>
      <c r="D406" s="8"/>
      <c r="E406" s="13"/>
      <c r="F406" s="12"/>
      <c r="G406" s="17"/>
      <c r="H406" s="12"/>
      <c r="I406" s="17"/>
      <c r="J406" s="10">
        <f t="shared" si="42"/>
        <v>0</v>
      </c>
      <c r="K406" s="10">
        <f t="shared" si="43"/>
        <v>0</v>
      </c>
      <c r="L406" s="9" t="str">
        <f t="shared" si="44"/>
        <v/>
      </c>
      <c r="M406" s="8"/>
      <c r="N406" s="8"/>
      <c r="O406" s="8"/>
      <c r="P406" s="8"/>
      <c r="Q406" s="8"/>
      <c r="R406" s="8"/>
      <c r="S406" s="8"/>
      <c r="T406" s="8"/>
      <c r="U406" s="8"/>
      <c r="V406" s="7"/>
      <c r="W406" s="6" t="str">
        <f t="array" ref="W406">IF(NOT(ISBLANK(D406)),_xludf.XLOOKUP(D406,[2]CODE!$A$4:$A$100,[2]CODE!$D$4:$D$100),"")</f>
        <v/>
      </c>
      <c r="X406" s="5" t="str">
        <f t="array" ref="X406">IF(NOT(AND(ISBLANK(D406),ISBLANK(C406))),_xludf.XLOOKUP(D406,[2]CODE!$A$4:$A$100,[2]CODE!$E$4:$E$100),"")</f>
        <v/>
      </c>
      <c r="Y406" s="5" t="str">
        <f t="shared" si="45"/>
        <v/>
      </c>
      <c r="Z406" s="5" t="str">
        <f t="shared" si="46"/>
        <v/>
      </c>
      <c r="AA406" s="4">
        <f t="shared" si="47"/>
        <v>0</v>
      </c>
      <c r="AC406" s="2"/>
    </row>
    <row r="407" spans="1:29" ht="15.5">
      <c r="A407" s="13" t="str">
        <f>IF(OR(ISBLANK(C407),ISBLANK(D407),ISBLANK(F407),ISBLANK(G407)),"",COUNTIF($B$5:B407,"JAMBUTU"))</f>
        <v/>
      </c>
      <c r="B407" s="8" t="str">
        <f t="shared" si="48"/>
        <v/>
      </c>
      <c r="C407" s="8"/>
      <c r="D407" s="8"/>
      <c r="E407" s="13"/>
      <c r="F407" s="12"/>
      <c r="G407" s="17"/>
      <c r="H407" s="12"/>
      <c r="I407" s="17"/>
      <c r="J407" s="10">
        <f t="shared" si="42"/>
        <v>0</v>
      </c>
      <c r="K407" s="10">
        <f t="shared" si="43"/>
        <v>0</v>
      </c>
      <c r="L407" s="9" t="str">
        <f t="shared" si="44"/>
        <v/>
      </c>
      <c r="M407" s="8"/>
      <c r="N407" s="8"/>
      <c r="O407" s="8"/>
      <c r="P407" s="8"/>
      <c r="Q407" s="8"/>
      <c r="R407" s="8"/>
      <c r="S407" s="8"/>
      <c r="T407" s="8"/>
      <c r="U407" s="8"/>
      <c r="V407" s="7"/>
      <c r="W407" s="6" t="str">
        <f t="array" ref="W407">IF(NOT(ISBLANK(D407)),_xludf.XLOOKUP(D407,[2]CODE!$A$4:$A$100,[2]CODE!$D$4:$D$100),"")</f>
        <v/>
      </c>
      <c r="X407" s="5" t="str">
        <f t="array" ref="X407">IF(NOT(AND(ISBLANK(D407),ISBLANK(C407))),_xludf.XLOOKUP(D407,[2]CODE!$A$4:$A$100,[2]CODE!$E$4:$E$100),"")</f>
        <v/>
      </c>
      <c r="Y407" s="5" t="str">
        <f t="shared" si="45"/>
        <v/>
      </c>
      <c r="Z407" s="5" t="str">
        <f t="shared" si="46"/>
        <v/>
      </c>
      <c r="AA407" s="4">
        <f t="shared" si="47"/>
        <v>0</v>
      </c>
      <c r="AC407" s="2"/>
    </row>
    <row r="408" spans="1:29" ht="15.5">
      <c r="A408" s="13" t="str">
        <f>IF(OR(ISBLANK(C408),ISBLANK(D408),ISBLANK(F408),ISBLANK(G408)),"",COUNTIF($B$5:B408,"JAMBUTU"))</f>
        <v/>
      </c>
      <c r="B408" s="8" t="str">
        <f t="shared" si="48"/>
        <v/>
      </c>
      <c r="C408" s="8"/>
      <c r="D408" s="8"/>
      <c r="E408" s="18"/>
      <c r="F408" s="12"/>
      <c r="G408" s="17"/>
      <c r="H408" s="12"/>
      <c r="I408" s="17"/>
      <c r="J408" s="10">
        <f t="shared" si="42"/>
        <v>0</v>
      </c>
      <c r="K408" s="10">
        <f t="shared" si="43"/>
        <v>0</v>
      </c>
      <c r="L408" s="9" t="str">
        <f t="shared" si="44"/>
        <v/>
      </c>
      <c r="M408" s="8"/>
      <c r="N408" s="8"/>
      <c r="O408" s="8"/>
      <c r="P408" s="8"/>
      <c r="Q408" s="8"/>
      <c r="R408" s="8"/>
      <c r="S408" s="8"/>
      <c r="T408" s="8"/>
      <c r="U408" s="8"/>
      <c r="V408" s="7"/>
      <c r="W408" s="6" t="str">
        <f t="array" ref="W408">IF(NOT(ISBLANK(D408)),_xludf.XLOOKUP(D408,[2]CODE!$A$4:$A$100,[2]CODE!$D$4:$D$100),"")</f>
        <v/>
      </c>
      <c r="X408" s="5" t="str">
        <f t="array" ref="X408">IF(NOT(AND(ISBLANK(D408),ISBLANK(C408))),_xludf.XLOOKUP(D408,[2]CODE!$A$4:$A$100,[2]CODE!$E$4:$E$100),"")</f>
        <v/>
      </c>
      <c r="Y408" s="5" t="str">
        <f t="shared" si="45"/>
        <v/>
      </c>
      <c r="Z408" s="5" t="str">
        <f t="shared" si="46"/>
        <v/>
      </c>
      <c r="AA408" s="4">
        <f t="shared" si="47"/>
        <v>0</v>
      </c>
      <c r="AC408" s="2"/>
    </row>
    <row r="409" spans="1:29" ht="15.5">
      <c r="A409" s="13" t="str">
        <f>IF(OR(ISBLANK(C409),ISBLANK(D409),ISBLANK(F409),ISBLANK(G409)),"",COUNTIF($B$5:B409,"JAMBUTU"))</f>
        <v/>
      </c>
      <c r="B409" s="8" t="str">
        <f t="shared" si="48"/>
        <v/>
      </c>
      <c r="C409" s="8"/>
      <c r="D409" s="8"/>
      <c r="E409" s="18"/>
      <c r="F409" s="12"/>
      <c r="G409" s="17"/>
      <c r="H409" s="12"/>
      <c r="I409" s="17"/>
      <c r="J409" s="10">
        <f t="shared" si="42"/>
        <v>0</v>
      </c>
      <c r="K409" s="10">
        <f t="shared" si="43"/>
        <v>0</v>
      </c>
      <c r="L409" s="9" t="str">
        <f t="shared" si="44"/>
        <v/>
      </c>
      <c r="M409" s="8"/>
      <c r="N409" s="8"/>
      <c r="O409" s="8"/>
      <c r="P409" s="8"/>
      <c r="Q409" s="8"/>
      <c r="R409" s="8"/>
      <c r="S409" s="8"/>
      <c r="T409" s="8"/>
      <c r="U409" s="8"/>
      <c r="V409" s="7"/>
      <c r="W409" s="6" t="str">
        <f t="array" ref="W409">IF(NOT(ISBLANK(D409)),_xludf.XLOOKUP(D409,[2]CODE!$A$4:$A$100,[2]CODE!$D$4:$D$100),"")</f>
        <v/>
      </c>
      <c r="X409" s="5" t="str">
        <f t="array" ref="X409">IF(NOT(AND(ISBLANK(D409),ISBLANK(C409))),_xludf.XLOOKUP(D409,[2]CODE!$A$4:$A$100,[2]CODE!$E$4:$E$100),"")</f>
        <v/>
      </c>
      <c r="Y409" s="5" t="str">
        <f t="shared" si="45"/>
        <v/>
      </c>
      <c r="Z409" s="5" t="str">
        <f t="shared" si="46"/>
        <v/>
      </c>
      <c r="AA409" s="4">
        <f t="shared" si="47"/>
        <v>0</v>
      </c>
      <c r="AC409" s="2"/>
    </row>
    <row r="410" spans="1:29" ht="15.5">
      <c r="A410" s="13" t="str">
        <f>IF(OR(ISBLANK(C410),ISBLANK(D410),ISBLANK(F410),ISBLANK(G410)),"",COUNTIF($B$5:B410,"JAMBUTU"))</f>
        <v/>
      </c>
      <c r="B410" s="8" t="str">
        <f t="shared" si="48"/>
        <v/>
      </c>
      <c r="C410" s="8"/>
      <c r="D410" s="8"/>
      <c r="E410" s="18"/>
      <c r="F410" s="12"/>
      <c r="G410" s="17"/>
      <c r="H410" s="12"/>
      <c r="I410" s="17"/>
      <c r="J410" s="10">
        <f t="shared" si="42"/>
        <v>0</v>
      </c>
      <c r="K410" s="10">
        <f t="shared" si="43"/>
        <v>0</v>
      </c>
      <c r="L410" s="9" t="str">
        <f t="shared" si="44"/>
        <v/>
      </c>
      <c r="M410" s="8"/>
      <c r="N410" s="8"/>
      <c r="O410" s="8"/>
      <c r="P410" s="8"/>
      <c r="Q410" s="8"/>
      <c r="R410" s="8"/>
      <c r="S410" s="8"/>
      <c r="T410" s="8"/>
      <c r="U410" s="8"/>
      <c r="V410" s="7"/>
      <c r="W410" s="6" t="str">
        <f t="array" ref="W410">IF(NOT(ISBLANK(D410)),_xludf.XLOOKUP(D410,[2]CODE!$A$4:$A$100,[2]CODE!$D$4:$D$100),"")</f>
        <v/>
      </c>
      <c r="X410" s="5" t="str">
        <f t="array" ref="X410">IF(NOT(AND(ISBLANK(D410),ISBLANK(C410))),_xludf.XLOOKUP(D410,[2]CODE!$A$4:$A$100,[2]CODE!$E$4:$E$100),"")</f>
        <v/>
      </c>
      <c r="Y410" s="5" t="str">
        <f t="shared" si="45"/>
        <v/>
      </c>
      <c r="Z410" s="5" t="str">
        <f t="shared" si="46"/>
        <v/>
      </c>
      <c r="AA410" s="4">
        <f t="shared" si="47"/>
        <v>0</v>
      </c>
      <c r="AC410" s="2"/>
    </row>
    <row r="411" spans="1:29" ht="15.5">
      <c r="A411" s="13" t="str">
        <f>IF(OR(ISBLANK(C411),ISBLANK(D411),ISBLANK(F411),ISBLANK(G411)),"",COUNTIF($B$5:B411,"JAMBUTU"))</f>
        <v/>
      </c>
      <c r="B411" s="8" t="str">
        <f t="shared" si="48"/>
        <v/>
      </c>
      <c r="C411" s="8"/>
      <c r="D411" s="8"/>
      <c r="E411" s="18"/>
      <c r="F411" s="12"/>
      <c r="G411" s="17"/>
      <c r="H411" s="12"/>
      <c r="I411" s="17"/>
      <c r="J411" s="10">
        <f t="shared" si="42"/>
        <v>0</v>
      </c>
      <c r="K411" s="10">
        <f t="shared" si="43"/>
        <v>0</v>
      </c>
      <c r="L411" s="9" t="str">
        <f t="shared" si="44"/>
        <v/>
      </c>
      <c r="M411" s="8"/>
      <c r="N411" s="8"/>
      <c r="O411" s="8"/>
      <c r="P411" s="8"/>
      <c r="Q411" s="8"/>
      <c r="R411" s="8"/>
      <c r="S411" s="8"/>
      <c r="T411" s="8"/>
      <c r="U411" s="8"/>
      <c r="V411" s="7"/>
      <c r="W411" s="6" t="str">
        <f t="array" ref="W411">IF(NOT(ISBLANK(D411)),_xludf.XLOOKUP(D411,[2]CODE!$A$4:$A$100,[2]CODE!$D$4:$D$100),"")</f>
        <v/>
      </c>
      <c r="X411" s="5" t="str">
        <f t="array" ref="X411">IF(NOT(AND(ISBLANK(D411),ISBLANK(C411))),_xludf.XLOOKUP(D411,[2]CODE!$A$4:$A$100,[2]CODE!$E$4:$E$100),"")</f>
        <v/>
      </c>
      <c r="Y411" s="5" t="str">
        <f t="shared" si="45"/>
        <v/>
      </c>
      <c r="Z411" s="5" t="str">
        <f t="shared" si="46"/>
        <v/>
      </c>
      <c r="AA411" s="4">
        <f t="shared" si="47"/>
        <v>0</v>
      </c>
      <c r="AC411" s="2"/>
    </row>
    <row r="412" spans="1:29" ht="15.5">
      <c r="A412" s="13" t="str">
        <f>IF(OR(ISBLANK(C412),ISBLANK(D412),ISBLANK(F412),ISBLANK(G412)),"",COUNTIF($B$5:B412,"JAMBUTU"))</f>
        <v/>
      </c>
      <c r="B412" s="8" t="str">
        <f t="shared" si="48"/>
        <v/>
      </c>
      <c r="C412" s="8"/>
      <c r="D412" s="8"/>
      <c r="E412" s="18"/>
      <c r="F412" s="12"/>
      <c r="G412" s="17"/>
      <c r="H412" s="12"/>
      <c r="I412" s="17"/>
      <c r="J412" s="10">
        <f t="shared" si="42"/>
        <v>0</v>
      </c>
      <c r="K412" s="10">
        <f t="shared" si="43"/>
        <v>0</v>
      </c>
      <c r="L412" s="9" t="str">
        <f t="shared" si="44"/>
        <v/>
      </c>
      <c r="M412" s="8"/>
      <c r="N412" s="8"/>
      <c r="O412" s="8"/>
      <c r="P412" s="8"/>
      <c r="Q412" s="8"/>
      <c r="R412" s="8"/>
      <c r="S412" s="8"/>
      <c r="T412" s="8"/>
      <c r="U412" s="8"/>
      <c r="V412" s="7"/>
      <c r="W412" s="6" t="str">
        <f t="array" ref="W412">IF(NOT(ISBLANK(D412)),_xludf.XLOOKUP(D412,[2]CODE!$A$4:$A$100,[2]CODE!$D$4:$D$100),"")</f>
        <v/>
      </c>
      <c r="X412" s="5" t="str">
        <f t="array" ref="X412">IF(NOT(AND(ISBLANK(D412),ISBLANK(C412))),_xludf.XLOOKUP(D412,[2]CODE!$A$4:$A$100,[2]CODE!$E$4:$E$100),"")</f>
        <v/>
      </c>
      <c r="Y412" s="5" t="str">
        <f t="shared" si="45"/>
        <v/>
      </c>
      <c r="Z412" s="5" t="str">
        <f t="shared" si="46"/>
        <v/>
      </c>
      <c r="AA412" s="4">
        <f t="shared" si="47"/>
        <v>0</v>
      </c>
      <c r="AC412" s="2"/>
    </row>
    <row r="413" spans="1:29" ht="15.5">
      <c r="A413" s="13" t="str">
        <f>IF(OR(ISBLANK(C413),ISBLANK(D413),ISBLANK(F413),ISBLANK(G413)),"",COUNTIF($B$5:B413,"JAMBUTU"))</f>
        <v/>
      </c>
      <c r="B413" s="8" t="str">
        <f t="shared" si="48"/>
        <v/>
      </c>
      <c r="C413" s="8"/>
      <c r="D413" s="8"/>
      <c r="E413" s="18"/>
      <c r="F413" s="12"/>
      <c r="G413" s="17"/>
      <c r="H413" s="12"/>
      <c r="I413" s="17"/>
      <c r="J413" s="10">
        <f t="shared" si="42"/>
        <v>0</v>
      </c>
      <c r="K413" s="10">
        <f t="shared" si="43"/>
        <v>0</v>
      </c>
      <c r="L413" s="9" t="str">
        <f t="shared" si="44"/>
        <v/>
      </c>
      <c r="M413" s="8"/>
      <c r="N413" s="8"/>
      <c r="O413" s="8"/>
      <c r="P413" s="8"/>
      <c r="Q413" s="8"/>
      <c r="R413" s="8"/>
      <c r="S413" s="8"/>
      <c r="T413" s="8"/>
      <c r="U413" s="8"/>
      <c r="V413" s="7"/>
      <c r="W413" s="6" t="str">
        <f t="array" ref="W413">IF(NOT(ISBLANK(D413)),_xludf.XLOOKUP(D413,[2]CODE!$A$4:$A$100,[2]CODE!$D$4:$D$100),"")</f>
        <v/>
      </c>
      <c r="X413" s="5" t="str">
        <f t="array" ref="X413">IF(NOT(AND(ISBLANK(D413),ISBLANK(C413))),_xludf.XLOOKUP(D413,[2]CODE!$A$4:$A$100,[2]CODE!$E$4:$E$100),"")</f>
        <v/>
      </c>
      <c r="Y413" s="5" t="str">
        <f t="shared" si="45"/>
        <v/>
      </c>
      <c r="Z413" s="5" t="str">
        <f t="shared" si="46"/>
        <v/>
      </c>
      <c r="AA413" s="4">
        <f t="shared" si="47"/>
        <v>0</v>
      </c>
      <c r="AC413" s="2"/>
    </row>
    <row r="414" spans="1:29" ht="15.5">
      <c r="A414" s="13" t="str">
        <f>IF(OR(ISBLANK(C414),ISBLANK(D414),ISBLANK(F414),ISBLANK(G414)),"",COUNTIF($B$5:B414,"JAMBUTU"))</f>
        <v/>
      </c>
      <c r="B414" s="8" t="str">
        <f t="shared" si="48"/>
        <v/>
      </c>
      <c r="C414" s="8"/>
      <c r="D414" s="8"/>
      <c r="E414" s="18"/>
      <c r="F414" s="12"/>
      <c r="G414" s="17"/>
      <c r="H414" s="12"/>
      <c r="I414" s="17"/>
      <c r="J414" s="10">
        <f t="shared" si="42"/>
        <v>0</v>
      </c>
      <c r="K414" s="10">
        <f t="shared" si="43"/>
        <v>0</v>
      </c>
      <c r="L414" s="9" t="str">
        <f t="shared" si="44"/>
        <v/>
      </c>
      <c r="M414" s="8"/>
      <c r="N414" s="8"/>
      <c r="O414" s="8"/>
      <c r="P414" s="8"/>
      <c r="Q414" s="8"/>
      <c r="R414" s="8"/>
      <c r="S414" s="8"/>
      <c r="T414" s="8"/>
      <c r="U414" s="8"/>
      <c r="V414" s="7"/>
      <c r="W414" s="6" t="str">
        <f t="array" ref="W414">IF(NOT(ISBLANK(D414)),_xludf.XLOOKUP(D414,[2]CODE!$A$4:$A$100,[2]CODE!$D$4:$D$100),"")</f>
        <v/>
      </c>
      <c r="X414" s="5" t="str">
        <f t="array" ref="X414">IF(NOT(AND(ISBLANK(D414),ISBLANK(C414))),_xludf.XLOOKUP(D414,[2]CODE!$A$4:$A$100,[2]CODE!$E$4:$E$100),"")</f>
        <v/>
      </c>
      <c r="Y414" s="5" t="str">
        <f t="shared" si="45"/>
        <v/>
      </c>
      <c r="Z414" s="5" t="str">
        <f t="shared" si="46"/>
        <v/>
      </c>
      <c r="AA414" s="4">
        <f t="shared" si="47"/>
        <v>0</v>
      </c>
      <c r="AC414" s="2"/>
    </row>
    <row r="415" spans="1:29" ht="15.5">
      <c r="A415" s="13" t="str">
        <f>IF(OR(ISBLANK(C415),ISBLANK(D415),ISBLANK(F415),ISBLANK(G415)),"",COUNTIF($B$5:B415,"JAMBUTU"))</f>
        <v/>
      </c>
      <c r="B415" s="8" t="str">
        <f t="shared" si="48"/>
        <v/>
      </c>
      <c r="C415" s="8"/>
      <c r="D415" s="8"/>
      <c r="E415" s="18"/>
      <c r="F415" s="12"/>
      <c r="G415" s="17"/>
      <c r="H415" s="12"/>
      <c r="I415" s="17"/>
      <c r="J415" s="10">
        <f t="shared" si="42"/>
        <v>0</v>
      </c>
      <c r="K415" s="10">
        <f t="shared" si="43"/>
        <v>0</v>
      </c>
      <c r="L415" s="9" t="str">
        <f t="shared" si="44"/>
        <v/>
      </c>
      <c r="M415" s="8"/>
      <c r="N415" s="8"/>
      <c r="O415" s="8"/>
      <c r="P415" s="8"/>
      <c r="Q415" s="8"/>
      <c r="R415" s="8"/>
      <c r="S415" s="8"/>
      <c r="T415" s="8"/>
      <c r="U415" s="8"/>
      <c r="V415" s="7"/>
      <c r="W415" s="6" t="str">
        <f t="array" ref="W415">IF(NOT(ISBLANK(D415)),_xludf.XLOOKUP(D415,[2]CODE!$A$4:$A$100,[2]CODE!$D$4:$D$100),"")</f>
        <v/>
      </c>
      <c r="X415" s="5" t="str">
        <f t="array" ref="X415">IF(NOT(AND(ISBLANK(D415),ISBLANK(C415))),_xludf.XLOOKUP(D415,[2]CODE!$A$4:$A$100,[2]CODE!$E$4:$E$100),"")</f>
        <v/>
      </c>
      <c r="Y415" s="5" t="str">
        <f t="shared" si="45"/>
        <v/>
      </c>
      <c r="Z415" s="5" t="str">
        <f t="shared" si="46"/>
        <v/>
      </c>
      <c r="AA415" s="4">
        <f t="shared" si="47"/>
        <v>0</v>
      </c>
      <c r="AC415" s="2"/>
    </row>
    <row r="416" spans="1:29" ht="15.5">
      <c r="A416" s="13" t="str">
        <f>IF(OR(ISBLANK(C416),ISBLANK(D416),ISBLANK(F416),ISBLANK(G416)),"",COUNTIF($B$5:B416,"JAMBUTU"))</f>
        <v/>
      </c>
      <c r="B416" s="8" t="str">
        <f t="shared" si="48"/>
        <v/>
      </c>
      <c r="C416" s="8"/>
      <c r="D416" s="8"/>
      <c r="E416" s="18"/>
      <c r="F416" s="12"/>
      <c r="G416" s="17"/>
      <c r="H416" s="12"/>
      <c r="I416" s="17"/>
      <c r="J416" s="10">
        <f t="shared" si="42"/>
        <v>0</v>
      </c>
      <c r="K416" s="10">
        <f t="shared" si="43"/>
        <v>0</v>
      </c>
      <c r="L416" s="9" t="str">
        <f t="shared" si="44"/>
        <v/>
      </c>
      <c r="M416" s="8"/>
      <c r="N416" s="8"/>
      <c r="O416" s="8"/>
      <c r="P416" s="8"/>
      <c r="Q416" s="8"/>
      <c r="R416" s="8"/>
      <c r="S416" s="8"/>
      <c r="T416" s="8"/>
      <c r="U416" s="8"/>
      <c r="V416" s="7"/>
      <c r="W416" s="6" t="str">
        <f t="array" ref="W416">IF(NOT(ISBLANK(D416)),_xludf.XLOOKUP(D416,[2]CODE!$A$4:$A$100,[2]CODE!$D$4:$D$100),"")</f>
        <v/>
      </c>
      <c r="X416" s="5" t="str">
        <f t="array" ref="X416">IF(NOT(AND(ISBLANK(D416),ISBLANK(C416))),_xludf.XLOOKUP(D416,[2]CODE!$A$4:$A$100,[2]CODE!$E$4:$E$100),"")</f>
        <v/>
      </c>
      <c r="Y416" s="5" t="str">
        <f t="shared" si="45"/>
        <v/>
      </c>
      <c r="Z416" s="5" t="str">
        <f t="shared" si="46"/>
        <v/>
      </c>
      <c r="AA416" s="4">
        <f t="shared" si="47"/>
        <v>0</v>
      </c>
      <c r="AC416" s="2"/>
    </row>
    <row r="417" spans="1:29" ht="15.5">
      <c r="A417" s="13" t="str">
        <f>IF(OR(ISBLANK(C417),ISBLANK(D417),ISBLANK(F417),ISBLANK(G417)),"",COUNTIF($B$5:B417,"JAMBUTU"))</f>
        <v/>
      </c>
      <c r="B417" s="8" t="str">
        <f t="shared" si="48"/>
        <v/>
      </c>
      <c r="C417" s="8"/>
      <c r="D417" s="8"/>
      <c r="E417" s="18"/>
      <c r="F417" s="12"/>
      <c r="G417" s="17"/>
      <c r="H417" s="12"/>
      <c r="I417" s="19"/>
      <c r="J417" s="10">
        <f t="shared" si="42"/>
        <v>0</v>
      </c>
      <c r="K417" s="10">
        <f t="shared" si="43"/>
        <v>0</v>
      </c>
      <c r="L417" s="9" t="str">
        <f t="shared" si="44"/>
        <v/>
      </c>
      <c r="M417" s="8"/>
      <c r="N417" s="8"/>
      <c r="O417" s="8"/>
      <c r="P417" s="8"/>
      <c r="Q417" s="8"/>
      <c r="R417" s="8"/>
      <c r="S417" s="16"/>
      <c r="T417" s="8"/>
      <c r="U417" s="8"/>
      <c r="V417" s="7"/>
      <c r="W417" s="6" t="str">
        <f t="array" ref="W417">IF(NOT(ISBLANK(D417)),_xludf.XLOOKUP(D417,[2]CODE!$A$4:$A$100,[2]CODE!$D$4:$D$100),"")</f>
        <v/>
      </c>
      <c r="X417" s="5" t="str">
        <f t="array" ref="X417">IF(NOT(AND(ISBLANK(D417),ISBLANK(C417))),_xludf.XLOOKUP(D417,[2]CODE!$A$4:$A$100,[2]CODE!$E$4:$E$100),"")</f>
        <v/>
      </c>
      <c r="Y417" s="5" t="str">
        <f t="shared" si="45"/>
        <v/>
      </c>
      <c r="Z417" s="5" t="str">
        <f t="shared" si="46"/>
        <v/>
      </c>
      <c r="AA417" s="4">
        <f t="shared" si="47"/>
        <v>0</v>
      </c>
      <c r="AC417" s="2"/>
    </row>
    <row r="418" spans="1:29" ht="15.5">
      <c r="A418" s="13" t="str">
        <f>IF(OR(ISBLANK(C418),ISBLANK(D418),ISBLANK(F418),ISBLANK(G418)),"",COUNTIF($B$5:B418,"JAMBUTU"))</f>
        <v/>
      </c>
      <c r="B418" s="8" t="str">
        <f t="shared" si="48"/>
        <v/>
      </c>
      <c r="C418" s="8"/>
      <c r="D418" s="8"/>
      <c r="E418" s="18"/>
      <c r="F418" s="12"/>
      <c r="G418" s="17"/>
      <c r="H418" s="12"/>
      <c r="I418" s="17"/>
      <c r="J418" s="10">
        <f t="shared" si="42"/>
        <v>0</v>
      </c>
      <c r="K418" s="10">
        <f t="shared" si="43"/>
        <v>0</v>
      </c>
      <c r="L418" s="9" t="str">
        <f t="shared" si="44"/>
        <v/>
      </c>
      <c r="M418" s="8"/>
      <c r="N418" s="8"/>
      <c r="O418" s="8"/>
      <c r="P418" s="8"/>
      <c r="Q418" s="8"/>
      <c r="R418" s="8"/>
      <c r="S418" s="16"/>
      <c r="T418" s="8"/>
      <c r="U418" s="8"/>
      <c r="V418" s="7"/>
      <c r="W418" s="6" t="str">
        <f t="array" ref="W418">IF(NOT(ISBLANK(D418)),_xludf.XLOOKUP(D418,[2]CODE!$A$4:$A$100,[2]CODE!$D$4:$D$100),"")</f>
        <v/>
      </c>
      <c r="X418" s="5" t="str">
        <f t="array" ref="X418">IF(NOT(AND(ISBLANK(D418),ISBLANK(C418))),_xludf.XLOOKUP(D418,[2]CODE!$A$4:$A$100,[2]CODE!$E$4:$E$100),"")</f>
        <v/>
      </c>
      <c r="Y418" s="5" t="str">
        <f t="shared" si="45"/>
        <v/>
      </c>
      <c r="Z418" s="5" t="str">
        <f t="shared" si="46"/>
        <v/>
      </c>
      <c r="AA418" s="4">
        <f t="shared" si="47"/>
        <v>0</v>
      </c>
      <c r="AC418" s="2"/>
    </row>
    <row r="419" spans="1:29" ht="15.5">
      <c r="A419" s="13" t="str">
        <f>IF(OR(ISBLANK(C419),ISBLANK(D419),ISBLANK(F419),ISBLANK(G419)),"",COUNTIF($B$5:B419,"JAMBUTU"))</f>
        <v/>
      </c>
      <c r="B419" s="8" t="str">
        <f t="shared" si="48"/>
        <v/>
      </c>
      <c r="C419" s="8"/>
      <c r="D419" s="8"/>
      <c r="E419" s="18"/>
      <c r="F419" s="12"/>
      <c r="G419" s="17"/>
      <c r="H419" s="12"/>
      <c r="I419" s="17"/>
      <c r="J419" s="10">
        <f t="shared" si="42"/>
        <v>0</v>
      </c>
      <c r="K419" s="10">
        <f t="shared" si="43"/>
        <v>0</v>
      </c>
      <c r="L419" s="9" t="str">
        <f t="shared" si="44"/>
        <v/>
      </c>
      <c r="M419" s="8"/>
      <c r="N419" s="8"/>
      <c r="O419" s="8"/>
      <c r="P419" s="8"/>
      <c r="Q419" s="8"/>
      <c r="R419" s="8"/>
      <c r="S419" s="16"/>
      <c r="T419" s="8"/>
      <c r="U419" s="8"/>
      <c r="V419" s="7"/>
      <c r="W419" s="6" t="str">
        <f t="array" ref="W419">IF(NOT(ISBLANK(D419)),_xludf.XLOOKUP(D419,[2]CODE!$A$4:$A$100,[2]CODE!$D$4:$D$100),"")</f>
        <v/>
      </c>
      <c r="X419" s="5" t="str">
        <f t="array" ref="X419">IF(NOT(AND(ISBLANK(D419),ISBLANK(C419))),_xludf.XLOOKUP(D419,[2]CODE!$A$4:$A$100,[2]CODE!$E$4:$E$100),"")</f>
        <v/>
      </c>
      <c r="Y419" s="5" t="str">
        <f t="shared" si="45"/>
        <v/>
      </c>
      <c r="Z419" s="5" t="str">
        <f t="shared" si="46"/>
        <v/>
      </c>
      <c r="AA419" s="4">
        <f t="shared" si="47"/>
        <v>0</v>
      </c>
      <c r="AC419" s="2"/>
    </row>
    <row r="420" spans="1:29" ht="15.5">
      <c r="A420" s="13" t="str">
        <f>IF(OR(ISBLANK(C420),ISBLANK(D420),ISBLANK(F420),ISBLANK(G420)),"",COUNTIF($B$5:B420,"JAMBUTU"))</f>
        <v/>
      </c>
      <c r="B420" s="8" t="str">
        <f t="shared" si="48"/>
        <v/>
      </c>
      <c r="C420" s="8"/>
      <c r="D420" s="8"/>
      <c r="E420" s="18"/>
      <c r="F420" s="12"/>
      <c r="G420" s="17"/>
      <c r="H420" s="12"/>
      <c r="I420" s="19"/>
      <c r="J420" s="10">
        <f t="shared" si="42"/>
        <v>0</v>
      </c>
      <c r="K420" s="10">
        <f t="shared" si="43"/>
        <v>0</v>
      </c>
      <c r="L420" s="9" t="str">
        <f t="shared" si="44"/>
        <v/>
      </c>
      <c r="M420" s="8"/>
      <c r="N420" s="8"/>
      <c r="O420" s="8"/>
      <c r="P420" s="8"/>
      <c r="Q420" s="8"/>
      <c r="R420" s="8"/>
      <c r="S420" s="8"/>
      <c r="T420" s="8"/>
      <c r="U420" s="8"/>
      <c r="V420" s="7"/>
      <c r="W420" s="6" t="str">
        <f t="array" ref="W420">IF(NOT(ISBLANK(D420)),_xludf.XLOOKUP(D420,[2]CODE!$A$4:$A$100,[2]CODE!$D$4:$D$100),"")</f>
        <v/>
      </c>
      <c r="X420" s="5" t="str">
        <f t="array" ref="X420">IF(NOT(AND(ISBLANK(D420),ISBLANK(C420))),_xludf.XLOOKUP(D420,[2]CODE!$A$4:$A$100,[2]CODE!$E$4:$E$100),"")</f>
        <v/>
      </c>
      <c r="Y420" s="5" t="str">
        <f t="shared" si="45"/>
        <v/>
      </c>
      <c r="Z420" s="5" t="str">
        <f t="shared" si="46"/>
        <v/>
      </c>
      <c r="AA420" s="4">
        <f t="shared" si="47"/>
        <v>0</v>
      </c>
      <c r="AC420" s="2"/>
    </row>
    <row r="421" spans="1:29" ht="15.5">
      <c r="A421" s="13" t="str">
        <f>IF(OR(ISBLANK(C421),ISBLANK(D421),ISBLANK(F421),ISBLANK(G421)),"",COUNTIF($B$5:B421,"JAMBUTU"))</f>
        <v/>
      </c>
      <c r="B421" s="8" t="str">
        <f t="shared" si="48"/>
        <v/>
      </c>
      <c r="C421" s="8"/>
      <c r="D421" s="8"/>
      <c r="E421" s="18"/>
      <c r="F421" s="12"/>
      <c r="G421" s="17"/>
      <c r="H421" s="12"/>
      <c r="I421" s="17"/>
      <c r="J421" s="10">
        <f t="shared" si="42"/>
        <v>0</v>
      </c>
      <c r="K421" s="10">
        <f t="shared" si="43"/>
        <v>0</v>
      </c>
      <c r="L421" s="9" t="str">
        <f t="shared" si="44"/>
        <v/>
      </c>
      <c r="M421" s="8"/>
      <c r="N421" s="8"/>
      <c r="O421" s="8"/>
      <c r="P421" s="8"/>
      <c r="Q421" s="8"/>
      <c r="R421" s="8"/>
      <c r="S421" s="16"/>
      <c r="T421" s="8"/>
      <c r="U421" s="8"/>
      <c r="V421" s="7"/>
      <c r="W421" s="6" t="str">
        <f t="array" ref="W421">IF(NOT(ISBLANK(D421)),_xludf.XLOOKUP(D421,[2]CODE!$A$4:$A$100,[2]CODE!$D$4:$D$100),"")</f>
        <v/>
      </c>
      <c r="X421" s="5" t="str">
        <f t="array" ref="X421">IF(NOT(AND(ISBLANK(D421),ISBLANK(C421))),_xludf.XLOOKUP(D421,[2]CODE!$A$4:$A$100,[2]CODE!$E$4:$E$100),"")</f>
        <v/>
      </c>
      <c r="Y421" s="5" t="str">
        <f t="shared" si="45"/>
        <v/>
      </c>
      <c r="Z421" s="5" t="str">
        <f t="shared" si="46"/>
        <v/>
      </c>
      <c r="AA421" s="4">
        <f t="shared" si="47"/>
        <v>0</v>
      </c>
      <c r="AC421" s="2"/>
    </row>
    <row r="422" spans="1:29" ht="15.5">
      <c r="A422" s="13" t="str">
        <f>IF(OR(ISBLANK(C422),ISBLANK(D422),ISBLANK(F422),ISBLANK(G422)),"",COUNTIF($B$5:B422,"JAMBUTU"))</f>
        <v/>
      </c>
      <c r="B422" s="8" t="str">
        <f t="shared" si="48"/>
        <v/>
      </c>
      <c r="C422" s="8"/>
      <c r="D422" s="8"/>
      <c r="E422" s="18"/>
      <c r="F422" s="12"/>
      <c r="G422" s="17"/>
      <c r="H422" s="12"/>
      <c r="I422" s="19"/>
      <c r="J422" s="10">
        <f t="shared" si="42"/>
        <v>0</v>
      </c>
      <c r="K422" s="10">
        <f t="shared" si="43"/>
        <v>0</v>
      </c>
      <c r="L422" s="9" t="str">
        <f t="shared" si="44"/>
        <v/>
      </c>
      <c r="M422" s="8"/>
      <c r="N422" s="8"/>
      <c r="O422" s="8"/>
      <c r="P422" s="8"/>
      <c r="Q422" s="8"/>
      <c r="R422" s="8"/>
      <c r="S422" s="16"/>
      <c r="T422" s="8"/>
      <c r="U422" s="8"/>
      <c r="V422" s="7"/>
      <c r="W422" s="6" t="str">
        <f t="array" ref="W422">IF(NOT(ISBLANK(D422)),_xludf.XLOOKUP(D422,[2]CODE!$A$4:$A$100,[2]CODE!$D$4:$D$100),"")</f>
        <v/>
      </c>
      <c r="X422" s="5" t="str">
        <f t="array" ref="X422">IF(NOT(AND(ISBLANK(D422),ISBLANK(C422))),_xludf.XLOOKUP(D422,[2]CODE!$A$4:$A$100,[2]CODE!$E$4:$E$100),"")</f>
        <v/>
      </c>
      <c r="Y422" s="5" t="str">
        <f t="shared" si="45"/>
        <v/>
      </c>
      <c r="Z422" s="5" t="str">
        <f t="shared" si="46"/>
        <v/>
      </c>
      <c r="AA422" s="4">
        <f t="shared" si="47"/>
        <v>0</v>
      </c>
      <c r="AC422" s="2"/>
    </row>
    <row r="423" spans="1:29" ht="15.5">
      <c r="A423" s="13" t="str">
        <f>IF(OR(ISBLANK(C423),ISBLANK(D423),ISBLANK(F423),ISBLANK(G423)),"",COUNTIF($B$5:B423,"JAMBUTU"))</f>
        <v/>
      </c>
      <c r="B423" s="8" t="str">
        <f t="shared" si="48"/>
        <v/>
      </c>
      <c r="C423" s="8"/>
      <c r="D423" s="8"/>
      <c r="E423" s="18"/>
      <c r="F423" s="12"/>
      <c r="G423" s="17"/>
      <c r="H423" s="12"/>
      <c r="I423" s="17"/>
      <c r="J423" s="10">
        <f t="shared" si="42"/>
        <v>0</v>
      </c>
      <c r="K423" s="10">
        <f t="shared" si="43"/>
        <v>0</v>
      </c>
      <c r="L423" s="9" t="str">
        <f t="shared" si="44"/>
        <v/>
      </c>
      <c r="M423" s="8"/>
      <c r="N423" s="8"/>
      <c r="O423" s="8"/>
      <c r="P423" s="8"/>
      <c r="Q423" s="8"/>
      <c r="R423" s="8"/>
      <c r="S423" s="16"/>
      <c r="T423" s="8"/>
      <c r="U423" s="8"/>
      <c r="V423" s="7"/>
      <c r="W423" s="6" t="str">
        <f t="array" ref="W423">IF(NOT(ISBLANK(D423)),_xludf.XLOOKUP(D423,[2]CODE!$A$4:$A$100,[2]CODE!$D$4:$D$100),"")</f>
        <v/>
      </c>
      <c r="X423" s="5" t="str">
        <f t="array" ref="X423">IF(NOT(AND(ISBLANK(D423),ISBLANK(C423))),_xludf.XLOOKUP(D423,[2]CODE!$A$4:$A$100,[2]CODE!$E$4:$E$100),"")</f>
        <v/>
      </c>
      <c r="Y423" s="5" t="str">
        <f t="shared" si="45"/>
        <v/>
      </c>
      <c r="Z423" s="5" t="str">
        <f t="shared" si="46"/>
        <v/>
      </c>
      <c r="AA423" s="4">
        <f t="shared" si="47"/>
        <v>0</v>
      </c>
      <c r="AC423" s="2"/>
    </row>
    <row r="424" spans="1:29" ht="15.5">
      <c r="A424" s="13" t="str">
        <f>IF(OR(ISBLANK(C424),ISBLANK(D424),ISBLANK(F424),ISBLANK(G424)),"",COUNTIF($B$5:B424,"JAMBUTU"))</f>
        <v/>
      </c>
      <c r="B424" s="8" t="str">
        <f t="shared" si="48"/>
        <v/>
      </c>
      <c r="C424" s="8"/>
      <c r="D424" s="8"/>
      <c r="E424" s="18"/>
      <c r="F424" s="12"/>
      <c r="G424" s="17"/>
      <c r="H424" s="12"/>
      <c r="I424" s="17"/>
      <c r="J424" s="10">
        <f t="shared" si="42"/>
        <v>0</v>
      </c>
      <c r="K424" s="10">
        <f t="shared" si="43"/>
        <v>0</v>
      </c>
      <c r="L424" s="9" t="str">
        <f t="shared" si="44"/>
        <v/>
      </c>
      <c r="M424" s="8"/>
      <c r="N424" s="8"/>
      <c r="O424" s="8"/>
      <c r="P424" s="8"/>
      <c r="Q424" s="8"/>
      <c r="R424" s="8"/>
      <c r="S424" s="16"/>
      <c r="T424" s="8"/>
      <c r="U424" s="8"/>
      <c r="V424" s="7"/>
      <c r="W424" s="6" t="str">
        <f t="array" ref="W424">IF(NOT(ISBLANK(D424)),_xludf.XLOOKUP(D424,[2]CODE!$A$4:$A$100,[2]CODE!$D$4:$D$100),"")</f>
        <v/>
      </c>
      <c r="X424" s="5" t="str">
        <f t="array" ref="X424">IF(NOT(AND(ISBLANK(D424),ISBLANK(C424))),_xludf.XLOOKUP(D424,[2]CODE!$A$4:$A$100,[2]CODE!$E$4:$E$100),"")</f>
        <v/>
      </c>
      <c r="Y424" s="5" t="str">
        <f t="shared" si="45"/>
        <v/>
      </c>
      <c r="Z424" s="5" t="str">
        <f t="shared" si="46"/>
        <v/>
      </c>
      <c r="AA424" s="4">
        <f t="shared" si="47"/>
        <v>0</v>
      </c>
      <c r="AC424" s="2"/>
    </row>
    <row r="425" spans="1:29" ht="15.5">
      <c r="A425" s="13" t="str">
        <f>IF(OR(ISBLANK(C425),ISBLANK(D425),ISBLANK(F425),ISBLANK(G425)),"",COUNTIF($B$5:B425,"JAMBUTU"))</f>
        <v/>
      </c>
      <c r="B425" s="8" t="str">
        <f t="shared" si="48"/>
        <v/>
      </c>
      <c r="C425" s="8"/>
      <c r="D425" s="8"/>
      <c r="E425" s="18"/>
      <c r="F425" s="12"/>
      <c r="G425" s="17"/>
      <c r="H425" s="12"/>
      <c r="I425" s="17"/>
      <c r="J425" s="10">
        <f t="shared" si="42"/>
        <v>0</v>
      </c>
      <c r="K425" s="10">
        <f t="shared" si="43"/>
        <v>0</v>
      </c>
      <c r="L425" s="9" t="str">
        <f t="shared" si="44"/>
        <v/>
      </c>
      <c r="M425" s="8"/>
      <c r="N425" s="8"/>
      <c r="O425" s="8"/>
      <c r="P425" s="8"/>
      <c r="Q425" s="8"/>
      <c r="R425" s="8"/>
      <c r="S425" s="8"/>
      <c r="T425" s="8"/>
      <c r="U425" s="8"/>
      <c r="V425" s="7"/>
      <c r="W425" s="6" t="str">
        <f t="array" ref="W425">IF(NOT(ISBLANK(D425)),_xludf.XLOOKUP(D425,[2]CODE!$A$4:$A$100,[2]CODE!$D$4:$D$100),"")</f>
        <v/>
      </c>
      <c r="X425" s="5" t="str">
        <f t="array" ref="X425">IF(NOT(AND(ISBLANK(D425),ISBLANK(C425))),_xludf.XLOOKUP(D425,[2]CODE!$A$4:$A$100,[2]CODE!$E$4:$E$100),"")</f>
        <v/>
      </c>
      <c r="Y425" s="5" t="str">
        <f t="shared" si="45"/>
        <v/>
      </c>
      <c r="Z425" s="5" t="str">
        <f t="shared" si="46"/>
        <v/>
      </c>
      <c r="AA425" s="4">
        <f t="shared" si="47"/>
        <v>0</v>
      </c>
      <c r="AC425" s="2"/>
    </row>
    <row r="426" spans="1:29" ht="15.5">
      <c r="A426" s="13" t="str">
        <f>IF(OR(ISBLANK(C426),ISBLANK(D426),ISBLANK(F426),ISBLANK(G426)),"",COUNTIF($B$5:B426,"JAMBUTU"))</f>
        <v/>
      </c>
      <c r="B426" s="8" t="str">
        <f t="shared" si="48"/>
        <v/>
      </c>
      <c r="C426" s="8"/>
      <c r="D426" s="8"/>
      <c r="E426" s="18"/>
      <c r="F426" s="12"/>
      <c r="G426" s="17"/>
      <c r="H426" s="12"/>
      <c r="I426" s="17"/>
      <c r="J426" s="10">
        <f t="shared" si="42"/>
        <v>0</v>
      </c>
      <c r="K426" s="10">
        <f t="shared" si="43"/>
        <v>0</v>
      </c>
      <c r="L426" s="9" t="str">
        <f t="shared" si="44"/>
        <v/>
      </c>
      <c r="M426" s="8"/>
      <c r="N426" s="8"/>
      <c r="O426" s="8"/>
      <c r="P426" s="8"/>
      <c r="Q426" s="8"/>
      <c r="R426" s="8"/>
      <c r="S426" s="8"/>
      <c r="T426" s="8"/>
      <c r="U426" s="8"/>
      <c r="V426" s="7"/>
      <c r="W426" s="6" t="str">
        <f t="array" ref="W426">IF(NOT(ISBLANK(D426)),_xludf.XLOOKUP(D426,[2]CODE!$A$4:$A$100,[2]CODE!$D$4:$D$100),"")</f>
        <v/>
      </c>
      <c r="X426" s="5" t="str">
        <f t="array" ref="X426">IF(NOT(AND(ISBLANK(D426),ISBLANK(C426))),_xludf.XLOOKUP(D426,[2]CODE!$A$4:$A$100,[2]CODE!$E$4:$E$100),"")</f>
        <v/>
      </c>
      <c r="Y426" s="5" t="str">
        <f t="shared" si="45"/>
        <v/>
      </c>
      <c r="Z426" s="5" t="str">
        <f t="shared" si="46"/>
        <v/>
      </c>
      <c r="AA426" s="4">
        <f t="shared" si="47"/>
        <v>0</v>
      </c>
      <c r="AC426" s="2"/>
    </row>
    <row r="427" spans="1:29" ht="15.5">
      <c r="A427" s="13" t="str">
        <f>IF(OR(ISBLANK(C427),ISBLANK(D427),ISBLANK(F427),ISBLANK(G427)),"",COUNTIF($B$5:B427,"JAMBUTU"))</f>
        <v/>
      </c>
      <c r="B427" s="8" t="str">
        <f t="shared" si="48"/>
        <v/>
      </c>
      <c r="C427" s="8"/>
      <c r="D427" s="8"/>
      <c r="E427" s="18"/>
      <c r="F427" s="12"/>
      <c r="G427" s="17"/>
      <c r="H427" s="12"/>
      <c r="I427" s="17"/>
      <c r="J427" s="10">
        <f t="shared" si="42"/>
        <v>0</v>
      </c>
      <c r="K427" s="10">
        <f t="shared" si="43"/>
        <v>0</v>
      </c>
      <c r="L427" s="9" t="str">
        <f t="shared" si="44"/>
        <v/>
      </c>
      <c r="M427" s="8"/>
      <c r="N427" s="8"/>
      <c r="O427" s="8"/>
      <c r="P427" s="8"/>
      <c r="Q427" s="8"/>
      <c r="R427" s="8"/>
      <c r="S427" s="16"/>
      <c r="T427" s="8"/>
      <c r="U427" s="8"/>
      <c r="V427" s="7"/>
      <c r="W427" s="6" t="str">
        <f t="array" ref="W427">IF(NOT(ISBLANK(D427)),_xludf.XLOOKUP(D427,[2]CODE!$A$4:$A$100,[2]CODE!$D$4:$D$100),"")</f>
        <v/>
      </c>
      <c r="X427" s="5" t="str">
        <f t="array" ref="X427">IF(NOT(AND(ISBLANK(D427),ISBLANK(C427))),_xludf.XLOOKUP(D427,[2]CODE!$A$4:$A$100,[2]CODE!$E$4:$E$100),"")</f>
        <v/>
      </c>
      <c r="Y427" s="5" t="str">
        <f t="shared" si="45"/>
        <v/>
      </c>
      <c r="Z427" s="5" t="str">
        <f t="shared" si="46"/>
        <v/>
      </c>
      <c r="AA427" s="4">
        <f t="shared" si="47"/>
        <v>0</v>
      </c>
      <c r="AC427" s="2"/>
    </row>
    <row r="428" spans="1:29" ht="15.5">
      <c r="A428" s="13" t="str">
        <f>IF(OR(ISBLANK(C428),ISBLANK(D428),ISBLANK(F428),ISBLANK(G428)),"",COUNTIF($B$5:B428,"JAMBUTU"))</f>
        <v/>
      </c>
      <c r="B428" s="8" t="str">
        <f t="shared" si="48"/>
        <v/>
      </c>
      <c r="C428" s="8"/>
      <c r="D428" s="8"/>
      <c r="E428" s="18"/>
      <c r="F428" s="12"/>
      <c r="G428" s="17"/>
      <c r="H428" s="12"/>
      <c r="I428" s="17"/>
      <c r="J428" s="10">
        <f t="shared" si="42"/>
        <v>0</v>
      </c>
      <c r="K428" s="10">
        <f t="shared" si="43"/>
        <v>0</v>
      </c>
      <c r="L428" s="9" t="str">
        <f t="shared" si="44"/>
        <v/>
      </c>
      <c r="M428" s="8"/>
      <c r="N428" s="8"/>
      <c r="O428" s="8"/>
      <c r="P428" s="8"/>
      <c r="Q428" s="8"/>
      <c r="R428" s="8"/>
      <c r="S428" s="16"/>
      <c r="T428" s="8"/>
      <c r="U428" s="8"/>
      <c r="V428" s="7"/>
      <c r="W428" s="6" t="str">
        <f t="array" ref="W428">IF(NOT(ISBLANK(D428)),_xludf.XLOOKUP(D428,[2]CODE!$A$4:$A$100,[2]CODE!$D$4:$D$100),"")</f>
        <v/>
      </c>
      <c r="X428" s="5" t="str">
        <f t="array" ref="X428">IF(NOT(AND(ISBLANK(D428),ISBLANK(C428))),_xludf.XLOOKUP(D428,[2]CODE!$A$4:$A$100,[2]CODE!$E$4:$E$100),"")</f>
        <v/>
      </c>
      <c r="Y428" s="5" t="str">
        <f t="shared" si="45"/>
        <v/>
      </c>
      <c r="Z428" s="5" t="str">
        <f t="shared" si="46"/>
        <v/>
      </c>
      <c r="AA428" s="4">
        <f t="shared" si="47"/>
        <v>0</v>
      </c>
      <c r="AC428" s="2"/>
    </row>
    <row r="429" spans="1:29" ht="15.5">
      <c r="A429" s="13" t="str">
        <f>IF(OR(ISBLANK(C429),ISBLANK(D429),ISBLANK(F429),ISBLANK(G429)),"",COUNTIF($B$5:B429,"JAMBUTU"))</f>
        <v/>
      </c>
      <c r="B429" s="8" t="str">
        <f t="shared" si="48"/>
        <v/>
      </c>
      <c r="C429" s="8"/>
      <c r="D429" s="8"/>
      <c r="E429" s="18"/>
      <c r="F429" s="12"/>
      <c r="G429" s="17"/>
      <c r="H429" s="12"/>
      <c r="I429" s="17"/>
      <c r="J429" s="10">
        <f t="shared" si="42"/>
        <v>0</v>
      </c>
      <c r="K429" s="10">
        <f t="shared" si="43"/>
        <v>0</v>
      </c>
      <c r="L429" s="9" t="str">
        <f t="shared" si="44"/>
        <v/>
      </c>
      <c r="M429" s="8"/>
      <c r="N429" s="8"/>
      <c r="O429" s="8"/>
      <c r="P429" s="8"/>
      <c r="Q429" s="8"/>
      <c r="R429" s="8"/>
      <c r="S429" s="16"/>
      <c r="T429" s="8"/>
      <c r="U429" s="8"/>
      <c r="V429" s="7"/>
      <c r="W429" s="6" t="str">
        <f t="array" ref="W429">IF(NOT(ISBLANK(D429)),_xludf.XLOOKUP(D429,[2]CODE!$A$4:$A$100,[2]CODE!$D$4:$D$100),"")</f>
        <v/>
      </c>
      <c r="X429" s="5" t="str">
        <f t="array" ref="X429">IF(NOT(AND(ISBLANK(D429),ISBLANK(C429))),_xludf.XLOOKUP(D429,[2]CODE!$A$4:$A$100,[2]CODE!$E$4:$E$100),"")</f>
        <v/>
      </c>
      <c r="Y429" s="5" t="str">
        <f t="shared" si="45"/>
        <v/>
      </c>
      <c r="Z429" s="5" t="str">
        <f t="shared" si="46"/>
        <v/>
      </c>
      <c r="AA429" s="4">
        <f t="shared" si="47"/>
        <v>0</v>
      </c>
      <c r="AC429" s="2"/>
    </row>
    <row r="430" spans="1:29" ht="15.5">
      <c r="A430" s="13" t="str">
        <f>IF(OR(ISBLANK(C430),ISBLANK(D430),ISBLANK(F430),ISBLANK(G430)),"",COUNTIF($B$5:B430,"JAMBUTU"))</f>
        <v/>
      </c>
      <c r="B430" s="8" t="str">
        <f t="shared" si="48"/>
        <v/>
      </c>
      <c r="C430" s="8"/>
      <c r="D430" s="8"/>
      <c r="E430" s="18"/>
      <c r="F430" s="12"/>
      <c r="G430" s="17"/>
      <c r="H430" s="12"/>
      <c r="I430" s="17"/>
      <c r="J430" s="10">
        <f t="shared" si="42"/>
        <v>0</v>
      </c>
      <c r="K430" s="10">
        <f t="shared" si="43"/>
        <v>0</v>
      </c>
      <c r="L430" s="9" t="str">
        <f t="shared" si="44"/>
        <v/>
      </c>
      <c r="M430" s="8"/>
      <c r="N430" s="8"/>
      <c r="O430" s="8"/>
      <c r="P430" s="8"/>
      <c r="Q430" s="8"/>
      <c r="R430" s="16"/>
      <c r="S430" s="8"/>
      <c r="T430" s="8"/>
      <c r="U430" s="8"/>
      <c r="V430" s="7"/>
      <c r="W430" s="6" t="str">
        <f t="array" ref="W430">IF(NOT(ISBLANK(D430)),_xludf.XLOOKUP(D430,[2]CODE!$A$4:$A$100,[2]CODE!$D$4:$D$100),"")</f>
        <v/>
      </c>
      <c r="X430" s="5" t="str">
        <f t="array" ref="X430">IF(NOT(AND(ISBLANK(D430),ISBLANK(C430))),_xludf.XLOOKUP(D430,[2]CODE!$A$4:$A$100,[2]CODE!$E$4:$E$100),"")</f>
        <v/>
      </c>
      <c r="Y430" s="5" t="str">
        <f t="shared" si="45"/>
        <v/>
      </c>
      <c r="Z430" s="5" t="str">
        <f t="shared" si="46"/>
        <v/>
      </c>
      <c r="AA430" s="4">
        <f t="shared" si="47"/>
        <v>0</v>
      </c>
      <c r="AC430" s="2"/>
    </row>
    <row r="431" spans="1:29" ht="15.5">
      <c r="A431" s="13" t="str">
        <f>IF(OR(ISBLANK(C431),ISBLANK(D431),ISBLANK(F431),ISBLANK(G431)),"",COUNTIF($B$5:B431,"JAMBUTU"))</f>
        <v/>
      </c>
      <c r="B431" s="8" t="str">
        <f t="shared" si="48"/>
        <v/>
      </c>
      <c r="C431" s="8"/>
      <c r="D431" s="8"/>
      <c r="E431" s="18"/>
      <c r="F431" s="12"/>
      <c r="G431" s="17"/>
      <c r="H431" s="12"/>
      <c r="I431" s="17"/>
      <c r="J431" s="10">
        <f t="shared" si="42"/>
        <v>0</v>
      </c>
      <c r="K431" s="10">
        <f t="shared" si="43"/>
        <v>0</v>
      </c>
      <c r="L431" s="9" t="str">
        <f t="shared" si="44"/>
        <v/>
      </c>
      <c r="M431" s="8"/>
      <c r="N431" s="8"/>
      <c r="O431" s="8"/>
      <c r="P431" s="8"/>
      <c r="Q431" s="8"/>
      <c r="R431" s="8"/>
      <c r="S431" s="16"/>
      <c r="T431" s="8"/>
      <c r="U431" s="8"/>
      <c r="V431" s="7"/>
      <c r="W431" s="6" t="str">
        <f t="array" ref="W431">IF(NOT(ISBLANK(D431)),_xludf.XLOOKUP(D431,[2]CODE!$A$4:$A$100,[2]CODE!$D$4:$D$100),"")</f>
        <v/>
      </c>
      <c r="X431" s="5" t="str">
        <f t="array" ref="X431">IF(NOT(AND(ISBLANK(D431),ISBLANK(C431))),_xludf.XLOOKUP(D431,[2]CODE!$A$4:$A$100,[2]CODE!$E$4:$E$100),"")</f>
        <v/>
      </c>
      <c r="Y431" s="5" t="str">
        <f t="shared" si="45"/>
        <v/>
      </c>
      <c r="Z431" s="5" t="str">
        <f t="shared" si="46"/>
        <v/>
      </c>
      <c r="AA431" s="4">
        <f t="shared" si="47"/>
        <v>0</v>
      </c>
      <c r="AC431" s="2"/>
    </row>
    <row r="432" spans="1:29" ht="15.5">
      <c r="A432" s="13" t="str">
        <f>IF(OR(ISBLANK(C432),ISBLANK(D432),ISBLANK(F432),ISBLANK(G432)),"",COUNTIF($B$5:B432,"JAMBUTU"))</f>
        <v/>
      </c>
      <c r="B432" s="8" t="str">
        <f t="shared" si="48"/>
        <v/>
      </c>
      <c r="C432" s="8"/>
      <c r="D432" s="8"/>
      <c r="E432" s="18"/>
      <c r="F432" s="12"/>
      <c r="G432" s="17"/>
      <c r="H432" s="12"/>
      <c r="I432" s="17"/>
      <c r="J432" s="10">
        <f t="shared" si="42"/>
        <v>0</v>
      </c>
      <c r="K432" s="10">
        <f t="shared" si="43"/>
        <v>0</v>
      </c>
      <c r="L432" s="9" t="str">
        <f t="shared" si="44"/>
        <v/>
      </c>
      <c r="M432" s="8"/>
      <c r="N432" s="8"/>
      <c r="O432" s="8"/>
      <c r="P432" s="8"/>
      <c r="Q432" s="8"/>
      <c r="R432" s="16"/>
      <c r="S432" s="8"/>
      <c r="T432" s="8"/>
      <c r="U432" s="8"/>
      <c r="V432" s="7"/>
      <c r="W432" s="6" t="str">
        <f t="array" ref="W432">IF(NOT(ISBLANK(D432)),_xludf.XLOOKUP(D432,[2]CODE!$A$4:$A$100,[2]CODE!$D$4:$D$100),"")</f>
        <v/>
      </c>
      <c r="X432" s="5" t="str">
        <f t="array" ref="X432">IF(NOT(AND(ISBLANK(D432),ISBLANK(C432))),_xludf.XLOOKUP(D432,[2]CODE!$A$4:$A$100,[2]CODE!$E$4:$E$100),"")</f>
        <v/>
      </c>
      <c r="Y432" s="5" t="str">
        <f t="shared" si="45"/>
        <v/>
      </c>
      <c r="Z432" s="5" t="str">
        <f t="shared" si="46"/>
        <v/>
      </c>
      <c r="AA432" s="4">
        <f t="shared" si="47"/>
        <v>0</v>
      </c>
      <c r="AC432" s="2"/>
    </row>
    <row r="433" spans="1:29" ht="15.5">
      <c r="A433" s="13" t="str">
        <f>IF(OR(ISBLANK(C433),ISBLANK(D433),ISBLANK(F433),ISBLANK(G433)),"",COUNTIF($B$5:B433,"JAMBUTU"))</f>
        <v/>
      </c>
      <c r="B433" s="8" t="str">
        <f t="shared" si="48"/>
        <v/>
      </c>
      <c r="C433" s="8"/>
      <c r="D433" s="8"/>
      <c r="E433" s="18"/>
      <c r="F433" s="12"/>
      <c r="G433" s="17"/>
      <c r="H433" s="12"/>
      <c r="I433" s="17"/>
      <c r="J433" s="10">
        <f t="shared" si="42"/>
        <v>0</v>
      </c>
      <c r="K433" s="10">
        <f t="shared" si="43"/>
        <v>0</v>
      </c>
      <c r="L433" s="9" t="str">
        <f t="shared" si="44"/>
        <v/>
      </c>
      <c r="M433" s="8"/>
      <c r="N433" s="8"/>
      <c r="O433" s="8"/>
      <c r="P433" s="8"/>
      <c r="Q433" s="8"/>
      <c r="R433" s="8"/>
      <c r="S433" s="8"/>
      <c r="T433" s="8"/>
      <c r="U433" s="8"/>
      <c r="V433" s="7"/>
      <c r="W433" s="6" t="str">
        <f t="array" ref="W433">IF(NOT(ISBLANK(D433)),_xludf.XLOOKUP(D433,[2]CODE!$A$4:$A$100,[2]CODE!$D$4:$D$100),"")</f>
        <v/>
      </c>
      <c r="X433" s="5" t="str">
        <f t="array" ref="X433">IF(NOT(AND(ISBLANK(D433),ISBLANK(C433))),_xludf.XLOOKUP(D433,[2]CODE!$A$4:$A$100,[2]CODE!$E$4:$E$100),"")</f>
        <v/>
      </c>
      <c r="Y433" s="5" t="str">
        <f t="shared" si="45"/>
        <v/>
      </c>
      <c r="Z433" s="5" t="str">
        <f t="shared" si="46"/>
        <v/>
      </c>
      <c r="AA433" s="4">
        <f t="shared" si="47"/>
        <v>0</v>
      </c>
      <c r="AC433" s="2"/>
    </row>
    <row r="434" spans="1:29" ht="15.5">
      <c r="A434" s="13" t="str">
        <f>IF(OR(ISBLANK(C434),ISBLANK(D434),ISBLANK(F434),ISBLANK(G434)),"",COUNTIF($B$5:B434,"JAMBUTU"))</f>
        <v/>
      </c>
      <c r="B434" s="8" t="str">
        <f t="shared" si="48"/>
        <v/>
      </c>
      <c r="C434" s="8"/>
      <c r="D434" s="8"/>
      <c r="E434" s="18"/>
      <c r="F434" s="12"/>
      <c r="G434" s="17"/>
      <c r="H434" s="12"/>
      <c r="I434" s="17"/>
      <c r="J434" s="10">
        <f t="shared" si="42"/>
        <v>0</v>
      </c>
      <c r="K434" s="10">
        <f t="shared" si="43"/>
        <v>0</v>
      </c>
      <c r="L434" s="9" t="str">
        <f t="shared" si="44"/>
        <v/>
      </c>
      <c r="M434" s="8"/>
      <c r="N434" s="8"/>
      <c r="O434" s="8"/>
      <c r="P434" s="8"/>
      <c r="Q434" s="8"/>
      <c r="R434" s="8"/>
      <c r="S434" s="8"/>
      <c r="T434" s="8"/>
      <c r="U434" s="8"/>
      <c r="V434" s="7"/>
      <c r="W434" s="6" t="str">
        <f t="array" ref="W434">IF(NOT(ISBLANK(D434)),_xludf.XLOOKUP(D434,[2]CODE!$A$4:$A$100,[2]CODE!$D$4:$D$100),"")</f>
        <v/>
      </c>
      <c r="X434" s="5" t="str">
        <f t="array" ref="X434">IF(NOT(AND(ISBLANK(D434),ISBLANK(C434))),_xludf.XLOOKUP(D434,[2]CODE!$A$4:$A$100,[2]CODE!$E$4:$E$100),"")</f>
        <v/>
      </c>
      <c r="Y434" s="5" t="str">
        <f t="shared" si="45"/>
        <v/>
      </c>
      <c r="Z434" s="5" t="str">
        <f t="shared" si="46"/>
        <v/>
      </c>
      <c r="AA434" s="4">
        <f t="shared" si="47"/>
        <v>0</v>
      </c>
      <c r="AC434" s="2"/>
    </row>
    <row r="435" spans="1:29" ht="15.5">
      <c r="A435" s="13" t="str">
        <f>IF(OR(ISBLANK(C435),ISBLANK(D435),ISBLANK(F435),ISBLANK(G435)),"",COUNTIF($B$5:B435,"JAMBUTU"))</f>
        <v/>
      </c>
      <c r="B435" s="8" t="str">
        <f t="shared" si="48"/>
        <v/>
      </c>
      <c r="C435" s="8"/>
      <c r="D435" s="8"/>
      <c r="E435" s="18"/>
      <c r="F435" s="12"/>
      <c r="G435" s="17"/>
      <c r="H435" s="12"/>
      <c r="I435" s="17"/>
      <c r="J435" s="10">
        <f t="shared" si="42"/>
        <v>0</v>
      </c>
      <c r="K435" s="10">
        <f t="shared" si="43"/>
        <v>0</v>
      </c>
      <c r="L435" s="9" t="str">
        <f t="shared" si="44"/>
        <v/>
      </c>
      <c r="M435" s="8"/>
      <c r="N435" s="8"/>
      <c r="O435" s="8"/>
      <c r="P435" s="8"/>
      <c r="Q435" s="8"/>
      <c r="R435" s="8"/>
      <c r="S435" s="16"/>
      <c r="T435" s="8"/>
      <c r="U435" s="8"/>
      <c r="V435" s="7"/>
      <c r="W435" s="6" t="str">
        <f t="array" ref="W435">IF(NOT(ISBLANK(D435)),_xludf.XLOOKUP(D435,[2]CODE!$A$4:$A$100,[2]CODE!$D$4:$D$100),"")</f>
        <v/>
      </c>
      <c r="X435" s="5" t="str">
        <f t="array" ref="X435">IF(NOT(AND(ISBLANK(D435),ISBLANK(C435))),_xludf.XLOOKUP(D435,[2]CODE!$A$4:$A$100,[2]CODE!$E$4:$E$100),"")</f>
        <v/>
      </c>
      <c r="Y435" s="5" t="str">
        <f t="shared" si="45"/>
        <v/>
      </c>
      <c r="Z435" s="5" t="str">
        <f t="shared" si="46"/>
        <v/>
      </c>
      <c r="AA435" s="4">
        <f t="shared" si="47"/>
        <v>0</v>
      </c>
      <c r="AC435" s="2"/>
    </row>
    <row r="436" spans="1:29" ht="15.5">
      <c r="A436" s="13" t="str">
        <f>IF(OR(ISBLANK(C436),ISBLANK(D436),ISBLANK(F436),ISBLANK(G436)),"",COUNTIF($B$5:B436,"JAMBUTU"))</f>
        <v/>
      </c>
      <c r="B436" s="8" t="str">
        <f t="shared" si="48"/>
        <v/>
      </c>
      <c r="C436" s="8"/>
      <c r="D436" s="8"/>
      <c r="E436" s="18"/>
      <c r="F436" s="12"/>
      <c r="G436" s="17"/>
      <c r="H436" s="12"/>
      <c r="I436" s="17"/>
      <c r="J436" s="10">
        <f t="shared" si="42"/>
        <v>0</v>
      </c>
      <c r="K436" s="10">
        <f t="shared" si="43"/>
        <v>0</v>
      </c>
      <c r="L436" s="9" t="str">
        <f t="shared" si="44"/>
        <v/>
      </c>
      <c r="M436" s="8"/>
      <c r="N436" s="8"/>
      <c r="O436" s="8"/>
      <c r="P436" s="8"/>
      <c r="Q436" s="8"/>
      <c r="R436" s="8"/>
      <c r="S436" s="16"/>
      <c r="T436" s="8"/>
      <c r="U436" s="8"/>
      <c r="V436" s="7"/>
      <c r="W436" s="6" t="str">
        <f t="array" ref="W436">IF(NOT(ISBLANK(D436)),_xludf.XLOOKUP(D436,[2]CODE!$A$4:$A$100,[2]CODE!$D$4:$D$100),"")</f>
        <v/>
      </c>
      <c r="X436" s="5" t="str">
        <f t="array" ref="X436">IF(NOT(AND(ISBLANK(D436),ISBLANK(C436))),_xludf.XLOOKUP(D436,[2]CODE!$A$4:$A$100,[2]CODE!$E$4:$E$100),"")</f>
        <v/>
      </c>
      <c r="Y436" s="5" t="str">
        <f t="shared" si="45"/>
        <v/>
      </c>
      <c r="Z436" s="5" t="str">
        <f t="shared" si="46"/>
        <v/>
      </c>
      <c r="AA436" s="4">
        <f t="shared" si="47"/>
        <v>0</v>
      </c>
      <c r="AC436" s="2"/>
    </row>
    <row r="437" spans="1:29" ht="15.5">
      <c r="A437" s="13" t="str">
        <f>IF(OR(ISBLANK(C437),ISBLANK(D437),ISBLANK(F437),ISBLANK(G437)),"",COUNTIF($B$5:B437,"JAMBUTU"))</f>
        <v/>
      </c>
      <c r="B437" s="8" t="str">
        <f t="shared" si="48"/>
        <v/>
      </c>
      <c r="C437" s="8"/>
      <c r="D437" s="8"/>
      <c r="E437" s="18"/>
      <c r="F437" s="12"/>
      <c r="G437" s="17"/>
      <c r="H437" s="12"/>
      <c r="I437" s="17"/>
      <c r="J437" s="10">
        <f t="shared" si="42"/>
        <v>0</v>
      </c>
      <c r="K437" s="10">
        <f t="shared" si="43"/>
        <v>0</v>
      </c>
      <c r="L437" s="9" t="str">
        <f t="shared" si="44"/>
        <v/>
      </c>
      <c r="M437" s="8"/>
      <c r="N437" s="8"/>
      <c r="O437" s="8"/>
      <c r="P437" s="8"/>
      <c r="Q437" s="8"/>
      <c r="R437" s="8"/>
      <c r="S437" s="8"/>
      <c r="T437" s="8"/>
      <c r="U437" s="8"/>
      <c r="V437" s="7"/>
      <c r="W437" s="6" t="str">
        <f t="array" ref="W437">IF(NOT(ISBLANK(D437)),_xludf.XLOOKUP(D437,[2]CODE!$A$4:$A$100,[2]CODE!$D$4:$D$100),"")</f>
        <v/>
      </c>
      <c r="X437" s="5" t="str">
        <f t="array" ref="X437">IF(NOT(AND(ISBLANK(D437),ISBLANK(C437))),_xludf.XLOOKUP(D437,[2]CODE!$A$4:$A$100,[2]CODE!$E$4:$E$100),"")</f>
        <v/>
      </c>
      <c r="Y437" s="5" t="str">
        <f t="shared" si="45"/>
        <v/>
      </c>
      <c r="Z437" s="5" t="str">
        <f t="shared" si="46"/>
        <v/>
      </c>
      <c r="AA437" s="4">
        <f t="shared" si="47"/>
        <v>0</v>
      </c>
      <c r="AC437" s="2"/>
    </row>
    <row r="438" spans="1:29" ht="15.5">
      <c r="A438" s="13" t="str">
        <f>IF(OR(ISBLANK(C438),ISBLANK(D438),ISBLANK(F438),ISBLANK(G438)),"",COUNTIF($B$5:B438,"JAMBUTU"))</f>
        <v/>
      </c>
      <c r="B438" s="8" t="str">
        <f t="shared" si="48"/>
        <v/>
      </c>
      <c r="C438" s="8"/>
      <c r="D438" s="8"/>
      <c r="E438" s="18"/>
      <c r="F438" s="12"/>
      <c r="G438" s="17"/>
      <c r="H438" s="12"/>
      <c r="I438" s="17"/>
      <c r="J438" s="10">
        <f t="shared" si="42"/>
        <v>0</v>
      </c>
      <c r="K438" s="10">
        <f t="shared" si="43"/>
        <v>0</v>
      </c>
      <c r="L438" s="9" t="str">
        <f t="shared" si="44"/>
        <v/>
      </c>
      <c r="M438" s="8"/>
      <c r="N438" s="8"/>
      <c r="O438" s="8"/>
      <c r="P438" s="8"/>
      <c r="Q438" s="8"/>
      <c r="R438" s="8"/>
      <c r="S438" s="8"/>
      <c r="T438" s="8"/>
      <c r="U438" s="8"/>
      <c r="V438" s="7"/>
      <c r="W438" s="6" t="str">
        <f t="array" ref="W438">IF(NOT(ISBLANK(D438)),_xludf.XLOOKUP(D438,[2]CODE!$A$4:$A$100,[2]CODE!$D$4:$D$100),"")</f>
        <v/>
      </c>
      <c r="X438" s="5" t="str">
        <f t="array" ref="X438">IF(NOT(AND(ISBLANK(D438),ISBLANK(C438))),_xludf.XLOOKUP(D438,[2]CODE!$A$4:$A$100,[2]CODE!$E$4:$E$100),"")</f>
        <v/>
      </c>
      <c r="Y438" s="5" t="str">
        <f t="shared" si="45"/>
        <v/>
      </c>
      <c r="Z438" s="5" t="str">
        <f t="shared" si="46"/>
        <v/>
      </c>
      <c r="AA438" s="4">
        <f t="shared" si="47"/>
        <v>0</v>
      </c>
      <c r="AC438" s="2"/>
    </row>
    <row r="439" spans="1:29" ht="15.5">
      <c r="A439" s="13" t="str">
        <f>IF(OR(ISBLANK(C439),ISBLANK(D439),ISBLANK(F439),ISBLANK(G439)),"",COUNTIF($B$5:B439,"JAMBUTU"))</f>
        <v/>
      </c>
      <c r="B439" s="8" t="str">
        <f t="shared" si="48"/>
        <v/>
      </c>
      <c r="C439" s="8"/>
      <c r="D439" s="8"/>
      <c r="E439" s="18"/>
      <c r="F439" s="12"/>
      <c r="G439" s="17"/>
      <c r="H439" s="12"/>
      <c r="I439" s="17"/>
      <c r="J439" s="10">
        <f t="shared" si="42"/>
        <v>0</v>
      </c>
      <c r="K439" s="10">
        <f t="shared" si="43"/>
        <v>0</v>
      </c>
      <c r="L439" s="9" t="str">
        <f t="shared" si="44"/>
        <v/>
      </c>
      <c r="M439" s="8"/>
      <c r="N439" s="8"/>
      <c r="O439" s="8"/>
      <c r="P439" s="8"/>
      <c r="Q439" s="8"/>
      <c r="R439" s="8"/>
      <c r="S439" s="8"/>
      <c r="T439" s="8"/>
      <c r="U439" s="8"/>
      <c r="V439" s="7"/>
      <c r="W439" s="6" t="str">
        <f t="array" ref="W439">IF(NOT(ISBLANK(D439)),_xludf.XLOOKUP(D439,[2]CODE!$A$4:$A$100,[2]CODE!$D$4:$D$100),"")</f>
        <v/>
      </c>
      <c r="X439" s="5" t="str">
        <f t="array" ref="X439">IF(NOT(AND(ISBLANK(D439),ISBLANK(C439))),_xludf.XLOOKUP(D439,[2]CODE!$A$4:$A$100,[2]CODE!$E$4:$E$100),"")</f>
        <v/>
      </c>
      <c r="Y439" s="5" t="str">
        <f t="shared" si="45"/>
        <v/>
      </c>
      <c r="Z439" s="5" t="str">
        <f t="shared" si="46"/>
        <v/>
      </c>
      <c r="AA439" s="4">
        <f t="shared" si="47"/>
        <v>0</v>
      </c>
      <c r="AC439" s="2"/>
    </row>
    <row r="440" spans="1:29" ht="15.5">
      <c r="A440" s="13" t="str">
        <f>IF(OR(ISBLANK(C440),ISBLANK(D440),ISBLANK(F440),ISBLANK(G440)),"",COUNTIF($B$5:B440,"JAMBUTU"))</f>
        <v/>
      </c>
      <c r="B440" s="8" t="str">
        <f t="shared" si="48"/>
        <v/>
      </c>
      <c r="C440" s="8"/>
      <c r="D440" s="8"/>
      <c r="E440" s="18"/>
      <c r="F440" s="12"/>
      <c r="G440" s="17"/>
      <c r="H440" s="12"/>
      <c r="I440" s="17"/>
      <c r="J440" s="10">
        <f t="shared" si="42"/>
        <v>0</v>
      </c>
      <c r="K440" s="10">
        <f t="shared" si="43"/>
        <v>0</v>
      </c>
      <c r="L440" s="9" t="str">
        <f t="shared" si="44"/>
        <v/>
      </c>
      <c r="M440" s="8"/>
      <c r="N440" s="8"/>
      <c r="O440" s="8"/>
      <c r="P440" s="8"/>
      <c r="Q440" s="8"/>
      <c r="R440" s="8"/>
      <c r="S440" s="8"/>
      <c r="T440" s="8"/>
      <c r="U440" s="8"/>
      <c r="V440" s="7"/>
      <c r="W440" s="6" t="str">
        <f t="array" ref="W440">IF(NOT(ISBLANK(D440)),_xludf.XLOOKUP(D440,[2]CODE!$A$4:$A$100,[2]CODE!$D$4:$D$100),"")</f>
        <v/>
      </c>
      <c r="X440" s="5" t="str">
        <f t="array" ref="X440">IF(NOT(AND(ISBLANK(D440),ISBLANK(C440))),_xludf.XLOOKUP(D440,[2]CODE!$A$4:$A$100,[2]CODE!$E$4:$E$100),"")</f>
        <v/>
      </c>
      <c r="Y440" s="5" t="str">
        <f t="shared" si="45"/>
        <v/>
      </c>
      <c r="Z440" s="5" t="str">
        <f t="shared" si="46"/>
        <v/>
      </c>
      <c r="AA440" s="4">
        <f t="shared" si="47"/>
        <v>0</v>
      </c>
      <c r="AC440" s="2"/>
    </row>
    <row r="441" spans="1:29" ht="15.5">
      <c r="A441" s="13" t="str">
        <f>IF(OR(ISBLANK(C441),ISBLANK(D441),ISBLANK(F441),ISBLANK(G441)),"",COUNTIF($B$5:B441,"JAMBUTU"))</f>
        <v/>
      </c>
      <c r="B441" s="8" t="str">
        <f t="shared" si="48"/>
        <v/>
      </c>
      <c r="C441" s="8"/>
      <c r="D441" s="8"/>
      <c r="E441" s="18"/>
      <c r="F441" s="12"/>
      <c r="G441" s="17"/>
      <c r="H441" s="12"/>
      <c r="I441" s="17"/>
      <c r="J441" s="10">
        <f t="shared" si="42"/>
        <v>0</v>
      </c>
      <c r="K441" s="10">
        <f t="shared" si="43"/>
        <v>0</v>
      </c>
      <c r="L441" s="9" t="str">
        <f t="shared" si="44"/>
        <v/>
      </c>
      <c r="M441" s="8"/>
      <c r="N441" s="8"/>
      <c r="O441" s="8"/>
      <c r="P441" s="8"/>
      <c r="Q441" s="8"/>
      <c r="R441" s="8"/>
      <c r="S441" s="8"/>
      <c r="T441" s="8"/>
      <c r="U441" s="8"/>
      <c r="V441" s="7"/>
      <c r="W441" s="6" t="str">
        <f t="array" ref="W441">IF(NOT(ISBLANK(D441)),_xludf.XLOOKUP(D441,[2]CODE!$A$4:$A$100,[2]CODE!$D$4:$D$100),"")</f>
        <v/>
      </c>
      <c r="X441" s="5" t="str">
        <f t="array" ref="X441">IF(NOT(AND(ISBLANK(D441),ISBLANK(C441))),_xludf.XLOOKUP(D441,[2]CODE!$A$4:$A$100,[2]CODE!$E$4:$E$100),"")</f>
        <v/>
      </c>
      <c r="Y441" s="5" t="str">
        <f t="shared" si="45"/>
        <v/>
      </c>
      <c r="Z441" s="5" t="str">
        <f t="shared" si="46"/>
        <v/>
      </c>
      <c r="AA441" s="4">
        <f t="shared" si="47"/>
        <v>0</v>
      </c>
      <c r="AC441" s="2"/>
    </row>
    <row r="442" spans="1:29" ht="15.5">
      <c r="A442" s="13" t="str">
        <f>IF(OR(ISBLANK(C442),ISBLANK(D442),ISBLANK(F442),ISBLANK(G442)),"",COUNTIF($B$5:B442,"JAMBUTU"))</f>
        <v/>
      </c>
      <c r="B442" s="8" t="str">
        <f t="shared" si="48"/>
        <v/>
      </c>
      <c r="C442" s="8"/>
      <c r="D442" s="8"/>
      <c r="E442" s="18"/>
      <c r="F442" s="12"/>
      <c r="G442" s="17"/>
      <c r="H442" s="12"/>
      <c r="I442" s="17"/>
      <c r="J442" s="10">
        <f t="shared" si="42"/>
        <v>0</v>
      </c>
      <c r="K442" s="10">
        <f t="shared" si="43"/>
        <v>0</v>
      </c>
      <c r="L442" s="9" t="str">
        <f t="shared" si="44"/>
        <v/>
      </c>
      <c r="M442" s="8"/>
      <c r="N442" s="8"/>
      <c r="O442" s="8"/>
      <c r="P442" s="8"/>
      <c r="Q442" s="8"/>
      <c r="R442" s="8"/>
      <c r="S442" s="8"/>
      <c r="T442" s="8"/>
      <c r="U442" s="8"/>
      <c r="V442" s="7"/>
      <c r="W442" s="6" t="str">
        <f t="array" ref="W442">IF(NOT(ISBLANK(D442)),_xludf.XLOOKUP(D442,[2]CODE!$A$4:$A$100,[2]CODE!$D$4:$D$100),"")</f>
        <v/>
      </c>
      <c r="X442" s="5" t="str">
        <f t="array" ref="X442">IF(NOT(AND(ISBLANK(D442),ISBLANK(C442))),_xludf.XLOOKUP(D442,[2]CODE!$A$4:$A$100,[2]CODE!$E$4:$E$100),"")</f>
        <v/>
      </c>
      <c r="Y442" s="5" t="str">
        <f t="shared" si="45"/>
        <v/>
      </c>
      <c r="Z442" s="5" t="str">
        <f t="shared" si="46"/>
        <v/>
      </c>
      <c r="AA442" s="4">
        <f t="shared" si="47"/>
        <v>0</v>
      </c>
      <c r="AC442" s="2"/>
    </row>
    <row r="443" spans="1:29" ht="15.5">
      <c r="A443" s="13" t="str">
        <f>IF(OR(ISBLANK(C443),ISBLANK(D443),ISBLANK(F443),ISBLANK(G443)),"",COUNTIF($B$5:B443,"JAMBUTU"))</f>
        <v/>
      </c>
      <c r="B443" s="8" t="str">
        <f t="shared" si="48"/>
        <v/>
      </c>
      <c r="C443" s="8"/>
      <c r="D443" s="8"/>
      <c r="E443" s="18"/>
      <c r="F443" s="12"/>
      <c r="G443" s="17"/>
      <c r="H443" s="12"/>
      <c r="I443" s="17"/>
      <c r="J443" s="10">
        <f t="shared" si="42"/>
        <v>0</v>
      </c>
      <c r="K443" s="10">
        <f t="shared" si="43"/>
        <v>0</v>
      </c>
      <c r="L443" s="9" t="str">
        <f t="shared" si="44"/>
        <v/>
      </c>
      <c r="M443" s="8"/>
      <c r="N443" s="8"/>
      <c r="O443" s="8"/>
      <c r="P443" s="8"/>
      <c r="Q443" s="8"/>
      <c r="R443" s="8"/>
      <c r="S443" s="8"/>
      <c r="T443" s="8"/>
      <c r="U443" s="8"/>
      <c r="V443" s="7"/>
      <c r="W443" s="6" t="str">
        <f t="array" ref="W443">IF(NOT(ISBLANK(D443)),_xludf.XLOOKUP(D443,[2]CODE!$A$4:$A$100,[2]CODE!$D$4:$D$100),"")</f>
        <v/>
      </c>
      <c r="X443" s="5" t="str">
        <f t="array" ref="X443">IF(NOT(AND(ISBLANK(D443),ISBLANK(C443))),_xludf.XLOOKUP(D443,[2]CODE!$A$4:$A$100,[2]CODE!$E$4:$E$100),"")</f>
        <v/>
      </c>
      <c r="Y443" s="5" t="str">
        <f t="shared" si="45"/>
        <v/>
      </c>
      <c r="Z443" s="5" t="str">
        <f t="shared" si="46"/>
        <v/>
      </c>
      <c r="AA443" s="4">
        <f t="shared" si="47"/>
        <v>0</v>
      </c>
      <c r="AC443" s="2"/>
    </row>
    <row r="444" spans="1:29" ht="15.5">
      <c r="A444" s="13" t="str">
        <f>IF(OR(ISBLANK(C444),ISBLANK(D444),ISBLANK(F444),ISBLANK(G444)),"",COUNTIF($B$5:B444,"JAMBUTU"))</f>
        <v/>
      </c>
      <c r="B444" s="8" t="str">
        <f t="shared" si="48"/>
        <v/>
      </c>
      <c r="C444" s="8"/>
      <c r="D444" s="8"/>
      <c r="E444" s="18"/>
      <c r="F444" s="12"/>
      <c r="G444" s="17"/>
      <c r="H444" s="12"/>
      <c r="I444" s="17"/>
      <c r="J444" s="10">
        <f t="shared" si="42"/>
        <v>0</v>
      </c>
      <c r="K444" s="10">
        <f t="shared" si="43"/>
        <v>0</v>
      </c>
      <c r="L444" s="9" t="str">
        <f t="shared" si="44"/>
        <v/>
      </c>
      <c r="M444" s="8"/>
      <c r="N444" s="8"/>
      <c r="O444" s="8"/>
      <c r="P444" s="8"/>
      <c r="Q444" s="8"/>
      <c r="R444" s="8"/>
      <c r="S444" s="8"/>
      <c r="T444" s="8"/>
      <c r="U444" s="8"/>
      <c r="V444" s="7"/>
      <c r="W444" s="6" t="str">
        <f t="array" ref="W444">IF(NOT(ISBLANK(D444)),_xludf.XLOOKUP(D444,[2]CODE!$A$4:$A$100,[2]CODE!$D$4:$D$100),"")</f>
        <v/>
      </c>
      <c r="X444" s="5" t="str">
        <f t="array" ref="X444">IF(NOT(AND(ISBLANK(D444),ISBLANK(C444))),_xludf.XLOOKUP(D444,[2]CODE!$A$4:$A$100,[2]CODE!$E$4:$E$100),"")</f>
        <v/>
      </c>
      <c r="Y444" s="5" t="str">
        <f t="shared" si="45"/>
        <v/>
      </c>
      <c r="Z444" s="5" t="str">
        <f t="shared" si="46"/>
        <v/>
      </c>
      <c r="AA444" s="4">
        <f t="shared" si="47"/>
        <v>0</v>
      </c>
      <c r="AC444" s="2"/>
    </row>
    <row r="445" spans="1:29" ht="15.5">
      <c r="A445" s="13" t="str">
        <f>IF(OR(ISBLANK(C445),ISBLANK(D445),ISBLANK(F445),ISBLANK(G445)),"",COUNTIF($B$5:B445,"JAMBUTU"))</f>
        <v/>
      </c>
      <c r="B445" s="8" t="str">
        <f t="shared" si="48"/>
        <v/>
      </c>
      <c r="C445" s="8"/>
      <c r="D445" s="8"/>
      <c r="E445" s="18"/>
      <c r="F445" s="12"/>
      <c r="G445" s="17"/>
      <c r="H445" s="12"/>
      <c r="I445" s="17"/>
      <c r="J445" s="10">
        <f t="shared" si="42"/>
        <v>0</v>
      </c>
      <c r="K445" s="10">
        <f t="shared" si="43"/>
        <v>0</v>
      </c>
      <c r="L445" s="9" t="str">
        <f t="shared" si="44"/>
        <v/>
      </c>
      <c r="M445" s="8"/>
      <c r="N445" s="8"/>
      <c r="O445" s="8"/>
      <c r="P445" s="8"/>
      <c r="Q445" s="8"/>
      <c r="R445" s="8"/>
      <c r="S445" s="8"/>
      <c r="T445" s="8"/>
      <c r="U445" s="8"/>
      <c r="V445" s="7"/>
      <c r="W445" s="6" t="str">
        <f t="array" ref="W445">IF(NOT(ISBLANK(D445)),_xludf.XLOOKUP(D445,[2]CODE!$A$4:$A$100,[2]CODE!$D$4:$D$100),"")</f>
        <v/>
      </c>
      <c r="X445" s="5" t="str">
        <f t="array" ref="X445">IF(NOT(AND(ISBLANK(D445),ISBLANK(C445))),_xludf.XLOOKUP(D445,[2]CODE!$A$4:$A$100,[2]CODE!$E$4:$E$100),"")</f>
        <v/>
      </c>
      <c r="Y445" s="5" t="str">
        <f t="shared" si="45"/>
        <v/>
      </c>
      <c r="Z445" s="5" t="str">
        <f t="shared" si="46"/>
        <v/>
      </c>
      <c r="AA445" s="4">
        <f t="shared" si="47"/>
        <v>0</v>
      </c>
      <c r="AC445" s="2"/>
    </row>
    <row r="446" spans="1:29" ht="15.5">
      <c r="A446" s="13" t="str">
        <f>IF(OR(ISBLANK(C446),ISBLANK(D446),ISBLANK(F446),ISBLANK(G446)),"",COUNTIF($B$5:B446,"JAMBUTU"))</f>
        <v/>
      </c>
      <c r="B446" s="8" t="str">
        <f t="shared" si="48"/>
        <v/>
      </c>
      <c r="C446" s="8"/>
      <c r="D446" s="8"/>
      <c r="E446" s="18"/>
      <c r="F446" s="12"/>
      <c r="G446" s="17"/>
      <c r="H446" s="12"/>
      <c r="I446" s="17"/>
      <c r="J446" s="10">
        <f t="shared" si="42"/>
        <v>0</v>
      </c>
      <c r="K446" s="10">
        <f t="shared" si="43"/>
        <v>0</v>
      </c>
      <c r="L446" s="9" t="str">
        <f t="shared" si="44"/>
        <v/>
      </c>
      <c r="M446" s="8"/>
      <c r="N446" s="8"/>
      <c r="O446" s="8"/>
      <c r="P446" s="8"/>
      <c r="Q446" s="8"/>
      <c r="R446" s="8"/>
      <c r="S446" s="8"/>
      <c r="T446" s="8"/>
      <c r="U446" s="8"/>
      <c r="V446" s="7"/>
      <c r="W446" s="6" t="str">
        <f t="array" ref="W446">IF(NOT(ISBLANK(D446)),_xludf.XLOOKUP(D446,[2]CODE!$A$4:$A$100,[2]CODE!$D$4:$D$100),"")</f>
        <v/>
      </c>
      <c r="X446" s="5" t="str">
        <f t="array" ref="X446">IF(NOT(AND(ISBLANK(D446),ISBLANK(C446))),_xludf.XLOOKUP(D446,[2]CODE!$A$4:$A$100,[2]CODE!$E$4:$E$100),"")</f>
        <v/>
      </c>
      <c r="Y446" s="5" t="str">
        <f t="shared" si="45"/>
        <v/>
      </c>
      <c r="Z446" s="5" t="str">
        <f t="shared" si="46"/>
        <v/>
      </c>
      <c r="AA446" s="4">
        <f t="shared" si="47"/>
        <v>0</v>
      </c>
      <c r="AC446" s="2"/>
    </row>
    <row r="447" spans="1:29" ht="15.5">
      <c r="A447" s="13" t="str">
        <f>IF(OR(ISBLANK(C447),ISBLANK(D447),ISBLANK(F447),ISBLANK(G447)),"",COUNTIF($B$5:B447,"JAMBUTU"))</f>
        <v/>
      </c>
      <c r="B447" s="8" t="str">
        <f t="shared" si="48"/>
        <v/>
      </c>
      <c r="C447" s="8"/>
      <c r="D447" s="8"/>
      <c r="E447" s="18"/>
      <c r="F447" s="12"/>
      <c r="G447" s="17"/>
      <c r="H447" s="12"/>
      <c r="I447" s="17"/>
      <c r="J447" s="10">
        <f t="shared" si="42"/>
        <v>0</v>
      </c>
      <c r="K447" s="10">
        <f t="shared" si="43"/>
        <v>0</v>
      </c>
      <c r="L447" s="9" t="str">
        <f t="shared" si="44"/>
        <v/>
      </c>
      <c r="M447" s="8"/>
      <c r="N447" s="8"/>
      <c r="O447" s="8"/>
      <c r="P447" s="8"/>
      <c r="Q447" s="8"/>
      <c r="R447" s="8"/>
      <c r="S447" s="8"/>
      <c r="T447" s="8"/>
      <c r="U447" s="8"/>
      <c r="V447" s="7"/>
      <c r="W447" s="6" t="str">
        <f t="array" ref="W447">IF(NOT(ISBLANK(D447)),_xludf.XLOOKUP(D447,[2]CODE!$A$4:$A$100,[2]CODE!$D$4:$D$100),"")</f>
        <v/>
      </c>
      <c r="X447" s="5" t="str">
        <f t="array" ref="X447">IF(NOT(AND(ISBLANK(D447),ISBLANK(C447))),_xludf.XLOOKUP(D447,[2]CODE!$A$4:$A$100,[2]CODE!$E$4:$E$100),"")</f>
        <v/>
      </c>
      <c r="Y447" s="5" t="str">
        <f t="shared" si="45"/>
        <v/>
      </c>
      <c r="Z447" s="5" t="str">
        <f t="shared" si="46"/>
        <v/>
      </c>
      <c r="AA447" s="4">
        <f t="shared" si="47"/>
        <v>0</v>
      </c>
      <c r="AC447" s="2"/>
    </row>
    <row r="448" spans="1:29" ht="15.5">
      <c r="A448" s="13" t="str">
        <f>IF(OR(ISBLANK(C448),ISBLANK(D448),ISBLANK(F448),ISBLANK(G448)),"",COUNTIF($B$5:B448,"JAMBUTU"))</f>
        <v/>
      </c>
      <c r="B448" s="8" t="str">
        <f t="shared" si="48"/>
        <v/>
      </c>
      <c r="C448" s="8"/>
      <c r="D448" s="8"/>
      <c r="E448" s="18"/>
      <c r="F448" s="12"/>
      <c r="G448" s="17"/>
      <c r="H448" s="12"/>
      <c r="I448" s="17"/>
      <c r="J448" s="10">
        <f t="shared" si="42"/>
        <v>0</v>
      </c>
      <c r="K448" s="10">
        <f t="shared" si="43"/>
        <v>0</v>
      </c>
      <c r="L448" s="9" t="str">
        <f t="shared" si="44"/>
        <v/>
      </c>
      <c r="M448" s="8"/>
      <c r="N448" s="8"/>
      <c r="O448" s="8"/>
      <c r="P448" s="8"/>
      <c r="Q448" s="8"/>
      <c r="R448" s="8"/>
      <c r="S448" s="8"/>
      <c r="T448" s="8"/>
      <c r="U448" s="8"/>
      <c r="V448" s="7"/>
      <c r="W448" s="6" t="str">
        <f t="array" ref="W448">IF(NOT(ISBLANK(D448)),_xludf.XLOOKUP(D448,[2]CODE!$A$4:$A$100,[2]CODE!$D$4:$D$100),"")</f>
        <v/>
      </c>
      <c r="X448" s="5" t="str">
        <f t="array" ref="X448">IF(NOT(AND(ISBLANK(D448),ISBLANK(C448))),_xludf.XLOOKUP(D448,[2]CODE!$A$4:$A$100,[2]CODE!$E$4:$E$100),"")</f>
        <v/>
      </c>
      <c r="Y448" s="5" t="str">
        <f t="shared" si="45"/>
        <v/>
      </c>
      <c r="Z448" s="5" t="str">
        <f t="shared" si="46"/>
        <v/>
      </c>
      <c r="AA448" s="4">
        <f t="shared" si="47"/>
        <v>0</v>
      </c>
      <c r="AC448" s="2"/>
    </row>
    <row r="449" spans="1:29" ht="15.5">
      <c r="A449" s="13" t="str">
        <f>IF(OR(ISBLANK(C449),ISBLANK(D449),ISBLANK(F449),ISBLANK(G449)),"",COUNTIF($B$5:B449,"JAMBUTU"))</f>
        <v/>
      </c>
      <c r="B449" s="8" t="str">
        <f t="shared" si="48"/>
        <v/>
      </c>
      <c r="C449" s="8"/>
      <c r="D449" s="8"/>
      <c r="E449" s="18"/>
      <c r="F449" s="12"/>
      <c r="G449" s="17"/>
      <c r="H449" s="12"/>
      <c r="I449" s="17"/>
      <c r="J449" s="10">
        <f t="shared" si="42"/>
        <v>0</v>
      </c>
      <c r="K449" s="10">
        <f t="shared" si="43"/>
        <v>0</v>
      </c>
      <c r="L449" s="9" t="str">
        <f t="shared" si="44"/>
        <v/>
      </c>
      <c r="M449" s="8"/>
      <c r="N449" s="8"/>
      <c r="O449" s="8"/>
      <c r="P449" s="8"/>
      <c r="Q449" s="8"/>
      <c r="R449" s="8"/>
      <c r="S449" s="8"/>
      <c r="T449" s="8"/>
      <c r="U449" s="8"/>
      <c r="V449" s="7"/>
      <c r="W449" s="6" t="str">
        <f t="array" ref="W449">IF(NOT(ISBLANK(D449)),_xludf.XLOOKUP(D449,[2]CODE!$A$4:$A$100,[2]CODE!$D$4:$D$100),"")</f>
        <v/>
      </c>
      <c r="X449" s="5" t="str">
        <f t="array" ref="X449">IF(NOT(AND(ISBLANK(D449),ISBLANK(C449))),_xludf.XLOOKUP(D449,[2]CODE!$A$4:$A$100,[2]CODE!$E$4:$E$100),"")</f>
        <v/>
      </c>
      <c r="Y449" s="5" t="str">
        <f t="shared" si="45"/>
        <v/>
      </c>
      <c r="Z449" s="5" t="str">
        <f t="shared" si="46"/>
        <v/>
      </c>
      <c r="AA449" s="4">
        <f t="shared" si="47"/>
        <v>0</v>
      </c>
      <c r="AC449" s="2"/>
    </row>
    <row r="450" spans="1:29" ht="15.5">
      <c r="A450" s="13" t="str">
        <f>IF(OR(ISBLANK(C450),ISBLANK(D450),ISBLANK(F450),ISBLANK(G450)),"",COUNTIF($B$5:B450,"JAMBUTU"))</f>
        <v/>
      </c>
      <c r="B450" s="8" t="str">
        <f t="shared" si="48"/>
        <v/>
      </c>
      <c r="C450" s="8"/>
      <c r="D450" s="8"/>
      <c r="E450" s="18"/>
      <c r="F450" s="12"/>
      <c r="G450" s="17"/>
      <c r="H450" s="12"/>
      <c r="I450" s="17"/>
      <c r="J450" s="10">
        <f t="shared" si="42"/>
        <v>0</v>
      </c>
      <c r="K450" s="10">
        <f t="shared" si="43"/>
        <v>0</v>
      </c>
      <c r="L450" s="9" t="str">
        <f t="shared" si="44"/>
        <v/>
      </c>
      <c r="M450" s="8"/>
      <c r="N450" s="8"/>
      <c r="O450" s="8"/>
      <c r="P450" s="8"/>
      <c r="Q450" s="8"/>
      <c r="R450" s="8"/>
      <c r="S450" s="8"/>
      <c r="T450" s="8"/>
      <c r="U450" s="8"/>
      <c r="V450" s="7"/>
      <c r="W450" s="6" t="str">
        <f t="array" ref="W450">IF(NOT(ISBLANK(D450)),_xludf.XLOOKUP(D450,[2]CODE!$A$4:$A$100,[2]CODE!$D$4:$D$100),"")</f>
        <v/>
      </c>
      <c r="X450" s="5" t="str">
        <f t="array" ref="X450">IF(NOT(AND(ISBLANK(D450),ISBLANK(C450))),_xludf.XLOOKUP(D450,[2]CODE!$A$4:$A$100,[2]CODE!$E$4:$E$100),"")</f>
        <v/>
      </c>
      <c r="Y450" s="5" t="str">
        <f t="shared" si="45"/>
        <v/>
      </c>
      <c r="Z450" s="5" t="str">
        <f t="shared" si="46"/>
        <v/>
      </c>
      <c r="AA450" s="4">
        <f t="shared" si="47"/>
        <v>0</v>
      </c>
      <c r="AC450" s="2"/>
    </row>
    <row r="451" spans="1:29" ht="15.5">
      <c r="A451" s="13" t="str">
        <f>IF(OR(ISBLANK(C451),ISBLANK(D451),ISBLANK(F451),ISBLANK(G451)),"",COUNTIF($B$5:B451,"JAMBUTU"))</f>
        <v/>
      </c>
      <c r="B451" s="8" t="str">
        <f t="shared" si="48"/>
        <v/>
      </c>
      <c r="C451" s="8"/>
      <c r="D451" s="8"/>
      <c r="E451" s="18"/>
      <c r="F451" s="12"/>
      <c r="G451" s="17"/>
      <c r="H451" s="12"/>
      <c r="I451" s="17"/>
      <c r="J451" s="10">
        <f t="shared" si="42"/>
        <v>0</v>
      </c>
      <c r="K451" s="10">
        <f t="shared" si="43"/>
        <v>0</v>
      </c>
      <c r="L451" s="9" t="str">
        <f t="shared" si="44"/>
        <v/>
      </c>
      <c r="M451" s="8"/>
      <c r="N451" s="8"/>
      <c r="O451" s="8"/>
      <c r="P451" s="8"/>
      <c r="Q451" s="8"/>
      <c r="R451" s="8"/>
      <c r="S451" s="8"/>
      <c r="T451" s="8"/>
      <c r="U451" s="8"/>
      <c r="V451" s="7"/>
      <c r="W451" s="6" t="str">
        <f t="array" ref="W451">IF(NOT(ISBLANK(D451)),_xludf.XLOOKUP(D451,[2]CODE!$A$4:$A$100,[2]CODE!$D$4:$D$100),"")</f>
        <v/>
      </c>
      <c r="X451" s="5" t="str">
        <f t="array" ref="X451">IF(NOT(AND(ISBLANK(D451),ISBLANK(C451))),_xludf.XLOOKUP(D451,[2]CODE!$A$4:$A$100,[2]CODE!$E$4:$E$100),"")</f>
        <v/>
      </c>
      <c r="Y451" s="5" t="str">
        <f t="shared" si="45"/>
        <v/>
      </c>
      <c r="Z451" s="5" t="str">
        <f t="shared" si="46"/>
        <v/>
      </c>
      <c r="AA451" s="4">
        <f t="shared" si="47"/>
        <v>0</v>
      </c>
      <c r="AC451" s="2"/>
    </row>
    <row r="452" spans="1:29" ht="15.5">
      <c r="A452" s="13" t="str">
        <f>IF(OR(ISBLANK(C452),ISBLANK(D452),ISBLANK(F452),ISBLANK(G452)),"",COUNTIF($B$5:B452,"JAMBUTU"))</f>
        <v/>
      </c>
      <c r="B452" s="8" t="str">
        <f t="shared" si="48"/>
        <v/>
      </c>
      <c r="C452" s="8"/>
      <c r="D452" s="8"/>
      <c r="E452" s="18"/>
      <c r="F452" s="12"/>
      <c r="G452" s="17"/>
      <c r="H452" s="12"/>
      <c r="I452" s="17"/>
      <c r="J452" s="10">
        <f t="shared" si="42"/>
        <v>0</v>
      </c>
      <c r="K452" s="10">
        <f t="shared" si="43"/>
        <v>0</v>
      </c>
      <c r="L452" s="9" t="str">
        <f t="shared" si="44"/>
        <v/>
      </c>
      <c r="M452" s="8"/>
      <c r="N452" s="8"/>
      <c r="O452" s="8"/>
      <c r="P452" s="8"/>
      <c r="Q452" s="8"/>
      <c r="R452" s="8"/>
      <c r="S452" s="8"/>
      <c r="T452" s="8"/>
      <c r="U452" s="8"/>
      <c r="V452" s="7"/>
      <c r="W452" s="6" t="str">
        <f t="array" ref="W452">IF(NOT(ISBLANK(D452)),_xludf.XLOOKUP(D452,[2]CODE!$A$4:$A$100,[2]CODE!$D$4:$D$100),"")</f>
        <v/>
      </c>
      <c r="X452" s="5" t="str">
        <f t="array" ref="X452">IF(NOT(AND(ISBLANK(D452),ISBLANK(C452))),_xludf.XLOOKUP(D452,[2]CODE!$A$4:$A$100,[2]CODE!$E$4:$E$100),"")</f>
        <v/>
      </c>
      <c r="Y452" s="5" t="str">
        <f t="shared" si="45"/>
        <v/>
      </c>
      <c r="Z452" s="5" t="str">
        <f t="shared" si="46"/>
        <v/>
      </c>
      <c r="AA452" s="4">
        <f t="shared" si="47"/>
        <v>0</v>
      </c>
      <c r="AC452" s="2"/>
    </row>
    <row r="453" spans="1:29" ht="15.5">
      <c r="A453" s="13" t="str">
        <f>IF(OR(ISBLANK(C453),ISBLANK(D453),ISBLANK(F453),ISBLANK(G453)),"",COUNTIF($B$5:B453,"JAMBUTU"))</f>
        <v/>
      </c>
      <c r="B453" s="8" t="str">
        <f t="shared" si="48"/>
        <v/>
      </c>
      <c r="C453" s="8"/>
      <c r="D453" s="8"/>
      <c r="E453" s="18"/>
      <c r="F453" s="12"/>
      <c r="G453" s="17"/>
      <c r="H453" s="12"/>
      <c r="I453" s="17"/>
      <c r="J453" s="10">
        <f t="shared" ref="J453:J516" si="49">DATE(YEAR(F453),MONTH(F453),DAY(F453))+TIME(HOUR(G453),MINUTE(G453), SECOND(G453))</f>
        <v>0</v>
      </c>
      <c r="K453" s="10">
        <f t="shared" ref="K453:K516" si="50">DATE(YEAR(H453),MONTH(H453),DAY(H453))+TIME(HOUR(I453),MINUTE(I453), SECOND(I453))</f>
        <v>0</v>
      </c>
      <c r="L453" s="9" t="str">
        <f t="shared" ref="L453:L516" si="51">IF(ISBLANK(I453),"",IF(J453&gt;K453,(K453+1)-J453,K453-J453))</f>
        <v/>
      </c>
      <c r="M453" s="8"/>
      <c r="N453" s="8"/>
      <c r="O453" s="8"/>
      <c r="P453" s="8"/>
      <c r="Q453" s="8"/>
      <c r="R453" s="8"/>
      <c r="S453" s="8"/>
      <c r="T453" s="8"/>
      <c r="U453" s="8"/>
      <c r="V453" s="7"/>
      <c r="W453" s="6" t="str">
        <f t="array" ref="W453">IF(NOT(ISBLANK(D453)),_xludf.XLOOKUP(D453,[2]CODE!$A$4:$A$100,[2]CODE!$D$4:$D$100),"")</f>
        <v/>
      </c>
      <c r="X453" s="5" t="str">
        <f t="array" ref="X453">IF(NOT(AND(ISBLANK(D453),ISBLANK(C453))),_xludf.XLOOKUP(D453,[2]CODE!$A$4:$A$100,[2]CODE!$E$4:$E$100),"")</f>
        <v/>
      </c>
      <c r="Y453" s="5" t="str">
        <f t="shared" ref="Y453:Y516" si="52">LEFT(C453,4)</f>
        <v/>
      </c>
      <c r="Z453" s="5" t="str">
        <f t="shared" ref="Z453:Z516" si="53">IF(NOT(ISBLANK(C453)), IF(K453&gt;J453,"YES","NO"),"")</f>
        <v/>
      </c>
      <c r="AA453" s="4">
        <f t="shared" ref="AA453:AA516" si="54">IF(AND(F453=H453,Z453="NO"),1+H453,H453)</f>
        <v>0</v>
      </c>
      <c r="AC453" s="2"/>
    </row>
    <row r="454" spans="1:29" ht="15.5">
      <c r="A454" s="13" t="str">
        <f>IF(OR(ISBLANK(C454),ISBLANK(D454),ISBLANK(F454),ISBLANK(G454)),"",COUNTIF($B$5:B454,"JAMBUTU"))</f>
        <v/>
      </c>
      <c r="B454" s="8" t="str">
        <f t="shared" si="48"/>
        <v/>
      </c>
      <c r="C454" s="8"/>
      <c r="D454" s="8"/>
      <c r="E454" s="18"/>
      <c r="F454" s="12"/>
      <c r="G454" s="17"/>
      <c r="H454" s="12"/>
      <c r="I454" s="17"/>
      <c r="J454" s="10">
        <f t="shared" si="49"/>
        <v>0</v>
      </c>
      <c r="K454" s="10">
        <f t="shared" si="50"/>
        <v>0</v>
      </c>
      <c r="L454" s="9" t="str">
        <f t="shared" si="51"/>
        <v/>
      </c>
      <c r="M454" s="8"/>
      <c r="N454" s="8"/>
      <c r="O454" s="8"/>
      <c r="P454" s="8"/>
      <c r="Q454" s="8"/>
      <c r="R454" s="16"/>
      <c r="S454" s="8"/>
      <c r="T454" s="8"/>
      <c r="U454" s="8"/>
      <c r="V454" s="7"/>
      <c r="W454" s="6" t="str">
        <f t="array" ref="W454">IF(NOT(ISBLANK(D454)),_xludf.XLOOKUP(D454,[2]CODE!$A$4:$A$100,[2]CODE!$D$4:$D$100),"")</f>
        <v/>
      </c>
      <c r="X454" s="5" t="str">
        <f t="array" ref="X454">IF(NOT(AND(ISBLANK(D454),ISBLANK(C454))),_xludf.XLOOKUP(D454,[2]CODE!$A$4:$A$100,[2]CODE!$E$4:$E$100),"")</f>
        <v/>
      </c>
      <c r="Y454" s="5" t="str">
        <f t="shared" si="52"/>
        <v/>
      </c>
      <c r="Z454" s="5" t="str">
        <f t="shared" si="53"/>
        <v/>
      </c>
      <c r="AA454" s="4">
        <f t="shared" si="54"/>
        <v>0</v>
      </c>
      <c r="AC454" s="2"/>
    </row>
    <row r="455" spans="1:29" ht="15.5">
      <c r="A455" s="13" t="str">
        <f>IF(OR(ISBLANK(C455),ISBLANK(D455),ISBLANK(F455),ISBLANK(G455)),"",COUNTIF($B$5:B455,"JAMBUTU"))</f>
        <v/>
      </c>
      <c r="B455" s="8" t="str">
        <f t="shared" si="48"/>
        <v/>
      </c>
      <c r="C455" s="8"/>
      <c r="D455" s="8"/>
      <c r="E455" s="18"/>
      <c r="F455" s="12"/>
      <c r="G455" s="17"/>
      <c r="H455" s="12"/>
      <c r="I455" s="17"/>
      <c r="J455" s="10">
        <f t="shared" si="49"/>
        <v>0</v>
      </c>
      <c r="K455" s="10">
        <f t="shared" si="50"/>
        <v>0</v>
      </c>
      <c r="L455" s="9" t="str">
        <f t="shared" si="51"/>
        <v/>
      </c>
      <c r="M455" s="8"/>
      <c r="N455" s="8"/>
      <c r="O455" s="8"/>
      <c r="P455" s="8"/>
      <c r="Q455" s="8"/>
      <c r="R455" s="16"/>
      <c r="S455" s="8"/>
      <c r="T455" s="8"/>
      <c r="U455" s="8"/>
      <c r="V455" s="7"/>
      <c r="W455" s="6" t="str">
        <f t="array" ref="W455">IF(NOT(ISBLANK(D455)),_xludf.XLOOKUP(D455,[2]CODE!$A$4:$A$100,[2]CODE!$D$4:$D$100),"")</f>
        <v/>
      </c>
      <c r="X455" s="5" t="str">
        <f t="array" ref="X455">IF(NOT(AND(ISBLANK(D455),ISBLANK(C455))),_xludf.XLOOKUP(D455,[2]CODE!$A$4:$A$100,[2]CODE!$E$4:$E$100),"")</f>
        <v/>
      </c>
      <c r="Y455" s="5" t="str">
        <f t="shared" si="52"/>
        <v/>
      </c>
      <c r="Z455" s="5" t="str">
        <f t="shared" si="53"/>
        <v/>
      </c>
      <c r="AA455" s="4">
        <f t="shared" si="54"/>
        <v>0</v>
      </c>
      <c r="AC455" s="2"/>
    </row>
    <row r="456" spans="1:29" ht="15.5">
      <c r="A456" s="13" t="str">
        <f>IF(OR(ISBLANK(C456),ISBLANK(D456),ISBLANK(F456),ISBLANK(G456)),"",COUNTIF($B$5:B456,"JAMBUTU"))</f>
        <v/>
      </c>
      <c r="B456" s="8" t="str">
        <f t="shared" si="48"/>
        <v/>
      </c>
      <c r="C456" s="8"/>
      <c r="D456" s="8"/>
      <c r="E456" s="18"/>
      <c r="F456" s="12"/>
      <c r="G456" s="17"/>
      <c r="H456" s="12"/>
      <c r="I456" s="17"/>
      <c r="J456" s="10">
        <f t="shared" si="49"/>
        <v>0</v>
      </c>
      <c r="K456" s="10">
        <f t="shared" si="50"/>
        <v>0</v>
      </c>
      <c r="L456" s="9" t="str">
        <f t="shared" si="51"/>
        <v/>
      </c>
      <c r="M456" s="8"/>
      <c r="N456" s="8"/>
      <c r="O456" s="8"/>
      <c r="P456" s="8"/>
      <c r="Q456" s="8"/>
      <c r="R456" s="16"/>
      <c r="S456" s="8"/>
      <c r="T456" s="8"/>
      <c r="U456" s="8"/>
      <c r="V456" s="7"/>
      <c r="W456" s="6" t="str">
        <f t="array" ref="W456">IF(NOT(ISBLANK(D456)),_xludf.XLOOKUP(D456,[2]CODE!$A$4:$A$100,[2]CODE!$D$4:$D$100),"")</f>
        <v/>
      </c>
      <c r="X456" s="5" t="str">
        <f t="array" ref="X456">IF(NOT(AND(ISBLANK(D456),ISBLANK(C456))),_xludf.XLOOKUP(D456,[2]CODE!$A$4:$A$100,[2]CODE!$E$4:$E$100),"")</f>
        <v/>
      </c>
      <c r="Y456" s="5" t="str">
        <f t="shared" si="52"/>
        <v/>
      </c>
      <c r="Z456" s="5" t="str">
        <f t="shared" si="53"/>
        <v/>
      </c>
      <c r="AA456" s="4">
        <f t="shared" si="54"/>
        <v>0</v>
      </c>
      <c r="AC456" s="2"/>
    </row>
    <row r="457" spans="1:29" ht="15.5">
      <c r="A457" s="13" t="str">
        <f>IF(OR(ISBLANK(C457),ISBLANK(D457),ISBLANK(F457),ISBLANK(G457)),"",COUNTIF($B$5:B457,"JAMBUTU"))</f>
        <v/>
      </c>
      <c r="B457" s="8" t="str">
        <f t="shared" si="48"/>
        <v/>
      </c>
      <c r="C457" s="8"/>
      <c r="D457" s="8"/>
      <c r="E457" s="18"/>
      <c r="F457" s="12"/>
      <c r="G457" s="17"/>
      <c r="H457" s="12"/>
      <c r="I457" s="17"/>
      <c r="J457" s="10">
        <f t="shared" si="49"/>
        <v>0</v>
      </c>
      <c r="K457" s="10">
        <f t="shared" si="50"/>
        <v>0</v>
      </c>
      <c r="L457" s="9" t="str">
        <f t="shared" si="51"/>
        <v/>
      </c>
      <c r="M457" s="8"/>
      <c r="N457" s="8"/>
      <c r="O457" s="8"/>
      <c r="P457" s="8"/>
      <c r="Q457" s="8"/>
      <c r="R457" s="16"/>
      <c r="S457" s="8"/>
      <c r="T457" s="8"/>
      <c r="U457" s="8"/>
      <c r="V457" s="7"/>
      <c r="W457" s="6" t="str">
        <f t="array" ref="W457">IF(NOT(ISBLANK(D457)),_xludf.XLOOKUP(D457,[2]CODE!$A$4:$A$100,[2]CODE!$D$4:$D$100),"")</f>
        <v/>
      </c>
      <c r="X457" s="5" t="str">
        <f t="array" ref="X457">IF(NOT(AND(ISBLANK(D457),ISBLANK(C457))),_xludf.XLOOKUP(D457,[2]CODE!$A$4:$A$100,[2]CODE!$E$4:$E$100),"")</f>
        <v/>
      </c>
      <c r="Y457" s="5" t="str">
        <f t="shared" si="52"/>
        <v/>
      </c>
      <c r="Z457" s="5" t="str">
        <f t="shared" si="53"/>
        <v/>
      </c>
      <c r="AA457" s="4">
        <f t="shared" si="54"/>
        <v>0</v>
      </c>
      <c r="AC457" s="2"/>
    </row>
    <row r="458" spans="1:29" ht="15.5">
      <c r="A458" s="13" t="str">
        <f>IF(OR(ISBLANK(C458),ISBLANK(D458),ISBLANK(F458),ISBLANK(G458)),"",COUNTIF($B$5:B458,"JAMBUTU"))</f>
        <v/>
      </c>
      <c r="B458" s="8" t="str">
        <f t="shared" si="48"/>
        <v/>
      </c>
      <c r="C458" s="8"/>
      <c r="D458" s="8"/>
      <c r="E458" s="18"/>
      <c r="F458" s="12"/>
      <c r="G458" s="17"/>
      <c r="H458" s="12"/>
      <c r="I458" s="17"/>
      <c r="J458" s="10">
        <f t="shared" si="49"/>
        <v>0</v>
      </c>
      <c r="K458" s="10">
        <f t="shared" si="50"/>
        <v>0</v>
      </c>
      <c r="L458" s="9" t="str">
        <f t="shared" si="51"/>
        <v/>
      </c>
      <c r="M458" s="8"/>
      <c r="N458" s="8"/>
      <c r="O458" s="8"/>
      <c r="P458" s="8"/>
      <c r="Q458" s="8"/>
      <c r="R458" s="8"/>
      <c r="S458" s="8"/>
      <c r="T458" s="8"/>
      <c r="U458" s="8"/>
      <c r="V458" s="7"/>
      <c r="W458" s="6" t="str">
        <f t="array" ref="W458">IF(NOT(ISBLANK(D458)),_xludf.XLOOKUP(D458,[2]CODE!$A$4:$A$100,[2]CODE!$D$4:$D$100),"")</f>
        <v/>
      </c>
      <c r="X458" s="5" t="str">
        <f t="array" ref="X458">IF(NOT(AND(ISBLANK(D458),ISBLANK(C458))),_xludf.XLOOKUP(D458,[2]CODE!$A$4:$A$100,[2]CODE!$E$4:$E$100),"")</f>
        <v/>
      </c>
      <c r="Y458" s="5" t="str">
        <f t="shared" si="52"/>
        <v/>
      </c>
      <c r="Z458" s="5" t="str">
        <f t="shared" si="53"/>
        <v/>
      </c>
      <c r="AA458" s="4">
        <f t="shared" si="54"/>
        <v>0</v>
      </c>
      <c r="AC458" s="2"/>
    </row>
    <row r="459" spans="1:29" ht="15.5">
      <c r="A459" s="13" t="str">
        <f>IF(OR(ISBLANK(C459),ISBLANK(D459),ISBLANK(F459),ISBLANK(G459)),"",COUNTIF($B$5:B459,"JAMBUTU"))</f>
        <v/>
      </c>
      <c r="B459" s="8" t="str">
        <f t="shared" si="48"/>
        <v/>
      </c>
      <c r="C459" s="8"/>
      <c r="D459" s="8"/>
      <c r="E459" s="18"/>
      <c r="F459" s="12"/>
      <c r="G459" s="17"/>
      <c r="H459" s="12"/>
      <c r="I459" s="17"/>
      <c r="J459" s="10">
        <f t="shared" si="49"/>
        <v>0</v>
      </c>
      <c r="K459" s="10">
        <f t="shared" si="50"/>
        <v>0</v>
      </c>
      <c r="L459" s="9" t="str">
        <f t="shared" si="51"/>
        <v/>
      </c>
      <c r="M459" s="8"/>
      <c r="N459" s="8"/>
      <c r="O459" s="8"/>
      <c r="P459" s="8"/>
      <c r="Q459" s="8"/>
      <c r="R459" s="8"/>
      <c r="S459" s="8"/>
      <c r="T459" s="8"/>
      <c r="U459" s="8"/>
      <c r="V459" s="7"/>
      <c r="W459" s="6" t="str">
        <f t="array" ref="W459">IF(NOT(ISBLANK(D459)),_xludf.XLOOKUP(D459,[2]CODE!$A$4:$A$100,[2]CODE!$D$4:$D$100),"")</f>
        <v/>
      </c>
      <c r="X459" s="5" t="str">
        <f t="array" ref="X459">IF(NOT(AND(ISBLANK(D459),ISBLANK(C459))),_xludf.XLOOKUP(D459,[2]CODE!$A$4:$A$100,[2]CODE!$E$4:$E$100),"")</f>
        <v/>
      </c>
      <c r="Y459" s="5" t="str">
        <f t="shared" si="52"/>
        <v/>
      </c>
      <c r="Z459" s="5" t="str">
        <f t="shared" si="53"/>
        <v/>
      </c>
      <c r="AA459" s="4">
        <f t="shared" si="54"/>
        <v>0</v>
      </c>
      <c r="AC459" s="2"/>
    </row>
    <row r="460" spans="1:29" ht="15.5">
      <c r="A460" s="13" t="str">
        <f>IF(OR(ISBLANK(C460),ISBLANK(D460),ISBLANK(F460),ISBLANK(G460)),"",COUNTIF($B$5:B460,"JAMBUTU"))</f>
        <v/>
      </c>
      <c r="B460" s="8" t="str">
        <f t="shared" si="48"/>
        <v/>
      </c>
      <c r="C460" s="8"/>
      <c r="D460" s="8"/>
      <c r="E460" s="18"/>
      <c r="F460" s="12"/>
      <c r="G460" s="17"/>
      <c r="H460" s="12"/>
      <c r="I460" s="17"/>
      <c r="J460" s="10">
        <f t="shared" si="49"/>
        <v>0</v>
      </c>
      <c r="K460" s="10">
        <f t="shared" si="50"/>
        <v>0</v>
      </c>
      <c r="L460" s="9" t="str">
        <f t="shared" si="51"/>
        <v/>
      </c>
      <c r="M460" s="8"/>
      <c r="N460" s="8"/>
      <c r="O460" s="8"/>
      <c r="P460" s="8"/>
      <c r="Q460" s="8"/>
      <c r="R460" s="8"/>
      <c r="S460" s="8"/>
      <c r="T460" s="8"/>
      <c r="U460" s="8"/>
      <c r="V460" s="7"/>
      <c r="W460" s="6" t="str">
        <f t="array" ref="W460">IF(NOT(ISBLANK(D460)),_xludf.XLOOKUP(D460,[2]CODE!$A$4:$A$100,[2]CODE!$D$4:$D$100),"")</f>
        <v/>
      </c>
      <c r="X460" s="5" t="str">
        <f t="array" ref="X460">IF(NOT(AND(ISBLANK(D460),ISBLANK(C460))),_xludf.XLOOKUP(D460,[2]CODE!$A$4:$A$100,[2]CODE!$E$4:$E$100),"")</f>
        <v/>
      </c>
      <c r="Y460" s="5" t="str">
        <f t="shared" si="52"/>
        <v/>
      </c>
      <c r="Z460" s="5" t="str">
        <f t="shared" si="53"/>
        <v/>
      </c>
      <c r="AA460" s="4">
        <f t="shared" si="54"/>
        <v>0</v>
      </c>
      <c r="AC460" s="2"/>
    </row>
    <row r="461" spans="1:29" ht="15.5">
      <c r="A461" s="13" t="str">
        <f>IF(OR(ISBLANK(C461),ISBLANK(D461),ISBLANK(F461),ISBLANK(G461)),"",COUNTIF($B$5:B461,"JAMBUTU"))</f>
        <v/>
      </c>
      <c r="B461" s="8" t="str">
        <f t="shared" si="48"/>
        <v/>
      </c>
      <c r="C461" s="8"/>
      <c r="D461" s="8"/>
      <c r="E461" s="18"/>
      <c r="F461" s="12"/>
      <c r="G461" s="17"/>
      <c r="H461" s="12"/>
      <c r="I461" s="17"/>
      <c r="J461" s="10">
        <f t="shared" si="49"/>
        <v>0</v>
      </c>
      <c r="K461" s="10">
        <f t="shared" si="50"/>
        <v>0</v>
      </c>
      <c r="L461" s="9" t="str">
        <f t="shared" si="51"/>
        <v/>
      </c>
      <c r="M461" s="8"/>
      <c r="N461" s="8"/>
      <c r="O461" s="8"/>
      <c r="P461" s="8"/>
      <c r="Q461" s="8"/>
      <c r="R461" s="8"/>
      <c r="S461" s="8"/>
      <c r="T461" s="8"/>
      <c r="U461" s="8"/>
      <c r="V461" s="7"/>
      <c r="W461" s="6" t="str">
        <f t="array" ref="W461">IF(NOT(ISBLANK(D461)),_xludf.XLOOKUP(D461,[2]CODE!$A$4:$A$100,[2]CODE!$D$4:$D$100),"")</f>
        <v/>
      </c>
      <c r="X461" s="5" t="str">
        <f t="array" ref="X461">IF(NOT(AND(ISBLANK(D461),ISBLANK(C461))),_xludf.XLOOKUP(D461,[2]CODE!$A$4:$A$100,[2]CODE!$E$4:$E$100),"")</f>
        <v/>
      </c>
      <c r="Y461" s="5" t="str">
        <f t="shared" si="52"/>
        <v/>
      </c>
      <c r="Z461" s="5" t="str">
        <f t="shared" si="53"/>
        <v/>
      </c>
      <c r="AA461" s="4">
        <f t="shared" si="54"/>
        <v>0</v>
      </c>
      <c r="AC461" s="2"/>
    </row>
    <row r="462" spans="1:29" ht="15.5">
      <c r="A462" s="13" t="str">
        <f>IF(OR(ISBLANK(C462),ISBLANK(D462),ISBLANK(F462),ISBLANK(G462)),"",COUNTIF($B$5:B462,"JAMBUTU"))</f>
        <v/>
      </c>
      <c r="B462" s="8" t="str">
        <f t="shared" si="48"/>
        <v/>
      </c>
      <c r="C462" s="8"/>
      <c r="D462" s="8"/>
      <c r="E462" s="18"/>
      <c r="F462" s="12"/>
      <c r="G462" s="17"/>
      <c r="H462" s="12"/>
      <c r="I462" s="17"/>
      <c r="J462" s="10">
        <f t="shared" si="49"/>
        <v>0</v>
      </c>
      <c r="K462" s="10">
        <f t="shared" si="50"/>
        <v>0</v>
      </c>
      <c r="L462" s="9" t="str">
        <f t="shared" si="51"/>
        <v/>
      </c>
      <c r="M462" s="8"/>
      <c r="N462" s="8"/>
      <c r="O462" s="8"/>
      <c r="P462" s="8"/>
      <c r="Q462" s="8"/>
      <c r="R462" s="8"/>
      <c r="S462" s="8"/>
      <c r="T462" s="8"/>
      <c r="U462" s="8"/>
      <c r="V462" s="7"/>
      <c r="W462" s="6" t="str">
        <f t="array" ref="W462">IF(NOT(ISBLANK(D462)),_xludf.XLOOKUP(D462,[2]CODE!$A$4:$A$100,[2]CODE!$D$4:$D$100),"")</f>
        <v/>
      </c>
      <c r="X462" s="5" t="str">
        <f t="array" ref="X462">IF(NOT(AND(ISBLANK(D462),ISBLANK(C462))),_xludf.XLOOKUP(D462,[2]CODE!$A$4:$A$100,[2]CODE!$E$4:$E$100),"")</f>
        <v/>
      </c>
      <c r="Y462" s="5" t="str">
        <f t="shared" si="52"/>
        <v/>
      </c>
      <c r="Z462" s="5" t="str">
        <f t="shared" si="53"/>
        <v/>
      </c>
      <c r="AA462" s="4">
        <f t="shared" si="54"/>
        <v>0</v>
      </c>
      <c r="AC462" s="2"/>
    </row>
    <row r="463" spans="1:29" ht="15.5">
      <c r="A463" s="13" t="str">
        <f>IF(OR(ISBLANK(C463),ISBLANK(D463),ISBLANK(F463),ISBLANK(G463)),"",COUNTIF($B$5:B463,"JAMBUTU"))</f>
        <v/>
      </c>
      <c r="B463" s="8" t="str">
        <f t="shared" si="48"/>
        <v/>
      </c>
      <c r="C463" s="8"/>
      <c r="D463" s="8"/>
      <c r="E463" s="18"/>
      <c r="F463" s="12"/>
      <c r="G463" s="17"/>
      <c r="H463" s="12"/>
      <c r="I463" s="17"/>
      <c r="J463" s="10">
        <f t="shared" si="49"/>
        <v>0</v>
      </c>
      <c r="K463" s="10">
        <f t="shared" si="50"/>
        <v>0</v>
      </c>
      <c r="L463" s="9" t="str">
        <f t="shared" si="51"/>
        <v/>
      </c>
      <c r="M463" s="8"/>
      <c r="N463" s="8"/>
      <c r="O463" s="8"/>
      <c r="P463" s="8"/>
      <c r="Q463" s="8"/>
      <c r="R463" s="8"/>
      <c r="S463" s="8"/>
      <c r="T463" s="8"/>
      <c r="U463" s="8"/>
      <c r="V463" s="7"/>
      <c r="W463" s="6" t="str">
        <f t="array" ref="W463">IF(NOT(ISBLANK(D463)),_xludf.XLOOKUP(D463,[2]CODE!$A$4:$A$100,[2]CODE!$D$4:$D$100),"")</f>
        <v/>
      </c>
      <c r="X463" s="5" t="str">
        <f t="array" ref="X463">IF(NOT(AND(ISBLANK(D463),ISBLANK(C463))),_xludf.XLOOKUP(D463,[2]CODE!$A$4:$A$100,[2]CODE!$E$4:$E$100),"")</f>
        <v/>
      </c>
      <c r="Y463" s="5" t="str">
        <f t="shared" si="52"/>
        <v/>
      </c>
      <c r="Z463" s="5" t="str">
        <f t="shared" si="53"/>
        <v/>
      </c>
      <c r="AA463" s="4">
        <f t="shared" si="54"/>
        <v>0</v>
      </c>
      <c r="AC463" s="2"/>
    </row>
    <row r="464" spans="1:29" ht="15.5">
      <c r="A464" s="13" t="str">
        <f>IF(OR(ISBLANK(C464),ISBLANK(D464),ISBLANK(F464),ISBLANK(G464)),"",COUNTIF($B$5:B464,"JAMBUTU"))</f>
        <v/>
      </c>
      <c r="B464" s="8" t="str">
        <f t="shared" si="48"/>
        <v/>
      </c>
      <c r="C464" s="8"/>
      <c r="D464" s="8"/>
      <c r="E464" s="18"/>
      <c r="F464" s="12"/>
      <c r="G464" s="17"/>
      <c r="H464" s="12"/>
      <c r="I464" s="17"/>
      <c r="J464" s="10">
        <f t="shared" si="49"/>
        <v>0</v>
      </c>
      <c r="K464" s="10">
        <f t="shared" si="50"/>
        <v>0</v>
      </c>
      <c r="L464" s="9" t="str">
        <f t="shared" si="51"/>
        <v/>
      </c>
      <c r="M464" s="8"/>
      <c r="N464" s="8"/>
      <c r="O464" s="8"/>
      <c r="P464" s="8"/>
      <c r="Q464" s="8"/>
      <c r="R464" s="8"/>
      <c r="S464" s="8"/>
      <c r="T464" s="8"/>
      <c r="U464" s="8"/>
      <c r="V464" s="7"/>
      <c r="W464" s="6" t="str">
        <f t="array" ref="W464">IF(NOT(ISBLANK(D464)),_xludf.XLOOKUP(D464,[2]CODE!$A$4:$A$100,[2]CODE!$D$4:$D$100),"")</f>
        <v/>
      </c>
      <c r="X464" s="5" t="str">
        <f t="array" ref="X464">IF(NOT(AND(ISBLANK(D464),ISBLANK(C464))),_xludf.XLOOKUP(D464,[2]CODE!$A$4:$A$100,[2]CODE!$E$4:$E$100),"")</f>
        <v/>
      </c>
      <c r="Y464" s="5" t="str">
        <f t="shared" si="52"/>
        <v/>
      </c>
      <c r="Z464" s="5" t="str">
        <f t="shared" si="53"/>
        <v/>
      </c>
      <c r="AA464" s="4">
        <f t="shared" si="54"/>
        <v>0</v>
      </c>
      <c r="AC464" s="2"/>
    </row>
    <row r="465" spans="1:29" ht="15.5">
      <c r="A465" s="13" t="str">
        <f>IF(OR(ISBLANK(C465),ISBLANK(D465),ISBLANK(F465),ISBLANK(G465)),"",COUNTIF($B$5:B465,"JAMBUTU"))</f>
        <v/>
      </c>
      <c r="B465" s="8" t="str">
        <f t="shared" si="48"/>
        <v/>
      </c>
      <c r="C465" s="8"/>
      <c r="D465" s="8"/>
      <c r="E465" s="18"/>
      <c r="F465" s="12"/>
      <c r="G465" s="17"/>
      <c r="H465" s="12"/>
      <c r="I465" s="17"/>
      <c r="J465" s="10">
        <f t="shared" si="49"/>
        <v>0</v>
      </c>
      <c r="K465" s="10">
        <f t="shared" si="50"/>
        <v>0</v>
      </c>
      <c r="L465" s="9" t="str">
        <f t="shared" si="51"/>
        <v/>
      </c>
      <c r="M465" s="8"/>
      <c r="N465" s="8"/>
      <c r="O465" s="8"/>
      <c r="P465" s="8"/>
      <c r="Q465" s="8"/>
      <c r="R465" s="8"/>
      <c r="S465" s="8"/>
      <c r="T465" s="8"/>
      <c r="U465" s="8"/>
      <c r="V465" s="7"/>
      <c r="W465" s="6" t="str">
        <f t="array" ref="W465">IF(NOT(ISBLANK(D465)),_xludf.XLOOKUP(D465,[2]CODE!$A$4:$A$100,[2]CODE!$D$4:$D$100),"")</f>
        <v/>
      </c>
      <c r="X465" s="5" t="str">
        <f t="array" ref="X465">IF(NOT(AND(ISBLANK(D465),ISBLANK(C465))),_xludf.XLOOKUP(D465,[2]CODE!$A$4:$A$100,[2]CODE!$E$4:$E$100),"")</f>
        <v/>
      </c>
      <c r="Y465" s="5" t="str">
        <f t="shared" si="52"/>
        <v/>
      </c>
      <c r="Z465" s="5" t="str">
        <f t="shared" si="53"/>
        <v/>
      </c>
      <c r="AA465" s="4">
        <f t="shared" si="54"/>
        <v>0</v>
      </c>
      <c r="AC465" s="2"/>
    </row>
    <row r="466" spans="1:29" ht="15.5">
      <c r="A466" s="13" t="str">
        <f>IF(OR(ISBLANK(C466),ISBLANK(D466),ISBLANK(F466),ISBLANK(G466)),"",COUNTIF($B$5:B466,"JAMBUTU"))</f>
        <v/>
      </c>
      <c r="B466" s="8" t="str">
        <f t="shared" si="48"/>
        <v/>
      </c>
      <c r="C466" s="8"/>
      <c r="D466" s="8"/>
      <c r="E466" s="18"/>
      <c r="F466" s="12"/>
      <c r="G466" s="17"/>
      <c r="H466" s="12"/>
      <c r="I466" s="17"/>
      <c r="J466" s="10">
        <f t="shared" si="49"/>
        <v>0</v>
      </c>
      <c r="K466" s="10">
        <f t="shared" si="50"/>
        <v>0</v>
      </c>
      <c r="L466" s="9" t="str">
        <f t="shared" si="51"/>
        <v/>
      </c>
      <c r="M466" s="8"/>
      <c r="N466" s="8"/>
      <c r="O466" s="8"/>
      <c r="P466" s="8"/>
      <c r="Q466" s="8"/>
      <c r="R466" s="8"/>
      <c r="S466" s="8"/>
      <c r="T466" s="8"/>
      <c r="U466" s="8"/>
      <c r="V466" s="7"/>
      <c r="W466" s="6" t="str">
        <f t="array" ref="W466">IF(NOT(ISBLANK(D466)),_xludf.XLOOKUP(D466,[2]CODE!$A$4:$A$100,[2]CODE!$D$4:$D$100),"")</f>
        <v/>
      </c>
      <c r="X466" s="5" t="str">
        <f t="array" ref="X466">IF(NOT(AND(ISBLANK(D466),ISBLANK(C466))),_xludf.XLOOKUP(D466,[2]CODE!$A$4:$A$100,[2]CODE!$E$4:$E$100),"")</f>
        <v/>
      </c>
      <c r="Y466" s="5" t="str">
        <f t="shared" si="52"/>
        <v/>
      </c>
      <c r="Z466" s="5" t="str">
        <f t="shared" si="53"/>
        <v/>
      </c>
      <c r="AA466" s="4">
        <f t="shared" si="54"/>
        <v>0</v>
      </c>
      <c r="AC466" s="2"/>
    </row>
    <row r="467" spans="1:29" ht="15.5">
      <c r="A467" s="13" t="str">
        <f>IF(OR(ISBLANK(C467),ISBLANK(D467),ISBLANK(F467),ISBLANK(G467)),"",COUNTIF($B$5:B467,"JAMBUTU"))</f>
        <v/>
      </c>
      <c r="B467" s="8" t="str">
        <f t="shared" ref="B467:B530" si="55">IF(C467&lt;&gt;"","Jambutu","")</f>
        <v/>
      </c>
      <c r="C467" s="8"/>
      <c r="D467" s="8"/>
      <c r="E467" s="18"/>
      <c r="F467" s="12"/>
      <c r="G467" s="17"/>
      <c r="H467" s="12"/>
      <c r="I467" s="17"/>
      <c r="J467" s="10">
        <f t="shared" si="49"/>
        <v>0</v>
      </c>
      <c r="K467" s="10">
        <f t="shared" si="50"/>
        <v>0</v>
      </c>
      <c r="L467" s="9" t="str">
        <f t="shared" si="51"/>
        <v/>
      </c>
      <c r="M467" s="8"/>
      <c r="N467" s="8"/>
      <c r="O467" s="8"/>
      <c r="P467" s="8"/>
      <c r="Q467" s="8"/>
      <c r="R467" s="8"/>
      <c r="S467" s="8"/>
      <c r="T467" s="8"/>
      <c r="U467" s="8"/>
      <c r="V467" s="7"/>
      <c r="W467" s="6" t="str">
        <f t="array" ref="W467">IF(NOT(ISBLANK(D467)),_xludf.XLOOKUP(D467,[2]CODE!$A$4:$A$100,[2]CODE!$D$4:$D$100),"")</f>
        <v/>
      </c>
      <c r="X467" s="5" t="str">
        <f t="array" ref="X467">IF(NOT(AND(ISBLANK(D467),ISBLANK(C467))),_xludf.XLOOKUP(D467,[2]CODE!$A$4:$A$100,[2]CODE!$E$4:$E$100),"")</f>
        <v/>
      </c>
      <c r="Y467" s="5" t="str">
        <f t="shared" si="52"/>
        <v/>
      </c>
      <c r="Z467" s="5" t="str">
        <f t="shared" si="53"/>
        <v/>
      </c>
      <c r="AA467" s="4">
        <f t="shared" si="54"/>
        <v>0</v>
      </c>
      <c r="AC467" s="2"/>
    </row>
    <row r="468" spans="1:29" ht="15.5">
      <c r="A468" s="13" t="str">
        <f>IF(OR(ISBLANK(C468),ISBLANK(D468),ISBLANK(F468),ISBLANK(G468)),"",COUNTIF($B$5:B468,"JAMBUTU"))</f>
        <v/>
      </c>
      <c r="B468" s="8" t="str">
        <f t="shared" si="55"/>
        <v/>
      </c>
      <c r="C468" s="8"/>
      <c r="D468" s="8"/>
      <c r="E468" s="18"/>
      <c r="F468" s="12"/>
      <c r="G468" s="17"/>
      <c r="H468" s="12"/>
      <c r="I468" s="17"/>
      <c r="J468" s="10">
        <f t="shared" si="49"/>
        <v>0</v>
      </c>
      <c r="K468" s="10">
        <f t="shared" si="50"/>
        <v>0</v>
      </c>
      <c r="L468" s="9" t="str">
        <f t="shared" si="51"/>
        <v/>
      </c>
      <c r="M468" s="8"/>
      <c r="N468" s="8"/>
      <c r="O468" s="8"/>
      <c r="P468" s="8"/>
      <c r="Q468" s="8"/>
      <c r="R468" s="8"/>
      <c r="S468" s="8"/>
      <c r="T468" s="8"/>
      <c r="U468" s="8"/>
      <c r="V468" s="7"/>
      <c r="W468" s="6" t="str">
        <f t="array" ref="W468">IF(NOT(ISBLANK(D468)),_xludf.XLOOKUP(D468,[2]CODE!$A$4:$A$100,[2]CODE!$D$4:$D$100),"")</f>
        <v/>
      </c>
      <c r="X468" s="5" t="str">
        <f t="array" ref="X468">IF(NOT(AND(ISBLANK(D468),ISBLANK(C468))),_xludf.XLOOKUP(D468,[2]CODE!$A$4:$A$100,[2]CODE!$E$4:$E$100),"")</f>
        <v/>
      </c>
      <c r="Y468" s="5" t="str">
        <f t="shared" si="52"/>
        <v/>
      </c>
      <c r="Z468" s="5" t="str">
        <f t="shared" si="53"/>
        <v/>
      </c>
      <c r="AA468" s="4">
        <f t="shared" si="54"/>
        <v>0</v>
      </c>
      <c r="AC468" s="2"/>
    </row>
    <row r="469" spans="1:29" ht="15.5">
      <c r="A469" s="13" t="str">
        <f>IF(OR(ISBLANK(C469),ISBLANK(D469),ISBLANK(F469),ISBLANK(G469)),"",COUNTIF($B$5:B469,"JAMBUTU"))</f>
        <v/>
      </c>
      <c r="B469" s="8" t="str">
        <f t="shared" si="55"/>
        <v/>
      </c>
      <c r="C469" s="8"/>
      <c r="D469" s="8"/>
      <c r="E469" s="18"/>
      <c r="F469" s="12"/>
      <c r="G469" s="17"/>
      <c r="H469" s="12"/>
      <c r="I469" s="17"/>
      <c r="J469" s="10">
        <f t="shared" si="49"/>
        <v>0</v>
      </c>
      <c r="K469" s="10">
        <f t="shared" si="50"/>
        <v>0</v>
      </c>
      <c r="L469" s="9" t="str">
        <f t="shared" si="51"/>
        <v/>
      </c>
      <c r="M469" s="8"/>
      <c r="N469" s="8"/>
      <c r="O469" s="8"/>
      <c r="P469" s="8"/>
      <c r="Q469" s="8"/>
      <c r="R469" s="8"/>
      <c r="S469" s="16"/>
      <c r="T469" s="8"/>
      <c r="U469" s="8"/>
      <c r="V469" s="7"/>
      <c r="W469" s="6" t="str">
        <f t="array" ref="W469">IF(NOT(ISBLANK(D469)),_xludf.XLOOKUP(D469,[2]CODE!$A$4:$A$100,[2]CODE!$D$4:$D$100),"")</f>
        <v/>
      </c>
      <c r="X469" s="5" t="str">
        <f t="array" ref="X469">IF(NOT(AND(ISBLANK(D469),ISBLANK(C469))),_xludf.XLOOKUP(D469,[2]CODE!$A$4:$A$100,[2]CODE!$E$4:$E$100),"")</f>
        <v/>
      </c>
      <c r="Y469" s="5" t="str">
        <f t="shared" si="52"/>
        <v/>
      </c>
      <c r="Z469" s="5" t="str">
        <f t="shared" si="53"/>
        <v/>
      </c>
      <c r="AA469" s="4">
        <f t="shared" si="54"/>
        <v>0</v>
      </c>
      <c r="AC469" s="2"/>
    </row>
    <row r="470" spans="1:29" ht="15.5">
      <c r="A470" s="13" t="str">
        <f>IF(OR(ISBLANK(C470),ISBLANK(D470),ISBLANK(F470),ISBLANK(G470)),"",COUNTIF($B$5:B470,"JAMBUTU"))</f>
        <v/>
      </c>
      <c r="B470" s="8" t="str">
        <f t="shared" si="55"/>
        <v/>
      </c>
      <c r="C470" s="8"/>
      <c r="D470" s="8"/>
      <c r="E470" s="18"/>
      <c r="F470" s="12"/>
      <c r="G470" s="17"/>
      <c r="H470" s="12"/>
      <c r="I470" s="17"/>
      <c r="J470" s="10">
        <f t="shared" si="49"/>
        <v>0</v>
      </c>
      <c r="K470" s="10">
        <f t="shared" si="50"/>
        <v>0</v>
      </c>
      <c r="L470" s="9" t="str">
        <f t="shared" si="51"/>
        <v/>
      </c>
      <c r="M470" s="8"/>
      <c r="N470" s="8"/>
      <c r="O470" s="8"/>
      <c r="P470" s="8"/>
      <c r="Q470" s="8"/>
      <c r="R470" s="8"/>
      <c r="S470" s="8"/>
      <c r="T470" s="8"/>
      <c r="U470" s="8"/>
      <c r="V470" s="7"/>
      <c r="W470" s="6" t="str">
        <f t="array" ref="W470">IF(NOT(ISBLANK(D470)),_xludf.XLOOKUP(D470,[2]CODE!$A$4:$A$100,[2]CODE!$D$4:$D$100),"")</f>
        <v/>
      </c>
      <c r="X470" s="5" t="str">
        <f t="array" ref="X470">IF(NOT(AND(ISBLANK(D470),ISBLANK(C470))),_xludf.XLOOKUP(D470,[2]CODE!$A$4:$A$100,[2]CODE!$E$4:$E$100),"")</f>
        <v/>
      </c>
      <c r="Y470" s="5" t="str">
        <f t="shared" si="52"/>
        <v/>
      </c>
      <c r="Z470" s="5" t="str">
        <f t="shared" si="53"/>
        <v/>
      </c>
      <c r="AA470" s="4">
        <f t="shared" si="54"/>
        <v>0</v>
      </c>
      <c r="AC470" s="2"/>
    </row>
    <row r="471" spans="1:29" ht="15.5">
      <c r="A471" s="13" t="str">
        <f>IF(OR(ISBLANK(C471),ISBLANK(D471),ISBLANK(F471),ISBLANK(G471)),"",COUNTIF($B$5:B471,"JAMBUTU"))</f>
        <v/>
      </c>
      <c r="B471" s="8" t="str">
        <f t="shared" si="55"/>
        <v/>
      </c>
      <c r="C471" s="8"/>
      <c r="D471" s="8"/>
      <c r="E471" s="18"/>
      <c r="F471" s="12"/>
      <c r="G471" s="17"/>
      <c r="H471" s="12"/>
      <c r="I471" s="17"/>
      <c r="J471" s="10">
        <f t="shared" si="49"/>
        <v>0</v>
      </c>
      <c r="K471" s="10">
        <f t="shared" si="50"/>
        <v>0</v>
      </c>
      <c r="L471" s="9" t="str">
        <f t="shared" si="51"/>
        <v/>
      </c>
      <c r="M471" s="8"/>
      <c r="N471" s="8"/>
      <c r="O471" s="8"/>
      <c r="P471" s="8"/>
      <c r="Q471" s="8"/>
      <c r="R471" s="8"/>
      <c r="S471" s="8"/>
      <c r="T471" s="8"/>
      <c r="U471" s="8"/>
      <c r="V471" s="7"/>
      <c r="W471" s="6" t="str">
        <f t="array" ref="W471">IF(NOT(ISBLANK(D471)),_xludf.XLOOKUP(D471,[2]CODE!$A$4:$A$100,[2]CODE!$D$4:$D$100),"")</f>
        <v/>
      </c>
      <c r="X471" s="5" t="str">
        <f t="array" ref="X471">IF(NOT(AND(ISBLANK(D471),ISBLANK(C471))),_xludf.XLOOKUP(D471,[2]CODE!$A$4:$A$100,[2]CODE!$E$4:$E$100),"")</f>
        <v/>
      </c>
      <c r="Y471" s="5" t="str">
        <f t="shared" si="52"/>
        <v/>
      </c>
      <c r="Z471" s="5" t="str">
        <f t="shared" si="53"/>
        <v/>
      </c>
      <c r="AA471" s="4">
        <f t="shared" si="54"/>
        <v>0</v>
      </c>
      <c r="AC471" s="2"/>
    </row>
    <row r="472" spans="1:29" ht="15.5">
      <c r="A472" s="13" t="str">
        <f>IF(OR(ISBLANK(C472),ISBLANK(D472),ISBLANK(F472),ISBLANK(G472)),"",COUNTIF($B$5:B472,"JAMBUTU"))</f>
        <v/>
      </c>
      <c r="B472" s="8" t="str">
        <f t="shared" si="55"/>
        <v/>
      </c>
      <c r="C472" s="8"/>
      <c r="D472" s="8"/>
      <c r="E472" s="18"/>
      <c r="F472" s="12"/>
      <c r="G472" s="17"/>
      <c r="H472" s="12"/>
      <c r="I472" s="17"/>
      <c r="J472" s="10">
        <f t="shared" si="49"/>
        <v>0</v>
      </c>
      <c r="K472" s="10">
        <f t="shared" si="50"/>
        <v>0</v>
      </c>
      <c r="L472" s="9" t="str">
        <f t="shared" si="51"/>
        <v/>
      </c>
      <c r="M472" s="8"/>
      <c r="N472" s="8"/>
      <c r="O472" s="8"/>
      <c r="P472" s="8"/>
      <c r="Q472" s="8"/>
      <c r="R472" s="8"/>
      <c r="S472" s="8"/>
      <c r="T472" s="8"/>
      <c r="U472" s="8"/>
      <c r="V472" s="7"/>
      <c r="W472" s="6" t="str">
        <f t="array" ref="W472">IF(NOT(ISBLANK(D472)),_xludf.XLOOKUP(D472,[2]CODE!$A$4:$A$100,[2]CODE!$D$4:$D$100),"")</f>
        <v/>
      </c>
      <c r="X472" s="5" t="str">
        <f t="array" ref="X472">IF(NOT(AND(ISBLANK(D472),ISBLANK(C472))),_xludf.XLOOKUP(D472,[2]CODE!$A$4:$A$100,[2]CODE!$E$4:$E$100),"")</f>
        <v/>
      </c>
      <c r="Y472" s="5" t="str">
        <f t="shared" si="52"/>
        <v/>
      </c>
      <c r="Z472" s="5" t="str">
        <f t="shared" si="53"/>
        <v/>
      </c>
      <c r="AA472" s="4">
        <f t="shared" si="54"/>
        <v>0</v>
      </c>
      <c r="AC472" s="2"/>
    </row>
    <row r="473" spans="1:29" ht="15.5">
      <c r="A473" s="13" t="str">
        <f>IF(OR(ISBLANK(C473),ISBLANK(D473),ISBLANK(F473),ISBLANK(G473)),"",COUNTIF($B$5:B473,"JAMBUTU"))</f>
        <v/>
      </c>
      <c r="B473" s="8" t="str">
        <f t="shared" si="55"/>
        <v/>
      </c>
      <c r="C473" s="8"/>
      <c r="D473" s="8"/>
      <c r="E473" s="18"/>
      <c r="F473" s="12"/>
      <c r="G473" s="17"/>
      <c r="H473" s="12"/>
      <c r="I473" s="17"/>
      <c r="J473" s="10">
        <f t="shared" si="49"/>
        <v>0</v>
      </c>
      <c r="K473" s="10">
        <f t="shared" si="50"/>
        <v>0</v>
      </c>
      <c r="L473" s="9" t="str">
        <f t="shared" si="51"/>
        <v/>
      </c>
      <c r="M473" s="8"/>
      <c r="N473" s="8"/>
      <c r="O473" s="8"/>
      <c r="P473" s="8"/>
      <c r="Q473" s="8"/>
      <c r="R473" s="8"/>
      <c r="S473" s="16"/>
      <c r="T473" s="8"/>
      <c r="U473" s="8"/>
      <c r="V473" s="7"/>
      <c r="W473" s="6" t="str">
        <f t="array" ref="W473">IF(NOT(ISBLANK(D473)),_xludf.XLOOKUP(D473,[2]CODE!$A$4:$A$100,[2]CODE!$D$4:$D$100),"")</f>
        <v/>
      </c>
      <c r="X473" s="5" t="str">
        <f t="array" ref="X473">IF(NOT(AND(ISBLANK(D473),ISBLANK(C473))),_xludf.XLOOKUP(D473,[2]CODE!$A$4:$A$100,[2]CODE!$E$4:$E$100),"")</f>
        <v/>
      </c>
      <c r="Y473" s="5" t="str">
        <f t="shared" si="52"/>
        <v/>
      </c>
      <c r="Z473" s="5" t="str">
        <f t="shared" si="53"/>
        <v/>
      </c>
      <c r="AA473" s="4">
        <f t="shared" si="54"/>
        <v>0</v>
      </c>
      <c r="AC473" s="2"/>
    </row>
    <row r="474" spans="1:29" ht="15.5">
      <c r="A474" s="13" t="str">
        <f>IF(OR(ISBLANK(C474),ISBLANK(D474),ISBLANK(F474),ISBLANK(G474)),"",COUNTIF($B$5:B474,"JAMBUTU"))</f>
        <v/>
      </c>
      <c r="B474" s="8" t="str">
        <f t="shared" si="55"/>
        <v/>
      </c>
      <c r="C474" s="8"/>
      <c r="D474" s="8"/>
      <c r="E474" s="18"/>
      <c r="F474" s="12"/>
      <c r="G474" s="17"/>
      <c r="H474" s="12"/>
      <c r="I474" s="17"/>
      <c r="J474" s="10">
        <f t="shared" si="49"/>
        <v>0</v>
      </c>
      <c r="K474" s="10">
        <f t="shared" si="50"/>
        <v>0</v>
      </c>
      <c r="L474" s="9" t="str">
        <f t="shared" si="51"/>
        <v/>
      </c>
      <c r="M474" s="8"/>
      <c r="N474" s="8"/>
      <c r="O474" s="8"/>
      <c r="P474" s="8"/>
      <c r="Q474" s="8"/>
      <c r="R474" s="16"/>
      <c r="S474" s="8"/>
      <c r="T474" s="8"/>
      <c r="U474" s="8"/>
      <c r="V474" s="7"/>
      <c r="W474" s="6" t="str">
        <f t="array" ref="W474">IF(NOT(ISBLANK(D474)),_xludf.XLOOKUP(D474,[2]CODE!$A$4:$A$100,[2]CODE!$D$4:$D$100),"")</f>
        <v/>
      </c>
      <c r="X474" s="5" t="str">
        <f t="array" ref="X474">IF(NOT(AND(ISBLANK(D474),ISBLANK(C474))),_xludf.XLOOKUP(D474,[2]CODE!$A$4:$A$100,[2]CODE!$E$4:$E$100),"")</f>
        <v/>
      </c>
      <c r="Y474" s="5" t="str">
        <f t="shared" si="52"/>
        <v/>
      </c>
      <c r="Z474" s="5" t="str">
        <f t="shared" si="53"/>
        <v/>
      </c>
      <c r="AA474" s="4">
        <f t="shared" si="54"/>
        <v>0</v>
      </c>
      <c r="AC474" s="2"/>
    </row>
    <row r="475" spans="1:29" ht="15.5">
      <c r="A475" s="13" t="str">
        <f>IF(OR(ISBLANK(C475),ISBLANK(D475),ISBLANK(F475),ISBLANK(G475)),"",COUNTIF($B$5:B475,"JAMBUTU"))</f>
        <v/>
      </c>
      <c r="B475" s="8" t="str">
        <f t="shared" si="55"/>
        <v/>
      </c>
      <c r="C475" s="8"/>
      <c r="D475" s="8"/>
      <c r="E475" s="18"/>
      <c r="F475" s="12"/>
      <c r="G475" s="17"/>
      <c r="H475" s="12"/>
      <c r="I475" s="17"/>
      <c r="J475" s="10">
        <f t="shared" si="49"/>
        <v>0</v>
      </c>
      <c r="K475" s="10">
        <f t="shared" si="50"/>
        <v>0</v>
      </c>
      <c r="L475" s="9" t="str">
        <f t="shared" si="51"/>
        <v/>
      </c>
      <c r="M475" s="8"/>
      <c r="N475" s="8"/>
      <c r="O475" s="8"/>
      <c r="P475" s="8"/>
      <c r="Q475" s="8"/>
      <c r="R475" s="16"/>
      <c r="S475" s="8"/>
      <c r="T475" s="8"/>
      <c r="U475" s="8"/>
      <c r="V475" s="7"/>
      <c r="W475" s="6" t="str">
        <f t="array" ref="W475">IF(NOT(ISBLANK(D475)),_xludf.XLOOKUP(D475,[2]CODE!$A$4:$A$100,[2]CODE!$D$4:$D$100),"")</f>
        <v/>
      </c>
      <c r="X475" s="5" t="str">
        <f t="array" ref="X475">IF(NOT(AND(ISBLANK(D475),ISBLANK(C475))),_xludf.XLOOKUP(D475,[2]CODE!$A$4:$A$100,[2]CODE!$E$4:$E$100),"")</f>
        <v/>
      </c>
      <c r="Y475" s="5" t="str">
        <f t="shared" si="52"/>
        <v/>
      </c>
      <c r="Z475" s="5" t="str">
        <f t="shared" si="53"/>
        <v/>
      </c>
      <c r="AA475" s="4">
        <f t="shared" si="54"/>
        <v>0</v>
      </c>
      <c r="AC475" s="2"/>
    </row>
    <row r="476" spans="1:29" ht="15.5">
      <c r="A476" s="13" t="str">
        <f>IF(OR(ISBLANK(C476),ISBLANK(D476),ISBLANK(F476),ISBLANK(G476)),"",COUNTIF($B$5:B476,"JAMBUTU"))</f>
        <v/>
      </c>
      <c r="B476" s="8" t="str">
        <f t="shared" si="55"/>
        <v/>
      </c>
      <c r="C476" s="8"/>
      <c r="D476" s="8"/>
      <c r="E476" s="13"/>
      <c r="F476" s="12"/>
      <c r="G476" s="11"/>
      <c r="H476" s="12"/>
      <c r="I476" s="11"/>
      <c r="J476" s="10">
        <f t="shared" si="49"/>
        <v>0</v>
      </c>
      <c r="K476" s="10">
        <f t="shared" si="50"/>
        <v>0</v>
      </c>
      <c r="L476" s="9" t="str">
        <f t="shared" si="51"/>
        <v/>
      </c>
      <c r="M476" s="8"/>
      <c r="N476" s="8"/>
      <c r="O476" s="8"/>
      <c r="P476" s="8"/>
      <c r="Q476" s="8"/>
      <c r="R476" s="8"/>
      <c r="S476" s="8"/>
      <c r="T476" s="8"/>
      <c r="U476" s="8"/>
      <c r="V476" s="7"/>
      <c r="W476" s="6" t="str">
        <f t="array" ref="W476">IF(NOT(ISBLANK(D476)),_xludf.XLOOKUP(D476,[2]CODE!$A$4:$A$100,[2]CODE!$D$4:$D$100),"")</f>
        <v/>
      </c>
      <c r="X476" s="5" t="str">
        <f t="array" ref="X476">IF(NOT(AND(ISBLANK(D476),ISBLANK(C476))),_xludf.XLOOKUP(D476,[2]CODE!$A$4:$A$100,[2]CODE!$E$4:$E$100),"")</f>
        <v/>
      </c>
      <c r="Y476" s="5" t="str">
        <f t="shared" si="52"/>
        <v/>
      </c>
      <c r="Z476" s="5" t="str">
        <f t="shared" si="53"/>
        <v/>
      </c>
      <c r="AA476" s="4">
        <f t="shared" si="54"/>
        <v>0</v>
      </c>
      <c r="AC476" s="2"/>
    </row>
    <row r="477" spans="1:29" ht="15.5">
      <c r="A477" s="13" t="str">
        <f>IF(OR(ISBLANK(C477),ISBLANK(D477),ISBLANK(F477),ISBLANK(G477)),"",COUNTIF($B$5:B477,"JAMBUTU"))</f>
        <v/>
      </c>
      <c r="B477" s="8" t="str">
        <f t="shared" si="55"/>
        <v/>
      </c>
      <c r="C477" s="8"/>
      <c r="D477" s="8"/>
      <c r="E477" s="13"/>
      <c r="F477" s="12"/>
      <c r="G477" s="11"/>
      <c r="H477" s="12"/>
      <c r="I477" s="11"/>
      <c r="J477" s="10">
        <f t="shared" si="49"/>
        <v>0</v>
      </c>
      <c r="K477" s="10">
        <f t="shared" si="50"/>
        <v>0</v>
      </c>
      <c r="L477" s="9" t="str">
        <f t="shared" si="51"/>
        <v/>
      </c>
      <c r="M477" s="8"/>
      <c r="N477" s="8"/>
      <c r="O477" s="8"/>
      <c r="P477" s="8"/>
      <c r="Q477" s="8"/>
      <c r="R477" s="8"/>
      <c r="S477" s="8"/>
      <c r="T477" s="8"/>
      <c r="U477" s="8"/>
      <c r="V477" s="7"/>
      <c r="W477" s="6" t="str">
        <f t="array" ref="W477">IF(NOT(ISBLANK(D477)),_xludf.XLOOKUP(D477,[2]CODE!$A$4:$A$100,[2]CODE!$D$4:$D$100),"")</f>
        <v/>
      </c>
      <c r="X477" s="5" t="str">
        <f t="array" ref="X477">IF(NOT(AND(ISBLANK(D477),ISBLANK(C477))),_xludf.XLOOKUP(D477,[2]CODE!$A$4:$A$100,[2]CODE!$E$4:$E$100),"")</f>
        <v/>
      </c>
      <c r="Y477" s="5" t="str">
        <f t="shared" si="52"/>
        <v/>
      </c>
      <c r="Z477" s="5" t="str">
        <f t="shared" si="53"/>
        <v/>
      </c>
      <c r="AA477" s="4">
        <f t="shared" si="54"/>
        <v>0</v>
      </c>
      <c r="AC477" s="2"/>
    </row>
    <row r="478" spans="1:29" ht="15.5">
      <c r="A478" s="13" t="str">
        <f>IF(OR(ISBLANK(C478),ISBLANK(D478),ISBLANK(F478),ISBLANK(G478)),"",COUNTIF($B$5:B478,"JAMBUTU"))</f>
        <v/>
      </c>
      <c r="B478" s="8" t="str">
        <f t="shared" si="55"/>
        <v/>
      </c>
      <c r="C478" s="8"/>
      <c r="D478" s="8"/>
      <c r="E478" s="13"/>
      <c r="F478" s="12"/>
      <c r="G478" s="11"/>
      <c r="H478" s="12"/>
      <c r="I478" s="11"/>
      <c r="J478" s="10">
        <f t="shared" si="49"/>
        <v>0</v>
      </c>
      <c r="K478" s="10">
        <f t="shared" si="50"/>
        <v>0</v>
      </c>
      <c r="L478" s="9" t="str">
        <f t="shared" si="51"/>
        <v/>
      </c>
      <c r="M478" s="8"/>
      <c r="N478" s="8"/>
      <c r="O478" s="8"/>
      <c r="P478" s="8"/>
      <c r="Q478" s="8"/>
      <c r="R478" s="8"/>
      <c r="S478" s="8"/>
      <c r="T478" s="8"/>
      <c r="U478" s="8"/>
      <c r="V478" s="7"/>
      <c r="W478" s="6" t="str">
        <f t="array" ref="W478">IF(NOT(ISBLANK(D478)),_xludf.XLOOKUP(D478,[2]CODE!$A$4:$A$100,[2]CODE!$D$4:$D$100),"")</f>
        <v/>
      </c>
      <c r="X478" s="5" t="str">
        <f t="array" ref="X478">IF(NOT(AND(ISBLANK(D478),ISBLANK(C478))),_xludf.XLOOKUP(D478,[2]CODE!$A$4:$A$100,[2]CODE!$E$4:$E$100),"")</f>
        <v/>
      </c>
      <c r="Y478" s="5" t="str">
        <f t="shared" si="52"/>
        <v/>
      </c>
      <c r="Z478" s="5" t="str">
        <f t="shared" si="53"/>
        <v/>
      </c>
      <c r="AA478" s="4">
        <f t="shared" si="54"/>
        <v>0</v>
      </c>
      <c r="AC478" s="2"/>
    </row>
    <row r="479" spans="1:29" ht="15.5">
      <c r="A479" s="13" t="str">
        <f>IF(OR(ISBLANK(C479),ISBLANK(D479),ISBLANK(F479),ISBLANK(G479)),"",COUNTIF($B$5:B479,"JAMBUTU"))</f>
        <v/>
      </c>
      <c r="B479" s="8" t="str">
        <f t="shared" si="55"/>
        <v/>
      </c>
      <c r="C479" s="8"/>
      <c r="D479" s="8"/>
      <c r="E479" s="13"/>
      <c r="F479" s="12"/>
      <c r="G479" s="11"/>
      <c r="H479" s="12"/>
      <c r="I479" s="11"/>
      <c r="J479" s="10">
        <f t="shared" si="49"/>
        <v>0</v>
      </c>
      <c r="K479" s="10">
        <f t="shared" si="50"/>
        <v>0</v>
      </c>
      <c r="L479" s="9" t="str">
        <f t="shared" si="51"/>
        <v/>
      </c>
      <c r="M479" s="8"/>
      <c r="N479" s="8"/>
      <c r="O479" s="8"/>
      <c r="P479" s="8"/>
      <c r="Q479" s="8"/>
      <c r="R479" s="8"/>
      <c r="S479" s="8"/>
      <c r="T479" s="8"/>
      <c r="U479" s="8"/>
      <c r="V479" s="7"/>
      <c r="W479" s="6" t="str">
        <f t="array" ref="W479">IF(NOT(ISBLANK(D479)),_xludf.XLOOKUP(D479,[2]CODE!$A$4:$A$100,[2]CODE!$D$4:$D$100),"")</f>
        <v/>
      </c>
      <c r="X479" s="5" t="str">
        <f t="array" ref="X479">IF(NOT(AND(ISBLANK(D479),ISBLANK(C479))),_xludf.XLOOKUP(D479,[2]CODE!$A$4:$A$100,[2]CODE!$E$4:$E$100),"")</f>
        <v/>
      </c>
      <c r="Y479" s="5" t="str">
        <f t="shared" si="52"/>
        <v/>
      </c>
      <c r="Z479" s="5" t="str">
        <f t="shared" si="53"/>
        <v/>
      </c>
      <c r="AA479" s="4">
        <f t="shared" si="54"/>
        <v>0</v>
      </c>
      <c r="AC479" s="2"/>
    </row>
    <row r="480" spans="1:29" ht="15.5">
      <c r="A480" s="13" t="str">
        <f>IF(OR(ISBLANK(C480),ISBLANK(D480),ISBLANK(F480),ISBLANK(G480)),"",COUNTIF($B$5:B480,"JAMBUTU"))</f>
        <v/>
      </c>
      <c r="B480" s="8" t="str">
        <f t="shared" si="55"/>
        <v/>
      </c>
      <c r="C480" s="8"/>
      <c r="D480" s="8"/>
      <c r="E480" s="13"/>
      <c r="F480" s="12"/>
      <c r="G480" s="11"/>
      <c r="H480" s="12"/>
      <c r="I480" s="11"/>
      <c r="J480" s="10">
        <f t="shared" si="49"/>
        <v>0</v>
      </c>
      <c r="K480" s="10">
        <f t="shared" si="50"/>
        <v>0</v>
      </c>
      <c r="L480" s="9" t="str">
        <f t="shared" si="51"/>
        <v/>
      </c>
      <c r="M480" s="8"/>
      <c r="N480" s="8"/>
      <c r="O480" s="8"/>
      <c r="P480" s="8"/>
      <c r="Q480" s="8"/>
      <c r="R480" s="8"/>
      <c r="S480" s="8"/>
      <c r="T480" s="8"/>
      <c r="U480" s="8"/>
      <c r="V480" s="7"/>
      <c r="W480" s="6" t="str">
        <f t="array" ref="W480">IF(NOT(ISBLANK(D480)),_xludf.XLOOKUP(D480,[2]CODE!$A$4:$A$100,[2]CODE!$D$4:$D$100),"")</f>
        <v/>
      </c>
      <c r="X480" s="5" t="str">
        <f t="array" ref="X480">IF(NOT(AND(ISBLANK(D480),ISBLANK(C480))),_xludf.XLOOKUP(D480,[2]CODE!$A$4:$A$100,[2]CODE!$E$4:$E$100),"")</f>
        <v/>
      </c>
      <c r="Y480" s="5" t="str">
        <f t="shared" si="52"/>
        <v/>
      </c>
      <c r="Z480" s="5" t="str">
        <f t="shared" si="53"/>
        <v/>
      </c>
      <c r="AA480" s="4">
        <f t="shared" si="54"/>
        <v>0</v>
      </c>
      <c r="AC480" s="2"/>
    </row>
    <row r="481" spans="1:29" ht="15.5">
      <c r="A481" s="13" t="str">
        <f>IF(OR(ISBLANK(C481),ISBLANK(D481),ISBLANK(F481),ISBLANK(G481)),"",COUNTIF($B$5:B481,"JAMBUTU"))</f>
        <v/>
      </c>
      <c r="B481" s="8" t="str">
        <f t="shared" si="55"/>
        <v/>
      </c>
      <c r="C481" s="8"/>
      <c r="D481" s="8"/>
      <c r="E481" s="13"/>
      <c r="F481" s="12"/>
      <c r="G481" s="11"/>
      <c r="H481" s="12"/>
      <c r="I481" s="11"/>
      <c r="J481" s="10">
        <f t="shared" si="49"/>
        <v>0</v>
      </c>
      <c r="K481" s="10">
        <f t="shared" si="50"/>
        <v>0</v>
      </c>
      <c r="L481" s="9" t="str">
        <f t="shared" si="51"/>
        <v/>
      </c>
      <c r="M481" s="8"/>
      <c r="N481" s="8"/>
      <c r="O481" s="8"/>
      <c r="P481" s="8"/>
      <c r="Q481" s="8"/>
      <c r="R481" s="8"/>
      <c r="S481" s="8"/>
      <c r="T481" s="8"/>
      <c r="U481" s="8"/>
      <c r="V481" s="7"/>
      <c r="W481" s="6" t="str">
        <f t="array" ref="W481">IF(NOT(ISBLANK(D481)),_xludf.XLOOKUP(D481,[2]CODE!$A$4:$A$100,[2]CODE!$D$4:$D$100),"")</f>
        <v/>
      </c>
      <c r="X481" s="5" t="str">
        <f t="array" ref="X481">IF(NOT(AND(ISBLANK(D481),ISBLANK(C481))),_xludf.XLOOKUP(D481,[2]CODE!$A$4:$A$100,[2]CODE!$E$4:$E$100),"")</f>
        <v/>
      </c>
      <c r="Y481" s="5" t="str">
        <f t="shared" si="52"/>
        <v/>
      </c>
      <c r="Z481" s="5" t="str">
        <f t="shared" si="53"/>
        <v/>
      </c>
      <c r="AA481" s="4">
        <f t="shared" si="54"/>
        <v>0</v>
      </c>
      <c r="AC481" s="2"/>
    </row>
    <row r="482" spans="1:29" ht="15.5">
      <c r="A482" s="13" t="str">
        <f>IF(OR(ISBLANK(C482),ISBLANK(D482),ISBLANK(F482),ISBLANK(G482)),"",COUNTIF($B$5:B482,"JAMBUTU"))</f>
        <v/>
      </c>
      <c r="B482" s="8" t="str">
        <f t="shared" si="55"/>
        <v/>
      </c>
      <c r="C482" s="8"/>
      <c r="D482" s="8"/>
      <c r="E482" s="13"/>
      <c r="F482" s="12"/>
      <c r="G482" s="11"/>
      <c r="H482" s="12"/>
      <c r="I482" s="11"/>
      <c r="J482" s="10">
        <f t="shared" si="49"/>
        <v>0</v>
      </c>
      <c r="K482" s="10">
        <f t="shared" si="50"/>
        <v>0</v>
      </c>
      <c r="L482" s="9" t="str">
        <f t="shared" si="51"/>
        <v/>
      </c>
      <c r="M482" s="8"/>
      <c r="N482" s="8"/>
      <c r="O482" s="8"/>
      <c r="P482" s="8"/>
      <c r="Q482" s="8"/>
      <c r="R482" s="8"/>
      <c r="S482" s="8"/>
      <c r="T482" s="8"/>
      <c r="U482" s="8"/>
      <c r="V482" s="7"/>
      <c r="W482" s="6" t="str">
        <f t="array" ref="W482">IF(NOT(ISBLANK(D482)),_xludf.XLOOKUP(D482,[2]CODE!$A$4:$A$100,[2]CODE!$D$4:$D$100),"")</f>
        <v/>
      </c>
      <c r="X482" s="5" t="str">
        <f t="array" ref="X482">IF(NOT(AND(ISBLANK(D482),ISBLANK(C482))),_xludf.XLOOKUP(D482,[2]CODE!$A$4:$A$100,[2]CODE!$E$4:$E$100),"")</f>
        <v/>
      </c>
      <c r="Y482" s="5" t="str">
        <f t="shared" si="52"/>
        <v/>
      </c>
      <c r="Z482" s="5" t="str">
        <f t="shared" si="53"/>
        <v/>
      </c>
      <c r="AA482" s="4">
        <f t="shared" si="54"/>
        <v>0</v>
      </c>
      <c r="AC482" s="2"/>
    </row>
    <row r="483" spans="1:29" ht="15.5">
      <c r="A483" s="13" t="str">
        <f>IF(OR(ISBLANK(C483),ISBLANK(D483),ISBLANK(F483),ISBLANK(G483)),"",COUNTIF($B$5:B483,"JAMBUTU"))</f>
        <v/>
      </c>
      <c r="B483" s="8" t="str">
        <f t="shared" si="55"/>
        <v/>
      </c>
      <c r="C483" s="8"/>
      <c r="D483" s="8"/>
      <c r="E483" s="13"/>
      <c r="F483" s="12"/>
      <c r="G483" s="11"/>
      <c r="H483" s="12"/>
      <c r="I483" s="11"/>
      <c r="J483" s="10">
        <f t="shared" si="49"/>
        <v>0</v>
      </c>
      <c r="K483" s="10">
        <f t="shared" si="50"/>
        <v>0</v>
      </c>
      <c r="L483" s="9" t="str">
        <f t="shared" si="51"/>
        <v/>
      </c>
      <c r="M483" s="8"/>
      <c r="N483" s="8"/>
      <c r="O483" s="8"/>
      <c r="P483" s="8"/>
      <c r="Q483" s="8"/>
      <c r="R483" s="8"/>
      <c r="S483" s="8"/>
      <c r="T483" s="8"/>
      <c r="U483" s="8"/>
      <c r="V483" s="7"/>
      <c r="W483" s="6" t="str">
        <f t="array" ref="W483">IF(NOT(ISBLANK(D483)),_xludf.XLOOKUP(D483,[2]CODE!$A$4:$A$100,[2]CODE!$D$4:$D$100),"")</f>
        <v/>
      </c>
      <c r="X483" s="5" t="str">
        <f t="array" ref="X483">IF(NOT(AND(ISBLANK(D483),ISBLANK(C483))),_xludf.XLOOKUP(D483,[2]CODE!$A$4:$A$100,[2]CODE!$E$4:$E$100),"")</f>
        <v/>
      </c>
      <c r="Y483" s="5" t="str">
        <f t="shared" si="52"/>
        <v/>
      </c>
      <c r="Z483" s="5" t="str">
        <f t="shared" si="53"/>
        <v/>
      </c>
      <c r="AA483" s="4">
        <f t="shared" si="54"/>
        <v>0</v>
      </c>
      <c r="AC483" s="2"/>
    </row>
    <row r="484" spans="1:29" ht="15.5">
      <c r="A484" s="13" t="str">
        <f>IF(OR(ISBLANK(C484),ISBLANK(D484),ISBLANK(F484),ISBLANK(G484)),"",COUNTIF($B$5:B484,"JAMBUTU"))</f>
        <v/>
      </c>
      <c r="B484" s="8" t="str">
        <f t="shared" si="55"/>
        <v/>
      </c>
      <c r="C484" s="8"/>
      <c r="D484" s="8"/>
      <c r="E484" s="13"/>
      <c r="F484" s="12"/>
      <c r="G484" s="11"/>
      <c r="H484" s="12"/>
      <c r="I484" s="11"/>
      <c r="J484" s="10">
        <f t="shared" si="49"/>
        <v>0</v>
      </c>
      <c r="K484" s="10">
        <f t="shared" si="50"/>
        <v>0</v>
      </c>
      <c r="L484" s="9" t="str">
        <f t="shared" si="51"/>
        <v/>
      </c>
      <c r="M484" s="8"/>
      <c r="N484" s="8"/>
      <c r="O484" s="8"/>
      <c r="P484" s="8"/>
      <c r="Q484" s="8"/>
      <c r="R484" s="8"/>
      <c r="S484" s="8"/>
      <c r="T484" s="8"/>
      <c r="U484" s="8"/>
      <c r="V484" s="7"/>
      <c r="W484" s="6" t="str">
        <f t="array" ref="W484">IF(NOT(ISBLANK(D484)),_xludf.XLOOKUP(D484,[2]CODE!$A$4:$A$100,[2]CODE!$D$4:$D$100),"")</f>
        <v/>
      </c>
      <c r="X484" s="5" t="str">
        <f t="array" ref="X484">IF(NOT(AND(ISBLANK(D484),ISBLANK(C484))),_xludf.XLOOKUP(D484,[2]CODE!$A$4:$A$100,[2]CODE!$E$4:$E$100),"")</f>
        <v/>
      </c>
      <c r="Y484" s="5" t="str">
        <f t="shared" si="52"/>
        <v/>
      </c>
      <c r="Z484" s="5" t="str">
        <f t="shared" si="53"/>
        <v/>
      </c>
      <c r="AA484" s="4">
        <f t="shared" si="54"/>
        <v>0</v>
      </c>
      <c r="AC484" s="2"/>
    </row>
    <row r="485" spans="1:29" ht="15.5">
      <c r="A485" s="13" t="str">
        <f>IF(OR(ISBLANK(C485),ISBLANK(D485),ISBLANK(F485),ISBLANK(G485)),"",COUNTIF($B$5:B485,"JAMBUTU"))</f>
        <v/>
      </c>
      <c r="B485" s="8" t="str">
        <f t="shared" si="55"/>
        <v/>
      </c>
      <c r="C485" s="8"/>
      <c r="D485" s="8"/>
      <c r="E485" s="13"/>
      <c r="F485" s="12"/>
      <c r="G485" s="11"/>
      <c r="H485" s="12"/>
      <c r="I485" s="11"/>
      <c r="J485" s="10">
        <f t="shared" si="49"/>
        <v>0</v>
      </c>
      <c r="K485" s="10">
        <f t="shared" si="50"/>
        <v>0</v>
      </c>
      <c r="L485" s="9" t="str">
        <f t="shared" si="51"/>
        <v/>
      </c>
      <c r="M485" s="8"/>
      <c r="N485" s="8"/>
      <c r="O485" s="8"/>
      <c r="P485" s="8"/>
      <c r="Q485" s="8"/>
      <c r="R485" s="8"/>
      <c r="S485" s="8"/>
      <c r="T485" s="8"/>
      <c r="U485" s="8"/>
      <c r="V485" s="7"/>
      <c r="W485" s="6" t="str">
        <f t="array" ref="W485">IF(NOT(ISBLANK(D485)),_xludf.XLOOKUP(D485,[2]CODE!$A$4:$A$100,[2]CODE!$D$4:$D$100),"")</f>
        <v/>
      </c>
      <c r="X485" s="5" t="str">
        <f t="array" ref="X485">IF(NOT(AND(ISBLANK(D485),ISBLANK(C485))),_xludf.XLOOKUP(D485,[2]CODE!$A$4:$A$100,[2]CODE!$E$4:$E$100),"")</f>
        <v/>
      </c>
      <c r="Y485" s="5" t="str">
        <f t="shared" si="52"/>
        <v/>
      </c>
      <c r="Z485" s="5" t="str">
        <f t="shared" si="53"/>
        <v/>
      </c>
      <c r="AA485" s="4">
        <f t="shared" si="54"/>
        <v>0</v>
      </c>
      <c r="AC485" s="2"/>
    </row>
    <row r="486" spans="1:29" ht="15.5">
      <c r="A486" s="13" t="str">
        <f>IF(OR(ISBLANK(C486),ISBLANK(D486),ISBLANK(F486),ISBLANK(G486)),"",COUNTIF($B$5:B486,"JAMBUTU"))</f>
        <v/>
      </c>
      <c r="B486" s="8" t="str">
        <f t="shared" si="55"/>
        <v/>
      </c>
      <c r="C486" s="8"/>
      <c r="D486" s="8"/>
      <c r="E486" s="13"/>
      <c r="F486" s="12"/>
      <c r="G486" s="11"/>
      <c r="H486" s="12"/>
      <c r="I486" s="11"/>
      <c r="J486" s="10">
        <f t="shared" si="49"/>
        <v>0</v>
      </c>
      <c r="K486" s="10">
        <f t="shared" si="50"/>
        <v>0</v>
      </c>
      <c r="L486" s="9" t="str">
        <f t="shared" si="51"/>
        <v/>
      </c>
      <c r="M486" s="8"/>
      <c r="N486" s="8"/>
      <c r="O486" s="8"/>
      <c r="P486" s="8"/>
      <c r="Q486" s="8"/>
      <c r="R486" s="8"/>
      <c r="S486" s="8"/>
      <c r="T486" s="8"/>
      <c r="U486" s="8"/>
      <c r="V486" s="7"/>
      <c r="W486" s="6" t="str">
        <f t="array" ref="W486">IF(NOT(ISBLANK(D486)),_xludf.XLOOKUP(D486,[2]CODE!$A$4:$A$100,[2]CODE!$D$4:$D$100),"")</f>
        <v/>
      </c>
      <c r="X486" s="5" t="str">
        <f t="array" ref="X486">IF(NOT(AND(ISBLANK(D486),ISBLANK(C486))),_xludf.XLOOKUP(D486,[2]CODE!$A$4:$A$100,[2]CODE!$E$4:$E$100),"")</f>
        <v/>
      </c>
      <c r="Y486" s="5" t="str">
        <f t="shared" si="52"/>
        <v/>
      </c>
      <c r="Z486" s="5" t="str">
        <f t="shared" si="53"/>
        <v/>
      </c>
      <c r="AA486" s="4">
        <f t="shared" si="54"/>
        <v>0</v>
      </c>
      <c r="AC486" s="2"/>
    </row>
    <row r="487" spans="1:29" ht="15.5">
      <c r="A487" s="13" t="str">
        <f>IF(OR(ISBLANK(C487),ISBLANK(D487),ISBLANK(F487),ISBLANK(G487)),"",COUNTIF($B$5:B487,"JAMBUTU"))</f>
        <v/>
      </c>
      <c r="B487" s="8" t="str">
        <f t="shared" si="55"/>
        <v/>
      </c>
      <c r="C487" s="8"/>
      <c r="D487" s="8"/>
      <c r="E487" s="13"/>
      <c r="F487" s="12"/>
      <c r="G487" s="11"/>
      <c r="H487" s="12"/>
      <c r="I487" s="11"/>
      <c r="J487" s="10">
        <f t="shared" si="49"/>
        <v>0</v>
      </c>
      <c r="K487" s="10">
        <f t="shared" si="50"/>
        <v>0</v>
      </c>
      <c r="L487" s="9" t="str">
        <f t="shared" si="51"/>
        <v/>
      </c>
      <c r="M487" s="8"/>
      <c r="N487" s="8"/>
      <c r="O487" s="8"/>
      <c r="P487" s="8"/>
      <c r="Q487" s="8"/>
      <c r="R487" s="8"/>
      <c r="S487" s="8"/>
      <c r="T487" s="8"/>
      <c r="U487" s="8"/>
      <c r="V487" s="7"/>
      <c r="W487" s="6" t="str">
        <f t="array" ref="W487">IF(NOT(ISBLANK(D487)),_xludf.XLOOKUP(D487,[2]CODE!$A$4:$A$100,[2]CODE!$D$4:$D$100),"")</f>
        <v/>
      </c>
      <c r="X487" s="5" t="str">
        <f t="array" ref="X487">IF(NOT(AND(ISBLANK(D487),ISBLANK(C487))),_xludf.XLOOKUP(D487,[2]CODE!$A$4:$A$100,[2]CODE!$E$4:$E$100),"")</f>
        <v/>
      </c>
      <c r="Y487" s="5" t="str">
        <f t="shared" si="52"/>
        <v/>
      </c>
      <c r="Z487" s="5" t="str">
        <f t="shared" si="53"/>
        <v/>
      </c>
      <c r="AA487" s="4">
        <f t="shared" si="54"/>
        <v>0</v>
      </c>
      <c r="AC487" s="2"/>
    </row>
    <row r="488" spans="1:29" ht="15.5">
      <c r="A488" s="13" t="str">
        <f>IF(OR(ISBLANK(C488),ISBLANK(D488),ISBLANK(F488),ISBLANK(G488)),"",COUNTIF($B$5:B488,"JAMBUTU"))</f>
        <v/>
      </c>
      <c r="B488" s="8" t="str">
        <f t="shared" si="55"/>
        <v/>
      </c>
      <c r="C488" s="8"/>
      <c r="D488" s="8"/>
      <c r="E488" s="13"/>
      <c r="F488" s="12"/>
      <c r="G488" s="11"/>
      <c r="H488" s="12"/>
      <c r="I488" s="11"/>
      <c r="J488" s="10">
        <f t="shared" si="49"/>
        <v>0</v>
      </c>
      <c r="K488" s="10">
        <f t="shared" si="50"/>
        <v>0</v>
      </c>
      <c r="L488" s="9" t="str">
        <f t="shared" si="51"/>
        <v/>
      </c>
      <c r="M488" s="8"/>
      <c r="N488" s="8"/>
      <c r="O488" s="8"/>
      <c r="P488" s="8"/>
      <c r="Q488" s="8"/>
      <c r="R488" s="8"/>
      <c r="S488" s="8"/>
      <c r="T488" s="8"/>
      <c r="U488" s="8"/>
      <c r="V488" s="7"/>
      <c r="W488" s="6" t="str">
        <f t="array" ref="W488">IF(NOT(ISBLANK(D488)),_xludf.XLOOKUP(D488,[2]CODE!$A$4:$A$100,[2]CODE!$D$4:$D$100),"")</f>
        <v/>
      </c>
      <c r="X488" s="5" t="str">
        <f t="array" ref="X488">IF(NOT(AND(ISBLANK(D488),ISBLANK(C488))),_xludf.XLOOKUP(D488,[2]CODE!$A$4:$A$100,[2]CODE!$E$4:$E$100),"")</f>
        <v/>
      </c>
      <c r="Y488" s="5" t="str">
        <f t="shared" si="52"/>
        <v/>
      </c>
      <c r="Z488" s="5" t="str">
        <f t="shared" si="53"/>
        <v/>
      </c>
      <c r="AA488" s="4">
        <f t="shared" si="54"/>
        <v>0</v>
      </c>
      <c r="AC488" s="2"/>
    </row>
    <row r="489" spans="1:29" ht="15.5">
      <c r="A489" s="13" t="str">
        <f>IF(OR(ISBLANK(C489),ISBLANK(D489),ISBLANK(F489),ISBLANK(G489)),"",COUNTIF($B$5:B489,"JAMBUTU"))</f>
        <v/>
      </c>
      <c r="B489" s="8" t="str">
        <f t="shared" si="55"/>
        <v/>
      </c>
      <c r="C489" s="8"/>
      <c r="D489" s="8"/>
      <c r="E489" s="13"/>
      <c r="F489" s="12"/>
      <c r="G489" s="11"/>
      <c r="H489" s="12"/>
      <c r="I489" s="11"/>
      <c r="J489" s="10">
        <f t="shared" si="49"/>
        <v>0</v>
      </c>
      <c r="K489" s="10">
        <f t="shared" si="50"/>
        <v>0</v>
      </c>
      <c r="L489" s="9" t="str">
        <f t="shared" si="51"/>
        <v/>
      </c>
      <c r="M489" s="8"/>
      <c r="N489" s="8"/>
      <c r="O489" s="8"/>
      <c r="P489" s="8"/>
      <c r="Q489" s="8"/>
      <c r="R489" s="8"/>
      <c r="S489" s="8"/>
      <c r="T489" s="8"/>
      <c r="U489" s="8"/>
      <c r="V489" s="7"/>
      <c r="W489" s="6" t="str">
        <f t="array" ref="W489">IF(NOT(ISBLANK(D489)),_xludf.XLOOKUP(D489,[2]CODE!$A$4:$A$100,[2]CODE!$D$4:$D$100),"")</f>
        <v/>
      </c>
      <c r="X489" s="5" t="str">
        <f t="array" ref="X489">IF(NOT(AND(ISBLANK(D489),ISBLANK(C489))),_xludf.XLOOKUP(D489,[2]CODE!$A$4:$A$100,[2]CODE!$E$4:$E$100),"")</f>
        <v/>
      </c>
      <c r="Y489" s="5" t="str">
        <f t="shared" si="52"/>
        <v/>
      </c>
      <c r="Z489" s="5" t="str">
        <f t="shared" si="53"/>
        <v/>
      </c>
      <c r="AA489" s="4">
        <f t="shared" si="54"/>
        <v>0</v>
      </c>
      <c r="AC489" s="2"/>
    </row>
    <row r="490" spans="1:29" ht="15.5">
      <c r="A490" s="13" t="str">
        <f>IF(OR(ISBLANK(C490),ISBLANK(D490),ISBLANK(F490),ISBLANK(G490)),"",COUNTIF($B$5:B490,"JAMBUTU"))</f>
        <v/>
      </c>
      <c r="B490" s="8" t="str">
        <f t="shared" si="55"/>
        <v/>
      </c>
      <c r="C490" s="8"/>
      <c r="D490" s="8"/>
      <c r="E490" s="13"/>
      <c r="F490" s="12"/>
      <c r="G490" s="11"/>
      <c r="H490" s="12"/>
      <c r="I490" s="11"/>
      <c r="J490" s="10">
        <f t="shared" si="49"/>
        <v>0</v>
      </c>
      <c r="K490" s="10">
        <f t="shared" si="50"/>
        <v>0</v>
      </c>
      <c r="L490" s="9" t="str">
        <f t="shared" si="51"/>
        <v/>
      </c>
      <c r="M490" s="8"/>
      <c r="N490" s="8"/>
      <c r="O490" s="8"/>
      <c r="P490" s="8"/>
      <c r="Q490" s="8"/>
      <c r="R490" s="8"/>
      <c r="S490" s="8"/>
      <c r="T490" s="8"/>
      <c r="U490" s="8"/>
      <c r="V490" s="7"/>
      <c r="W490" s="6" t="str">
        <f t="array" ref="W490">IF(NOT(ISBLANK(D490)),_xludf.XLOOKUP(D490,[2]CODE!$A$4:$A$100,[2]CODE!$D$4:$D$100),"")</f>
        <v/>
      </c>
      <c r="X490" s="5" t="str">
        <f t="array" ref="X490">IF(NOT(AND(ISBLANK(D490),ISBLANK(C490))),_xludf.XLOOKUP(D490,[2]CODE!$A$4:$A$100,[2]CODE!$E$4:$E$100),"")</f>
        <v/>
      </c>
      <c r="Y490" s="5" t="str">
        <f t="shared" si="52"/>
        <v/>
      </c>
      <c r="Z490" s="5" t="str">
        <f t="shared" si="53"/>
        <v/>
      </c>
      <c r="AA490" s="4">
        <f t="shared" si="54"/>
        <v>0</v>
      </c>
      <c r="AC490" s="2"/>
    </row>
    <row r="491" spans="1:29" ht="15.5">
      <c r="A491" s="13" t="str">
        <f>IF(OR(ISBLANK(C491),ISBLANK(D491),ISBLANK(F491),ISBLANK(G491)),"",COUNTIF($B$5:B491,"JAMBUTU"))</f>
        <v/>
      </c>
      <c r="B491" s="8" t="str">
        <f t="shared" si="55"/>
        <v/>
      </c>
      <c r="C491" s="8"/>
      <c r="D491" s="8"/>
      <c r="E491" s="13"/>
      <c r="F491" s="12"/>
      <c r="G491" s="11"/>
      <c r="H491" s="12"/>
      <c r="I491" s="11"/>
      <c r="J491" s="10">
        <f t="shared" si="49"/>
        <v>0</v>
      </c>
      <c r="K491" s="10">
        <f t="shared" si="50"/>
        <v>0</v>
      </c>
      <c r="L491" s="9" t="str">
        <f t="shared" si="51"/>
        <v/>
      </c>
      <c r="M491" s="8"/>
      <c r="N491" s="8"/>
      <c r="O491" s="8"/>
      <c r="P491" s="8"/>
      <c r="Q491" s="8"/>
      <c r="R491" s="8"/>
      <c r="S491" s="8"/>
      <c r="T491" s="8"/>
      <c r="U491" s="8"/>
      <c r="V491" s="7"/>
      <c r="W491" s="6" t="str">
        <f t="array" ref="W491">IF(NOT(ISBLANK(D491)),_xludf.XLOOKUP(D491,[2]CODE!$A$4:$A$100,[2]CODE!$D$4:$D$100),"")</f>
        <v/>
      </c>
      <c r="X491" s="5" t="str">
        <f t="array" ref="X491">IF(NOT(AND(ISBLANK(D491),ISBLANK(C491))),_xludf.XLOOKUP(D491,[2]CODE!$A$4:$A$100,[2]CODE!$E$4:$E$100),"")</f>
        <v/>
      </c>
      <c r="Y491" s="5" t="str">
        <f t="shared" si="52"/>
        <v/>
      </c>
      <c r="Z491" s="5" t="str">
        <f t="shared" si="53"/>
        <v/>
      </c>
      <c r="AA491" s="4">
        <f t="shared" si="54"/>
        <v>0</v>
      </c>
      <c r="AC491" s="2"/>
    </row>
    <row r="492" spans="1:29" ht="15.5">
      <c r="A492" s="13" t="str">
        <f>IF(OR(ISBLANK(C492),ISBLANK(D492),ISBLANK(F492),ISBLANK(G492)),"",COUNTIF($B$5:B492,"JAMBUTU"))</f>
        <v/>
      </c>
      <c r="B492" s="8" t="str">
        <f t="shared" si="55"/>
        <v/>
      </c>
      <c r="C492" s="8"/>
      <c r="D492" s="8"/>
      <c r="E492" s="13"/>
      <c r="F492" s="12"/>
      <c r="G492" s="11"/>
      <c r="H492" s="12"/>
      <c r="I492" s="11"/>
      <c r="J492" s="10">
        <f t="shared" si="49"/>
        <v>0</v>
      </c>
      <c r="K492" s="10">
        <f t="shared" si="50"/>
        <v>0</v>
      </c>
      <c r="L492" s="9" t="str">
        <f t="shared" si="51"/>
        <v/>
      </c>
      <c r="M492" s="8"/>
      <c r="N492" s="8"/>
      <c r="O492" s="8"/>
      <c r="P492" s="8"/>
      <c r="Q492" s="8"/>
      <c r="R492" s="8"/>
      <c r="S492" s="8"/>
      <c r="T492" s="8"/>
      <c r="U492" s="8"/>
      <c r="V492" s="7"/>
      <c r="W492" s="6" t="str">
        <f t="array" ref="W492">IF(NOT(ISBLANK(D492)),_xludf.XLOOKUP(D492,[2]CODE!$A$4:$A$100,[2]CODE!$D$4:$D$100),"")</f>
        <v/>
      </c>
      <c r="X492" s="5" t="str">
        <f t="array" ref="X492">IF(NOT(AND(ISBLANK(D492),ISBLANK(C492))),_xludf.XLOOKUP(D492,[2]CODE!$A$4:$A$100,[2]CODE!$E$4:$E$100),"")</f>
        <v/>
      </c>
      <c r="Y492" s="5" t="str">
        <f t="shared" si="52"/>
        <v/>
      </c>
      <c r="Z492" s="5" t="str">
        <f t="shared" si="53"/>
        <v/>
      </c>
      <c r="AA492" s="4">
        <f t="shared" si="54"/>
        <v>0</v>
      </c>
      <c r="AC492" s="2"/>
    </row>
    <row r="493" spans="1:29" ht="15.5">
      <c r="A493" s="13" t="str">
        <f>IF(OR(ISBLANK(C493),ISBLANK(D493),ISBLANK(F493),ISBLANK(G493)),"",COUNTIF($B$5:B493,"JAMBUTU"))</f>
        <v/>
      </c>
      <c r="B493" s="8" t="str">
        <f t="shared" si="55"/>
        <v/>
      </c>
      <c r="C493" s="8"/>
      <c r="D493" s="8"/>
      <c r="E493" s="13"/>
      <c r="F493" s="12"/>
      <c r="G493" s="11"/>
      <c r="H493" s="12"/>
      <c r="I493" s="11"/>
      <c r="J493" s="10">
        <f t="shared" si="49"/>
        <v>0</v>
      </c>
      <c r="K493" s="10">
        <f t="shared" si="50"/>
        <v>0</v>
      </c>
      <c r="L493" s="9" t="str">
        <f t="shared" si="51"/>
        <v/>
      </c>
      <c r="M493" s="8"/>
      <c r="N493" s="8"/>
      <c r="O493" s="8"/>
      <c r="P493" s="8"/>
      <c r="Q493" s="8"/>
      <c r="R493" s="8"/>
      <c r="S493" s="8"/>
      <c r="T493" s="8"/>
      <c r="U493" s="8"/>
      <c r="V493" s="7"/>
      <c r="W493" s="6" t="str">
        <f t="array" ref="W493">IF(NOT(ISBLANK(D493)),_xludf.XLOOKUP(D493,[2]CODE!$A$4:$A$100,[2]CODE!$D$4:$D$100),"")</f>
        <v/>
      </c>
      <c r="X493" s="5" t="str">
        <f t="array" ref="X493">IF(NOT(AND(ISBLANK(D493),ISBLANK(C493))),_xludf.XLOOKUP(D493,[2]CODE!$A$4:$A$100,[2]CODE!$E$4:$E$100),"")</f>
        <v/>
      </c>
      <c r="Y493" s="5" t="str">
        <f t="shared" si="52"/>
        <v/>
      </c>
      <c r="Z493" s="5" t="str">
        <f t="shared" si="53"/>
        <v/>
      </c>
      <c r="AA493" s="4">
        <f t="shared" si="54"/>
        <v>0</v>
      </c>
      <c r="AC493" s="2"/>
    </row>
    <row r="494" spans="1:29" ht="15.5">
      <c r="A494" s="13" t="str">
        <f>IF(OR(ISBLANK(C494),ISBLANK(D494),ISBLANK(F494),ISBLANK(G494)),"",COUNTIF($B$5:B494,"JAMBUTU"))</f>
        <v/>
      </c>
      <c r="B494" s="8" t="str">
        <f t="shared" si="55"/>
        <v/>
      </c>
      <c r="C494" s="8"/>
      <c r="D494" s="8"/>
      <c r="E494" s="13"/>
      <c r="F494" s="12"/>
      <c r="G494" s="11"/>
      <c r="H494" s="12"/>
      <c r="I494" s="11"/>
      <c r="J494" s="10">
        <f t="shared" si="49"/>
        <v>0</v>
      </c>
      <c r="K494" s="10">
        <f t="shared" si="50"/>
        <v>0</v>
      </c>
      <c r="L494" s="9" t="str">
        <f t="shared" si="51"/>
        <v/>
      </c>
      <c r="M494" s="8"/>
      <c r="N494" s="8"/>
      <c r="O494" s="8"/>
      <c r="P494" s="8"/>
      <c r="Q494" s="8"/>
      <c r="R494" s="8"/>
      <c r="S494" s="8"/>
      <c r="T494" s="8"/>
      <c r="U494" s="8"/>
      <c r="V494" s="7"/>
      <c r="W494" s="6" t="str">
        <f t="array" ref="W494">IF(NOT(ISBLANK(D494)),_xludf.XLOOKUP(D494,[2]CODE!$A$4:$A$100,[2]CODE!$D$4:$D$100),"")</f>
        <v/>
      </c>
      <c r="X494" s="5" t="str">
        <f t="array" ref="X494">IF(NOT(AND(ISBLANK(D494),ISBLANK(C494))),_xludf.XLOOKUP(D494,[2]CODE!$A$4:$A$100,[2]CODE!$E$4:$E$100),"")</f>
        <v/>
      </c>
      <c r="Y494" s="5" t="str">
        <f t="shared" si="52"/>
        <v/>
      </c>
      <c r="Z494" s="5" t="str">
        <f t="shared" si="53"/>
        <v/>
      </c>
      <c r="AA494" s="4">
        <f t="shared" si="54"/>
        <v>0</v>
      </c>
      <c r="AC494" s="2"/>
    </row>
    <row r="495" spans="1:29" ht="15.5">
      <c r="A495" s="13" t="str">
        <f>IF(OR(ISBLANK(C495),ISBLANK(D495),ISBLANK(F495),ISBLANK(G495)),"",COUNTIF($B$5:B495,"JAMBUTU"))</f>
        <v/>
      </c>
      <c r="B495" s="8" t="str">
        <f t="shared" si="55"/>
        <v/>
      </c>
      <c r="C495" s="8"/>
      <c r="D495" s="8"/>
      <c r="E495" s="13"/>
      <c r="F495" s="12"/>
      <c r="G495" s="11"/>
      <c r="H495" s="12"/>
      <c r="I495" s="11"/>
      <c r="J495" s="10">
        <f t="shared" si="49"/>
        <v>0</v>
      </c>
      <c r="K495" s="10">
        <f t="shared" si="50"/>
        <v>0</v>
      </c>
      <c r="L495" s="9" t="str">
        <f t="shared" si="51"/>
        <v/>
      </c>
      <c r="M495" s="8"/>
      <c r="N495" s="8"/>
      <c r="O495" s="8"/>
      <c r="P495" s="8"/>
      <c r="Q495" s="8"/>
      <c r="R495" s="8"/>
      <c r="S495" s="8"/>
      <c r="T495" s="8"/>
      <c r="U495" s="8"/>
      <c r="V495" s="7"/>
      <c r="W495" s="6" t="str">
        <f t="array" ref="W495">IF(NOT(ISBLANK(D495)),_xludf.XLOOKUP(D495,[2]CODE!$A$4:$A$100,[2]CODE!$D$4:$D$100),"")</f>
        <v/>
      </c>
      <c r="X495" s="5" t="str">
        <f t="array" ref="X495">IF(NOT(AND(ISBLANK(D495),ISBLANK(C495))),_xludf.XLOOKUP(D495,[2]CODE!$A$4:$A$100,[2]CODE!$E$4:$E$100),"")</f>
        <v/>
      </c>
      <c r="Y495" s="5" t="str">
        <f t="shared" si="52"/>
        <v/>
      </c>
      <c r="Z495" s="5" t="str">
        <f t="shared" si="53"/>
        <v/>
      </c>
      <c r="AA495" s="4">
        <f t="shared" si="54"/>
        <v>0</v>
      </c>
      <c r="AC495" s="2"/>
    </row>
    <row r="496" spans="1:29" ht="15.5">
      <c r="A496" s="13" t="str">
        <f>IF(OR(ISBLANK(C496),ISBLANK(D496),ISBLANK(F496),ISBLANK(G496)),"",COUNTIF($B$5:B496,"JAMBUTU"))</f>
        <v/>
      </c>
      <c r="B496" s="8" t="str">
        <f t="shared" si="55"/>
        <v/>
      </c>
      <c r="C496" s="8"/>
      <c r="D496" s="8"/>
      <c r="E496" s="13"/>
      <c r="F496" s="12"/>
      <c r="G496" s="11"/>
      <c r="H496" s="12"/>
      <c r="I496" s="11"/>
      <c r="J496" s="10">
        <f t="shared" si="49"/>
        <v>0</v>
      </c>
      <c r="K496" s="10">
        <f t="shared" si="50"/>
        <v>0</v>
      </c>
      <c r="L496" s="9" t="str">
        <f t="shared" si="51"/>
        <v/>
      </c>
      <c r="M496" s="8"/>
      <c r="N496" s="8"/>
      <c r="O496" s="8"/>
      <c r="P496" s="8"/>
      <c r="Q496" s="8"/>
      <c r="R496" s="8"/>
      <c r="S496" s="8"/>
      <c r="T496" s="8"/>
      <c r="U496" s="8"/>
      <c r="V496" s="7"/>
      <c r="W496" s="6" t="str">
        <f t="array" ref="W496">IF(NOT(ISBLANK(D496)),_xludf.XLOOKUP(D496,[2]CODE!$A$4:$A$100,[2]CODE!$D$4:$D$100),"")</f>
        <v/>
      </c>
      <c r="X496" s="5" t="str">
        <f t="array" ref="X496">IF(NOT(AND(ISBLANK(D496),ISBLANK(C496))),_xludf.XLOOKUP(D496,[2]CODE!$A$4:$A$100,[2]CODE!$E$4:$E$100),"")</f>
        <v/>
      </c>
      <c r="Y496" s="5" t="str">
        <f t="shared" si="52"/>
        <v/>
      </c>
      <c r="Z496" s="5" t="str">
        <f t="shared" si="53"/>
        <v/>
      </c>
      <c r="AA496" s="4">
        <f t="shared" si="54"/>
        <v>0</v>
      </c>
      <c r="AC496" s="2"/>
    </row>
    <row r="497" spans="1:29" ht="15.5">
      <c r="A497" s="13" t="str">
        <f>IF(OR(ISBLANK(C497),ISBLANK(D497),ISBLANK(F497),ISBLANK(G497)),"",COUNTIF($B$5:B497,"JAMBUTU"))</f>
        <v/>
      </c>
      <c r="B497" s="8" t="str">
        <f t="shared" si="55"/>
        <v/>
      </c>
      <c r="C497" s="8"/>
      <c r="D497" s="8"/>
      <c r="E497" s="13"/>
      <c r="F497" s="12"/>
      <c r="G497" s="11"/>
      <c r="H497" s="12"/>
      <c r="I497" s="11"/>
      <c r="J497" s="10">
        <f t="shared" si="49"/>
        <v>0</v>
      </c>
      <c r="K497" s="10">
        <f t="shared" si="50"/>
        <v>0</v>
      </c>
      <c r="L497" s="9" t="str">
        <f t="shared" si="51"/>
        <v/>
      </c>
      <c r="M497" s="8"/>
      <c r="N497" s="8"/>
      <c r="O497" s="8"/>
      <c r="P497" s="8"/>
      <c r="Q497" s="8"/>
      <c r="R497" s="8"/>
      <c r="S497" s="8"/>
      <c r="T497" s="8"/>
      <c r="U497" s="8"/>
      <c r="V497" s="7"/>
      <c r="W497" s="6" t="str">
        <f t="array" ref="W497">IF(NOT(ISBLANK(D497)),_xludf.XLOOKUP(D497,[2]CODE!$A$4:$A$100,[2]CODE!$D$4:$D$100),"")</f>
        <v/>
      </c>
      <c r="X497" s="5" t="str">
        <f t="array" ref="X497">IF(NOT(AND(ISBLANK(D497),ISBLANK(C497))),_xludf.XLOOKUP(D497,[2]CODE!$A$4:$A$100,[2]CODE!$E$4:$E$100),"")</f>
        <v/>
      </c>
      <c r="Y497" s="5" t="str">
        <f t="shared" si="52"/>
        <v/>
      </c>
      <c r="Z497" s="5" t="str">
        <f t="shared" si="53"/>
        <v/>
      </c>
      <c r="AA497" s="4">
        <f t="shared" si="54"/>
        <v>0</v>
      </c>
      <c r="AC497" s="2"/>
    </row>
    <row r="498" spans="1:29" ht="15.5">
      <c r="A498" s="13" t="str">
        <f>IF(OR(ISBLANK(C498),ISBLANK(D498),ISBLANK(F498),ISBLANK(G498)),"",COUNTIF($B$5:B498,"JAMBUTU"))</f>
        <v/>
      </c>
      <c r="B498" s="8" t="str">
        <f t="shared" si="55"/>
        <v/>
      </c>
      <c r="C498" s="8"/>
      <c r="D498" s="8"/>
      <c r="E498" s="13"/>
      <c r="F498" s="12"/>
      <c r="G498" s="11"/>
      <c r="H498" s="12"/>
      <c r="I498" s="11"/>
      <c r="J498" s="10">
        <f t="shared" si="49"/>
        <v>0</v>
      </c>
      <c r="K498" s="10">
        <f t="shared" si="50"/>
        <v>0</v>
      </c>
      <c r="L498" s="9" t="str">
        <f t="shared" si="51"/>
        <v/>
      </c>
      <c r="M498" s="8"/>
      <c r="N498" s="8"/>
      <c r="O498" s="8"/>
      <c r="P498" s="8"/>
      <c r="Q498" s="8"/>
      <c r="R498" s="8"/>
      <c r="S498" s="8"/>
      <c r="T498" s="8"/>
      <c r="U498" s="8"/>
      <c r="V498" s="7"/>
      <c r="W498" s="6" t="str">
        <f t="array" ref="W498">IF(NOT(ISBLANK(D498)),_xludf.XLOOKUP(D498,[2]CODE!$A$4:$A$100,[2]CODE!$D$4:$D$100),"")</f>
        <v/>
      </c>
      <c r="X498" s="5" t="str">
        <f t="array" ref="X498">IF(NOT(AND(ISBLANK(D498),ISBLANK(C498))),_xludf.XLOOKUP(D498,[2]CODE!$A$4:$A$100,[2]CODE!$E$4:$E$100),"")</f>
        <v/>
      </c>
      <c r="Y498" s="5" t="str">
        <f t="shared" si="52"/>
        <v/>
      </c>
      <c r="Z498" s="5" t="str">
        <f t="shared" si="53"/>
        <v/>
      </c>
      <c r="AA498" s="4">
        <f t="shared" si="54"/>
        <v>0</v>
      </c>
      <c r="AC498" s="2"/>
    </row>
    <row r="499" spans="1:29" ht="15.5">
      <c r="A499" s="13" t="str">
        <f>IF(OR(ISBLANK(C499),ISBLANK(D499),ISBLANK(F499),ISBLANK(G499)),"",COUNTIF($B$5:B499,"JAMBUTU"))</f>
        <v/>
      </c>
      <c r="B499" s="8" t="str">
        <f t="shared" si="55"/>
        <v/>
      </c>
      <c r="C499" s="8"/>
      <c r="D499" s="8"/>
      <c r="E499" s="13"/>
      <c r="F499" s="12"/>
      <c r="G499" s="11"/>
      <c r="H499" s="12"/>
      <c r="I499" s="11"/>
      <c r="J499" s="10">
        <f t="shared" si="49"/>
        <v>0</v>
      </c>
      <c r="K499" s="10">
        <f t="shared" si="50"/>
        <v>0</v>
      </c>
      <c r="L499" s="9" t="str">
        <f t="shared" si="51"/>
        <v/>
      </c>
      <c r="M499" s="8"/>
      <c r="N499" s="8"/>
      <c r="O499" s="8"/>
      <c r="P499" s="8"/>
      <c r="Q499" s="8"/>
      <c r="R499" s="8"/>
      <c r="S499" s="8"/>
      <c r="T499" s="8"/>
      <c r="U499" s="8"/>
      <c r="V499" s="7"/>
      <c r="W499" s="6" t="str">
        <f t="array" ref="W499">IF(NOT(ISBLANK(D499)),_xludf.XLOOKUP(D499,[2]CODE!$A$4:$A$100,[2]CODE!$D$4:$D$100),"")</f>
        <v/>
      </c>
      <c r="X499" s="5" t="str">
        <f t="array" ref="X499">IF(NOT(AND(ISBLANK(D499),ISBLANK(C499))),_xludf.XLOOKUP(D499,[2]CODE!$A$4:$A$100,[2]CODE!$E$4:$E$100),"")</f>
        <v/>
      </c>
      <c r="Y499" s="5" t="str">
        <f t="shared" si="52"/>
        <v/>
      </c>
      <c r="Z499" s="5" t="str">
        <f t="shared" si="53"/>
        <v/>
      </c>
      <c r="AA499" s="4">
        <f t="shared" si="54"/>
        <v>0</v>
      </c>
      <c r="AC499" s="2"/>
    </row>
    <row r="500" spans="1:29" ht="15.5">
      <c r="A500" s="13" t="str">
        <f>IF(OR(ISBLANK(C500),ISBLANK(D500),ISBLANK(F500),ISBLANK(G500)),"",COUNTIF($B$5:B500,"JAMBUTU"))</f>
        <v/>
      </c>
      <c r="B500" s="8" t="str">
        <f t="shared" si="55"/>
        <v/>
      </c>
      <c r="C500" s="8"/>
      <c r="D500" s="8"/>
      <c r="E500" s="13"/>
      <c r="F500" s="12"/>
      <c r="G500" s="11"/>
      <c r="H500" s="12"/>
      <c r="I500" s="11"/>
      <c r="J500" s="10">
        <f t="shared" si="49"/>
        <v>0</v>
      </c>
      <c r="K500" s="10">
        <f t="shared" si="50"/>
        <v>0</v>
      </c>
      <c r="L500" s="9" t="str">
        <f t="shared" si="51"/>
        <v/>
      </c>
      <c r="M500" s="8"/>
      <c r="N500" s="8"/>
      <c r="O500" s="8"/>
      <c r="P500" s="8"/>
      <c r="Q500" s="8"/>
      <c r="R500" s="8"/>
      <c r="S500" s="8"/>
      <c r="T500" s="8"/>
      <c r="U500" s="8"/>
      <c r="V500" s="7"/>
      <c r="W500" s="6" t="str">
        <f t="array" ref="W500">IF(NOT(ISBLANK(D500)),_xludf.XLOOKUP(D500,[2]CODE!$A$4:$A$100,[2]CODE!$D$4:$D$100),"")</f>
        <v/>
      </c>
      <c r="X500" s="5" t="str">
        <f t="array" ref="X500">IF(NOT(AND(ISBLANK(D500),ISBLANK(C500))),_xludf.XLOOKUP(D500,[2]CODE!$A$4:$A$100,[2]CODE!$E$4:$E$100),"")</f>
        <v/>
      </c>
      <c r="Y500" s="5" t="str">
        <f t="shared" si="52"/>
        <v/>
      </c>
      <c r="Z500" s="5" t="str">
        <f t="shared" si="53"/>
        <v/>
      </c>
      <c r="AA500" s="4">
        <f t="shared" si="54"/>
        <v>0</v>
      </c>
      <c r="AC500" s="2"/>
    </row>
    <row r="501" spans="1:29" ht="15.5">
      <c r="A501" s="13" t="str">
        <f>IF(OR(ISBLANK(C501),ISBLANK(D501),ISBLANK(F501),ISBLANK(G501)),"",COUNTIF($B$5:B501,"JAMBUTU"))</f>
        <v/>
      </c>
      <c r="B501" s="8" t="str">
        <f t="shared" si="55"/>
        <v/>
      </c>
      <c r="C501" s="8"/>
      <c r="D501" s="8"/>
      <c r="E501" s="13"/>
      <c r="F501" s="12"/>
      <c r="G501" s="11"/>
      <c r="H501" s="12"/>
      <c r="I501" s="11"/>
      <c r="J501" s="10">
        <f t="shared" si="49"/>
        <v>0</v>
      </c>
      <c r="K501" s="10">
        <f t="shared" si="50"/>
        <v>0</v>
      </c>
      <c r="L501" s="9" t="str">
        <f t="shared" si="51"/>
        <v/>
      </c>
      <c r="M501" s="8"/>
      <c r="N501" s="8"/>
      <c r="O501" s="8"/>
      <c r="P501" s="8"/>
      <c r="Q501" s="8"/>
      <c r="R501" s="8"/>
      <c r="S501" s="8"/>
      <c r="T501" s="8"/>
      <c r="U501" s="8"/>
      <c r="V501" s="7"/>
      <c r="W501" s="6" t="str">
        <f t="array" ref="W501">IF(NOT(ISBLANK(D501)),_xludf.XLOOKUP(D501,[2]CODE!$A$4:$A$100,[2]CODE!$D$4:$D$100),"")</f>
        <v/>
      </c>
      <c r="X501" s="5" t="str">
        <f t="array" ref="X501">IF(NOT(AND(ISBLANK(D501),ISBLANK(C501))),_xludf.XLOOKUP(D501,[2]CODE!$A$4:$A$100,[2]CODE!$E$4:$E$100),"")</f>
        <v/>
      </c>
      <c r="Y501" s="5" t="str">
        <f t="shared" si="52"/>
        <v/>
      </c>
      <c r="Z501" s="5" t="str">
        <f t="shared" si="53"/>
        <v/>
      </c>
      <c r="AA501" s="4">
        <f t="shared" si="54"/>
        <v>0</v>
      </c>
      <c r="AC501" s="2"/>
    </row>
    <row r="502" spans="1:29" ht="15.5">
      <c r="A502" s="13" t="str">
        <f>IF(OR(ISBLANK(C502),ISBLANK(D502),ISBLANK(F502),ISBLANK(G502)),"",COUNTIF($B$5:B502,"JAMBUTU"))</f>
        <v/>
      </c>
      <c r="B502" s="8" t="str">
        <f t="shared" si="55"/>
        <v/>
      </c>
      <c r="C502" s="8"/>
      <c r="D502" s="8"/>
      <c r="E502" s="13"/>
      <c r="F502" s="12"/>
      <c r="G502" s="11"/>
      <c r="H502" s="12"/>
      <c r="I502" s="11"/>
      <c r="J502" s="10">
        <f t="shared" si="49"/>
        <v>0</v>
      </c>
      <c r="K502" s="10">
        <f t="shared" si="50"/>
        <v>0</v>
      </c>
      <c r="L502" s="9" t="str">
        <f t="shared" si="51"/>
        <v/>
      </c>
      <c r="M502" s="8"/>
      <c r="N502" s="8"/>
      <c r="O502" s="8"/>
      <c r="P502" s="8"/>
      <c r="Q502" s="8"/>
      <c r="R502" s="8"/>
      <c r="S502" s="8"/>
      <c r="T502" s="8"/>
      <c r="U502" s="8"/>
      <c r="V502" s="7"/>
      <c r="W502" s="6" t="str">
        <f t="array" ref="W502">IF(NOT(ISBLANK(D502)),_xludf.XLOOKUP(D502,[2]CODE!$A$4:$A$100,[2]CODE!$D$4:$D$100),"")</f>
        <v/>
      </c>
      <c r="X502" s="5" t="str">
        <f t="array" ref="X502">IF(NOT(AND(ISBLANK(D502),ISBLANK(C502))),_xludf.XLOOKUP(D502,[2]CODE!$A$4:$A$100,[2]CODE!$E$4:$E$100),"")</f>
        <v/>
      </c>
      <c r="Y502" s="5" t="str">
        <f t="shared" si="52"/>
        <v/>
      </c>
      <c r="Z502" s="5" t="str">
        <f t="shared" si="53"/>
        <v/>
      </c>
      <c r="AA502" s="4">
        <f t="shared" si="54"/>
        <v>0</v>
      </c>
      <c r="AC502" s="2"/>
    </row>
    <row r="503" spans="1:29" ht="15.5">
      <c r="A503" s="13" t="str">
        <f>IF(OR(ISBLANK(C503),ISBLANK(D503),ISBLANK(F503),ISBLANK(G503)),"",COUNTIF($B$5:B503,"JAMBUTU"))</f>
        <v/>
      </c>
      <c r="B503" s="8" t="str">
        <f t="shared" si="55"/>
        <v/>
      </c>
      <c r="C503" s="8"/>
      <c r="D503" s="8"/>
      <c r="E503" s="13"/>
      <c r="F503" s="12"/>
      <c r="G503" s="11"/>
      <c r="H503" s="12"/>
      <c r="I503" s="11"/>
      <c r="J503" s="10">
        <f t="shared" si="49"/>
        <v>0</v>
      </c>
      <c r="K503" s="10">
        <f t="shared" si="50"/>
        <v>0</v>
      </c>
      <c r="L503" s="9" t="str">
        <f t="shared" si="51"/>
        <v/>
      </c>
      <c r="M503" s="8"/>
      <c r="N503" s="8"/>
      <c r="O503" s="8"/>
      <c r="P503" s="8"/>
      <c r="Q503" s="8"/>
      <c r="R503" s="8"/>
      <c r="S503" s="8"/>
      <c r="T503" s="8"/>
      <c r="U503" s="8"/>
      <c r="V503" s="7"/>
      <c r="W503" s="6" t="str">
        <f t="array" ref="W503">IF(NOT(ISBLANK(D503)),_xludf.XLOOKUP(D503,[2]CODE!$A$4:$A$100,[2]CODE!$D$4:$D$100),"")</f>
        <v/>
      </c>
      <c r="X503" s="5" t="str">
        <f t="array" ref="X503">IF(NOT(AND(ISBLANK(D503),ISBLANK(C503))),_xludf.XLOOKUP(D503,[2]CODE!$A$4:$A$100,[2]CODE!$E$4:$E$100),"")</f>
        <v/>
      </c>
      <c r="Y503" s="5" t="str">
        <f t="shared" si="52"/>
        <v/>
      </c>
      <c r="Z503" s="5" t="str">
        <f t="shared" si="53"/>
        <v/>
      </c>
      <c r="AA503" s="4">
        <f t="shared" si="54"/>
        <v>0</v>
      </c>
      <c r="AC503" s="2"/>
    </row>
    <row r="504" spans="1:29" ht="15.5">
      <c r="A504" s="13" t="str">
        <f>IF(OR(ISBLANK(C504),ISBLANK(D504),ISBLANK(F504),ISBLANK(G504)),"",COUNTIF($B$5:B504,"JAMBUTU"))</f>
        <v/>
      </c>
      <c r="B504" s="8" t="str">
        <f t="shared" si="55"/>
        <v/>
      </c>
      <c r="C504" s="8"/>
      <c r="D504" s="8"/>
      <c r="E504" s="13"/>
      <c r="F504" s="12"/>
      <c r="G504" s="11"/>
      <c r="H504" s="12"/>
      <c r="I504" s="11"/>
      <c r="J504" s="10">
        <f t="shared" si="49"/>
        <v>0</v>
      </c>
      <c r="K504" s="10">
        <f t="shared" si="50"/>
        <v>0</v>
      </c>
      <c r="L504" s="9" t="str">
        <f t="shared" si="51"/>
        <v/>
      </c>
      <c r="M504" s="8"/>
      <c r="N504" s="8"/>
      <c r="O504" s="8"/>
      <c r="P504" s="8"/>
      <c r="Q504" s="8"/>
      <c r="R504" s="8"/>
      <c r="S504" s="8"/>
      <c r="T504" s="8"/>
      <c r="U504" s="8"/>
      <c r="V504" s="7"/>
      <c r="W504" s="6" t="str">
        <f t="array" ref="W504">IF(NOT(ISBLANK(D504)),_xludf.XLOOKUP(D504,[2]CODE!$A$4:$A$100,[2]CODE!$D$4:$D$100),"")</f>
        <v/>
      </c>
      <c r="X504" s="5" t="str">
        <f t="array" ref="X504">IF(NOT(AND(ISBLANK(D504),ISBLANK(C504))),_xludf.XLOOKUP(D504,[2]CODE!$A$4:$A$100,[2]CODE!$E$4:$E$100),"")</f>
        <v/>
      </c>
      <c r="Y504" s="5" t="str">
        <f t="shared" si="52"/>
        <v/>
      </c>
      <c r="Z504" s="5" t="str">
        <f t="shared" si="53"/>
        <v/>
      </c>
      <c r="AA504" s="4">
        <f t="shared" si="54"/>
        <v>0</v>
      </c>
      <c r="AC504" s="2"/>
    </row>
    <row r="505" spans="1:29" ht="15.5">
      <c r="A505" s="13" t="str">
        <f>IF(OR(ISBLANK(C505),ISBLANK(D505),ISBLANK(F505),ISBLANK(G505)),"",COUNTIF($B$5:B505,"JAMBUTU"))</f>
        <v/>
      </c>
      <c r="B505" s="8" t="str">
        <f t="shared" si="55"/>
        <v/>
      </c>
      <c r="C505" s="8"/>
      <c r="D505" s="8"/>
      <c r="E505" s="13"/>
      <c r="F505" s="12"/>
      <c r="G505" s="11"/>
      <c r="H505" s="12"/>
      <c r="I505" s="11"/>
      <c r="J505" s="10">
        <f t="shared" si="49"/>
        <v>0</v>
      </c>
      <c r="K505" s="10">
        <f t="shared" si="50"/>
        <v>0</v>
      </c>
      <c r="L505" s="9" t="str">
        <f t="shared" si="51"/>
        <v/>
      </c>
      <c r="M505" s="8"/>
      <c r="N505" s="8"/>
      <c r="O505" s="8"/>
      <c r="P505" s="8"/>
      <c r="Q505" s="8"/>
      <c r="R505" s="8"/>
      <c r="S505" s="8"/>
      <c r="T505" s="8"/>
      <c r="U505" s="8"/>
      <c r="V505" s="7"/>
      <c r="W505" s="6" t="str">
        <f t="array" ref="W505">IF(NOT(ISBLANK(D505)),_xludf.XLOOKUP(D505,[2]CODE!$A$4:$A$100,[2]CODE!$D$4:$D$100),"")</f>
        <v/>
      </c>
      <c r="X505" s="5" t="str">
        <f t="array" ref="X505">IF(NOT(AND(ISBLANK(D505),ISBLANK(C505))),_xludf.XLOOKUP(D505,[2]CODE!$A$4:$A$100,[2]CODE!$E$4:$E$100),"")</f>
        <v/>
      </c>
      <c r="Y505" s="5" t="str">
        <f t="shared" si="52"/>
        <v/>
      </c>
      <c r="Z505" s="5" t="str">
        <f t="shared" si="53"/>
        <v/>
      </c>
      <c r="AA505" s="4">
        <f t="shared" si="54"/>
        <v>0</v>
      </c>
      <c r="AC505" s="2"/>
    </row>
    <row r="506" spans="1:29" ht="15.5">
      <c r="A506" s="13" t="str">
        <f>IF(OR(ISBLANK(C506),ISBLANK(D506),ISBLANK(F506),ISBLANK(G506)),"",COUNTIF($B$5:B506,"JAMBUTU"))</f>
        <v/>
      </c>
      <c r="B506" s="8" t="str">
        <f t="shared" si="55"/>
        <v/>
      </c>
      <c r="C506" s="8"/>
      <c r="D506" s="8"/>
      <c r="E506" s="13"/>
      <c r="F506" s="12"/>
      <c r="G506" s="11"/>
      <c r="H506" s="12"/>
      <c r="I506" s="11"/>
      <c r="J506" s="10">
        <f t="shared" si="49"/>
        <v>0</v>
      </c>
      <c r="K506" s="10">
        <f t="shared" si="50"/>
        <v>0</v>
      </c>
      <c r="L506" s="9" t="str">
        <f t="shared" si="51"/>
        <v/>
      </c>
      <c r="M506" s="8"/>
      <c r="N506" s="8"/>
      <c r="O506" s="8"/>
      <c r="P506" s="8"/>
      <c r="Q506" s="8"/>
      <c r="R506" s="8"/>
      <c r="S506" s="8"/>
      <c r="T506" s="8"/>
      <c r="U506" s="8"/>
      <c r="V506" s="7"/>
      <c r="W506" s="6" t="str">
        <f t="array" ref="W506">IF(NOT(ISBLANK(D506)),_xludf.XLOOKUP(D506,[2]CODE!$A$4:$A$100,[2]CODE!$D$4:$D$100),"")</f>
        <v/>
      </c>
      <c r="X506" s="5" t="str">
        <f t="array" ref="X506">IF(NOT(AND(ISBLANK(D506),ISBLANK(C506))),_xludf.XLOOKUP(D506,[2]CODE!$A$4:$A$100,[2]CODE!$E$4:$E$100),"")</f>
        <v/>
      </c>
      <c r="Y506" s="5" t="str">
        <f t="shared" si="52"/>
        <v/>
      </c>
      <c r="Z506" s="5" t="str">
        <f t="shared" si="53"/>
        <v/>
      </c>
      <c r="AA506" s="4">
        <f t="shared" si="54"/>
        <v>0</v>
      </c>
      <c r="AC506" s="2"/>
    </row>
    <row r="507" spans="1:29" ht="15.5">
      <c r="A507" s="13" t="str">
        <f>IF(OR(ISBLANK(C507),ISBLANK(D507),ISBLANK(F507),ISBLANK(G507)),"",COUNTIF($B$5:B507,"JAMBUTU"))</f>
        <v/>
      </c>
      <c r="B507" s="8" t="str">
        <f t="shared" si="55"/>
        <v/>
      </c>
      <c r="C507" s="8"/>
      <c r="D507" s="8"/>
      <c r="E507" s="13"/>
      <c r="F507" s="12"/>
      <c r="G507" s="11"/>
      <c r="H507" s="12"/>
      <c r="I507" s="11"/>
      <c r="J507" s="10">
        <f t="shared" si="49"/>
        <v>0</v>
      </c>
      <c r="K507" s="10">
        <f t="shared" si="50"/>
        <v>0</v>
      </c>
      <c r="L507" s="9" t="str">
        <f t="shared" si="51"/>
        <v/>
      </c>
      <c r="M507" s="8"/>
      <c r="N507" s="8"/>
      <c r="O507" s="8"/>
      <c r="P507" s="8"/>
      <c r="Q507" s="8"/>
      <c r="R507" s="8"/>
      <c r="S507" s="8"/>
      <c r="T507" s="8"/>
      <c r="U507" s="8"/>
      <c r="V507" s="7"/>
      <c r="W507" s="6" t="str">
        <f t="array" ref="W507">IF(NOT(ISBLANK(D507)),_xludf.XLOOKUP(D507,[2]CODE!$A$4:$A$100,[2]CODE!$D$4:$D$100),"")</f>
        <v/>
      </c>
      <c r="X507" s="5" t="str">
        <f t="array" ref="X507">IF(NOT(AND(ISBLANK(D507),ISBLANK(C507))),_xludf.XLOOKUP(D507,[2]CODE!$A$4:$A$100,[2]CODE!$E$4:$E$100),"")</f>
        <v/>
      </c>
      <c r="Y507" s="5" t="str">
        <f t="shared" si="52"/>
        <v/>
      </c>
      <c r="Z507" s="5" t="str">
        <f t="shared" si="53"/>
        <v/>
      </c>
      <c r="AA507" s="4">
        <f t="shared" si="54"/>
        <v>0</v>
      </c>
      <c r="AC507" s="2"/>
    </row>
    <row r="508" spans="1:29" ht="15.5">
      <c r="A508" s="13" t="str">
        <f>IF(OR(ISBLANK(C508),ISBLANK(D508),ISBLANK(F508),ISBLANK(G508)),"",COUNTIF($B$5:B508,"JAMBUTU"))</f>
        <v/>
      </c>
      <c r="B508" s="8" t="str">
        <f t="shared" si="55"/>
        <v/>
      </c>
      <c r="C508" s="8"/>
      <c r="D508" s="8"/>
      <c r="E508" s="13"/>
      <c r="F508" s="12"/>
      <c r="G508" s="11"/>
      <c r="H508" s="12"/>
      <c r="I508" s="11"/>
      <c r="J508" s="10">
        <f t="shared" si="49"/>
        <v>0</v>
      </c>
      <c r="K508" s="10">
        <f t="shared" si="50"/>
        <v>0</v>
      </c>
      <c r="L508" s="9" t="str">
        <f t="shared" si="51"/>
        <v/>
      </c>
      <c r="M508" s="8"/>
      <c r="N508" s="8"/>
      <c r="O508" s="8"/>
      <c r="P508" s="8"/>
      <c r="Q508" s="8"/>
      <c r="R508" s="8"/>
      <c r="S508" s="8"/>
      <c r="T508" s="8"/>
      <c r="U508" s="8"/>
      <c r="V508" s="7"/>
      <c r="W508" s="6" t="str">
        <f t="array" ref="W508">IF(NOT(ISBLANK(D508)),_xludf.XLOOKUP(D508,[2]CODE!$A$4:$A$100,[2]CODE!$D$4:$D$100),"")</f>
        <v/>
      </c>
      <c r="X508" s="5" t="str">
        <f t="array" ref="X508">IF(NOT(AND(ISBLANK(D508),ISBLANK(C508))),_xludf.XLOOKUP(D508,[2]CODE!$A$4:$A$100,[2]CODE!$E$4:$E$100),"")</f>
        <v/>
      </c>
      <c r="Y508" s="5" t="str">
        <f t="shared" si="52"/>
        <v/>
      </c>
      <c r="Z508" s="5" t="str">
        <f t="shared" si="53"/>
        <v/>
      </c>
      <c r="AA508" s="4">
        <f t="shared" si="54"/>
        <v>0</v>
      </c>
      <c r="AC508" s="2"/>
    </row>
    <row r="509" spans="1:29" ht="15.5">
      <c r="A509" s="13" t="str">
        <f>IF(OR(ISBLANK(C509),ISBLANK(D509),ISBLANK(F509),ISBLANK(G509)),"",COUNTIF($B$5:B509,"JAMBUTU"))</f>
        <v/>
      </c>
      <c r="B509" s="8" t="str">
        <f t="shared" si="55"/>
        <v/>
      </c>
      <c r="C509" s="8"/>
      <c r="D509" s="8"/>
      <c r="E509" s="13"/>
      <c r="F509" s="12"/>
      <c r="G509" s="11"/>
      <c r="H509" s="12"/>
      <c r="I509" s="11"/>
      <c r="J509" s="10">
        <f t="shared" si="49"/>
        <v>0</v>
      </c>
      <c r="K509" s="10">
        <f t="shared" si="50"/>
        <v>0</v>
      </c>
      <c r="L509" s="9" t="str">
        <f t="shared" si="51"/>
        <v/>
      </c>
      <c r="M509" s="8"/>
      <c r="N509" s="8"/>
      <c r="O509" s="8"/>
      <c r="P509" s="8"/>
      <c r="Q509" s="8"/>
      <c r="R509" s="8"/>
      <c r="S509" s="8"/>
      <c r="T509" s="8"/>
      <c r="U509" s="8"/>
      <c r="V509" s="7"/>
      <c r="W509" s="6" t="str">
        <f t="array" ref="W509">IF(NOT(ISBLANK(D509)),_xludf.XLOOKUP(D509,[2]CODE!$A$4:$A$100,[2]CODE!$D$4:$D$100),"")</f>
        <v/>
      </c>
      <c r="X509" s="5" t="str">
        <f t="array" ref="X509">IF(NOT(AND(ISBLANK(D509),ISBLANK(C509))),_xludf.XLOOKUP(D509,[2]CODE!$A$4:$A$100,[2]CODE!$E$4:$E$100),"")</f>
        <v/>
      </c>
      <c r="Y509" s="5" t="str">
        <f t="shared" si="52"/>
        <v/>
      </c>
      <c r="Z509" s="5" t="str">
        <f t="shared" si="53"/>
        <v/>
      </c>
      <c r="AA509" s="4">
        <f t="shared" si="54"/>
        <v>0</v>
      </c>
      <c r="AC509" s="2"/>
    </row>
    <row r="510" spans="1:29" ht="15.5">
      <c r="A510" s="13" t="str">
        <f>IF(OR(ISBLANK(C510),ISBLANK(D510),ISBLANK(F510),ISBLANK(G510)),"",COUNTIF($B$5:B510,"JAMBUTU"))</f>
        <v/>
      </c>
      <c r="B510" s="8" t="str">
        <f t="shared" si="55"/>
        <v/>
      </c>
      <c r="C510" s="8"/>
      <c r="D510" s="8"/>
      <c r="E510" s="13"/>
      <c r="F510" s="12"/>
      <c r="G510" s="11"/>
      <c r="H510" s="12"/>
      <c r="I510" s="11"/>
      <c r="J510" s="10">
        <f t="shared" si="49"/>
        <v>0</v>
      </c>
      <c r="K510" s="10">
        <f t="shared" si="50"/>
        <v>0</v>
      </c>
      <c r="L510" s="9" t="str">
        <f t="shared" si="51"/>
        <v/>
      </c>
      <c r="M510" s="8"/>
      <c r="N510" s="8"/>
      <c r="O510" s="8"/>
      <c r="P510" s="8"/>
      <c r="Q510" s="8"/>
      <c r="R510" s="8"/>
      <c r="S510" s="8"/>
      <c r="T510" s="8"/>
      <c r="U510" s="8"/>
      <c r="V510" s="7"/>
      <c r="W510" s="6" t="str">
        <f t="array" ref="W510">IF(NOT(ISBLANK(D510)),_xludf.XLOOKUP(D510,[2]CODE!$A$4:$A$100,[2]CODE!$D$4:$D$100),"")</f>
        <v/>
      </c>
      <c r="X510" s="5" t="str">
        <f t="array" ref="X510">IF(NOT(AND(ISBLANK(D510),ISBLANK(C510))),_xludf.XLOOKUP(D510,[2]CODE!$A$4:$A$100,[2]CODE!$E$4:$E$100),"")</f>
        <v/>
      </c>
      <c r="Y510" s="5" t="str">
        <f t="shared" si="52"/>
        <v/>
      </c>
      <c r="Z510" s="5" t="str">
        <f t="shared" si="53"/>
        <v/>
      </c>
      <c r="AA510" s="4">
        <f t="shared" si="54"/>
        <v>0</v>
      </c>
      <c r="AC510" s="2"/>
    </row>
    <row r="511" spans="1:29" ht="15.5">
      <c r="A511" s="13" t="str">
        <f>IF(OR(ISBLANK(C511),ISBLANK(D511),ISBLANK(F511),ISBLANK(G511)),"",COUNTIF($B$5:B511,"JAMBUTU"))</f>
        <v/>
      </c>
      <c r="B511" s="8" t="str">
        <f t="shared" si="55"/>
        <v/>
      </c>
      <c r="C511" s="8"/>
      <c r="D511" s="8"/>
      <c r="E511" s="13"/>
      <c r="F511" s="12"/>
      <c r="G511" s="11"/>
      <c r="H511" s="12"/>
      <c r="I511" s="11"/>
      <c r="J511" s="10">
        <f t="shared" si="49"/>
        <v>0</v>
      </c>
      <c r="K511" s="10">
        <f t="shared" si="50"/>
        <v>0</v>
      </c>
      <c r="L511" s="9" t="str">
        <f t="shared" si="51"/>
        <v/>
      </c>
      <c r="M511" s="8"/>
      <c r="N511" s="8"/>
      <c r="O511" s="8"/>
      <c r="P511" s="8"/>
      <c r="Q511" s="8"/>
      <c r="R511" s="8"/>
      <c r="S511" s="8"/>
      <c r="T511" s="8"/>
      <c r="U511" s="8"/>
      <c r="V511" s="7"/>
      <c r="W511" s="6" t="str">
        <f t="array" ref="W511">IF(NOT(ISBLANK(D511)),_xludf.XLOOKUP(D511,[2]CODE!$A$4:$A$100,[2]CODE!$D$4:$D$100),"")</f>
        <v/>
      </c>
      <c r="X511" s="5" t="str">
        <f t="array" ref="X511">IF(NOT(AND(ISBLANK(D511),ISBLANK(C511))),_xludf.XLOOKUP(D511,[2]CODE!$A$4:$A$100,[2]CODE!$E$4:$E$100),"")</f>
        <v/>
      </c>
      <c r="Y511" s="5" t="str">
        <f t="shared" si="52"/>
        <v/>
      </c>
      <c r="Z511" s="5" t="str">
        <f t="shared" si="53"/>
        <v/>
      </c>
      <c r="AA511" s="4">
        <f t="shared" si="54"/>
        <v>0</v>
      </c>
      <c r="AC511" s="2"/>
    </row>
    <row r="512" spans="1:29" ht="15.5">
      <c r="A512" s="13" t="str">
        <f>IF(OR(ISBLANK(C512),ISBLANK(D512),ISBLANK(F512),ISBLANK(G512)),"",COUNTIF($B$5:B512,"JAMBUTU"))</f>
        <v/>
      </c>
      <c r="B512" s="8" t="str">
        <f t="shared" si="55"/>
        <v/>
      </c>
      <c r="C512" s="8"/>
      <c r="D512" s="8"/>
      <c r="E512" s="13"/>
      <c r="F512" s="12"/>
      <c r="G512" s="11"/>
      <c r="H512" s="12"/>
      <c r="I512" s="11"/>
      <c r="J512" s="10">
        <f t="shared" si="49"/>
        <v>0</v>
      </c>
      <c r="K512" s="10">
        <f t="shared" si="50"/>
        <v>0</v>
      </c>
      <c r="L512" s="9" t="str">
        <f t="shared" si="51"/>
        <v/>
      </c>
      <c r="M512" s="8"/>
      <c r="N512" s="8"/>
      <c r="O512" s="8"/>
      <c r="P512" s="8"/>
      <c r="Q512" s="8"/>
      <c r="R512" s="8"/>
      <c r="S512" s="8"/>
      <c r="T512" s="8"/>
      <c r="U512" s="8"/>
      <c r="V512" s="7"/>
      <c r="W512" s="6" t="str">
        <f t="array" ref="W512">IF(NOT(ISBLANK(D512)),_xludf.XLOOKUP(D512,[2]CODE!$A$4:$A$100,[2]CODE!$D$4:$D$100),"")</f>
        <v/>
      </c>
      <c r="X512" s="5" t="str">
        <f t="array" ref="X512">IF(NOT(AND(ISBLANK(D512),ISBLANK(C512))),_xludf.XLOOKUP(D512,[2]CODE!$A$4:$A$100,[2]CODE!$E$4:$E$100),"")</f>
        <v/>
      </c>
      <c r="Y512" s="5" t="str">
        <f t="shared" si="52"/>
        <v/>
      </c>
      <c r="Z512" s="5" t="str">
        <f t="shared" si="53"/>
        <v/>
      </c>
      <c r="AA512" s="4">
        <f t="shared" si="54"/>
        <v>0</v>
      </c>
      <c r="AC512" s="2"/>
    </row>
    <row r="513" spans="1:29" ht="15.5">
      <c r="A513" s="13" t="str">
        <f>IF(OR(ISBLANK(C513),ISBLANK(D513),ISBLANK(F513),ISBLANK(G513)),"",COUNTIF($B$5:B513,"JAMBUTU"))</f>
        <v/>
      </c>
      <c r="B513" s="8" t="str">
        <f t="shared" si="55"/>
        <v/>
      </c>
      <c r="C513" s="8"/>
      <c r="D513" s="8"/>
      <c r="E513" s="13"/>
      <c r="F513" s="12"/>
      <c r="G513" s="11"/>
      <c r="H513" s="12"/>
      <c r="I513" s="11"/>
      <c r="J513" s="10">
        <f t="shared" si="49"/>
        <v>0</v>
      </c>
      <c r="K513" s="10">
        <f t="shared" si="50"/>
        <v>0</v>
      </c>
      <c r="L513" s="9" t="str">
        <f t="shared" si="51"/>
        <v/>
      </c>
      <c r="M513" s="8"/>
      <c r="N513" s="8"/>
      <c r="O513" s="8"/>
      <c r="P513" s="8"/>
      <c r="Q513" s="8"/>
      <c r="R513" s="8"/>
      <c r="S513" s="8"/>
      <c r="T513" s="8"/>
      <c r="U513" s="8"/>
      <c r="V513" s="7"/>
      <c r="W513" s="6" t="str">
        <f t="array" ref="W513">IF(NOT(ISBLANK(D513)),_xludf.XLOOKUP(D513,[2]CODE!$A$4:$A$100,[2]CODE!$D$4:$D$100),"")</f>
        <v/>
      </c>
      <c r="X513" s="5" t="str">
        <f t="array" ref="X513">IF(NOT(AND(ISBLANK(D513),ISBLANK(C513))),_xludf.XLOOKUP(D513,[2]CODE!$A$4:$A$100,[2]CODE!$E$4:$E$100),"")</f>
        <v/>
      </c>
      <c r="Y513" s="5" t="str">
        <f t="shared" si="52"/>
        <v/>
      </c>
      <c r="Z513" s="5" t="str">
        <f t="shared" si="53"/>
        <v/>
      </c>
      <c r="AA513" s="4">
        <f t="shared" si="54"/>
        <v>0</v>
      </c>
      <c r="AC513" s="2"/>
    </row>
    <row r="514" spans="1:29" ht="15.5">
      <c r="A514" s="13" t="str">
        <f>IF(OR(ISBLANK(C514),ISBLANK(D514),ISBLANK(F514),ISBLANK(G514)),"",COUNTIF($B$5:B514,"JAMBUTU"))</f>
        <v/>
      </c>
      <c r="B514" s="8" t="str">
        <f t="shared" si="55"/>
        <v/>
      </c>
      <c r="C514" s="8"/>
      <c r="D514" s="8"/>
      <c r="E514" s="13"/>
      <c r="F514" s="12"/>
      <c r="G514" s="11"/>
      <c r="H514" s="12"/>
      <c r="I514" s="11"/>
      <c r="J514" s="10">
        <f t="shared" si="49"/>
        <v>0</v>
      </c>
      <c r="K514" s="10">
        <f t="shared" si="50"/>
        <v>0</v>
      </c>
      <c r="L514" s="9" t="str">
        <f t="shared" si="51"/>
        <v/>
      </c>
      <c r="M514" s="8"/>
      <c r="N514" s="8"/>
      <c r="O514" s="8"/>
      <c r="P514" s="8"/>
      <c r="Q514" s="8"/>
      <c r="R514" s="8"/>
      <c r="S514" s="8"/>
      <c r="T514" s="8"/>
      <c r="U514" s="8"/>
      <c r="V514" s="7"/>
      <c r="W514" s="6" t="str">
        <f t="array" ref="W514">IF(NOT(ISBLANK(D514)),_xludf.XLOOKUP(D514,[2]CODE!$A$4:$A$100,[2]CODE!$D$4:$D$100),"")</f>
        <v/>
      </c>
      <c r="X514" s="5" t="str">
        <f t="array" ref="X514">IF(NOT(AND(ISBLANK(D514),ISBLANK(C514))),_xludf.XLOOKUP(D514,[2]CODE!$A$4:$A$100,[2]CODE!$E$4:$E$100),"")</f>
        <v/>
      </c>
      <c r="Y514" s="5" t="str">
        <f t="shared" si="52"/>
        <v/>
      </c>
      <c r="Z514" s="5" t="str">
        <f t="shared" si="53"/>
        <v/>
      </c>
      <c r="AA514" s="4">
        <f t="shared" si="54"/>
        <v>0</v>
      </c>
      <c r="AC514" s="2"/>
    </row>
    <row r="515" spans="1:29" ht="15.5">
      <c r="A515" s="13" t="str">
        <f>IF(OR(ISBLANK(C515),ISBLANK(D515),ISBLANK(F515),ISBLANK(G515)),"",COUNTIF($B$5:B515,"JAMBUTU"))</f>
        <v/>
      </c>
      <c r="B515" s="8" t="str">
        <f t="shared" si="55"/>
        <v/>
      </c>
      <c r="C515" s="8"/>
      <c r="D515" s="8"/>
      <c r="E515" s="13"/>
      <c r="F515" s="12"/>
      <c r="G515" s="11"/>
      <c r="H515" s="12"/>
      <c r="I515" s="11"/>
      <c r="J515" s="10">
        <f t="shared" si="49"/>
        <v>0</v>
      </c>
      <c r="K515" s="10">
        <f t="shared" si="50"/>
        <v>0</v>
      </c>
      <c r="L515" s="9" t="str">
        <f t="shared" si="51"/>
        <v/>
      </c>
      <c r="M515" s="8"/>
      <c r="N515" s="8"/>
      <c r="O515" s="8"/>
      <c r="P515" s="8"/>
      <c r="Q515" s="8"/>
      <c r="R515" s="8"/>
      <c r="S515" s="8"/>
      <c r="T515" s="8"/>
      <c r="U515" s="8"/>
      <c r="V515" s="7"/>
      <c r="W515" s="6" t="str">
        <f t="array" ref="W515">IF(NOT(ISBLANK(D515)),_xludf.XLOOKUP(D515,[2]CODE!$A$4:$A$100,[2]CODE!$D$4:$D$100),"")</f>
        <v/>
      </c>
      <c r="X515" s="5" t="str">
        <f t="array" ref="X515">IF(NOT(AND(ISBLANK(D515),ISBLANK(C515))),_xludf.XLOOKUP(D515,[2]CODE!$A$4:$A$100,[2]CODE!$E$4:$E$100),"")</f>
        <v/>
      </c>
      <c r="Y515" s="5" t="str">
        <f t="shared" si="52"/>
        <v/>
      </c>
      <c r="Z515" s="5" t="str">
        <f t="shared" si="53"/>
        <v/>
      </c>
      <c r="AA515" s="4">
        <f t="shared" si="54"/>
        <v>0</v>
      </c>
      <c r="AC515" s="2"/>
    </row>
    <row r="516" spans="1:29" ht="15.5">
      <c r="A516" s="13" t="str">
        <f>IF(OR(ISBLANK(C516),ISBLANK(D516),ISBLANK(F516),ISBLANK(G516)),"",COUNTIF($B$5:B516,"JAMBUTU"))</f>
        <v/>
      </c>
      <c r="B516" s="8" t="str">
        <f t="shared" si="55"/>
        <v/>
      </c>
      <c r="C516" s="8"/>
      <c r="D516" s="8"/>
      <c r="E516" s="13"/>
      <c r="F516" s="12"/>
      <c r="G516" s="11"/>
      <c r="H516" s="12"/>
      <c r="I516" s="11"/>
      <c r="J516" s="10">
        <f t="shared" si="49"/>
        <v>0</v>
      </c>
      <c r="K516" s="10">
        <f t="shared" si="50"/>
        <v>0</v>
      </c>
      <c r="L516" s="9" t="str">
        <f t="shared" si="51"/>
        <v/>
      </c>
      <c r="M516" s="8"/>
      <c r="N516" s="8"/>
      <c r="O516" s="8"/>
      <c r="P516" s="8"/>
      <c r="Q516" s="8"/>
      <c r="R516" s="8"/>
      <c r="S516" s="8"/>
      <c r="T516" s="8"/>
      <c r="U516" s="8"/>
      <c r="V516" s="7"/>
      <c r="W516" s="6" t="str">
        <f t="array" ref="W516">IF(NOT(ISBLANK(D516)),_xludf.XLOOKUP(D516,[2]CODE!$A$4:$A$100,[2]CODE!$D$4:$D$100),"")</f>
        <v/>
      </c>
      <c r="X516" s="5" t="str">
        <f t="array" ref="X516">IF(NOT(AND(ISBLANK(D516),ISBLANK(C516))),_xludf.XLOOKUP(D516,[2]CODE!$A$4:$A$100,[2]CODE!$E$4:$E$100),"")</f>
        <v/>
      </c>
      <c r="Y516" s="5" t="str">
        <f t="shared" si="52"/>
        <v/>
      </c>
      <c r="Z516" s="5" t="str">
        <f t="shared" si="53"/>
        <v/>
      </c>
      <c r="AA516" s="4">
        <f t="shared" si="54"/>
        <v>0</v>
      </c>
      <c r="AC516" s="2"/>
    </row>
    <row r="517" spans="1:29" ht="15.5">
      <c r="A517" s="13" t="str">
        <f>IF(OR(ISBLANK(C517),ISBLANK(D517),ISBLANK(F517),ISBLANK(G517)),"",COUNTIF($B$5:B517,"JAMBUTU"))</f>
        <v/>
      </c>
      <c r="B517" s="8" t="str">
        <f t="shared" si="55"/>
        <v/>
      </c>
      <c r="C517" s="8"/>
      <c r="D517" s="8"/>
      <c r="E517" s="13"/>
      <c r="F517" s="12"/>
      <c r="G517" s="11"/>
      <c r="H517" s="12"/>
      <c r="I517" s="11"/>
      <c r="J517" s="10">
        <f t="shared" ref="J517:J580" si="56">DATE(YEAR(F517),MONTH(F517),DAY(F517))+TIME(HOUR(G517),MINUTE(G517), SECOND(G517))</f>
        <v>0</v>
      </c>
      <c r="K517" s="10">
        <f t="shared" ref="K517:K580" si="57">DATE(YEAR(H517),MONTH(H517),DAY(H517))+TIME(HOUR(I517),MINUTE(I517), SECOND(I517))</f>
        <v>0</v>
      </c>
      <c r="L517" s="9" t="str">
        <f t="shared" ref="L517:L580" si="58">IF(ISBLANK(I517),"",IF(J517&gt;K517,(K517+1)-J517,K517-J517))</f>
        <v/>
      </c>
      <c r="M517" s="8"/>
      <c r="N517" s="8"/>
      <c r="O517" s="8"/>
      <c r="P517" s="8"/>
      <c r="Q517" s="8"/>
      <c r="R517" s="8"/>
      <c r="S517" s="8"/>
      <c r="T517" s="8"/>
      <c r="U517" s="8"/>
      <c r="V517" s="7"/>
      <c r="W517" s="6" t="str">
        <f t="array" ref="W517">IF(NOT(ISBLANK(D517)),_xludf.XLOOKUP(D517,[2]CODE!$A$4:$A$100,[2]CODE!$D$4:$D$100),"")</f>
        <v/>
      </c>
      <c r="X517" s="5" t="str">
        <f t="array" ref="X517">IF(NOT(AND(ISBLANK(D517),ISBLANK(C517))),_xludf.XLOOKUP(D517,[2]CODE!$A$4:$A$100,[2]CODE!$E$4:$E$100),"")</f>
        <v/>
      </c>
      <c r="Y517" s="5" t="str">
        <f t="shared" ref="Y517:Y580" si="59">LEFT(C517,4)</f>
        <v/>
      </c>
      <c r="Z517" s="5" t="str">
        <f t="shared" ref="Z517:Z580" si="60">IF(NOT(ISBLANK(C517)), IF(K517&gt;J517,"YES","NO"),"")</f>
        <v/>
      </c>
      <c r="AA517" s="4">
        <f t="shared" ref="AA517:AA580" si="61">IF(AND(F517=H517,Z517="NO"),1+H517,H517)</f>
        <v>0</v>
      </c>
      <c r="AC517" s="2"/>
    </row>
    <row r="518" spans="1:29" ht="15.5">
      <c r="A518" s="13" t="str">
        <f>IF(OR(ISBLANK(C518),ISBLANK(D518),ISBLANK(F518),ISBLANK(G518)),"",COUNTIF($B$5:B518,"JAMBUTU"))</f>
        <v/>
      </c>
      <c r="B518" s="8" t="str">
        <f t="shared" si="55"/>
        <v/>
      </c>
      <c r="C518" s="8"/>
      <c r="D518" s="8"/>
      <c r="E518" s="13"/>
      <c r="F518" s="12"/>
      <c r="G518" s="11"/>
      <c r="H518" s="12"/>
      <c r="I518" s="11"/>
      <c r="J518" s="10">
        <f t="shared" si="56"/>
        <v>0</v>
      </c>
      <c r="K518" s="10">
        <f t="shared" si="57"/>
        <v>0</v>
      </c>
      <c r="L518" s="9" t="str">
        <f t="shared" si="58"/>
        <v/>
      </c>
      <c r="M518" s="8"/>
      <c r="N518" s="8"/>
      <c r="O518" s="8"/>
      <c r="P518" s="8"/>
      <c r="Q518" s="8"/>
      <c r="R518" s="8"/>
      <c r="S518" s="8"/>
      <c r="T518" s="8"/>
      <c r="U518" s="8"/>
      <c r="V518" s="7"/>
      <c r="W518" s="6" t="str">
        <f t="array" ref="W518">IF(NOT(ISBLANK(D518)),_xludf.XLOOKUP(D518,[2]CODE!$A$4:$A$100,[2]CODE!$D$4:$D$100),"")</f>
        <v/>
      </c>
      <c r="X518" s="5" t="str">
        <f t="array" ref="X518">IF(NOT(AND(ISBLANK(D518),ISBLANK(C518))),_xludf.XLOOKUP(D518,[2]CODE!$A$4:$A$100,[2]CODE!$E$4:$E$100),"")</f>
        <v/>
      </c>
      <c r="Y518" s="5" t="str">
        <f t="shared" si="59"/>
        <v/>
      </c>
      <c r="Z518" s="5" t="str">
        <f t="shared" si="60"/>
        <v/>
      </c>
      <c r="AA518" s="4">
        <f t="shared" si="61"/>
        <v>0</v>
      </c>
      <c r="AC518" s="2"/>
    </row>
    <row r="519" spans="1:29" ht="15.5">
      <c r="A519" s="13" t="str">
        <f>IF(OR(ISBLANK(C519),ISBLANK(D519),ISBLANK(F519),ISBLANK(G519)),"",COUNTIF($B$5:B519,"JAMBUTU"))</f>
        <v/>
      </c>
      <c r="B519" s="8" t="str">
        <f t="shared" si="55"/>
        <v/>
      </c>
      <c r="C519" s="8"/>
      <c r="D519" s="8"/>
      <c r="E519" s="13"/>
      <c r="F519" s="12"/>
      <c r="G519" s="11"/>
      <c r="H519" s="12"/>
      <c r="I519" s="11"/>
      <c r="J519" s="10">
        <f t="shared" si="56"/>
        <v>0</v>
      </c>
      <c r="K519" s="10">
        <f t="shared" si="57"/>
        <v>0</v>
      </c>
      <c r="L519" s="9" t="str">
        <f t="shared" si="58"/>
        <v/>
      </c>
      <c r="M519" s="8"/>
      <c r="N519" s="8"/>
      <c r="O519" s="8"/>
      <c r="P519" s="8"/>
      <c r="Q519" s="8"/>
      <c r="R519" s="8"/>
      <c r="S519" s="8"/>
      <c r="T519" s="8"/>
      <c r="U519" s="8"/>
      <c r="V519" s="7"/>
      <c r="W519" s="6" t="str">
        <f t="array" ref="W519">IF(NOT(ISBLANK(D519)),_xludf.XLOOKUP(D519,[2]CODE!$A$4:$A$100,[2]CODE!$D$4:$D$100),"")</f>
        <v/>
      </c>
      <c r="X519" s="5" t="str">
        <f t="array" ref="X519">IF(NOT(AND(ISBLANK(D519),ISBLANK(C519))),_xludf.XLOOKUP(D519,[2]CODE!$A$4:$A$100,[2]CODE!$E$4:$E$100),"")</f>
        <v/>
      </c>
      <c r="Y519" s="5" t="str">
        <f t="shared" si="59"/>
        <v/>
      </c>
      <c r="Z519" s="5" t="str">
        <f t="shared" si="60"/>
        <v/>
      </c>
      <c r="AA519" s="4">
        <f t="shared" si="61"/>
        <v>0</v>
      </c>
      <c r="AC519" s="2"/>
    </row>
    <row r="520" spans="1:29" ht="15.5">
      <c r="A520" s="13" t="str">
        <f>IF(OR(ISBLANK(C520),ISBLANK(D520),ISBLANK(F520),ISBLANK(G520)),"",COUNTIF($B$5:B520,"JAMBUTU"))</f>
        <v/>
      </c>
      <c r="B520" s="8" t="str">
        <f t="shared" si="55"/>
        <v/>
      </c>
      <c r="C520" s="8"/>
      <c r="D520" s="8"/>
      <c r="E520" s="13"/>
      <c r="F520" s="12"/>
      <c r="G520" s="11"/>
      <c r="H520" s="12"/>
      <c r="I520" s="11"/>
      <c r="J520" s="10">
        <f t="shared" si="56"/>
        <v>0</v>
      </c>
      <c r="K520" s="10">
        <f t="shared" si="57"/>
        <v>0</v>
      </c>
      <c r="L520" s="9" t="str">
        <f t="shared" si="58"/>
        <v/>
      </c>
      <c r="M520" s="8"/>
      <c r="N520" s="8"/>
      <c r="O520" s="8"/>
      <c r="P520" s="8"/>
      <c r="Q520" s="8"/>
      <c r="R520" s="8"/>
      <c r="S520" s="8"/>
      <c r="T520" s="8"/>
      <c r="U520" s="8"/>
      <c r="V520" s="7"/>
      <c r="W520" s="6" t="str">
        <f t="array" ref="W520">IF(NOT(ISBLANK(D520)),_xludf.XLOOKUP(D520,[2]CODE!$A$4:$A$100,[2]CODE!$D$4:$D$100),"")</f>
        <v/>
      </c>
      <c r="X520" s="5" t="str">
        <f t="array" ref="X520">IF(NOT(AND(ISBLANK(D520),ISBLANK(C520))),_xludf.XLOOKUP(D520,[2]CODE!$A$4:$A$100,[2]CODE!$E$4:$E$100),"")</f>
        <v/>
      </c>
      <c r="Y520" s="5" t="str">
        <f t="shared" si="59"/>
        <v/>
      </c>
      <c r="Z520" s="5" t="str">
        <f t="shared" si="60"/>
        <v/>
      </c>
      <c r="AA520" s="4">
        <f t="shared" si="61"/>
        <v>0</v>
      </c>
      <c r="AC520" s="2"/>
    </row>
    <row r="521" spans="1:29" ht="15.5">
      <c r="A521" s="13" t="str">
        <f>IF(OR(ISBLANK(C521),ISBLANK(D521),ISBLANK(F521),ISBLANK(G521)),"",COUNTIF($B$5:B521,"JAMBUTU"))</f>
        <v/>
      </c>
      <c r="B521" s="8" t="str">
        <f t="shared" si="55"/>
        <v/>
      </c>
      <c r="C521" s="8"/>
      <c r="D521" s="8"/>
      <c r="E521" s="13"/>
      <c r="F521" s="12"/>
      <c r="G521" s="11"/>
      <c r="H521" s="12"/>
      <c r="I521" s="11"/>
      <c r="J521" s="10">
        <f t="shared" si="56"/>
        <v>0</v>
      </c>
      <c r="K521" s="10">
        <f t="shared" si="57"/>
        <v>0</v>
      </c>
      <c r="L521" s="9" t="str">
        <f t="shared" si="58"/>
        <v/>
      </c>
      <c r="M521" s="8"/>
      <c r="N521" s="8"/>
      <c r="O521" s="8"/>
      <c r="P521" s="8"/>
      <c r="Q521" s="8"/>
      <c r="R521" s="8"/>
      <c r="S521" s="8"/>
      <c r="T521" s="8"/>
      <c r="U521" s="8"/>
      <c r="V521" s="7"/>
      <c r="W521" s="6" t="str">
        <f t="array" ref="W521">IF(NOT(ISBLANK(D521)),_xludf.XLOOKUP(D521,[2]CODE!$A$4:$A$100,[2]CODE!$D$4:$D$100),"")</f>
        <v/>
      </c>
      <c r="X521" s="5" t="str">
        <f t="array" ref="X521">IF(NOT(AND(ISBLANK(D521),ISBLANK(C521))),_xludf.XLOOKUP(D521,[2]CODE!$A$4:$A$100,[2]CODE!$E$4:$E$100),"")</f>
        <v/>
      </c>
      <c r="Y521" s="5" t="str">
        <f t="shared" si="59"/>
        <v/>
      </c>
      <c r="Z521" s="5" t="str">
        <f t="shared" si="60"/>
        <v/>
      </c>
      <c r="AA521" s="4">
        <f t="shared" si="61"/>
        <v>0</v>
      </c>
      <c r="AC521" s="2"/>
    </row>
    <row r="522" spans="1:29" ht="15.5">
      <c r="A522" s="13" t="str">
        <f>IF(OR(ISBLANK(C522),ISBLANK(D522),ISBLANK(F522),ISBLANK(G522)),"",COUNTIF($B$5:B522,"JAMBUTU"))</f>
        <v/>
      </c>
      <c r="B522" s="8" t="str">
        <f t="shared" si="55"/>
        <v/>
      </c>
      <c r="C522" s="8"/>
      <c r="D522" s="8"/>
      <c r="E522" s="13"/>
      <c r="F522" s="12"/>
      <c r="G522" s="11"/>
      <c r="H522" s="12"/>
      <c r="I522" s="11"/>
      <c r="J522" s="10">
        <f t="shared" si="56"/>
        <v>0</v>
      </c>
      <c r="K522" s="10">
        <f t="shared" si="57"/>
        <v>0</v>
      </c>
      <c r="L522" s="9" t="str">
        <f t="shared" si="58"/>
        <v/>
      </c>
      <c r="M522" s="8"/>
      <c r="N522" s="8"/>
      <c r="O522" s="8"/>
      <c r="P522" s="8"/>
      <c r="Q522" s="8"/>
      <c r="R522" s="8"/>
      <c r="S522" s="8"/>
      <c r="T522" s="8"/>
      <c r="U522" s="8"/>
      <c r="V522" s="7"/>
      <c r="W522" s="6" t="str">
        <f t="array" ref="W522">IF(NOT(ISBLANK(D522)),_xludf.XLOOKUP(D522,[2]CODE!$A$4:$A$100,[2]CODE!$D$4:$D$100),"")</f>
        <v/>
      </c>
      <c r="X522" s="5" t="str">
        <f t="array" ref="X522">IF(NOT(AND(ISBLANK(D522),ISBLANK(C522))),_xludf.XLOOKUP(D522,[2]CODE!$A$4:$A$100,[2]CODE!$E$4:$E$100),"")</f>
        <v/>
      </c>
      <c r="Y522" s="5" t="str">
        <f t="shared" si="59"/>
        <v/>
      </c>
      <c r="Z522" s="5" t="str">
        <f t="shared" si="60"/>
        <v/>
      </c>
      <c r="AA522" s="4">
        <f t="shared" si="61"/>
        <v>0</v>
      </c>
      <c r="AC522" s="2"/>
    </row>
    <row r="523" spans="1:29" ht="15.5">
      <c r="A523" s="13" t="str">
        <f>IF(OR(ISBLANK(C523),ISBLANK(D523),ISBLANK(F523),ISBLANK(G523)),"",COUNTIF($B$5:B523,"JAMBUTU"))</f>
        <v/>
      </c>
      <c r="B523" s="8" t="str">
        <f t="shared" si="55"/>
        <v/>
      </c>
      <c r="C523" s="8"/>
      <c r="D523" s="8"/>
      <c r="E523" s="13"/>
      <c r="F523" s="12"/>
      <c r="G523" s="11"/>
      <c r="H523" s="12"/>
      <c r="I523" s="11"/>
      <c r="J523" s="10">
        <f t="shared" si="56"/>
        <v>0</v>
      </c>
      <c r="K523" s="10">
        <f t="shared" si="57"/>
        <v>0</v>
      </c>
      <c r="L523" s="9" t="str">
        <f t="shared" si="58"/>
        <v/>
      </c>
      <c r="M523" s="8"/>
      <c r="N523" s="8"/>
      <c r="O523" s="8"/>
      <c r="P523" s="8"/>
      <c r="Q523" s="8"/>
      <c r="R523" s="8"/>
      <c r="S523" s="8"/>
      <c r="T523" s="8"/>
      <c r="U523" s="8"/>
      <c r="V523" s="7"/>
      <c r="W523" s="6" t="str">
        <f t="array" ref="W523">IF(NOT(ISBLANK(D523)),_xludf.XLOOKUP(D523,[2]CODE!$A$4:$A$100,[2]CODE!$D$4:$D$100),"")</f>
        <v/>
      </c>
      <c r="X523" s="5" t="str">
        <f t="array" ref="X523">IF(NOT(AND(ISBLANK(D523),ISBLANK(C523))),_xludf.XLOOKUP(D523,[2]CODE!$A$4:$A$100,[2]CODE!$E$4:$E$100),"")</f>
        <v/>
      </c>
      <c r="Y523" s="5" t="str">
        <f t="shared" si="59"/>
        <v/>
      </c>
      <c r="Z523" s="5" t="str">
        <f t="shared" si="60"/>
        <v/>
      </c>
      <c r="AA523" s="4">
        <f t="shared" si="61"/>
        <v>0</v>
      </c>
      <c r="AC523" s="2"/>
    </row>
    <row r="524" spans="1:29" ht="15.5">
      <c r="A524" s="13" t="str">
        <f>IF(OR(ISBLANK(C524),ISBLANK(D524),ISBLANK(F524),ISBLANK(G524)),"",COUNTIF($B$5:B524,"JAMBUTU"))</f>
        <v/>
      </c>
      <c r="B524" s="8" t="str">
        <f t="shared" si="55"/>
        <v/>
      </c>
      <c r="C524" s="8"/>
      <c r="D524" s="8"/>
      <c r="E524" s="13"/>
      <c r="F524" s="12"/>
      <c r="G524" s="11"/>
      <c r="H524" s="12"/>
      <c r="I524" s="11"/>
      <c r="J524" s="10">
        <f t="shared" si="56"/>
        <v>0</v>
      </c>
      <c r="K524" s="10">
        <f t="shared" si="57"/>
        <v>0</v>
      </c>
      <c r="L524" s="9" t="str">
        <f t="shared" si="58"/>
        <v/>
      </c>
      <c r="M524" s="8"/>
      <c r="N524" s="8"/>
      <c r="O524" s="8"/>
      <c r="P524" s="8"/>
      <c r="Q524" s="8"/>
      <c r="R524" s="8"/>
      <c r="S524" s="8"/>
      <c r="T524" s="8"/>
      <c r="U524" s="8"/>
      <c r="V524" s="7"/>
      <c r="W524" s="6" t="str">
        <f t="array" ref="W524">IF(NOT(ISBLANK(D524)),_xludf.XLOOKUP(D524,[2]CODE!$A$4:$A$100,[2]CODE!$D$4:$D$100),"")</f>
        <v/>
      </c>
      <c r="X524" s="5" t="str">
        <f t="array" ref="X524">IF(NOT(AND(ISBLANK(D524),ISBLANK(C524))),_xludf.XLOOKUP(D524,[2]CODE!$A$4:$A$100,[2]CODE!$E$4:$E$100),"")</f>
        <v/>
      </c>
      <c r="Y524" s="5" t="str">
        <f t="shared" si="59"/>
        <v/>
      </c>
      <c r="Z524" s="5" t="str">
        <f t="shared" si="60"/>
        <v/>
      </c>
      <c r="AA524" s="4">
        <f t="shared" si="61"/>
        <v>0</v>
      </c>
      <c r="AC524" s="2"/>
    </row>
    <row r="525" spans="1:29" ht="15.5">
      <c r="A525" s="13" t="str">
        <f>IF(OR(ISBLANK(C525),ISBLANK(D525),ISBLANK(F525),ISBLANK(G525)),"",COUNTIF($B$5:B525,"JAMBUTU"))</f>
        <v/>
      </c>
      <c r="B525" s="8" t="str">
        <f t="shared" si="55"/>
        <v/>
      </c>
      <c r="C525" s="8"/>
      <c r="D525" s="8"/>
      <c r="E525" s="13"/>
      <c r="F525" s="12"/>
      <c r="G525" s="11"/>
      <c r="H525" s="12"/>
      <c r="I525" s="11"/>
      <c r="J525" s="10">
        <f t="shared" si="56"/>
        <v>0</v>
      </c>
      <c r="K525" s="10">
        <f t="shared" si="57"/>
        <v>0</v>
      </c>
      <c r="L525" s="9" t="str">
        <f t="shared" si="58"/>
        <v/>
      </c>
      <c r="M525" s="8"/>
      <c r="N525" s="8"/>
      <c r="O525" s="8"/>
      <c r="P525" s="8"/>
      <c r="Q525" s="8"/>
      <c r="R525" s="8"/>
      <c r="S525" s="8"/>
      <c r="T525" s="8"/>
      <c r="U525" s="8"/>
      <c r="V525" s="7"/>
      <c r="W525" s="6" t="str">
        <f t="array" ref="W525">IF(NOT(ISBLANK(D525)),_xludf.XLOOKUP(D525,[2]CODE!$A$4:$A$100,[2]CODE!$D$4:$D$100),"")</f>
        <v/>
      </c>
      <c r="X525" s="5" t="str">
        <f t="array" ref="X525">IF(NOT(AND(ISBLANK(D525),ISBLANK(C525))),_xludf.XLOOKUP(D525,[2]CODE!$A$4:$A$100,[2]CODE!$E$4:$E$100),"")</f>
        <v/>
      </c>
      <c r="Y525" s="5" t="str">
        <f t="shared" si="59"/>
        <v/>
      </c>
      <c r="Z525" s="5" t="str">
        <f t="shared" si="60"/>
        <v/>
      </c>
      <c r="AA525" s="4">
        <f t="shared" si="61"/>
        <v>0</v>
      </c>
      <c r="AC525" s="2"/>
    </row>
    <row r="526" spans="1:29" ht="15.5">
      <c r="A526" s="13" t="str">
        <f>IF(OR(ISBLANK(C526),ISBLANK(D526),ISBLANK(F526),ISBLANK(G526)),"",COUNTIF($B$5:B526,"JAMBUTU"))</f>
        <v/>
      </c>
      <c r="B526" s="8" t="str">
        <f t="shared" si="55"/>
        <v/>
      </c>
      <c r="C526" s="8"/>
      <c r="D526" s="8"/>
      <c r="E526" s="13"/>
      <c r="F526" s="12"/>
      <c r="G526" s="11"/>
      <c r="H526" s="12"/>
      <c r="I526" s="15"/>
      <c r="J526" s="10">
        <f t="shared" si="56"/>
        <v>0</v>
      </c>
      <c r="K526" s="10">
        <f t="shared" si="57"/>
        <v>0</v>
      </c>
      <c r="L526" s="9" t="str">
        <f t="shared" si="58"/>
        <v/>
      </c>
      <c r="M526" s="8"/>
      <c r="N526" s="8"/>
      <c r="O526" s="8"/>
      <c r="P526" s="8"/>
      <c r="Q526" s="8"/>
      <c r="R526" s="8"/>
      <c r="S526" s="8"/>
      <c r="T526" s="8"/>
      <c r="U526" s="8"/>
      <c r="V526" s="7"/>
      <c r="W526" s="6" t="str">
        <f t="array" ref="W526">IF(NOT(ISBLANK(D526)),_xludf.XLOOKUP(D526,[2]CODE!$A$4:$A$100,[2]CODE!$D$4:$D$100),"")</f>
        <v/>
      </c>
      <c r="X526" s="5" t="str">
        <f t="array" ref="X526">IF(NOT(AND(ISBLANK(D526),ISBLANK(C526))),_xludf.XLOOKUP(D526,[2]CODE!$A$4:$A$100,[2]CODE!$E$4:$E$100),"")</f>
        <v/>
      </c>
      <c r="Y526" s="5" t="str">
        <f t="shared" si="59"/>
        <v/>
      </c>
      <c r="Z526" s="5" t="str">
        <f t="shared" si="60"/>
        <v/>
      </c>
      <c r="AA526" s="4">
        <f t="shared" si="61"/>
        <v>0</v>
      </c>
      <c r="AC526" s="2"/>
    </row>
    <row r="527" spans="1:29" ht="15.5">
      <c r="A527" s="13" t="str">
        <f>IF(OR(ISBLANK(C527),ISBLANK(D527),ISBLANK(F527),ISBLANK(G527)),"",COUNTIF($B$5:B527,"JAMBUTU"))</f>
        <v/>
      </c>
      <c r="B527" s="8" t="str">
        <f t="shared" si="55"/>
        <v/>
      </c>
      <c r="C527" s="8"/>
      <c r="D527" s="8"/>
      <c r="E527" s="13"/>
      <c r="F527" s="12"/>
      <c r="G527" s="11"/>
      <c r="H527" s="12"/>
      <c r="I527" s="15"/>
      <c r="J527" s="10">
        <f t="shared" si="56"/>
        <v>0</v>
      </c>
      <c r="K527" s="10">
        <f t="shared" si="57"/>
        <v>0</v>
      </c>
      <c r="L527" s="9" t="str">
        <f t="shared" si="58"/>
        <v/>
      </c>
      <c r="M527" s="8"/>
      <c r="N527" s="8"/>
      <c r="O527" s="8"/>
      <c r="P527" s="8"/>
      <c r="Q527" s="8"/>
      <c r="R527" s="8"/>
      <c r="S527" s="8"/>
      <c r="T527" s="8"/>
      <c r="U527" s="8"/>
      <c r="V527" s="7"/>
      <c r="W527" s="6" t="str">
        <f t="array" ref="W527">IF(NOT(ISBLANK(D527)),_xludf.XLOOKUP(D527,[2]CODE!$A$4:$A$100,[2]CODE!$D$4:$D$100),"")</f>
        <v/>
      </c>
      <c r="X527" s="5" t="str">
        <f t="array" ref="X527">IF(NOT(AND(ISBLANK(D527),ISBLANK(C527))),_xludf.XLOOKUP(D527,[2]CODE!$A$4:$A$100,[2]CODE!$E$4:$E$100),"")</f>
        <v/>
      </c>
      <c r="Y527" s="5" t="str">
        <f t="shared" si="59"/>
        <v/>
      </c>
      <c r="Z527" s="5" t="str">
        <f t="shared" si="60"/>
        <v/>
      </c>
      <c r="AA527" s="4">
        <f t="shared" si="61"/>
        <v>0</v>
      </c>
      <c r="AC527" s="2"/>
    </row>
    <row r="528" spans="1:29" ht="15.5">
      <c r="A528" s="13" t="str">
        <f>IF(OR(ISBLANK(C528),ISBLANK(D528),ISBLANK(F528),ISBLANK(G528)),"",COUNTIF($B$5:B528,"JAMBUTU"))</f>
        <v/>
      </c>
      <c r="B528" s="8" t="str">
        <f t="shared" si="55"/>
        <v/>
      </c>
      <c r="C528" s="8"/>
      <c r="D528" s="8"/>
      <c r="E528" s="13"/>
      <c r="F528" s="12"/>
      <c r="G528" s="11"/>
      <c r="H528" s="12"/>
      <c r="I528" s="15"/>
      <c r="J528" s="10">
        <f t="shared" si="56"/>
        <v>0</v>
      </c>
      <c r="K528" s="10">
        <f t="shared" si="57"/>
        <v>0</v>
      </c>
      <c r="L528" s="9" t="str">
        <f t="shared" si="58"/>
        <v/>
      </c>
      <c r="M528" s="8"/>
      <c r="N528" s="8"/>
      <c r="O528" s="8"/>
      <c r="P528" s="8"/>
      <c r="Q528" s="8"/>
      <c r="R528" s="8"/>
      <c r="S528" s="8"/>
      <c r="T528" s="8"/>
      <c r="U528" s="8"/>
      <c r="V528" s="7"/>
      <c r="W528" s="6" t="str">
        <f t="array" ref="W528">IF(NOT(ISBLANK(D528)),_xludf.XLOOKUP(D528,[2]CODE!$A$4:$A$100,[2]CODE!$D$4:$D$100),"")</f>
        <v/>
      </c>
      <c r="X528" s="5" t="str">
        <f t="array" ref="X528">IF(NOT(AND(ISBLANK(D528),ISBLANK(C528))),_xludf.XLOOKUP(D528,[2]CODE!$A$4:$A$100,[2]CODE!$E$4:$E$100),"")</f>
        <v/>
      </c>
      <c r="Y528" s="5" t="str">
        <f t="shared" si="59"/>
        <v/>
      </c>
      <c r="Z528" s="5" t="str">
        <f t="shared" si="60"/>
        <v/>
      </c>
      <c r="AA528" s="4">
        <f t="shared" si="61"/>
        <v>0</v>
      </c>
      <c r="AC528" s="2"/>
    </row>
    <row r="529" spans="1:29" ht="15.5">
      <c r="A529" s="13" t="str">
        <f>IF(OR(ISBLANK(C529),ISBLANK(D529),ISBLANK(F529),ISBLANK(G529)),"",COUNTIF($B$5:B529,"JAMBUTU"))</f>
        <v/>
      </c>
      <c r="B529" s="8" t="str">
        <f t="shared" si="55"/>
        <v/>
      </c>
      <c r="C529" s="8"/>
      <c r="D529" s="8"/>
      <c r="E529" s="13"/>
      <c r="F529" s="12"/>
      <c r="G529" s="11"/>
      <c r="H529" s="12"/>
      <c r="I529" s="15"/>
      <c r="J529" s="10">
        <f t="shared" si="56"/>
        <v>0</v>
      </c>
      <c r="K529" s="10">
        <f t="shared" si="57"/>
        <v>0</v>
      </c>
      <c r="L529" s="9" t="str">
        <f t="shared" si="58"/>
        <v/>
      </c>
      <c r="M529" s="8"/>
      <c r="N529" s="8"/>
      <c r="O529" s="8"/>
      <c r="P529" s="8"/>
      <c r="Q529" s="8"/>
      <c r="R529" s="8"/>
      <c r="S529" s="8"/>
      <c r="T529" s="8"/>
      <c r="U529" s="8"/>
      <c r="V529" s="7"/>
      <c r="W529" s="6" t="str">
        <f t="array" ref="W529">IF(NOT(ISBLANK(D529)),_xludf.XLOOKUP(D529,[2]CODE!$A$4:$A$100,[2]CODE!$D$4:$D$100),"")</f>
        <v/>
      </c>
      <c r="X529" s="5" t="str">
        <f t="array" ref="X529">IF(NOT(AND(ISBLANK(D529),ISBLANK(C529))),_xludf.XLOOKUP(D529,[2]CODE!$A$4:$A$100,[2]CODE!$E$4:$E$100),"")</f>
        <v/>
      </c>
      <c r="Y529" s="5" t="str">
        <f t="shared" si="59"/>
        <v/>
      </c>
      <c r="Z529" s="5" t="str">
        <f t="shared" si="60"/>
        <v/>
      </c>
      <c r="AA529" s="4">
        <f t="shared" si="61"/>
        <v>0</v>
      </c>
      <c r="AC529" s="2"/>
    </row>
    <row r="530" spans="1:29" ht="15.5">
      <c r="A530" s="13" t="str">
        <f>IF(OR(ISBLANK(C530),ISBLANK(D530),ISBLANK(F530),ISBLANK(G530)),"",COUNTIF($B$5:B530,"JAMBUTU"))</f>
        <v/>
      </c>
      <c r="B530" s="8" t="str">
        <f t="shared" si="55"/>
        <v/>
      </c>
      <c r="C530" s="8"/>
      <c r="D530" s="8"/>
      <c r="E530" s="13"/>
      <c r="F530" s="12"/>
      <c r="G530" s="15"/>
      <c r="H530" s="12"/>
      <c r="I530" s="11"/>
      <c r="J530" s="10">
        <f t="shared" si="56"/>
        <v>0</v>
      </c>
      <c r="K530" s="10">
        <f t="shared" si="57"/>
        <v>0</v>
      </c>
      <c r="L530" s="9" t="str">
        <f t="shared" si="58"/>
        <v/>
      </c>
      <c r="M530" s="8"/>
      <c r="N530" s="8"/>
      <c r="O530" s="8"/>
      <c r="P530" s="8"/>
      <c r="Q530" s="8"/>
      <c r="R530" s="8"/>
      <c r="S530" s="8"/>
      <c r="T530" s="8"/>
      <c r="U530" s="8"/>
      <c r="V530" s="7"/>
      <c r="W530" s="6" t="str">
        <f t="array" ref="W530">IF(NOT(ISBLANK(D530)),_xludf.XLOOKUP(D530,[2]CODE!$A$4:$A$100,[2]CODE!$D$4:$D$100),"")</f>
        <v/>
      </c>
      <c r="X530" s="5" t="str">
        <f t="array" ref="X530">IF(NOT(AND(ISBLANK(D530),ISBLANK(C530))),_xludf.XLOOKUP(D530,[2]CODE!$A$4:$A$100,[2]CODE!$E$4:$E$100),"")</f>
        <v/>
      </c>
      <c r="Y530" s="5" t="str">
        <f t="shared" si="59"/>
        <v/>
      </c>
      <c r="Z530" s="5" t="str">
        <f t="shared" si="60"/>
        <v/>
      </c>
      <c r="AA530" s="4">
        <f t="shared" si="61"/>
        <v>0</v>
      </c>
      <c r="AC530" s="2"/>
    </row>
    <row r="531" spans="1:29" ht="15.5">
      <c r="A531" s="13" t="str">
        <f>IF(OR(ISBLANK(C531),ISBLANK(D531),ISBLANK(F531),ISBLANK(G531)),"",COUNTIF($B$5:B531,"JAMBUTU"))</f>
        <v/>
      </c>
      <c r="B531" s="8" t="str">
        <f t="shared" ref="B531:B594" si="62">IF(C531&lt;&gt;"","Jambutu","")</f>
        <v/>
      </c>
      <c r="C531" s="8"/>
      <c r="D531" s="8"/>
      <c r="E531" s="13"/>
      <c r="F531" s="12"/>
      <c r="G531" s="15"/>
      <c r="H531" s="12"/>
      <c r="I531" s="11"/>
      <c r="J531" s="10">
        <f t="shared" si="56"/>
        <v>0</v>
      </c>
      <c r="K531" s="10">
        <f t="shared" si="57"/>
        <v>0</v>
      </c>
      <c r="L531" s="9" t="str">
        <f t="shared" si="58"/>
        <v/>
      </c>
      <c r="M531" s="8"/>
      <c r="N531" s="8"/>
      <c r="O531" s="8"/>
      <c r="P531" s="8"/>
      <c r="Q531" s="8"/>
      <c r="R531" s="8"/>
      <c r="S531" s="8"/>
      <c r="T531" s="8"/>
      <c r="U531" s="8"/>
      <c r="V531" s="7"/>
      <c r="W531" s="6" t="str">
        <f t="array" ref="W531">IF(NOT(ISBLANK(D531)),_xludf.XLOOKUP(D531,[2]CODE!$A$4:$A$100,[2]CODE!$D$4:$D$100),"")</f>
        <v/>
      </c>
      <c r="X531" s="5" t="str">
        <f t="array" ref="X531">IF(NOT(AND(ISBLANK(D531),ISBLANK(C531))),_xludf.XLOOKUP(D531,[2]CODE!$A$4:$A$100,[2]CODE!$E$4:$E$100),"")</f>
        <v/>
      </c>
      <c r="Y531" s="5" t="str">
        <f t="shared" si="59"/>
        <v/>
      </c>
      <c r="Z531" s="5" t="str">
        <f t="shared" si="60"/>
        <v/>
      </c>
      <c r="AA531" s="4">
        <f t="shared" si="61"/>
        <v>0</v>
      </c>
      <c r="AC531" s="2"/>
    </row>
    <row r="532" spans="1:29" ht="15.5">
      <c r="A532" s="13" t="str">
        <f>IF(OR(ISBLANK(C532),ISBLANK(D532),ISBLANK(F532),ISBLANK(G532)),"",COUNTIF($B$5:B532,"JAMBUTU"))</f>
        <v/>
      </c>
      <c r="B532" s="8" t="str">
        <f t="shared" si="62"/>
        <v/>
      </c>
      <c r="C532" s="8"/>
      <c r="D532" s="8"/>
      <c r="E532" s="13"/>
      <c r="F532" s="12"/>
      <c r="G532" s="15"/>
      <c r="H532" s="12"/>
      <c r="I532" s="15"/>
      <c r="J532" s="10">
        <f t="shared" si="56"/>
        <v>0</v>
      </c>
      <c r="K532" s="10">
        <f t="shared" si="57"/>
        <v>0</v>
      </c>
      <c r="L532" s="9" t="str">
        <f t="shared" si="58"/>
        <v/>
      </c>
      <c r="M532" s="8"/>
      <c r="N532" s="8"/>
      <c r="O532" s="8"/>
      <c r="P532" s="8"/>
      <c r="Q532" s="8"/>
      <c r="R532" s="8"/>
      <c r="S532" s="8"/>
      <c r="T532" s="8"/>
      <c r="U532" s="8"/>
      <c r="V532" s="7"/>
      <c r="W532" s="6" t="str">
        <f t="array" ref="W532">IF(NOT(ISBLANK(D532)),_xludf.XLOOKUP(D532,[2]CODE!$A$4:$A$100,[2]CODE!$D$4:$D$100),"")</f>
        <v/>
      </c>
      <c r="X532" s="5" t="str">
        <f t="array" ref="X532">IF(NOT(AND(ISBLANK(D532),ISBLANK(C532))),_xludf.XLOOKUP(D532,[2]CODE!$A$4:$A$100,[2]CODE!$E$4:$E$100),"")</f>
        <v/>
      </c>
      <c r="Y532" s="5" t="str">
        <f t="shared" si="59"/>
        <v/>
      </c>
      <c r="Z532" s="5" t="str">
        <f t="shared" si="60"/>
        <v/>
      </c>
      <c r="AA532" s="4">
        <f t="shared" si="61"/>
        <v>0</v>
      </c>
      <c r="AC532" s="2"/>
    </row>
    <row r="533" spans="1:29" ht="15.5">
      <c r="A533" s="13" t="str">
        <f>IF(OR(ISBLANK(C533),ISBLANK(D533),ISBLANK(F533),ISBLANK(G533)),"",COUNTIF($B$5:B533,"JAMBUTU"))</f>
        <v/>
      </c>
      <c r="B533" s="8" t="str">
        <f t="shared" si="62"/>
        <v/>
      </c>
      <c r="C533" s="8"/>
      <c r="D533" s="8"/>
      <c r="E533" s="13"/>
      <c r="F533" s="12"/>
      <c r="G533" s="11"/>
      <c r="H533" s="12"/>
      <c r="I533" s="15"/>
      <c r="J533" s="10">
        <f t="shared" si="56"/>
        <v>0</v>
      </c>
      <c r="K533" s="10">
        <f t="shared" si="57"/>
        <v>0</v>
      </c>
      <c r="L533" s="9" t="str">
        <f t="shared" si="58"/>
        <v/>
      </c>
      <c r="M533" s="8"/>
      <c r="N533" s="8"/>
      <c r="O533" s="8"/>
      <c r="P533" s="8"/>
      <c r="Q533" s="8"/>
      <c r="R533" s="8"/>
      <c r="S533" s="8"/>
      <c r="T533" s="8"/>
      <c r="U533" s="8"/>
      <c r="V533" s="7"/>
      <c r="W533" s="6" t="str">
        <f t="array" ref="W533">IF(NOT(ISBLANK(D533)),_xludf.XLOOKUP(D533,[2]CODE!$A$4:$A$100,[2]CODE!$D$4:$D$100),"")</f>
        <v/>
      </c>
      <c r="X533" s="5" t="str">
        <f t="array" ref="X533">IF(NOT(AND(ISBLANK(D533),ISBLANK(C533))),_xludf.XLOOKUP(D533,[2]CODE!$A$4:$A$100,[2]CODE!$E$4:$E$100),"")</f>
        <v/>
      </c>
      <c r="Y533" s="5" t="str">
        <f t="shared" si="59"/>
        <v/>
      </c>
      <c r="Z533" s="5" t="str">
        <f t="shared" si="60"/>
        <v/>
      </c>
      <c r="AA533" s="4">
        <f t="shared" si="61"/>
        <v>0</v>
      </c>
      <c r="AC533" s="2"/>
    </row>
    <row r="534" spans="1:29" ht="15.5">
      <c r="A534" s="13" t="str">
        <f>IF(OR(ISBLANK(C534),ISBLANK(D534),ISBLANK(F534),ISBLANK(G534)),"",COUNTIF($B$5:B534,"JAMBUTU"))</f>
        <v/>
      </c>
      <c r="B534" s="8" t="str">
        <f t="shared" si="62"/>
        <v/>
      </c>
      <c r="C534" s="8"/>
      <c r="D534" s="8"/>
      <c r="E534" s="13"/>
      <c r="F534" s="12"/>
      <c r="G534" s="11"/>
      <c r="H534" s="12"/>
      <c r="I534" s="15"/>
      <c r="J534" s="10">
        <f t="shared" si="56"/>
        <v>0</v>
      </c>
      <c r="K534" s="10">
        <f t="shared" si="57"/>
        <v>0</v>
      </c>
      <c r="L534" s="9" t="str">
        <f t="shared" si="58"/>
        <v/>
      </c>
      <c r="M534" s="8"/>
      <c r="N534" s="8"/>
      <c r="O534" s="8"/>
      <c r="P534" s="8"/>
      <c r="Q534" s="8"/>
      <c r="R534" s="8"/>
      <c r="S534" s="8"/>
      <c r="T534" s="8"/>
      <c r="U534" s="8"/>
      <c r="V534" s="7"/>
      <c r="W534" s="6" t="str">
        <f t="array" ref="W534">IF(NOT(ISBLANK(D534)),_xludf.XLOOKUP(D534,[2]CODE!$A$4:$A$100,[2]CODE!$D$4:$D$100),"")</f>
        <v/>
      </c>
      <c r="X534" s="5" t="str">
        <f t="array" ref="X534">IF(NOT(AND(ISBLANK(D534),ISBLANK(C534))),_xludf.XLOOKUP(D534,[2]CODE!$A$4:$A$100,[2]CODE!$E$4:$E$100),"")</f>
        <v/>
      </c>
      <c r="Y534" s="5" t="str">
        <f t="shared" si="59"/>
        <v/>
      </c>
      <c r="Z534" s="5" t="str">
        <f t="shared" si="60"/>
        <v/>
      </c>
      <c r="AA534" s="4">
        <f t="shared" si="61"/>
        <v>0</v>
      </c>
      <c r="AC534" s="2"/>
    </row>
    <row r="535" spans="1:29" ht="15.5">
      <c r="A535" s="13" t="str">
        <f>IF(OR(ISBLANK(C535),ISBLANK(D535),ISBLANK(F535),ISBLANK(G535)),"",COUNTIF($B$5:B535,"JAMBUTU"))</f>
        <v/>
      </c>
      <c r="B535" s="8" t="str">
        <f t="shared" si="62"/>
        <v/>
      </c>
      <c r="C535" s="8"/>
      <c r="D535" s="8"/>
      <c r="E535" s="13"/>
      <c r="F535" s="12"/>
      <c r="G535" s="11"/>
      <c r="H535" s="12"/>
      <c r="I535" s="11"/>
      <c r="J535" s="10">
        <f t="shared" si="56"/>
        <v>0</v>
      </c>
      <c r="K535" s="10">
        <f t="shared" si="57"/>
        <v>0</v>
      </c>
      <c r="L535" s="9" t="str">
        <f t="shared" si="58"/>
        <v/>
      </c>
      <c r="M535" s="8"/>
      <c r="N535" s="8"/>
      <c r="O535" s="8"/>
      <c r="P535" s="8"/>
      <c r="Q535" s="8"/>
      <c r="R535" s="8"/>
      <c r="S535" s="8"/>
      <c r="T535" s="8"/>
      <c r="U535" s="8"/>
      <c r="V535" s="7"/>
      <c r="W535" s="6" t="str">
        <f t="array" ref="W535">IF(NOT(ISBLANK(D535)),_xludf.XLOOKUP(D535,[2]CODE!$A$4:$A$100,[2]CODE!$D$4:$D$100),"")</f>
        <v/>
      </c>
      <c r="X535" s="5" t="str">
        <f t="array" ref="X535">IF(NOT(AND(ISBLANK(D535),ISBLANK(C535))),_xludf.XLOOKUP(D535,[2]CODE!$A$4:$A$100,[2]CODE!$E$4:$E$100),"")</f>
        <v/>
      </c>
      <c r="Y535" s="5" t="str">
        <f t="shared" si="59"/>
        <v/>
      </c>
      <c r="Z535" s="5" t="str">
        <f t="shared" si="60"/>
        <v/>
      </c>
      <c r="AA535" s="4">
        <f t="shared" si="61"/>
        <v>0</v>
      </c>
      <c r="AC535" s="2"/>
    </row>
    <row r="536" spans="1:29" ht="15.5">
      <c r="A536" s="13" t="str">
        <f>IF(OR(ISBLANK(C536),ISBLANK(D536),ISBLANK(F536),ISBLANK(G536)),"",COUNTIF($B$5:B536,"JAMBUTU"))</f>
        <v/>
      </c>
      <c r="B536" s="8" t="str">
        <f t="shared" si="62"/>
        <v/>
      </c>
      <c r="C536" s="8"/>
      <c r="D536" s="8"/>
      <c r="E536" s="13"/>
      <c r="F536" s="12"/>
      <c r="G536" s="11"/>
      <c r="H536" s="12"/>
      <c r="I536" s="15"/>
      <c r="J536" s="10">
        <f t="shared" si="56"/>
        <v>0</v>
      </c>
      <c r="K536" s="10">
        <f t="shared" si="57"/>
        <v>0</v>
      </c>
      <c r="L536" s="9" t="str">
        <f t="shared" si="58"/>
        <v/>
      </c>
      <c r="M536" s="8"/>
      <c r="N536" s="8"/>
      <c r="O536" s="8"/>
      <c r="P536" s="8"/>
      <c r="Q536" s="8"/>
      <c r="R536" s="8"/>
      <c r="S536" s="8"/>
      <c r="T536" s="8"/>
      <c r="U536" s="8"/>
      <c r="V536" s="7"/>
      <c r="W536" s="6" t="str">
        <f t="array" ref="W536">IF(NOT(ISBLANK(D536)),_xludf.XLOOKUP(D536,[2]CODE!$A$4:$A$100,[2]CODE!$D$4:$D$100),"")</f>
        <v/>
      </c>
      <c r="X536" s="5" t="str">
        <f t="array" ref="X536">IF(NOT(AND(ISBLANK(D536),ISBLANK(C536))),_xludf.XLOOKUP(D536,[2]CODE!$A$4:$A$100,[2]CODE!$E$4:$E$100),"")</f>
        <v/>
      </c>
      <c r="Y536" s="5" t="str">
        <f t="shared" si="59"/>
        <v/>
      </c>
      <c r="Z536" s="5" t="str">
        <f t="shared" si="60"/>
        <v/>
      </c>
      <c r="AA536" s="4">
        <f t="shared" si="61"/>
        <v>0</v>
      </c>
      <c r="AC536" s="2"/>
    </row>
    <row r="537" spans="1:29" ht="15.5">
      <c r="A537" s="13" t="str">
        <f>IF(OR(ISBLANK(C537),ISBLANK(D537),ISBLANK(F537),ISBLANK(G537)),"",COUNTIF($B$5:B537,"JAMBUTU"))</f>
        <v/>
      </c>
      <c r="B537" s="8" t="str">
        <f t="shared" si="62"/>
        <v/>
      </c>
      <c r="C537" s="8"/>
      <c r="D537" s="8"/>
      <c r="E537" s="13"/>
      <c r="F537" s="12"/>
      <c r="G537" s="11"/>
      <c r="H537" s="12"/>
      <c r="I537" s="15"/>
      <c r="J537" s="10">
        <f t="shared" si="56"/>
        <v>0</v>
      </c>
      <c r="K537" s="10">
        <f t="shared" si="57"/>
        <v>0</v>
      </c>
      <c r="L537" s="9" t="str">
        <f t="shared" si="58"/>
        <v/>
      </c>
      <c r="M537" s="8"/>
      <c r="N537" s="8"/>
      <c r="O537" s="8"/>
      <c r="P537" s="8"/>
      <c r="Q537" s="8"/>
      <c r="R537" s="8"/>
      <c r="S537" s="8"/>
      <c r="T537" s="8"/>
      <c r="U537" s="8"/>
      <c r="V537" s="7"/>
      <c r="W537" s="6" t="str">
        <f t="array" ref="W537">IF(NOT(ISBLANK(D537)),_xludf.XLOOKUP(D537,[2]CODE!$A$4:$A$100,[2]CODE!$D$4:$D$100),"")</f>
        <v/>
      </c>
      <c r="X537" s="5" t="str">
        <f t="array" ref="X537">IF(NOT(AND(ISBLANK(D537),ISBLANK(C537))),_xludf.XLOOKUP(D537,[2]CODE!$A$4:$A$100,[2]CODE!$E$4:$E$100),"")</f>
        <v/>
      </c>
      <c r="Y537" s="5" t="str">
        <f t="shared" si="59"/>
        <v/>
      </c>
      <c r="Z537" s="5" t="str">
        <f t="shared" si="60"/>
        <v/>
      </c>
      <c r="AA537" s="4">
        <f t="shared" si="61"/>
        <v>0</v>
      </c>
      <c r="AC537" s="2"/>
    </row>
    <row r="538" spans="1:29" ht="15.5">
      <c r="A538" s="13" t="str">
        <f>IF(OR(ISBLANK(C538),ISBLANK(D538),ISBLANK(F538),ISBLANK(G538)),"",COUNTIF($B$5:B538,"JAMBUTU"))</f>
        <v/>
      </c>
      <c r="B538" s="8" t="str">
        <f t="shared" si="62"/>
        <v/>
      </c>
      <c r="C538" s="8"/>
      <c r="D538" s="8"/>
      <c r="E538" s="13"/>
      <c r="F538" s="12"/>
      <c r="G538" s="11"/>
      <c r="H538" s="12"/>
      <c r="I538" s="11"/>
      <c r="J538" s="10">
        <f t="shared" si="56"/>
        <v>0</v>
      </c>
      <c r="K538" s="10">
        <f t="shared" si="57"/>
        <v>0</v>
      </c>
      <c r="L538" s="9" t="str">
        <f t="shared" si="58"/>
        <v/>
      </c>
      <c r="M538" s="8"/>
      <c r="N538" s="8"/>
      <c r="O538" s="8"/>
      <c r="P538" s="8"/>
      <c r="Q538" s="8"/>
      <c r="R538" s="8"/>
      <c r="S538" s="8"/>
      <c r="T538" s="8"/>
      <c r="U538" s="8"/>
      <c r="V538" s="7"/>
      <c r="W538" s="6" t="str">
        <f t="array" ref="W538">IF(NOT(ISBLANK(D538)),_xludf.XLOOKUP(D538,[2]CODE!$A$4:$A$100,[2]CODE!$D$4:$D$100),"")</f>
        <v/>
      </c>
      <c r="X538" s="5" t="str">
        <f t="array" ref="X538">IF(NOT(AND(ISBLANK(D538),ISBLANK(C538))),_xludf.XLOOKUP(D538,[2]CODE!$A$4:$A$100,[2]CODE!$E$4:$E$100),"")</f>
        <v/>
      </c>
      <c r="Y538" s="5" t="str">
        <f t="shared" si="59"/>
        <v/>
      </c>
      <c r="Z538" s="5" t="str">
        <f t="shared" si="60"/>
        <v/>
      </c>
      <c r="AA538" s="4">
        <f t="shared" si="61"/>
        <v>0</v>
      </c>
      <c r="AC538" s="2"/>
    </row>
    <row r="539" spans="1:29" ht="15.5">
      <c r="A539" s="13" t="str">
        <f>IF(OR(ISBLANK(C539),ISBLANK(D539),ISBLANK(F539),ISBLANK(G539)),"",COUNTIF($B$5:B539,"JAMBUTU"))</f>
        <v/>
      </c>
      <c r="B539" s="8" t="str">
        <f t="shared" si="62"/>
        <v/>
      </c>
      <c r="C539" s="8"/>
      <c r="D539" s="8"/>
      <c r="E539" s="13"/>
      <c r="F539" s="12"/>
      <c r="G539" s="11"/>
      <c r="H539" s="12"/>
      <c r="I539" s="11"/>
      <c r="J539" s="10">
        <f t="shared" si="56"/>
        <v>0</v>
      </c>
      <c r="K539" s="10">
        <f t="shared" si="57"/>
        <v>0</v>
      </c>
      <c r="L539" s="9" t="str">
        <f t="shared" si="58"/>
        <v/>
      </c>
      <c r="M539" s="8"/>
      <c r="N539" s="8"/>
      <c r="O539" s="8"/>
      <c r="P539" s="8"/>
      <c r="Q539" s="8"/>
      <c r="R539" s="8"/>
      <c r="S539" s="8"/>
      <c r="T539" s="8"/>
      <c r="U539" s="8"/>
      <c r="V539" s="7"/>
      <c r="W539" s="6" t="str">
        <f t="array" ref="W539">IF(NOT(ISBLANK(D539)),_xludf.XLOOKUP(D539,[2]CODE!$A$4:$A$100,[2]CODE!$D$4:$D$100),"")</f>
        <v/>
      </c>
      <c r="X539" s="5" t="str">
        <f t="array" ref="X539">IF(NOT(AND(ISBLANK(D539),ISBLANK(C539))),_xludf.XLOOKUP(D539,[2]CODE!$A$4:$A$100,[2]CODE!$E$4:$E$100),"")</f>
        <v/>
      </c>
      <c r="Y539" s="5" t="str">
        <f t="shared" si="59"/>
        <v/>
      </c>
      <c r="Z539" s="5" t="str">
        <f t="shared" si="60"/>
        <v/>
      </c>
      <c r="AA539" s="4">
        <f t="shared" si="61"/>
        <v>0</v>
      </c>
      <c r="AC539" s="2"/>
    </row>
    <row r="540" spans="1:29" ht="15.5">
      <c r="A540" s="13" t="str">
        <f>IF(OR(ISBLANK(C540),ISBLANK(D540),ISBLANK(F540),ISBLANK(G540)),"",COUNTIF($B$5:B540,"JAMBUTU"))</f>
        <v/>
      </c>
      <c r="B540" s="8" t="str">
        <f t="shared" si="62"/>
        <v/>
      </c>
      <c r="C540" s="8"/>
      <c r="D540" s="8"/>
      <c r="E540" s="13"/>
      <c r="F540" s="12"/>
      <c r="G540" s="11"/>
      <c r="H540" s="12"/>
      <c r="I540" s="11"/>
      <c r="J540" s="10">
        <f t="shared" si="56"/>
        <v>0</v>
      </c>
      <c r="K540" s="10">
        <f t="shared" si="57"/>
        <v>0</v>
      </c>
      <c r="L540" s="9" t="str">
        <f t="shared" si="58"/>
        <v/>
      </c>
      <c r="M540" s="8"/>
      <c r="N540" s="8"/>
      <c r="O540" s="8"/>
      <c r="P540" s="8"/>
      <c r="Q540" s="8"/>
      <c r="R540" s="8"/>
      <c r="S540" s="8"/>
      <c r="T540" s="8"/>
      <c r="U540" s="8"/>
      <c r="V540" s="7"/>
      <c r="W540" s="6" t="str">
        <f t="array" ref="W540">IF(NOT(ISBLANK(D540)),_xludf.XLOOKUP(D540,[2]CODE!$A$4:$A$100,[2]CODE!$D$4:$D$100),"")</f>
        <v/>
      </c>
      <c r="X540" s="5" t="str">
        <f t="array" ref="X540">IF(NOT(AND(ISBLANK(D540),ISBLANK(C540))),_xludf.XLOOKUP(D540,[2]CODE!$A$4:$A$100,[2]CODE!$E$4:$E$100),"")</f>
        <v/>
      </c>
      <c r="Y540" s="5" t="str">
        <f t="shared" si="59"/>
        <v/>
      </c>
      <c r="Z540" s="5" t="str">
        <f t="shared" si="60"/>
        <v/>
      </c>
      <c r="AA540" s="4">
        <f t="shared" si="61"/>
        <v>0</v>
      </c>
      <c r="AC540" s="2"/>
    </row>
    <row r="541" spans="1:29" ht="15.5">
      <c r="A541" s="13" t="str">
        <f>IF(OR(ISBLANK(C541),ISBLANK(D541),ISBLANK(F541),ISBLANK(G541)),"",COUNTIF($B$5:B541,"JAMBUTU"))</f>
        <v/>
      </c>
      <c r="B541" s="8" t="str">
        <f t="shared" si="62"/>
        <v/>
      </c>
      <c r="C541" s="8"/>
      <c r="D541" s="8"/>
      <c r="E541" s="13"/>
      <c r="F541" s="12"/>
      <c r="G541" s="11"/>
      <c r="H541" s="12"/>
      <c r="I541" s="11"/>
      <c r="J541" s="10">
        <f t="shared" si="56"/>
        <v>0</v>
      </c>
      <c r="K541" s="10">
        <f t="shared" si="57"/>
        <v>0</v>
      </c>
      <c r="L541" s="9" t="str">
        <f t="shared" si="58"/>
        <v/>
      </c>
      <c r="M541" s="8"/>
      <c r="N541" s="8"/>
      <c r="O541" s="8"/>
      <c r="P541" s="8"/>
      <c r="Q541" s="8"/>
      <c r="R541" s="8"/>
      <c r="S541" s="8"/>
      <c r="T541" s="8"/>
      <c r="U541" s="8"/>
      <c r="V541" s="7"/>
      <c r="W541" s="6" t="str">
        <f t="array" ref="W541">IF(NOT(ISBLANK(D541)),_xludf.XLOOKUP(D541,[2]CODE!$A$4:$A$100,[2]CODE!$D$4:$D$100),"")</f>
        <v/>
      </c>
      <c r="X541" s="5" t="str">
        <f t="array" ref="X541">IF(NOT(AND(ISBLANK(D541),ISBLANK(C541))),_xludf.XLOOKUP(D541,[2]CODE!$A$4:$A$100,[2]CODE!$E$4:$E$100),"")</f>
        <v/>
      </c>
      <c r="Y541" s="5" t="str">
        <f t="shared" si="59"/>
        <v/>
      </c>
      <c r="Z541" s="5" t="str">
        <f t="shared" si="60"/>
        <v/>
      </c>
      <c r="AA541" s="4">
        <f t="shared" si="61"/>
        <v>0</v>
      </c>
      <c r="AC541" s="2"/>
    </row>
    <row r="542" spans="1:29" ht="15.5">
      <c r="A542" s="13" t="str">
        <f>IF(OR(ISBLANK(C542),ISBLANK(D542),ISBLANK(F542),ISBLANK(G542)),"",COUNTIF($B$5:B542,"JAMBUTU"))</f>
        <v/>
      </c>
      <c r="B542" s="8" t="str">
        <f t="shared" si="62"/>
        <v/>
      </c>
      <c r="C542" s="8"/>
      <c r="D542" s="8"/>
      <c r="E542" s="13"/>
      <c r="F542" s="12"/>
      <c r="G542" s="11"/>
      <c r="H542" s="12"/>
      <c r="I542" s="11"/>
      <c r="J542" s="10">
        <f t="shared" si="56"/>
        <v>0</v>
      </c>
      <c r="K542" s="10">
        <f t="shared" si="57"/>
        <v>0</v>
      </c>
      <c r="L542" s="9" t="str">
        <f t="shared" si="58"/>
        <v/>
      </c>
      <c r="M542" s="8"/>
      <c r="N542" s="8"/>
      <c r="O542" s="8"/>
      <c r="P542" s="8"/>
      <c r="Q542" s="8"/>
      <c r="R542" s="8"/>
      <c r="S542" s="8"/>
      <c r="T542" s="8"/>
      <c r="U542" s="8"/>
      <c r="V542" s="7"/>
      <c r="W542" s="6" t="str">
        <f t="array" ref="W542">IF(NOT(ISBLANK(D542)),_xludf.XLOOKUP(D542,[2]CODE!$A$4:$A$100,[2]CODE!$D$4:$D$100),"")</f>
        <v/>
      </c>
      <c r="X542" s="5" t="str">
        <f t="array" ref="X542">IF(NOT(AND(ISBLANK(D542),ISBLANK(C542))),_xludf.XLOOKUP(D542,[2]CODE!$A$4:$A$100,[2]CODE!$E$4:$E$100),"")</f>
        <v/>
      </c>
      <c r="Y542" s="5" t="str">
        <f t="shared" si="59"/>
        <v/>
      </c>
      <c r="Z542" s="5" t="str">
        <f t="shared" si="60"/>
        <v/>
      </c>
      <c r="AA542" s="4">
        <f t="shared" si="61"/>
        <v>0</v>
      </c>
      <c r="AC542" s="2"/>
    </row>
    <row r="543" spans="1:29" ht="15.5">
      <c r="A543" s="13" t="str">
        <f>IF(OR(ISBLANK(C543),ISBLANK(D543),ISBLANK(F543),ISBLANK(G543)),"",COUNTIF($B$5:B543,"JAMBUTU"))</f>
        <v/>
      </c>
      <c r="B543" s="8" t="str">
        <f t="shared" si="62"/>
        <v/>
      </c>
      <c r="C543" s="8"/>
      <c r="D543" s="8"/>
      <c r="E543" s="13"/>
      <c r="F543" s="12"/>
      <c r="G543" s="11"/>
      <c r="H543" s="12"/>
      <c r="I543" s="15"/>
      <c r="J543" s="10">
        <f t="shared" si="56"/>
        <v>0</v>
      </c>
      <c r="K543" s="10">
        <f t="shared" si="57"/>
        <v>0</v>
      </c>
      <c r="L543" s="9" t="str">
        <f t="shared" si="58"/>
        <v/>
      </c>
      <c r="M543" s="8"/>
      <c r="N543" s="8"/>
      <c r="O543" s="8"/>
      <c r="P543" s="8"/>
      <c r="Q543" s="8"/>
      <c r="R543" s="8"/>
      <c r="S543" s="8"/>
      <c r="T543" s="8"/>
      <c r="U543" s="8"/>
      <c r="V543" s="7"/>
      <c r="W543" s="6" t="str">
        <f t="array" ref="W543">IF(NOT(ISBLANK(D543)),_xludf.XLOOKUP(D543,[2]CODE!$A$4:$A$100,[2]CODE!$D$4:$D$100),"")</f>
        <v/>
      </c>
      <c r="X543" s="5" t="str">
        <f t="array" ref="X543">IF(NOT(AND(ISBLANK(D543),ISBLANK(C543))),_xludf.XLOOKUP(D543,[2]CODE!$A$4:$A$100,[2]CODE!$E$4:$E$100),"")</f>
        <v/>
      </c>
      <c r="Y543" s="5" t="str">
        <f t="shared" si="59"/>
        <v/>
      </c>
      <c r="Z543" s="5" t="str">
        <f t="shared" si="60"/>
        <v/>
      </c>
      <c r="AA543" s="4">
        <f t="shared" si="61"/>
        <v>0</v>
      </c>
      <c r="AC543" s="2"/>
    </row>
    <row r="544" spans="1:29" ht="15.5">
      <c r="A544" s="13" t="str">
        <f>IF(OR(ISBLANK(C544),ISBLANK(D544),ISBLANK(F544),ISBLANK(G544)),"",COUNTIF($B$5:B544,"JAMBUTU"))</f>
        <v/>
      </c>
      <c r="B544" s="8" t="str">
        <f t="shared" si="62"/>
        <v/>
      </c>
      <c r="C544" s="8"/>
      <c r="D544" s="8"/>
      <c r="E544" s="13"/>
      <c r="F544" s="12"/>
      <c r="G544" s="11"/>
      <c r="H544" s="12"/>
      <c r="I544" s="15"/>
      <c r="J544" s="10">
        <f t="shared" si="56"/>
        <v>0</v>
      </c>
      <c r="K544" s="10">
        <f t="shared" si="57"/>
        <v>0</v>
      </c>
      <c r="L544" s="9" t="str">
        <f t="shared" si="58"/>
        <v/>
      </c>
      <c r="M544" s="8"/>
      <c r="N544" s="8"/>
      <c r="O544" s="8"/>
      <c r="P544" s="8"/>
      <c r="Q544" s="8"/>
      <c r="R544" s="8"/>
      <c r="S544" s="8"/>
      <c r="T544" s="8"/>
      <c r="U544" s="8"/>
      <c r="V544" s="7"/>
      <c r="W544" s="6" t="str">
        <f t="array" ref="W544">IF(NOT(ISBLANK(D544)),_xludf.XLOOKUP(D544,[2]CODE!$A$4:$A$100,[2]CODE!$D$4:$D$100),"")</f>
        <v/>
      </c>
      <c r="X544" s="5" t="str">
        <f t="array" ref="X544">IF(NOT(AND(ISBLANK(D544),ISBLANK(C544))),_xludf.XLOOKUP(D544,[2]CODE!$A$4:$A$100,[2]CODE!$E$4:$E$100),"")</f>
        <v/>
      </c>
      <c r="Y544" s="5" t="str">
        <f t="shared" si="59"/>
        <v/>
      </c>
      <c r="Z544" s="5" t="str">
        <f t="shared" si="60"/>
        <v/>
      </c>
      <c r="AA544" s="4">
        <f t="shared" si="61"/>
        <v>0</v>
      </c>
      <c r="AC544" s="2"/>
    </row>
    <row r="545" spans="1:29" ht="15.5">
      <c r="A545" s="13" t="str">
        <f>IF(OR(ISBLANK(C545),ISBLANK(D545),ISBLANK(F545),ISBLANK(G545)),"",COUNTIF($B$5:B545,"JAMBUTU"))</f>
        <v/>
      </c>
      <c r="B545" s="8" t="str">
        <f t="shared" si="62"/>
        <v/>
      </c>
      <c r="C545" s="8"/>
      <c r="D545" s="8"/>
      <c r="E545" s="13"/>
      <c r="F545" s="12"/>
      <c r="G545" s="11"/>
      <c r="H545" s="12"/>
      <c r="I545" s="11"/>
      <c r="J545" s="10">
        <f t="shared" si="56"/>
        <v>0</v>
      </c>
      <c r="K545" s="10">
        <f t="shared" si="57"/>
        <v>0</v>
      </c>
      <c r="L545" s="9" t="str">
        <f t="shared" si="58"/>
        <v/>
      </c>
      <c r="M545" s="8"/>
      <c r="N545" s="8"/>
      <c r="O545" s="8"/>
      <c r="P545" s="8"/>
      <c r="Q545" s="8"/>
      <c r="R545" s="8"/>
      <c r="S545" s="8"/>
      <c r="T545" s="8"/>
      <c r="U545" s="8"/>
      <c r="V545" s="7"/>
      <c r="W545" s="6" t="str">
        <f t="array" ref="W545">IF(NOT(ISBLANK(D545)),_xludf.XLOOKUP(D545,[2]CODE!$A$4:$A$100,[2]CODE!$D$4:$D$100),"")</f>
        <v/>
      </c>
      <c r="X545" s="5" t="str">
        <f t="array" ref="X545">IF(NOT(AND(ISBLANK(D545),ISBLANK(C545))),_xludf.XLOOKUP(D545,[2]CODE!$A$4:$A$100,[2]CODE!$E$4:$E$100),"")</f>
        <v/>
      </c>
      <c r="Y545" s="5" t="str">
        <f t="shared" si="59"/>
        <v/>
      </c>
      <c r="Z545" s="5" t="str">
        <f t="shared" si="60"/>
        <v/>
      </c>
      <c r="AA545" s="4">
        <f t="shared" si="61"/>
        <v>0</v>
      </c>
      <c r="AC545" s="2"/>
    </row>
    <row r="546" spans="1:29" ht="15.5">
      <c r="A546" s="13" t="str">
        <f>IF(OR(ISBLANK(C546),ISBLANK(D546),ISBLANK(F546),ISBLANK(G546)),"",COUNTIF($B$5:B546,"JAMBUTU"))</f>
        <v/>
      </c>
      <c r="B546" s="8" t="str">
        <f t="shared" si="62"/>
        <v/>
      </c>
      <c r="C546" s="8"/>
      <c r="D546" s="8"/>
      <c r="E546" s="13"/>
      <c r="F546" s="12"/>
      <c r="G546" s="11"/>
      <c r="H546" s="12"/>
      <c r="I546" s="15"/>
      <c r="J546" s="10">
        <f t="shared" si="56"/>
        <v>0</v>
      </c>
      <c r="K546" s="10">
        <f t="shared" si="57"/>
        <v>0</v>
      </c>
      <c r="L546" s="9" t="str">
        <f t="shared" si="58"/>
        <v/>
      </c>
      <c r="M546" s="8"/>
      <c r="N546" s="8"/>
      <c r="O546" s="8"/>
      <c r="P546" s="8"/>
      <c r="Q546" s="8"/>
      <c r="R546" s="8"/>
      <c r="S546" s="8"/>
      <c r="T546" s="8"/>
      <c r="U546" s="8"/>
      <c r="V546" s="7"/>
      <c r="W546" s="6" t="str">
        <f t="array" ref="W546">IF(NOT(ISBLANK(D546)),_xludf.XLOOKUP(D546,[2]CODE!$A$4:$A$100,[2]CODE!$D$4:$D$100),"")</f>
        <v/>
      </c>
      <c r="X546" s="5" t="str">
        <f t="array" ref="X546">IF(NOT(AND(ISBLANK(D546),ISBLANK(C546))),_xludf.XLOOKUP(D546,[2]CODE!$A$4:$A$100,[2]CODE!$E$4:$E$100),"")</f>
        <v/>
      </c>
      <c r="Y546" s="5" t="str">
        <f t="shared" si="59"/>
        <v/>
      </c>
      <c r="Z546" s="5" t="str">
        <f t="shared" si="60"/>
        <v/>
      </c>
      <c r="AA546" s="4">
        <f t="shared" si="61"/>
        <v>0</v>
      </c>
      <c r="AC546" s="2"/>
    </row>
    <row r="547" spans="1:29" ht="15.5">
      <c r="A547" s="13" t="str">
        <f>IF(OR(ISBLANK(C547),ISBLANK(D547),ISBLANK(F547),ISBLANK(G547)),"",COUNTIF($B$5:B547,"JAMBUTU"))</f>
        <v/>
      </c>
      <c r="B547" s="8" t="str">
        <f t="shared" si="62"/>
        <v/>
      </c>
      <c r="C547" s="8"/>
      <c r="D547" s="8"/>
      <c r="E547" s="13"/>
      <c r="F547" s="12"/>
      <c r="G547" s="11"/>
      <c r="H547" s="12"/>
      <c r="I547" s="11"/>
      <c r="J547" s="10">
        <f t="shared" si="56"/>
        <v>0</v>
      </c>
      <c r="K547" s="10">
        <f t="shared" si="57"/>
        <v>0</v>
      </c>
      <c r="L547" s="9" t="str">
        <f t="shared" si="58"/>
        <v/>
      </c>
      <c r="M547" s="8"/>
      <c r="N547" s="8"/>
      <c r="O547" s="8"/>
      <c r="P547" s="8"/>
      <c r="Q547" s="8"/>
      <c r="R547" s="8"/>
      <c r="S547" s="8"/>
      <c r="T547" s="8"/>
      <c r="U547" s="8"/>
      <c r="V547" s="7"/>
      <c r="W547" s="6" t="str">
        <f t="array" ref="W547">IF(NOT(ISBLANK(D547)),_xludf.XLOOKUP(D547,[2]CODE!$A$4:$A$100,[2]CODE!$D$4:$D$100),"")</f>
        <v/>
      </c>
      <c r="X547" s="5" t="str">
        <f t="array" ref="X547">IF(NOT(AND(ISBLANK(D547),ISBLANK(C547))),_xludf.XLOOKUP(D547,[2]CODE!$A$4:$A$100,[2]CODE!$E$4:$E$100),"")</f>
        <v/>
      </c>
      <c r="Y547" s="5" t="str">
        <f t="shared" si="59"/>
        <v/>
      </c>
      <c r="Z547" s="5" t="str">
        <f t="shared" si="60"/>
        <v/>
      </c>
      <c r="AA547" s="4">
        <f t="shared" si="61"/>
        <v>0</v>
      </c>
      <c r="AC547" s="2"/>
    </row>
    <row r="548" spans="1:29" ht="15.5">
      <c r="A548" s="13" t="str">
        <f>IF(OR(ISBLANK(C548),ISBLANK(D548),ISBLANK(F548),ISBLANK(G548)),"",COUNTIF($B$5:B548,"JAMBUTU"))</f>
        <v/>
      </c>
      <c r="B548" s="8" t="str">
        <f t="shared" si="62"/>
        <v/>
      </c>
      <c r="C548" s="8"/>
      <c r="D548" s="8"/>
      <c r="E548" s="13"/>
      <c r="F548" s="12"/>
      <c r="G548" s="11"/>
      <c r="H548" s="12"/>
      <c r="I548" s="11"/>
      <c r="J548" s="10">
        <f t="shared" si="56"/>
        <v>0</v>
      </c>
      <c r="K548" s="10">
        <f t="shared" si="57"/>
        <v>0</v>
      </c>
      <c r="L548" s="9" t="str">
        <f t="shared" si="58"/>
        <v/>
      </c>
      <c r="M548" s="8"/>
      <c r="N548" s="8"/>
      <c r="O548" s="8"/>
      <c r="P548" s="8"/>
      <c r="Q548" s="8"/>
      <c r="R548" s="8"/>
      <c r="S548" s="8"/>
      <c r="T548" s="8"/>
      <c r="U548" s="8"/>
      <c r="V548" s="7"/>
      <c r="W548" s="6" t="str">
        <f t="array" ref="W548">IF(NOT(ISBLANK(D548)),_xludf.XLOOKUP(D548,[2]CODE!$A$4:$A$100,[2]CODE!$D$4:$D$100),"")</f>
        <v/>
      </c>
      <c r="X548" s="5" t="str">
        <f t="array" ref="X548">IF(NOT(AND(ISBLANK(D548),ISBLANK(C548))),_xludf.XLOOKUP(D548,[2]CODE!$A$4:$A$100,[2]CODE!$E$4:$E$100),"")</f>
        <v/>
      </c>
      <c r="Y548" s="5" t="str">
        <f t="shared" si="59"/>
        <v/>
      </c>
      <c r="Z548" s="5" t="str">
        <f t="shared" si="60"/>
        <v/>
      </c>
      <c r="AA548" s="4">
        <f t="shared" si="61"/>
        <v>0</v>
      </c>
      <c r="AC548" s="2"/>
    </row>
    <row r="549" spans="1:29" ht="15.5">
      <c r="A549" s="13" t="str">
        <f>IF(OR(ISBLANK(C549),ISBLANK(D549),ISBLANK(F549),ISBLANK(G549)),"",COUNTIF($B$5:B549,"JAMBUTU"))</f>
        <v/>
      </c>
      <c r="B549" s="8" t="str">
        <f t="shared" si="62"/>
        <v/>
      </c>
      <c r="C549" s="8"/>
      <c r="D549" s="8"/>
      <c r="E549" s="13"/>
      <c r="F549" s="12"/>
      <c r="G549" s="11"/>
      <c r="H549" s="12"/>
      <c r="I549" s="11"/>
      <c r="J549" s="10">
        <f t="shared" si="56"/>
        <v>0</v>
      </c>
      <c r="K549" s="10">
        <f t="shared" si="57"/>
        <v>0</v>
      </c>
      <c r="L549" s="9" t="str">
        <f t="shared" si="58"/>
        <v/>
      </c>
      <c r="M549" s="8"/>
      <c r="N549" s="8"/>
      <c r="O549" s="8"/>
      <c r="P549" s="8"/>
      <c r="Q549" s="8"/>
      <c r="R549" s="8"/>
      <c r="S549" s="8"/>
      <c r="T549" s="8"/>
      <c r="U549" s="8"/>
      <c r="V549" s="7"/>
      <c r="W549" s="6" t="str">
        <f t="array" ref="W549">IF(NOT(ISBLANK(D549)),_xludf.XLOOKUP(D549,[2]CODE!$A$4:$A$100,[2]CODE!$D$4:$D$100),"")</f>
        <v/>
      </c>
      <c r="X549" s="5" t="str">
        <f t="array" ref="X549">IF(NOT(AND(ISBLANK(D549),ISBLANK(C549))),_xludf.XLOOKUP(D549,[2]CODE!$A$4:$A$100,[2]CODE!$E$4:$E$100),"")</f>
        <v/>
      </c>
      <c r="Y549" s="5" t="str">
        <f t="shared" si="59"/>
        <v/>
      </c>
      <c r="Z549" s="5" t="str">
        <f t="shared" si="60"/>
        <v/>
      </c>
      <c r="AA549" s="4">
        <f t="shared" si="61"/>
        <v>0</v>
      </c>
      <c r="AC549" s="2"/>
    </row>
    <row r="550" spans="1:29" ht="15.5">
      <c r="A550" s="13" t="str">
        <f>IF(OR(ISBLANK(C550),ISBLANK(D550),ISBLANK(F550),ISBLANK(G550)),"",COUNTIF($B$5:B550,"JAMBUTU"))</f>
        <v/>
      </c>
      <c r="B550" s="8" t="str">
        <f t="shared" si="62"/>
        <v/>
      </c>
      <c r="C550" s="8"/>
      <c r="D550" s="8"/>
      <c r="E550" s="13"/>
      <c r="F550" s="12"/>
      <c r="G550" s="11"/>
      <c r="H550" s="12"/>
      <c r="I550" s="11"/>
      <c r="J550" s="10">
        <f t="shared" si="56"/>
        <v>0</v>
      </c>
      <c r="K550" s="10">
        <f t="shared" si="57"/>
        <v>0</v>
      </c>
      <c r="L550" s="9" t="str">
        <f t="shared" si="58"/>
        <v/>
      </c>
      <c r="M550" s="8"/>
      <c r="N550" s="8"/>
      <c r="O550" s="8"/>
      <c r="P550" s="8"/>
      <c r="Q550" s="8"/>
      <c r="R550" s="8"/>
      <c r="S550" s="8"/>
      <c r="T550" s="8"/>
      <c r="U550" s="8"/>
      <c r="V550" s="7"/>
      <c r="W550" s="6" t="str">
        <f t="array" ref="W550">IF(NOT(ISBLANK(D550)),_xludf.XLOOKUP(D550,[2]CODE!$A$4:$A$100,[2]CODE!$D$4:$D$100),"")</f>
        <v/>
      </c>
      <c r="X550" s="5" t="str">
        <f t="array" ref="X550">IF(NOT(AND(ISBLANK(D550),ISBLANK(C550))),_xludf.XLOOKUP(D550,[2]CODE!$A$4:$A$100,[2]CODE!$E$4:$E$100),"")</f>
        <v/>
      </c>
      <c r="Y550" s="5" t="str">
        <f t="shared" si="59"/>
        <v/>
      </c>
      <c r="Z550" s="5" t="str">
        <f t="shared" si="60"/>
        <v/>
      </c>
      <c r="AA550" s="4">
        <f t="shared" si="61"/>
        <v>0</v>
      </c>
      <c r="AC550" s="2"/>
    </row>
    <row r="551" spans="1:29" ht="15.5">
      <c r="A551" s="13" t="str">
        <f>IF(OR(ISBLANK(C551),ISBLANK(D551),ISBLANK(F551),ISBLANK(G551)),"",COUNTIF($B$5:B551,"JAMBUTU"))</f>
        <v/>
      </c>
      <c r="B551" s="8" t="str">
        <f t="shared" si="62"/>
        <v/>
      </c>
      <c r="C551" s="8"/>
      <c r="D551" s="8"/>
      <c r="E551" s="13"/>
      <c r="F551" s="12"/>
      <c r="G551" s="11"/>
      <c r="H551" s="12"/>
      <c r="I551" s="11"/>
      <c r="J551" s="10">
        <f t="shared" si="56"/>
        <v>0</v>
      </c>
      <c r="K551" s="10">
        <f t="shared" si="57"/>
        <v>0</v>
      </c>
      <c r="L551" s="9" t="str">
        <f t="shared" si="58"/>
        <v/>
      </c>
      <c r="M551" s="8"/>
      <c r="N551" s="8"/>
      <c r="O551" s="8"/>
      <c r="P551" s="8"/>
      <c r="Q551" s="8"/>
      <c r="R551" s="8"/>
      <c r="S551" s="8"/>
      <c r="T551" s="8"/>
      <c r="U551" s="8"/>
      <c r="V551" s="7"/>
      <c r="W551" s="6" t="str">
        <f t="array" ref="W551">IF(NOT(ISBLANK(D551)),_xludf.XLOOKUP(D551,[2]CODE!$A$4:$A$100,[2]CODE!$D$4:$D$100),"")</f>
        <v/>
      </c>
      <c r="X551" s="5" t="str">
        <f t="array" ref="X551">IF(NOT(AND(ISBLANK(D551),ISBLANK(C551))),_xludf.XLOOKUP(D551,[2]CODE!$A$4:$A$100,[2]CODE!$E$4:$E$100),"")</f>
        <v/>
      </c>
      <c r="Y551" s="5" t="str">
        <f t="shared" si="59"/>
        <v/>
      </c>
      <c r="Z551" s="5" t="str">
        <f t="shared" si="60"/>
        <v/>
      </c>
      <c r="AA551" s="4">
        <f t="shared" si="61"/>
        <v>0</v>
      </c>
      <c r="AC551" s="2"/>
    </row>
    <row r="552" spans="1:29" ht="15.5">
      <c r="A552" s="13" t="str">
        <f>IF(OR(ISBLANK(C552),ISBLANK(D552),ISBLANK(F552),ISBLANK(G552)),"",COUNTIF($B$5:B552,"JAMBUTU"))</f>
        <v/>
      </c>
      <c r="B552" s="8" t="str">
        <f t="shared" si="62"/>
        <v/>
      </c>
      <c r="C552" s="8"/>
      <c r="D552" s="8"/>
      <c r="E552" s="13"/>
      <c r="F552" s="12"/>
      <c r="G552" s="11"/>
      <c r="H552" s="12"/>
      <c r="I552" s="11"/>
      <c r="J552" s="10">
        <f t="shared" si="56"/>
        <v>0</v>
      </c>
      <c r="K552" s="10">
        <f t="shared" si="57"/>
        <v>0</v>
      </c>
      <c r="L552" s="9" t="str">
        <f t="shared" si="58"/>
        <v/>
      </c>
      <c r="M552" s="8"/>
      <c r="N552" s="8"/>
      <c r="O552" s="8"/>
      <c r="P552" s="8"/>
      <c r="Q552" s="8"/>
      <c r="R552" s="8"/>
      <c r="S552" s="8"/>
      <c r="T552" s="8"/>
      <c r="U552" s="8"/>
      <c r="V552" s="7"/>
      <c r="W552" s="6" t="str">
        <f t="array" ref="W552">IF(NOT(ISBLANK(D552)),_xludf.XLOOKUP(D552,[2]CODE!$A$4:$A$100,[2]CODE!$D$4:$D$100),"")</f>
        <v/>
      </c>
      <c r="X552" s="5" t="str">
        <f t="array" ref="X552">IF(NOT(AND(ISBLANK(D552),ISBLANK(C552))),_xludf.XLOOKUP(D552,[2]CODE!$A$4:$A$100,[2]CODE!$E$4:$E$100),"")</f>
        <v/>
      </c>
      <c r="Y552" s="5" t="str">
        <f t="shared" si="59"/>
        <v/>
      </c>
      <c r="Z552" s="5" t="str">
        <f t="shared" si="60"/>
        <v/>
      </c>
      <c r="AA552" s="4">
        <f t="shared" si="61"/>
        <v>0</v>
      </c>
      <c r="AC552" s="2"/>
    </row>
    <row r="553" spans="1:29" ht="15.5">
      <c r="A553" s="13" t="str">
        <f>IF(OR(ISBLANK(C553),ISBLANK(D553),ISBLANK(F553),ISBLANK(G553)),"",COUNTIF($B$5:B553,"JAMBUTU"))</f>
        <v/>
      </c>
      <c r="B553" s="8" t="str">
        <f t="shared" si="62"/>
        <v/>
      </c>
      <c r="C553" s="8"/>
      <c r="D553" s="8"/>
      <c r="E553" s="13"/>
      <c r="F553" s="12"/>
      <c r="G553" s="11"/>
      <c r="H553" s="12"/>
      <c r="I553" s="11"/>
      <c r="J553" s="10">
        <f t="shared" si="56"/>
        <v>0</v>
      </c>
      <c r="K553" s="10">
        <f t="shared" si="57"/>
        <v>0</v>
      </c>
      <c r="L553" s="9" t="str">
        <f t="shared" si="58"/>
        <v/>
      </c>
      <c r="M553" s="8"/>
      <c r="N553" s="8"/>
      <c r="O553" s="8"/>
      <c r="P553" s="8"/>
      <c r="Q553" s="8"/>
      <c r="R553" s="8"/>
      <c r="S553" s="8"/>
      <c r="T553" s="8"/>
      <c r="U553" s="8"/>
      <c r="V553" s="7"/>
      <c r="W553" s="6" t="str">
        <f t="array" ref="W553">IF(NOT(ISBLANK(D553)),_xludf.XLOOKUP(D553,[2]CODE!$A$4:$A$100,[2]CODE!$D$4:$D$100),"")</f>
        <v/>
      </c>
      <c r="X553" s="5" t="str">
        <f t="array" ref="X553">IF(NOT(AND(ISBLANK(D553),ISBLANK(C553))),_xludf.XLOOKUP(D553,[2]CODE!$A$4:$A$100,[2]CODE!$E$4:$E$100),"")</f>
        <v/>
      </c>
      <c r="Y553" s="5" t="str">
        <f t="shared" si="59"/>
        <v/>
      </c>
      <c r="Z553" s="5" t="str">
        <f t="shared" si="60"/>
        <v/>
      </c>
      <c r="AA553" s="4">
        <f t="shared" si="61"/>
        <v>0</v>
      </c>
      <c r="AC553" s="2"/>
    </row>
    <row r="554" spans="1:29" ht="15.5">
      <c r="A554" s="13" t="str">
        <f>IF(OR(ISBLANK(C554),ISBLANK(D554),ISBLANK(F554),ISBLANK(G554)),"",COUNTIF($B$5:B554,"JAMBUTU"))</f>
        <v/>
      </c>
      <c r="B554" s="8" t="str">
        <f t="shared" si="62"/>
        <v/>
      </c>
      <c r="C554" s="8"/>
      <c r="D554" s="8"/>
      <c r="E554" s="13"/>
      <c r="F554" s="12"/>
      <c r="G554" s="11"/>
      <c r="H554" s="12"/>
      <c r="I554" s="11"/>
      <c r="J554" s="10">
        <f t="shared" si="56"/>
        <v>0</v>
      </c>
      <c r="K554" s="10">
        <f t="shared" si="57"/>
        <v>0</v>
      </c>
      <c r="L554" s="9" t="str">
        <f t="shared" si="58"/>
        <v/>
      </c>
      <c r="M554" s="8"/>
      <c r="N554" s="8"/>
      <c r="O554" s="8"/>
      <c r="P554" s="8"/>
      <c r="Q554" s="8"/>
      <c r="R554" s="8"/>
      <c r="S554" s="8"/>
      <c r="T554" s="8"/>
      <c r="U554" s="8"/>
      <c r="V554" s="7"/>
      <c r="W554" s="6" t="str">
        <f t="array" ref="W554">IF(NOT(ISBLANK(D554)),_xludf.XLOOKUP(D554,[2]CODE!$A$4:$A$100,[2]CODE!$D$4:$D$100),"")</f>
        <v/>
      </c>
      <c r="X554" s="5" t="str">
        <f t="array" ref="X554">IF(NOT(AND(ISBLANK(D554),ISBLANK(C554))),_xludf.XLOOKUP(D554,[2]CODE!$A$4:$A$100,[2]CODE!$E$4:$E$100),"")</f>
        <v/>
      </c>
      <c r="Y554" s="5" t="str">
        <f t="shared" si="59"/>
        <v/>
      </c>
      <c r="Z554" s="5" t="str">
        <f t="shared" si="60"/>
        <v/>
      </c>
      <c r="AA554" s="4">
        <f t="shared" si="61"/>
        <v>0</v>
      </c>
      <c r="AC554" s="2"/>
    </row>
    <row r="555" spans="1:29" ht="15.5">
      <c r="A555" s="13" t="str">
        <f>IF(OR(ISBLANK(C555),ISBLANK(D555),ISBLANK(F555),ISBLANK(G555)),"",COUNTIF($B$5:B555,"JAMBUTU"))</f>
        <v/>
      </c>
      <c r="B555" s="8" t="str">
        <f t="shared" si="62"/>
        <v/>
      </c>
      <c r="C555" s="8"/>
      <c r="D555" s="8"/>
      <c r="E555" s="13"/>
      <c r="F555" s="12"/>
      <c r="G555" s="11"/>
      <c r="H555" s="12"/>
      <c r="I555" s="11"/>
      <c r="J555" s="10">
        <f t="shared" si="56"/>
        <v>0</v>
      </c>
      <c r="K555" s="10">
        <f t="shared" si="57"/>
        <v>0</v>
      </c>
      <c r="L555" s="9" t="str">
        <f t="shared" si="58"/>
        <v/>
      </c>
      <c r="M555" s="8"/>
      <c r="N555" s="8"/>
      <c r="O555" s="8"/>
      <c r="P555" s="8"/>
      <c r="Q555" s="8"/>
      <c r="R555" s="8"/>
      <c r="S555" s="8"/>
      <c r="T555" s="8"/>
      <c r="U555" s="8"/>
      <c r="V555" s="7"/>
      <c r="W555" s="6" t="str">
        <f t="array" ref="W555">IF(NOT(ISBLANK(D555)),_xludf.XLOOKUP(D555,[2]CODE!$A$4:$A$100,[2]CODE!$D$4:$D$100),"")</f>
        <v/>
      </c>
      <c r="X555" s="5" t="str">
        <f t="array" ref="X555">IF(NOT(AND(ISBLANK(D555),ISBLANK(C555))),_xludf.XLOOKUP(D555,[2]CODE!$A$4:$A$100,[2]CODE!$E$4:$E$100),"")</f>
        <v/>
      </c>
      <c r="Y555" s="5" t="str">
        <f t="shared" si="59"/>
        <v/>
      </c>
      <c r="Z555" s="5" t="str">
        <f t="shared" si="60"/>
        <v/>
      </c>
      <c r="AA555" s="4">
        <f t="shared" si="61"/>
        <v>0</v>
      </c>
      <c r="AC555" s="2"/>
    </row>
    <row r="556" spans="1:29" ht="15.5">
      <c r="A556" s="13" t="str">
        <f>IF(OR(ISBLANK(C556),ISBLANK(D556),ISBLANK(F556),ISBLANK(G556)),"",COUNTIF($B$5:B556,"JAMBUTU"))</f>
        <v/>
      </c>
      <c r="B556" s="8" t="str">
        <f t="shared" si="62"/>
        <v/>
      </c>
      <c r="C556" s="8"/>
      <c r="D556" s="8"/>
      <c r="E556" s="13"/>
      <c r="F556" s="12"/>
      <c r="G556" s="11"/>
      <c r="H556" s="12"/>
      <c r="I556" s="11"/>
      <c r="J556" s="10">
        <f t="shared" si="56"/>
        <v>0</v>
      </c>
      <c r="K556" s="10">
        <f t="shared" si="57"/>
        <v>0</v>
      </c>
      <c r="L556" s="9" t="str">
        <f t="shared" si="58"/>
        <v/>
      </c>
      <c r="M556" s="8"/>
      <c r="N556" s="8"/>
      <c r="O556" s="8"/>
      <c r="P556" s="8"/>
      <c r="Q556" s="8"/>
      <c r="R556" s="8"/>
      <c r="S556" s="8"/>
      <c r="T556" s="8"/>
      <c r="U556" s="8"/>
      <c r="V556" s="7"/>
      <c r="W556" s="6" t="str">
        <f t="array" ref="W556">IF(NOT(ISBLANK(D556)),_xludf.XLOOKUP(D556,[2]CODE!$A$4:$A$100,[2]CODE!$D$4:$D$100),"")</f>
        <v/>
      </c>
      <c r="X556" s="5" t="str">
        <f t="array" ref="X556">IF(NOT(AND(ISBLANK(D556),ISBLANK(C556))),_xludf.XLOOKUP(D556,[2]CODE!$A$4:$A$100,[2]CODE!$E$4:$E$100),"")</f>
        <v/>
      </c>
      <c r="Y556" s="5" t="str">
        <f t="shared" si="59"/>
        <v/>
      </c>
      <c r="Z556" s="5" t="str">
        <f t="shared" si="60"/>
        <v/>
      </c>
      <c r="AA556" s="4">
        <f t="shared" si="61"/>
        <v>0</v>
      </c>
      <c r="AC556" s="2"/>
    </row>
    <row r="557" spans="1:29" ht="15.5">
      <c r="A557" s="13" t="str">
        <f>IF(OR(ISBLANK(C557),ISBLANK(D557),ISBLANK(F557),ISBLANK(G557)),"",COUNTIF($B$5:B557,"JAMBUTU"))</f>
        <v/>
      </c>
      <c r="B557" s="8" t="str">
        <f t="shared" si="62"/>
        <v/>
      </c>
      <c r="C557" s="8"/>
      <c r="D557" s="8"/>
      <c r="E557" s="13"/>
      <c r="F557" s="12"/>
      <c r="G557" s="11"/>
      <c r="H557" s="12"/>
      <c r="I557" s="11"/>
      <c r="J557" s="10">
        <f t="shared" si="56"/>
        <v>0</v>
      </c>
      <c r="K557" s="10">
        <f t="shared" si="57"/>
        <v>0</v>
      </c>
      <c r="L557" s="9" t="str">
        <f t="shared" si="58"/>
        <v/>
      </c>
      <c r="M557" s="8"/>
      <c r="N557" s="8"/>
      <c r="O557" s="8"/>
      <c r="P557" s="8"/>
      <c r="Q557" s="8"/>
      <c r="R557" s="8"/>
      <c r="S557" s="8"/>
      <c r="T557" s="8"/>
      <c r="U557" s="8"/>
      <c r="V557" s="7"/>
      <c r="W557" s="6" t="str">
        <f t="array" ref="W557">IF(NOT(ISBLANK(D557)),_xludf.XLOOKUP(D557,[2]CODE!$A$4:$A$100,[2]CODE!$D$4:$D$100),"")</f>
        <v/>
      </c>
      <c r="X557" s="5" t="str">
        <f t="array" ref="X557">IF(NOT(AND(ISBLANK(D557),ISBLANK(C557))),_xludf.XLOOKUP(D557,[2]CODE!$A$4:$A$100,[2]CODE!$E$4:$E$100),"")</f>
        <v/>
      </c>
      <c r="Y557" s="5" t="str">
        <f t="shared" si="59"/>
        <v/>
      </c>
      <c r="Z557" s="5" t="str">
        <f t="shared" si="60"/>
        <v/>
      </c>
      <c r="AA557" s="4">
        <f t="shared" si="61"/>
        <v>0</v>
      </c>
      <c r="AC557" s="2"/>
    </row>
    <row r="558" spans="1:29" ht="15.5">
      <c r="A558" s="13" t="str">
        <f>IF(OR(ISBLANK(C558),ISBLANK(D558),ISBLANK(F558),ISBLANK(G558)),"",COUNTIF($B$5:B558,"JAMBUTU"))</f>
        <v/>
      </c>
      <c r="B558" s="8" t="str">
        <f t="shared" si="62"/>
        <v/>
      </c>
      <c r="C558" s="8"/>
      <c r="D558" s="8"/>
      <c r="E558" s="13"/>
      <c r="F558" s="12"/>
      <c r="G558" s="11"/>
      <c r="H558" s="12"/>
      <c r="I558" s="11"/>
      <c r="J558" s="10">
        <f t="shared" si="56"/>
        <v>0</v>
      </c>
      <c r="K558" s="10">
        <f t="shared" si="57"/>
        <v>0</v>
      </c>
      <c r="L558" s="9" t="str">
        <f t="shared" si="58"/>
        <v/>
      </c>
      <c r="M558" s="8"/>
      <c r="N558" s="8"/>
      <c r="O558" s="8"/>
      <c r="P558" s="8"/>
      <c r="Q558" s="8"/>
      <c r="R558" s="8"/>
      <c r="S558" s="8"/>
      <c r="T558" s="8"/>
      <c r="U558" s="8"/>
      <c r="V558" s="7"/>
      <c r="W558" s="6" t="str">
        <f t="array" ref="W558">IF(NOT(ISBLANK(D558)),_xludf.XLOOKUP(D558,[2]CODE!$A$4:$A$100,[2]CODE!$D$4:$D$100),"")</f>
        <v/>
      </c>
      <c r="X558" s="5" t="str">
        <f t="array" ref="X558">IF(NOT(AND(ISBLANK(D558),ISBLANK(C558))),_xludf.XLOOKUP(D558,[2]CODE!$A$4:$A$100,[2]CODE!$E$4:$E$100),"")</f>
        <v/>
      </c>
      <c r="Y558" s="5" t="str">
        <f t="shared" si="59"/>
        <v/>
      </c>
      <c r="Z558" s="5" t="str">
        <f t="shared" si="60"/>
        <v/>
      </c>
      <c r="AA558" s="4">
        <f t="shared" si="61"/>
        <v>0</v>
      </c>
      <c r="AC558" s="2"/>
    </row>
    <row r="559" spans="1:29" ht="15.5">
      <c r="A559" s="13" t="str">
        <f>IF(OR(ISBLANK(C559),ISBLANK(D559),ISBLANK(F559),ISBLANK(G559)),"",COUNTIF($B$5:B559,"JAMBUTU"))</f>
        <v/>
      </c>
      <c r="B559" s="8" t="str">
        <f t="shared" si="62"/>
        <v/>
      </c>
      <c r="C559" s="8"/>
      <c r="D559" s="8"/>
      <c r="E559" s="13"/>
      <c r="F559" s="12"/>
      <c r="G559" s="11"/>
      <c r="H559" s="12"/>
      <c r="I559" s="11"/>
      <c r="J559" s="10">
        <f t="shared" si="56"/>
        <v>0</v>
      </c>
      <c r="K559" s="10">
        <f t="shared" si="57"/>
        <v>0</v>
      </c>
      <c r="L559" s="9" t="str">
        <f t="shared" si="58"/>
        <v/>
      </c>
      <c r="M559" s="8"/>
      <c r="N559" s="8"/>
      <c r="O559" s="8"/>
      <c r="P559" s="8"/>
      <c r="Q559" s="8"/>
      <c r="R559" s="8"/>
      <c r="S559" s="8"/>
      <c r="T559" s="8"/>
      <c r="U559" s="8"/>
      <c r="V559" s="7"/>
      <c r="W559" s="6" t="str">
        <f t="array" ref="W559">IF(NOT(ISBLANK(D559)),_xludf.XLOOKUP(D559,[2]CODE!$A$4:$A$100,[2]CODE!$D$4:$D$100),"")</f>
        <v/>
      </c>
      <c r="X559" s="5" t="str">
        <f t="array" ref="X559">IF(NOT(AND(ISBLANK(D559),ISBLANK(C559))),_xludf.XLOOKUP(D559,[2]CODE!$A$4:$A$100,[2]CODE!$E$4:$E$100),"")</f>
        <v/>
      </c>
      <c r="Y559" s="5" t="str">
        <f t="shared" si="59"/>
        <v/>
      </c>
      <c r="Z559" s="5" t="str">
        <f t="shared" si="60"/>
        <v/>
      </c>
      <c r="AA559" s="4">
        <f t="shared" si="61"/>
        <v>0</v>
      </c>
      <c r="AC559" s="2"/>
    </row>
    <row r="560" spans="1:29" ht="15.5">
      <c r="A560" s="13" t="str">
        <f>IF(OR(ISBLANK(C560),ISBLANK(D560),ISBLANK(F560),ISBLANK(G560)),"",COUNTIF($B$5:B560,"JAMBUTU"))</f>
        <v/>
      </c>
      <c r="B560" s="8" t="str">
        <f t="shared" si="62"/>
        <v/>
      </c>
      <c r="C560" s="8"/>
      <c r="D560" s="8"/>
      <c r="E560" s="13"/>
      <c r="F560" s="12"/>
      <c r="G560" s="11"/>
      <c r="H560" s="12"/>
      <c r="I560" s="11"/>
      <c r="J560" s="10">
        <f t="shared" si="56"/>
        <v>0</v>
      </c>
      <c r="K560" s="10">
        <f t="shared" si="57"/>
        <v>0</v>
      </c>
      <c r="L560" s="9" t="str">
        <f t="shared" si="58"/>
        <v/>
      </c>
      <c r="M560" s="8"/>
      <c r="N560" s="8"/>
      <c r="O560" s="8"/>
      <c r="P560" s="8"/>
      <c r="Q560" s="8"/>
      <c r="R560" s="8"/>
      <c r="S560" s="8"/>
      <c r="T560" s="8"/>
      <c r="U560" s="8"/>
      <c r="V560" s="7"/>
      <c r="W560" s="6" t="str">
        <f t="array" ref="W560">IF(NOT(ISBLANK(D560)),_xludf.XLOOKUP(D560,[2]CODE!$A$4:$A$100,[2]CODE!$D$4:$D$100),"")</f>
        <v/>
      </c>
      <c r="X560" s="5" t="str">
        <f t="array" ref="X560">IF(NOT(AND(ISBLANK(D560),ISBLANK(C560))),_xludf.XLOOKUP(D560,[2]CODE!$A$4:$A$100,[2]CODE!$E$4:$E$100),"")</f>
        <v/>
      </c>
      <c r="Y560" s="5" t="str">
        <f t="shared" si="59"/>
        <v/>
      </c>
      <c r="Z560" s="5" t="str">
        <f t="shared" si="60"/>
        <v/>
      </c>
      <c r="AA560" s="4">
        <f t="shared" si="61"/>
        <v>0</v>
      </c>
      <c r="AC560" s="2"/>
    </row>
    <row r="561" spans="1:29" ht="15.5">
      <c r="A561" s="13" t="str">
        <f>IF(OR(ISBLANK(C561),ISBLANK(D561),ISBLANK(F561),ISBLANK(G561)),"",COUNTIF($B$5:B561,"JAMBUTU"))</f>
        <v/>
      </c>
      <c r="B561" s="8" t="str">
        <f t="shared" si="62"/>
        <v/>
      </c>
      <c r="C561" s="8"/>
      <c r="D561" s="8"/>
      <c r="E561" s="13"/>
      <c r="F561" s="12"/>
      <c r="G561" s="11"/>
      <c r="H561" s="12"/>
      <c r="I561" s="11"/>
      <c r="J561" s="10">
        <f t="shared" si="56"/>
        <v>0</v>
      </c>
      <c r="K561" s="10">
        <f t="shared" si="57"/>
        <v>0</v>
      </c>
      <c r="L561" s="9" t="str">
        <f t="shared" si="58"/>
        <v/>
      </c>
      <c r="M561" s="8"/>
      <c r="N561" s="8"/>
      <c r="O561" s="8"/>
      <c r="P561" s="8"/>
      <c r="Q561" s="8"/>
      <c r="R561" s="8"/>
      <c r="S561" s="8"/>
      <c r="T561" s="8"/>
      <c r="U561" s="8"/>
      <c r="V561" s="7"/>
      <c r="W561" s="6" t="str">
        <f t="array" ref="W561">IF(NOT(ISBLANK(D561)),_xludf.XLOOKUP(D561,[2]CODE!$A$4:$A$100,[2]CODE!$D$4:$D$100),"")</f>
        <v/>
      </c>
      <c r="X561" s="5" t="str">
        <f t="array" ref="X561">IF(NOT(AND(ISBLANK(D561),ISBLANK(C561))),_xludf.XLOOKUP(D561,[2]CODE!$A$4:$A$100,[2]CODE!$E$4:$E$100),"")</f>
        <v/>
      </c>
      <c r="Y561" s="5" t="str">
        <f t="shared" si="59"/>
        <v/>
      </c>
      <c r="Z561" s="5" t="str">
        <f t="shared" si="60"/>
        <v/>
      </c>
      <c r="AA561" s="4">
        <f t="shared" si="61"/>
        <v>0</v>
      </c>
      <c r="AC561" s="2"/>
    </row>
    <row r="562" spans="1:29" ht="15.5">
      <c r="A562" s="13" t="str">
        <f>IF(OR(ISBLANK(C562),ISBLANK(D562),ISBLANK(F562),ISBLANK(G562)),"",COUNTIF($B$5:B562,"JAMBUTU"))</f>
        <v/>
      </c>
      <c r="B562" s="8" t="str">
        <f t="shared" si="62"/>
        <v/>
      </c>
      <c r="C562" s="8"/>
      <c r="D562" s="8"/>
      <c r="E562" s="13"/>
      <c r="F562" s="12"/>
      <c r="G562" s="11"/>
      <c r="H562" s="12"/>
      <c r="I562" s="11"/>
      <c r="J562" s="10">
        <f t="shared" si="56"/>
        <v>0</v>
      </c>
      <c r="K562" s="10">
        <f t="shared" si="57"/>
        <v>0</v>
      </c>
      <c r="L562" s="9" t="str">
        <f t="shared" si="58"/>
        <v/>
      </c>
      <c r="M562" s="8"/>
      <c r="N562" s="8"/>
      <c r="O562" s="8"/>
      <c r="P562" s="8"/>
      <c r="Q562" s="8"/>
      <c r="R562" s="8"/>
      <c r="S562" s="8"/>
      <c r="T562" s="8"/>
      <c r="U562" s="8"/>
      <c r="V562" s="7"/>
      <c r="W562" s="6" t="str">
        <f t="array" ref="W562">IF(NOT(ISBLANK(D562)),_xludf.XLOOKUP(D562,[2]CODE!$A$4:$A$100,[2]CODE!$D$4:$D$100),"")</f>
        <v/>
      </c>
      <c r="X562" s="5" t="str">
        <f t="array" ref="X562">IF(NOT(AND(ISBLANK(D562),ISBLANK(C562))),_xludf.XLOOKUP(D562,[2]CODE!$A$4:$A$100,[2]CODE!$E$4:$E$100),"")</f>
        <v/>
      </c>
      <c r="Y562" s="5" t="str">
        <f t="shared" si="59"/>
        <v/>
      </c>
      <c r="Z562" s="5" t="str">
        <f t="shared" si="60"/>
        <v/>
      </c>
      <c r="AA562" s="4">
        <f t="shared" si="61"/>
        <v>0</v>
      </c>
      <c r="AC562" s="2"/>
    </row>
    <row r="563" spans="1:29" ht="15.5">
      <c r="A563" s="13" t="str">
        <f>IF(OR(ISBLANK(C563),ISBLANK(D563),ISBLANK(F563),ISBLANK(G563)),"",COUNTIF($B$5:B563,"JAMBUTU"))</f>
        <v/>
      </c>
      <c r="B563" s="8" t="str">
        <f t="shared" si="62"/>
        <v/>
      </c>
      <c r="C563" s="8"/>
      <c r="D563" s="8"/>
      <c r="E563" s="13"/>
      <c r="F563" s="12"/>
      <c r="G563" s="11"/>
      <c r="H563" s="12"/>
      <c r="I563" s="11"/>
      <c r="J563" s="10">
        <f t="shared" si="56"/>
        <v>0</v>
      </c>
      <c r="K563" s="10">
        <f t="shared" si="57"/>
        <v>0</v>
      </c>
      <c r="L563" s="9" t="str">
        <f t="shared" si="58"/>
        <v/>
      </c>
      <c r="M563" s="8"/>
      <c r="N563" s="8"/>
      <c r="O563" s="8"/>
      <c r="P563" s="8"/>
      <c r="Q563" s="8"/>
      <c r="R563" s="8"/>
      <c r="S563" s="8"/>
      <c r="T563" s="8"/>
      <c r="U563" s="8"/>
      <c r="V563" s="7"/>
      <c r="W563" s="6" t="str">
        <f t="array" ref="W563">IF(NOT(ISBLANK(D563)),_xludf.XLOOKUP(D563,[2]CODE!$A$4:$A$100,[2]CODE!$D$4:$D$100),"")</f>
        <v/>
      </c>
      <c r="X563" s="5" t="str">
        <f t="array" ref="X563">IF(NOT(AND(ISBLANK(D563),ISBLANK(C563))),_xludf.XLOOKUP(D563,[2]CODE!$A$4:$A$100,[2]CODE!$E$4:$E$100),"")</f>
        <v/>
      </c>
      <c r="Y563" s="5" t="str">
        <f t="shared" si="59"/>
        <v/>
      </c>
      <c r="Z563" s="5" t="str">
        <f t="shared" si="60"/>
        <v/>
      </c>
      <c r="AA563" s="4">
        <f t="shared" si="61"/>
        <v>0</v>
      </c>
      <c r="AC563" s="2"/>
    </row>
    <row r="564" spans="1:29" ht="15.5">
      <c r="A564" s="13" t="str">
        <f>IF(OR(ISBLANK(C564),ISBLANK(D564),ISBLANK(F564),ISBLANK(G564)),"",COUNTIF($B$5:B564,"JAMBUTU"))</f>
        <v/>
      </c>
      <c r="B564" s="8" t="str">
        <f t="shared" si="62"/>
        <v/>
      </c>
      <c r="C564" s="8"/>
      <c r="D564" s="8"/>
      <c r="E564" s="13"/>
      <c r="F564" s="12"/>
      <c r="G564" s="11"/>
      <c r="H564" s="12"/>
      <c r="I564" s="11"/>
      <c r="J564" s="10">
        <f t="shared" si="56"/>
        <v>0</v>
      </c>
      <c r="K564" s="10">
        <f t="shared" si="57"/>
        <v>0</v>
      </c>
      <c r="L564" s="9" t="str">
        <f t="shared" si="58"/>
        <v/>
      </c>
      <c r="M564" s="8"/>
      <c r="N564" s="8"/>
      <c r="O564" s="8"/>
      <c r="P564" s="8"/>
      <c r="Q564" s="8"/>
      <c r="R564" s="8"/>
      <c r="S564" s="8"/>
      <c r="T564" s="8"/>
      <c r="U564" s="8"/>
      <c r="V564" s="7"/>
      <c r="W564" s="6" t="str">
        <f t="array" ref="W564">IF(NOT(ISBLANK(D564)),_xludf.XLOOKUP(D564,[2]CODE!$A$4:$A$100,[2]CODE!$D$4:$D$100),"")</f>
        <v/>
      </c>
      <c r="X564" s="5" t="str">
        <f t="array" ref="X564">IF(NOT(AND(ISBLANK(D564),ISBLANK(C564))),_xludf.XLOOKUP(D564,[2]CODE!$A$4:$A$100,[2]CODE!$E$4:$E$100),"")</f>
        <v/>
      </c>
      <c r="Y564" s="5" t="str">
        <f t="shared" si="59"/>
        <v/>
      </c>
      <c r="Z564" s="5" t="str">
        <f t="shared" si="60"/>
        <v/>
      </c>
      <c r="AA564" s="4">
        <f t="shared" si="61"/>
        <v>0</v>
      </c>
      <c r="AC564" s="2"/>
    </row>
    <row r="565" spans="1:29" ht="15.5">
      <c r="A565" s="13" t="str">
        <f>IF(OR(ISBLANK(C565),ISBLANK(D565),ISBLANK(F565),ISBLANK(G565)),"",COUNTIF($B$5:B565,"JAMBUTU"))</f>
        <v/>
      </c>
      <c r="B565" s="8" t="str">
        <f t="shared" si="62"/>
        <v/>
      </c>
      <c r="C565" s="8"/>
      <c r="D565" s="8"/>
      <c r="E565" s="13"/>
      <c r="F565" s="12"/>
      <c r="G565" s="11"/>
      <c r="H565" s="12"/>
      <c r="I565" s="11"/>
      <c r="J565" s="10">
        <f t="shared" si="56"/>
        <v>0</v>
      </c>
      <c r="K565" s="10">
        <f t="shared" si="57"/>
        <v>0</v>
      </c>
      <c r="L565" s="9" t="str">
        <f t="shared" si="58"/>
        <v/>
      </c>
      <c r="M565" s="8"/>
      <c r="N565" s="8"/>
      <c r="O565" s="8"/>
      <c r="P565" s="8"/>
      <c r="Q565" s="8"/>
      <c r="R565" s="8"/>
      <c r="S565" s="8"/>
      <c r="T565" s="8"/>
      <c r="U565" s="8"/>
      <c r="V565" s="7"/>
      <c r="W565" s="6" t="str">
        <f t="array" ref="W565">IF(NOT(ISBLANK(D565)),_xludf.XLOOKUP(D565,[2]CODE!$A$4:$A$100,[2]CODE!$D$4:$D$100),"")</f>
        <v/>
      </c>
      <c r="X565" s="5" t="str">
        <f t="array" ref="X565">IF(NOT(AND(ISBLANK(D565),ISBLANK(C565))),_xludf.XLOOKUP(D565,[2]CODE!$A$4:$A$100,[2]CODE!$E$4:$E$100),"")</f>
        <v/>
      </c>
      <c r="Y565" s="5" t="str">
        <f t="shared" si="59"/>
        <v/>
      </c>
      <c r="Z565" s="5" t="str">
        <f t="shared" si="60"/>
        <v/>
      </c>
      <c r="AA565" s="4">
        <f t="shared" si="61"/>
        <v>0</v>
      </c>
      <c r="AC565" s="2"/>
    </row>
    <row r="566" spans="1:29" ht="15.5">
      <c r="A566" s="13" t="str">
        <f>IF(OR(ISBLANK(C566),ISBLANK(D566),ISBLANK(F566),ISBLANK(G566)),"",COUNTIF($B$5:B566,"JAMBUTU"))</f>
        <v/>
      </c>
      <c r="B566" s="8" t="str">
        <f t="shared" si="62"/>
        <v/>
      </c>
      <c r="C566" s="8"/>
      <c r="D566" s="8"/>
      <c r="E566" s="13"/>
      <c r="F566" s="12"/>
      <c r="G566" s="11"/>
      <c r="H566" s="12"/>
      <c r="I566" s="11"/>
      <c r="J566" s="10">
        <f t="shared" si="56"/>
        <v>0</v>
      </c>
      <c r="K566" s="10">
        <f t="shared" si="57"/>
        <v>0</v>
      </c>
      <c r="L566" s="9" t="str">
        <f t="shared" si="58"/>
        <v/>
      </c>
      <c r="M566" s="8"/>
      <c r="N566" s="8"/>
      <c r="O566" s="8"/>
      <c r="P566" s="8"/>
      <c r="Q566" s="8"/>
      <c r="R566" s="8"/>
      <c r="S566" s="8"/>
      <c r="T566" s="8"/>
      <c r="U566" s="8"/>
      <c r="V566" s="7"/>
      <c r="W566" s="6" t="str">
        <f t="array" ref="W566">IF(NOT(ISBLANK(D566)),_xludf.XLOOKUP(D566,[2]CODE!$A$4:$A$100,[2]CODE!$D$4:$D$100),"")</f>
        <v/>
      </c>
      <c r="X566" s="5" t="str">
        <f t="array" ref="X566">IF(NOT(AND(ISBLANK(D566),ISBLANK(C566))),_xludf.XLOOKUP(D566,[2]CODE!$A$4:$A$100,[2]CODE!$E$4:$E$100),"")</f>
        <v/>
      </c>
      <c r="Y566" s="5" t="str">
        <f t="shared" si="59"/>
        <v/>
      </c>
      <c r="Z566" s="5" t="str">
        <f t="shared" si="60"/>
        <v/>
      </c>
      <c r="AA566" s="4">
        <f t="shared" si="61"/>
        <v>0</v>
      </c>
      <c r="AC566" s="2"/>
    </row>
    <row r="567" spans="1:29" ht="15.5">
      <c r="A567" s="13" t="str">
        <f>IF(OR(ISBLANK(C567),ISBLANK(D567),ISBLANK(F567),ISBLANK(G567)),"",COUNTIF($B$5:B567,"JAMBUTU"))</f>
        <v/>
      </c>
      <c r="B567" s="8" t="str">
        <f t="shared" si="62"/>
        <v/>
      </c>
      <c r="C567" s="8"/>
      <c r="D567" s="8"/>
      <c r="E567" s="13"/>
      <c r="F567" s="12"/>
      <c r="G567" s="11"/>
      <c r="H567" s="12"/>
      <c r="I567" s="11"/>
      <c r="J567" s="10">
        <f t="shared" si="56"/>
        <v>0</v>
      </c>
      <c r="K567" s="10">
        <f t="shared" si="57"/>
        <v>0</v>
      </c>
      <c r="L567" s="9" t="str">
        <f t="shared" si="58"/>
        <v/>
      </c>
      <c r="M567" s="8"/>
      <c r="N567" s="8"/>
      <c r="O567" s="8"/>
      <c r="P567" s="8"/>
      <c r="Q567" s="8"/>
      <c r="R567" s="8"/>
      <c r="S567" s="8"/>
      <c r="T567" s="8"/>
      <c r="U567" s="8"/>
      <c r="V567" s="7"/>
      <c r="W567" s="6" t="str">
        <f t="array" ref="W567">IF(NOT(ISBLANK(D567)),_xludf.XLOOKUP(D567,[2]CODE!$A$4:$A$100,[2]CODE!$D$4:$D$100),"")</f>
        <v/>
      </c>
      <c r="X567" s="5" t="str">
        <f t="array" ref="X567">IF(NOT(AND(ISBLANK(D567),ISBLANK(C567))),_xludf.XLOOKUP(D567,[2]CODE!$A$4:$A$100,[2]CODE!$E$4:$E$100),"")</f>
        <v/>
      </c>
      <c r="Y567" s="5" t="str">
        <f t="shared" si="59"/>
        <v/>
      </c>
      <c r="Z567" s="5" t="str">
        <f t="shared" si="60"/>
        <v/>
      </c>
      <c r="AA567" s="4">
        <f t="shared" si="61"/>
        <v>0</v>
      </c>
      <c r="AC567" s="2"/>
    </row>
    <row r="568" spans="1:29" ht="15.5">
      <c r="A568" s="13" t="str">
        <f>IF(OR(ISBLANK(C568),ISBLANK(D568),ISBLANK(F568),ISBLANK(G568)),"",COUNTIF($B$5:B568,"JAMBUTU"))</f>
        <v/>
      </c>
      <c r="B568" s="8" t="str">
        <f t="shared" si="62"/>
        <v/>
      </c>
      <c r="C568" s="8"/>
      <c r="D568" s="8"/>
      <c r="E568" s="13"/>
      <c r="F568" s="12"/>
      <c r="G568" s="11"/>
      <c r="H568" s="12"/>
      <c r="I568" s="11"/>
      <c r="J568" s="10">
        <f t="shared" si="56"/>
        <v>0</v>
      </c>
      <c r="K568" s="10">
        <f t="shared" si="57"/>
        <v>0</v>
      </c>
      <c r="L568" s="9" t="str">
        <f t="shared" si="58"/>
        <v/>
      </c>
      <c r="M568" s="8"/>
      <c r="N568" s="8"/>
      <c r="O568" s="8"/>
      <c r="P568" s="8"/>
      <c r="Q568" s="8"/>
      <c r="R568" s="8"/>
      <c r="S568" s="8"/>
      <c r="T568" s="8"/>
      <c r="U568" s="8"/>
      <c r="V568" s="7"/>
      <c r="W568" s="6" t="str">
        <f t="array" ref="W568">IF(NOT(ISBLANK(D568)),_xludf.XLOOKUP(D568,[2]CODE!$A$4:$A$100,[2]CODE!$D$4:$D$100),"")</f>
        <v/>
      </c>
      <c r="X568" s="5" t="str">
        <f t="array" ref="X568">IF(NOT(AND(ISBLANK(D568),ISBLANK(C568))),_xludf.XLOOKUP(D568,[2]CODE!$A$4:$A$100,[2]CODE!$E$4:$E$100),"")</f>
        <v/>
      </c>
      <c r="Y568" s="5" t="str">
        <f t="shared" si="59"/>
        <v/>
      </c>
      <c r="Z568" s="5" t="str">
        <f t="shared" si="60"/>
        <v/>
      </c>
      <c r="AA568" s="4">
        <f t="shared" si="61"/>
        <v>0</v>
      </c>
      <c r="AC568" s="2"/>
    </row>
    <row r="569" spans="1:29" ht="15.5">
      <c r="A569" s="13" t="str">
        <f>IF(OR(ISBLANK(C569),ISBLANK(D569),ISBLANK(F569),ISBLANK(G569)),"",COUNTIF($B$5:B569,"JAMBUTU"))</f>
        <v/>
      </c>
      <c r="B569" s="8" t="str">
        <f t="shared" si="62"/>
        <v/>
      </c>
      <c r="C569" s="8"/>
      <c r="D569" s="8"/>
      <c r="E569" s="13"/>
      <c r="F569" s="12"/>
      <c r="G569" s="11"/>
      <c r="H569" s="12"/>
      <c r="I569" s="11"/>
      <c r="J569" s="10">
        <f t="shared" si="56"/>
        <v>0</v>
      </c>
      <c r="K569" s="10">
        <f t="shared" si="57"/>
        <v>0</v>
      </c>
      <c r="L569" s="9" t="str">
        <f t="shared" si="58"/>
        <v/>
      </c>
      <c r="M569" s="8"/>
      <c r="N569" s="8"/>
      <c r="O569" s="8"/>
      <c r="P569" s="8"/>
      <c r="Q569" s="8"/>
      <c r="R569" s="8"/>
      <c r="S569" s="8"/>
      <c r="T569" s="8"/>
      <c r="U569" s="8"/>
      <c r="V569" s="7"/>
      <c r="W569" s="6" t="str">
        <f t="array" ref="W569">IF(NOT(ISBLANK(D569)),_xludf.XLOOKUP(D569,[2]CODE!$A$4:$A$100,[2]CODE!$D$4:$D$100),"")</f>
        <v/>
      </c>
      <c r="X569" s="5" t="str">
        <f t="array" ref="X569">IF(NOT(AND(ISBLANK(D569),ISBLANK(C569))),_xludf.XLOOKUP(D569,[2]CODE!$A$4:$A$100,[2]CODE!$E$4:$E$100),"")</f>
        <v/>
      </c>
      <c r="Y569" s="5" t="str">
        <f t="shared" si="59"/>
        <v/>
      </c>
      <c r="Z569" s="5" t="str">
        <f t="shared" si="60"/>
        <v/>
      </c>
      <c r="AA569" s="4">
        <f t="shared" si="61"/>
        <v>0</v>
      </c>
      <c r="AC569" s="2"/>
    </row>
    <row r="570" spans="1:29" ht="15.5">
      <c r="A570" s="13" t="str">
        <f>IF(OR(ISBLANK(C570),ISBLANK(D570),ISBLANK(F570),ISBLANK(G570)),"",COUNTIF($B$5:B570,"JAMBUTU"))</f>
        <v/>
      </c>
      <c r="B570" s="8" t="str">
        <f t="shared" si="62"/>
        <v/>
      </c>
      <c r="C570" s="8"/>
      <c r="D570" s="8"/>
      <c r="E570" s="13"/>
      <c r="F570" s="12"/>
      <c r="G570" s="11"/>
      <c r="H570" s="12"/>
      <c r="I570" s="11"/>
      <c r="J570" s="10">
        <f t="shared" si="56"/>
        <v>0</v>
      </c>
      <c r="K570" s="10">
        <f t="shared" si="57"/>
        <v>0</v>
      </c>
      <c r="L570" s="9" t="str">
        <f t="shared" si="58"/>
        <v/>
      </c>
      <c r="M570" s="8"/>
      <c r="N570" s="8"/>
      <c r="O570" s="8"/>
      <c r="P570" s="8"/>
      <c r="Q570" s="8"/>
      <c r="R570" s="8"/>
      <c r="S570" s="8"/>
      <c r="T570" s="8"/>
      <c r="U570" s="8"/>
      <c r="V570" s="7"/>
      <c r="W570" s="6" t="str">
        <f t="array" ref="W570">IF(NOT(ISBLANK(D570)),_xludf.XLOOKUP(D570,[2]CODE!$A$4:$A$100,[2]CODE!$D$4:$D$100),"")</f>
        <v/>
      </c>
      <c r="X570" s="5" t="str">
        <f t="array" ref="X570">IF(NOT(AND(ISBLANK(D570),ISBLANK(C570))),_xludf.XLOOKUP(D570,[2]CODE!$A$4:$A$100,[2]CODE!$E$4:$E$100),"")</f>
        <v/>
      </c>
      <c r="Y570" s="5" t="str">
        <f t="shared" si="59"/>
        <v/>
      </c>
      <c r="Z570" s="5" t="str">
        <f t="shared" si="60"/>
        <v/>
      </c>
      <c r="AA570" s="4">
        <f t="shared" si="61"/>
        <v>0</v>
      </c>
      <c r="AC570" s="2"/>
    </row>
    <row r="571" spans="1:29" ht="15.5">
      <c r="A571" s="13" t="str">
        <f>IF(OR(ISBLANK(C571),ISBLANK(D571),ISBLANK(F571),ISBLANK(G571)),"",COUNTIF($B$5:B571,"JAMBUTU"))</f>
        <v/>
      </c>
      <c r="B571" s="8" t="str">
        <f t="shared" si="62"/>
        <v/>
      </c>
      <c r="C571" s="8"/>
      <c r="D571" s="8"/>
      <c r="E571" s="13"/>
      <c r="F571" s="12"/>
      <c r="G571" s="11"/>
      <c r="H571" s="12"/>
      <c r="I571" s="11"/>
      <c r="J571" s="10">
        <f t="shared" si="56"/>
        <v>0</v>
      </c>
      <c r="K571" s="10">
        <f t="shared" si="57"/>
        <v>0</v>
      </c>
      <c r="L571" s="9" t="str">
        <f t="shared" si="58"/>
        <v/>
      </c>
      <c r="M571" s="8"/>
      <c r="N571" s="8"/>
      <c r="O571" s="8"/>
      <c r="P571" s="8"/>
      <c r="Q571" s="8"/>
      <c r="R571" s="8"/>
      <c r="S571" s="8"/>
      <c r="T571" s="8"/>
      <c r="U571" s="8"/>
      <c r="V571" s="7"/>
      <c r="W571" s="6" t="str">
        <f t="array" ref="W571">IF(NOT(ISBLANK(D571)),_xludf.XLOOKUP(D571,[2]CODE!$A$4:$A$100,[2]CODE!$D$4:$D$100),"")</f>
        <v/>
      </c>
      <c r="X571" s="5" t="str">
        <f t="array" ref="X571">IF(NOT(AND(ISBLANK(D571),ISBLANK(C571))),_xludf.XLOOKUP(D571,[2]CODE!$A$4:$A$100,[2]CODE!$E$4:$E$100),"")</f>
        <v/>
      </c>
      <c r="Y571" s="5" t="str">
        <f t="shared" si="59"/>
        <v/>
      </c>
      <c r="Z571" s="5" t="str">
        <f t="shared" si="60"/>
        <v/>
      </c>
      <c r="AA571" s="4">
        <f t="shared" si="61"/>
        <v>0</v>
      </c>
      <c r="AC571" s="2"/>
    </row>
    <row r="572" spans="1:29" ht="15.5">
      <c r="A572" s="13" t="str">
        <f>IF(OR(ISBLANK(C572),ISBLANK(D572),ISBLANK(F572),ISBLANK(G572)),"",COUNTIF($B$5:B572,"JAMBUTU"))</f>
        <v/>
      </c>
      <c r="B572" s="8" t="str">
        <f t="shared" si="62"/>
        <v/>
      </c>
      <c r="C572" s="8"/>
      <c r="D572" s="8"/>
      <c r="E572" s="13"/>
      <c r="F572" s="12"/>
      <c r="G572" s="11"/>
      <c r="H572" s="12"/>
      <c r="I572" s="11"/>
      <c r="J572" s="10">
        <f t="shared" si="56"/>
        <v>0</v>
      </c>
      <c r="K572" s="10">
        <f t="shared" si="57"/>
        <v>0</v>
      </c>
      <c r="L572" s="9" t="str">
        <f t="shared" si="58"/>
        <v/>
      </c>
      <c r="M572" s="8"/>
      <c r="N572" s="8"/>
      <c r="O572" s="8"/>
      <c r="P572" s="8"/>
      <c r="Q572" s="8"/>
      <c r="R572" s="8"/>
      <c r="S572" s="8"/>
      <c r="T572" s="8"/>
      <c r="U572" s="8"/>
      <c r="V572" s="7"/>
      <c r="W572" s="6" t="str">
        <f t="array" ref="W572">IF(NOT(ISBLANK(D572)),_xludf.XLOOKUP(D572,[2]CODE!$A$4:$A$100,[2]CODE!$D$4:$D$100),"")</f>
        <v/>
      </c>
      <c r="X572" s="5" t="str">
        <f t="array" ref="X572">IF(NOT(AND(ISBLANK(D572),ISBLANK(C572))),_xludf.XLOOKUP(D572,[2]CODE!$A$4:$A$100,[2]CODE!$E$4:$E$100),"")</f>
        <v/>
      </c>
      <c r="Y572" s="5" t="str">
        <f t="shared" si="59"/>
        <v/>
      </c>
      <c r="Z572" s="5" t="str">
        <f t="shared" si="60"/>
        <v/>
      </c>
      <c r="AA572" s="4">
        <f t="shared" si="61"/>
        <v>0</v>
      </c>
      <c r="AC572" s="2"/>
    </row>
    <row r="573" spans="1:29" ht="15.5">
      <c r="A573" s="13" t="str">
        <f>IF(OR(ISBLANK(C573),ISBLANK(D573),ISBLANK(F573),ISBLANK(G573)),"",COUNTIF($B$5:B573,"JAMBUTU"))</f>
        <v/>
      </c>
      <c r="B573" s="8" t="str">
        <f t="shared" si="62"/>
        <v/>
      </c>
      <c r="C573" s="8"/>
      <c r="D573" s="8"/>
      <c r="E573" s="13"/>
      <c r="F573" s="12"/>
      <c r="G573" s="11"/>
      <c r="H573" s="12"/>
      <c r="I573" s="11"/>
      <c r="J573" s="10">
        <f t="shared" si="56"/>
        <v>0</v>
      </c>
      <c r="K573" s="10">
        <f t="shared" si="57"/>
        <v>0</v>
      </c>
      <c r="L573" s="9" t="str">
        <f t="shared" si="58"/>
        <v/>
      </c>
      <c r="M573" s="8"/>
      <c r="N573" s="8"/>
      <c r="O573" s="8"/>
      <c r="P573" s="8"/>
      <c r="Q573" s="8"/>
      <c r="R573" s="8"/>
      <c r="S573" s="8"/>
      <c r="T573" s="8"/>
      <c r="U573" s="8"/>
      <c r="V573" s="7"/>
      <c r="W573" s="6" t="str">
        <f t="array" ref="W573">IF(NOT(ISBLANK(D573)),_xludf.XLOOKUP(D573,[2]CODE!$A$4:$A$100,[2]CODE!$D$4:$D$100),"")</f>
        <v/>
      </c>
      <c r="X573" s="5" t="str">
        <f t="array" ref="X573">IF(NOT(AND(ISBLANK(D573),ISBLANK(C573))),_xludf.XLOOKUP(D573,[2]CODE!$A$4:$A$100,[2]CODE!$E$4:$E$100),"")</f>
        <v/>
      </c>
      <c r="Y573" s="5" t="str">
        <f t="shared" si="59"/>
        <v/>
      </c>
      <c r="Z573" s="5" t="str">
        <f t="shared" si="60"/>
        <v/>
      </c>
      <c r="AA573" s="4">
        <f t="shared" si="61"/>
        <v>0</v>
      </c>
      <c r="AC573" s="2"/>
    </row>
    <row r="574" spans="1:29" ht="15.5">
      <c r="A574" s="13" t="str">
        <f>IF(OR(ISBLANK(C574),ISBLANK(D574),ISBLANK(F574),ISBLANK(G574)),"",COUNTIF($B$5:B574,"JAMBUTU"))</f>
        <v/>
      </c>
      <c r="B574" s="8" t="str">
        <f t="shared" si="62"/>
        <v/>
      </c>
      <c r="C574" s="8"/>
      <c r="D574" s="8"/>
      <c r="E574" s="13"/>
      <c r="F574" s="12"/>
      <c r="G574" s="11"/>
      <c r="H574" s="12"/>
      <c r="I574" s="11"/>
      <c r="J574" s="10">
        <f t="shared" si="56"/>
        <v>0</v>
      </c>
      <c r="K574" s="10">
        <f t="shared" si="57"/>
        <v>0</v>
      </c>
      <c r="L574" s="9" t="str">
        <f t="shared" si="58"/>
        <v/>
      </c>
      <c r="M574" s="8"/>
      <c r="N574" s="8"/>
      <c r="O574" s="8"/>
      <c r="P574" s="8"/>
      <c r="Q574" s="8"/>
      <c r="R574" s="8"/>
      <c r="S574" s="8"/>
      <c r="T574" s="8"/>
      <c r="U574" s="8"/>
      <c r="V574" s="7"/>
      <c r="W574" s="6" t="str">
        <f t="array" ref="W574">IF(NOT(ISBLANK(D574)),_xludf.XLOOKUP(D574,[2]CODE!$A$4:$A$100,[2]CODE!$D$4:$D$100),"")</f>
        <v/>
      </c>
      <c r="X574" s="5" t="str">
        <f t="array" ref="X574">IF(NOT(AND(ISBLANK(D574),ISBLANK(C574))),_xludf.XLOOKUP(D574,[2]CODE!$A$4:$A$100,[2]CODE!$E$4:$E$100),"")</f>
        <v/>
      </c>
      <c r="Y574" s="5" t="str">
        <f t="shared" si="59"/>
        <v/>
      </c>
      <c r="Z574" s="5" t="str">
        <f t="shared" si="60"/>
        <v/>
      </c>
      <c r="AA574" s="4">
        <f t="shared" si="61"/>
        <v>0</v>
      </c>
      <c r="AC574" s="2"/>
    </row>
    <row r="575" spans="1:29" ht="15.5">
      <c r="A575" s="13" t="str">
        <f>IF(OR(ISBLANK(C575),ISBLANK(D575),ISBLANK(F575),ISBLANK(G575)),"",COUNTIF($B$5:B575,"JAMBUTU"))</f>
        <v/>
      </c>
      <c r="B575" s="8" t="str">
        <f t="shared" si="62"/>
        <v/>
      </c>
      <c r="C575" s="8"/>
      <c r="D575" s="8"/>
      <c r="E575" s="13"/>
      <c r="F575" s="12"/>
      <c r="G575" s="11"/>
      <c r="H575" s="12"/>
      <c r="I575" s="11"/>
      <c r="J575" s="10">
        <f t="shared" si="56"/>
        <v>0</v>
      </c>
      <c r="K575" s="10">
        <f t="shared" si="57"/>
        <v>0</v>
      </c>
      <c r="L575" s="9" t="str">
        <f t="shared" si="58"/>
        <v/>
      </c>
      <c r="M575" s="8"/>
      <c r="N575" s="8"/>
      <c r="O575" s="8"/>
      <c r="P575" s="8"/>
      <c r="Q575" s="8"/>
      <c r="R575" s="8"/>
      <c r="S575" s="8"/>
      <c r="T575" s="8"/>
      <c r="U575" s="8"/>
      <c r="V575" s="7"/>
      <c r="W575" s="6" t="str">
        <f t="array" ref="W575">IF(NOT(ISBLANK(D575)),_xludf.XLOOKUP(D575,[2]CODE!$A$4:$A$100,[2]CODE!$D$4:$D$100),"")</f>
        <v/>
      </c>
      <c r="X575" s="5" t="str">
        <f t="array" ref="X575">IF(NOT(AND(ISBLANK(D575),ISBLANK(C575))),_xludf.XLOOKUP(D575,[2]CODE!$A$4:$A$100,[2]CODE!$E$4:$E$100),"")</f>
        <v/>
      </c>
      <c r="Y575" s="5" t="str">
        <f t="shared" si="59"/>
        <v/>
      </c>
      <c r="Z575" s="5" t="str">
        <f t="shared" si="60"/>
        <v/>
      </c>
      <c r="AA575" s="4">
        <f t="shared" si="61"/>
        <v>0</v>
      </c>
      <c r="AC575" s="2"/>
    </row>
    <row r="576" spans="1:29" ht="15.5">
      <c r="A576" s="13" t="str">
        <f>IF(OR(ISBLANK(C576),ISBLANK(D576),ISBLANK(F576),ISBLANK(G576)),"",COUNTIF($B$5:B576,"JAMBUTU"))</f>
        <v/>
      </c>
      <c r="B576" s="8" t="str">
        <f t="shared" si="62"/>
        <v/>
      </c>
      <c r="C576" s="8"/>
      <c r="D576" s="8"/>
      <c r="E576" s="13"/>
      <c r="F576" s="12"/>
      <c r="G576" s="11"/>
      <c r="H576" s="12"/>
      <c r="I576" s="11"/>
      <c r="J576" s="10">
        <f t="shared" si="56"/>
        <v>0</v>
      </c>
      <c r="K576" s="10">
        <f t="shared" si="57"/>
        <v>0</v>
      </c>
      <c r="L576" s="9" t="str">
        <f t="shared" si="58"/>
        <v/>
      </c>
      <c r="M576" s="8"/>
      <c r="N576" s="8"/>
      <c r="O576" s="8"/>
      <c r="P576" s="8"/>
      <c r="Q576" s="8"/>
      <c r="R576" s="8"/>
      <c r="S576" s="8"/>
      <c r="T576" s="8"/>
      <c r="U576" s="8"/>
      <c r="V576" s="7"/>
      <c r="W576" s="6" t="str">
        <f t="array" ref="W576">IF(NOT(ISBLANK(D576)),_xludf.XLOOKUP(D576,[2]CODE!$A$4:$A$100,[2]CODE!$D$4:$D$100),"")</f>
        <v/>
      </c>
      <c r="X576" s="5" t="str">
        <f t="array" ref="X576">IF(NOT(AND(ISBLANK(D576),ISBLANK(C576))),_xludf.XLOOKUP(D576,[2]CODE!$A$4:$A$100,[2]CODE!$E$4:$E$100),"")</f>
        <v/>
      </c>
      <c r="Y576" s="5" t="str">
        <f t="shared" si="59"/>
        <v/>
      </c>
      <c r="Z576" s="5" t="str">
        <f t="shared" si="60"/>
        <v/>
      </c>
      <c r="AA576" s="4">
        <f t="shared" si="61"/>
        <v>0</v>
      </c>
      <c r="AC576" s="2"/>
    </row>
    <row r="577" spans="1:29" ht="15.5">
      <c r="A577" s="13" t="str">
        <f>IF(OR(ISBLANK(C577),ISBLANK(D577),ISBLANK(F577),ISBLANK(G577)),"",COUNTIF($B$5:B577,"JAMBUTU"))</f>
        <v/>
      </c>
      <c r="B577" s="8" t="str">
        <f t="shared" si="62"/>
        <v/>
      </c>
      <c r="C577" s="8"/>
      <c r="D577" s="8"/>
      <c r="E577" s="13"/>
      <c r="F577" s="12"/>
      <c r="G577" s="11"/>
      <c r="H577" s="12"/>
      <c r="I577" s="11"/>
      <c r="J577" s="10">
        <f t="shared" si="56"/>
        <v>0</v>
      </c>
      <c r="K577" s="10">
        <f t="shared" si="57"/>
        <v>0</v>
      </c>
      <c r="L577" s="9" t="str">
        <f t="shared" si="58"/>
        <v/>
      </c>
      <c r="M577" s="8"/>
      <c r="N577" s="8"/>
      <c r="O577" s="8"/>
      <c r="P577" s="8"/>
      <c r="Q577" s="8"/>
      <c r="R577" s="8"/>
      <c r="S577" s="8"/>
      <c r="T577" s="8"/>
      <c r="U577" s="8"/>
      <c r="V577" s="7"/>
      <c r="W577" s="6" t="str">
        <f t="array" ref="W577">IF(NOT(ISBLANK(D577)),_xludf.XLOOKUP(D577,[2]CODE!$A$4:$A$100,[2]CODE!$D$4:$D$100),"")</f>
        <v/>
      </c>
      <c r="X577" s="5" t="str">
        <f t="array" ref="X577">IF(NOT(AND(ISBLANK(D577),ISBLANK(C577))),_xludf.XLOOKUP(D577,[2]CODE!$A$4:$A$100,[2]CODE!$E$4:$E$100),"")</f>
        <v/>
      </c>
      <c r="Y577" s="5" t="str">
        <f t="shared" si="59"/>
        <v/>
      </c>
      <c r="Z577" s="5" t="str">
        <f t="shared" si="60"/>
        <v/>
      </c>
      <c r="AA577" s="4">
        <f t="shared" si="61"/>
        <v>0</v>
      </c>
      <c r="AC577" s="2"/>
    </row>
    <row r="578" spans="1:29" ht="15.5">
      <c r="A578" s="13" t="str">
        <f>IF(OR(ISBLANK(C578),ISBLANK(D578),ISBLANK(F578),ISBLANK(G578)),"",COUNTIF($B$5:B578,"JAMBUTU"))</f>
        <v/>
      </c>
      <c r="B578" s="8" t="str">
        <f t="shared" si="62"/>
        <v/>
      </c>
      <c r="C578" s="8"/>
      <c r="D578" s="8"/>
      <c r="E578" s="13"/>
      <c r="F578" s="12"/>
      <c r="G578" s="11"/>
      <c r="H578" s="12"/>
      <c r="I578" s="11"/>
      <c r="J578" s="10">
        <f t="shared" si="56"/>
        <v>0</v>
      </c>
      <c r="K578" s="10">
        <f t="shared" si="57"/>
        <v>0</v>
      </c>
      <c r="L578" s="9" t="str">
        <f t="shared" si="58"/>
        <v/>
      </c>
      <c r="M578" s="8"/>
      <c r="N578" s="8"/>
      <c r="O578" s="8"/>
      <c r="P578" s="8"/>
      <c r="Q578" s="8"/>
      <c r="R578" s="8"/>
      <c r="S578" s="8"/>
      <c r="T578" s="8"/>
      <c r="U578" s="8"/>
      <c r="V578" s="7"/>
      <c r="W578" s="6" t="str">
        <f t="array" ref="W578">IF(NOT(ISBLANK(D578)),_xludf.XLOOKUP(D578,[2]CODE!$A$4:$A$100,[2]CODE!$D$4:$D$100),"")</f>
        <v/>
      </c>
      <c r="X578" s="5" t="str">
        <f t="array" ref="X578">IF(NOT(AND(ISBLANK(D578),ISBLANK(C578))),_xludf.XLOOKUP(D578,[2]CODE!$A$4:$A$100,[2]CODE!$E$4:$E$100),"")</f>
        <v/>
      </c>
      <c r="Y578" s="5" t="str">
        <f t="shared" si="59"/>
        <v/>
      </c>
      <c r="Z578" s="5" t="str">
        <f t="shared" si="60"/>
        <v/>
      </c>
      <c r="AA578" s="4">
        <f t="shared" si="61"/>
        <v>0</v>
      </c>
      <c r="AC578" s="2"/>
    </row>
    <row r="579" spans="1:29" ht="15.5">
      <c r="A579" s="13" t="str">
        <f>IF(OR(ISBLANK(C579),ISBLANK(D579),ISBLANK(F579),ISBLANK(G579)),"",COUNTIF($B$5:B579,"JAMBUTU"))</f>
        <v/>
      </c>
      <c r="B579" s="8" t="str">
        <f t="shared" si="62"/>
        <v/>
      </c>
      <c r="C579" s="8"/>
      <c r="D579" s="8"/>
      <c r="E579" s="13"/>
      <c r="F579" s="12"/>
      <c r="G579" s="11"/>
      <c r="H579" s="12"/>
      <c r="I579" s="11"/>
      <c r="J579" s="10">
        <f t="shared" si="56"/>
        <v>0</v>
      </c>
      <c r="K579" s="10">
        <f t="shared" si="57"/>
        <v>0</v>
      </c>
      <c r="L579" s="9" t="str">
        <f t="shared" si="58"/>
        <v/>
      </c>
      <c r="M579" s="8"/>
      <c r="N579" s="8"/>
      <c r="O579" s="8"/>
      <c r="P579" s="8"/>
      <c r="Q579" s="8"/>
      <c r="R579" s="8"/>
      <c r="S579" s="8"/>
      <c r="T579" s="8"/>
      <c r="U579" s="8"/>
      <c r="V579" s="7"/>
      <c r="W579" s="6" t="str">
        <f t="array" ref="W579">IF(NOT(ISBLANK(D579)),_xludf.XLOOKUP(D579,[2]CODE!$A$4:$A$100,[2]CODE!$D$4:$D$100),"")</f>
        <v/>
      </c>
      <c r="X579" s="5" t="str">
        <f t="array" ref="X579">IF(NOT(AND(ISBLANK(D579),ISBLANK(C579))),_xludf.XLOOKUP(D579,[2]CODE!$A$4:$A$100,[2]CODE!$E$4:$E$100),"")</f>
        <v/>
      </c>
      <c r="Y579" s="5" t="str">
        <f t="shared" si="59"/>
        <v/>
      </c>
      <c r="Z579" s="5" t="str">
        <f t="shared" si="60"/>
        <v/>
      </c>
      <c r="AA579" s="4">
        <f t="shared" si="61"/>
        <v>0</v>
      </c>
      <c r="AC579" s="2"/>
    </row>
    <row r="580" spans="1:29" ht="15.5">
      <c r="A580" s="13" t="str">
        <f>IF(OR(ISBLANK(C580),ISBLANK(D580),ISBLANK(F580),ISBLANK(G580)),"",COUNTIF($B$5:B580,"JAMBUTU"))</f>
        <v/>
      </c>
      <c r="B580" s="8" t="str">
        <f t="shared" si="62"/>
        <v/>
      </c>
      <c r="C580" s="8"/>
      <c r="D580" s="8"/>
      <c r="E580" s="13"/>
      <c r="F580" s="12"/>
      <c r="G580" s="11"/>
      <c r="H580" s="12"/>
      <c r="I580" s="11"/>
      <c r="J580" s="10">
        <f t="shared" si="56"/>
        <v>0</v>
      </c>
      <c r="K580" s="10">
        <f t="shared" si="57"/>
        <v>0</v>
      </c>
      <c r="L580" s="9" t="str">
        <f t="shared" si="58"/>
        <v/>
      </c>
      <c r="M580" s="8"/>
      <c r="N580" s="8"/>
      <c r="O580" s="8"/>
      <c r="P580" s="8"/>
      <c r="Q580" s="8"/>
      <c r="R580" s="8"/>
      <c r="S580" s="8"/>
      <c r="T580" s="8"/>
      <c r="U580" s="8"/>
      <c r="V580" s="7"/>
      <c r="W580" s="6" t="str">
        <f t="array" ref="W580">IF(NOT(ISBLANK(D580)),_xludf.XLOOKUP(D580,[2]CODE!$A$4:$A$100,[2]CODE!$D$4:$D$100),"")</f>
        <v/>
      </c>
      <c r="X580" s="5" t="str">
        <f t="array" ref="X580">IF(NOT(AND(ISBLANK(D580),ISBLANK(C580))),_xludf.XLOOKUP(D580,[2]CODE!$A$4:$A$100,[2]CODE!$E$4:$E$100),"")</f>
        <v/>
      </c>
      <c r="Y580" s="5" t="str">
        <f t="shared" si="59"/>
        <v/>
      </c>
      <c r="Z580" s="5" t="str">
        <f t="shared" si="60"/>
        <v/>
      </c>
      <c r="AA580" s="4">
        <f t="shared" si="61"/>
        <v>0</v>
      </c>
      <c r="AC580" s="2"/>
    </row>
    <row r="581" spans="1:29" ht="15.5">
      <c r="A581" s="13" t="str">
        <f>IF(OR(ISBLANK(C581),ISBLANK(D581),ISBLANK(F581),ISBLANK(G581)),"",COUNTIF($B$5:B581,"JAMBUTU"))</f>
        <v/>
      </c>
      <c r="B581" s="8" t="str">
        <f t="shared" si="62"/>
        <v/>
      </c>
      <c r="C581" s="8"/>
      <c r="D581" s="8"/>
      <c r="E581" s="13"/>
      <c r="F581" s="12"/>
      <c r="G581" s="11"/>
      <c r="H581" s="12"/>
      <c r="I581" s="11"/>
      <c r="J581" s="10">
        <f t="shared" ref="J581:J598" si="63">DATE(YEAR(F581),MONTH(F581),DAY(F581))+TIME(HOUR(G581),MINUTE(G581), SECOND(G581))</f>
        <v>0</v>
      </c>
      <c r="K581" s="10">
        <f t="shared" ref="K581:K598" si="64">DATE(YEAR(H581),MONTH(H581),DAY(H581))+TIME(HOUR(I581),MINUTE(I581), SECOND(I581))</f>
        <v>0</v>
      </c>
      <c r="L581" s="9" t="str">
        <f t="shared" ref="L581:L598" si="65">IF(ISBLANK(I581),"",IF(J581&gt;K581,(K581+1)-J581,K581-J581))</f>
        <v/>
      </c>
      <c r="M581" s="8"/>
      <c r="N581" s="8"/>
      <c r="O581" s="8"/>
      <c r="P581" s="8"/>
      <c r="Q581" s="8"/>
      <c r="R581" s="8"/>
      <c r="S581" s="8"/>
      <c r="T581" s="8"/>
      <c r="U581" s="8"/>
      <c r="V581" s="7"/>
      <c r="W581" s="6" t="str">
        <f t="array" ref="W581">IF(NOT(ISBLANK(D581)),_xludf.XLOOKUP(D581,[2]CODE!$A$4:$A$100,[2]CODE!$D$4:$D$100),"")</f>
        <v/>
      </c>
      <c r="X581" s="5" t="str">
        <f t="array" ref="X581">IF(NOT(AND(ISBLANK(D581),ISBLANK(C581))),_xludf.XLOOKUP(D581,[2]CODE!$A$4:$A$100,[2]CODE!$E$4:$E$100),"")</f>
        <v/>
      </c>
      <c r="Y581" s="5" t="str">
        <f t="shared" ref="Y581:Y598" si="66">LEFT(C581,4)</f>
        <v/>
      </c>
      <c r="Z581" s="5" t="str">
        <f t="shared" ref="Z581:Z598" si="67">IF(NOT(ISBLANK(C581)), IF(K581&gt;J581,"YES","NO"),"")</f>
        <v/>
      </c>
      <c r="AA581" s="4">
        <f t="shared" ref="AA581:AA598" si="68">IF(AND(F581=H581,Z581="NO"),1+H581,H581)</f>
        <v>0</v>
      </c>
      <c r="AC581" s="2"/>
    </row>
    <row r="582" spans="1:29" ht="15.5">
      <c r="A582" s="13" t="str">
        <f>IF(OR(ISBLANK(C582),ISBLANK(D582),ISBLANK(F582),ISBLANK(G582)),"",COUNTIF($B$5:B582,"JAMBUTU"))</f>
        <v/>
      </c>
      <c r="B582" s="8" t="str">
        <f t="shared" si="62"/>
        <v/>
      </c>
      <c r="C582" s="8"/>
      <c r="D582" s="8"/>
      <c r="E582" s="13"/>
      <c r="F582" s="12"/>
      <c r="G582" s="11"/>
      <c r="H582" s="12"/>
      <c r="I582" s="11"/>
      <c r="J582" s="10">
        <f t="shared" si="63"/>
        <v>0</v>
      </c>
      <c r="K582" s="10">
        <f t="shared" si="64"/>
        <v>0</v>
      </c>
      <c r="L582" s="9" t="str">
        <f t="shared" si="65"/>
        <v/>
      </c>
      <c r="M582" s="8"/>
      <c r="N582" s="8"/>
      <c r="O582" s="8"/>
      <c r="P582" s="8"/>
      <c r="Q582" s="8"/>
      <c r="R582" s="8"/>
      <c r="S582" s="8"/>
      <c r="T582" s="8"/>
      <c r="U582" s="8"/>
      <c r="V582" s="7"/>
      <c r="W582" s="6" t="str">
        <f t="array" ref="W582">IF(NOT(ISBLANK(D582)),_xludf.XLOOKUP(D582,[2]CODE!$A$4:$A$100,[2]CODE!$D$4:$D$100),"")</f>
        <v/>
      </c>
      <c r="X582" s="5" t="str">
        <f t="array" ref="X582">IF(NOT(AND(ISBLANK(D582),ISBLANK(C582))),_xludf.XLOOKUP(D582,[2]CODE!$A$4:$A$100,[2]CODE!$E$4:$E$100),"")</f>
        <v/>
      </c>
      <c r="Y582" s="5" t="str">
        <f t="shared" si="66"/>
        <v/>
      </c>
      <c r="Z582" s="5" t="str">
        <f t="shared" si="67"/>
        <v/>
      </c>
      <c r="AA582" s="4">
        <f t="shared" si="68"/>
        <v>0</v>
      </c>
      <c r="AC582" s="2"/>
    </row>
    <row r="583" spans="1:29" ht="15.5">
      <c r="A583" s="13" t="str">
        <f>IF(OR(ISBLANK(C583),ISBLANK(D583),ISBLANK(F583),ISBLANK(G583)),"",COUNTIF($B$5:B583,"JAMBUTU"))</f>
        <v/>
      </c>
      <c r="B583" s="8" t="str">
        <f t="shared" si="62"/>
        <v/>
      </c>
      <c r="C583" s="8"/>
      <c r="D583" s="8"/>
      <c r="E583" s="13"/>
      <c r="F583" s="12"/>
      <c r="G583" s="11"/>
      <c r="H583" s="12"/>
      <c r="I583" s="11"/>
      <c r="J583" s="10">
        <f t="shared" si="63"/>
        <v>0</v>
      </c>
      <c r="K583" s="10">
        <f t="shared" si="64"/>
        <v>0</v>
      </c>
      <c r="L583" s="9" t="str">
        <f t="shared" si="65"/>
        <v/>
      </c>
      <c r="M583" s="8"/>
      <c r="N583" s="8"/>
      <c r="O583" s="8"/>
      <c r="P583" s="8"/>
      <c r="Q583" s="8"/>
      <c r="R583" s="8"/>
      <c r="S583" s="8"/>
      <c r="T583" s="8"/>
      <c r="U583" s="8"/>
      <c r="V583" s="7"/>
      <c r="W583" s="6" t="str">
        <f t="array" ref="W583">IF(NOT(ISBLANK(D583)),_xludf.XLOOKUP(D583,[2]CODE!$A$4:$A$100,[2]CODE!$D$4:$D$100),"")</f>
        <v/>
      </c>
      <c r="X583" s="5" t="str">
        <f t="array" ref="X583">IF(NOT(AND(ISBLANK(D583),ISBLANK(C583))),_xludf.XLOOKUP(D583,[2]CODE!$A$4:$A$100,[2]CODE!$E$4:$E$100),"")</f>
        <v/>
      </c>
      <c r="Y583" s="5" t="str">
        <f t="shared" si="66"/>
        <v/>
      </c>
      <c r="Z583" s="5" t="str">
        <f t="shared" si="67"/>
        <v/>
      </c>
      <c r="AA583" s="4">
        <f t="shared" si="68"/>
        <v>0</v>
      </c>
      <c r="AC583" s="2"/>
    </row>
    <row r="584" spans="1:29" ht="15.5">
      <c r="A584" s="13" t="str">
        <f>IF(OR(ISBLANK(C584),ISBLANK(D584),ISBLANK(F584),ISBLANK(G584)),"",COUNTIF($B$5:B584,"JAMBUTU"))</f>
        <v/>
      </c>
      <c r="B584" s="8" t="str">
        <f t="shared" si="62"/>
        <v/>
      </c>
      <c r="C584" s="8"/>
      <c r="D584" s="8"/>
      <c r="E584" s="13"/>
      <c r="F584" s="12"/>
      <c r="G584" s="11"/>
      <c r="H584" s="12"/>
      <c r="I584" s="11"/>
      <c r="J584" s="10">
        <f t="shared" si="63"/>
        <v>0</v>
      </c>
      <c r="K584" s="10">
        <f t="shared" si="64"/>
        <v>0</v>
      </c>
      <c r="L584" s="9" t="str">
        <f t="shared" si="65"/>
        <v/>
      </c>
      <c r="M584" s="8"/>
      <c r="N584" s="8"/>
      <c r="O584" s="8"/>
      <c r="P584" s="8"/>
      <c r="Q584" s="8"/>
      <c r="R584" s="8"/>
      <c r="S584" s="8"/>
      <c r="T584" s="8"/>
      <c r="U584" s="8"/>
      <c r="V584" s="7"/>
      <c r="W584" s="6" t="str">
        <f t="array" ref="W584">IF(NOT(ISBLANK(D584)),_xludf.XLOOKUP(D584,[2]CODE!$A$4:$A$100,[2]CODE!$D$4:$D$100),"")</f>
        <v/>
      </c>
      <c r="X584" s="5" t="str">
        <f t="array" ref="X584">IF(NOT(AND(ISBLANK(D584),ISBLANK(C584))),_xludf.XLOOKUP(D584,[2]CODE!$A$4:$A$100,[2]CODE!$E$4:$E$100),"")</f>
        <v/>
      </c>
      <c r="Y584" s="5" t="str">
        <f t="shared" si="66"/>
        <v/>
      </c>
      <c r="Z584" s="5" t="str">
        <f t="shared" si="67"/>
        <v/>
      </c>
      <c r="AA584" s="4">
        <f t="shared" si="68"/>
        <v>0</v>
      </c>
      <c r="AC584" s="2"/>
    </row>
    <row r="585" spans="1:29" ht="15.5">
      <c r="A585" s="13" t="str">
        <f>IF(OR(ISBLANK(C585),ISBLANK(D585),ISBLANK(F585),ISBLANK(G585)),"",COUNTIF($B$5:B585,"JAMBUTU"))</f>
        <v/>
      </c>
      <c r="B585" s="8" t="str">
        <f t="shared" si="62"/>
        <v/>
      </c>
      <c r="C585" s="8"/>
      <c r="D585" s="8"/>
      <c r="E585" s="13"/>
      <c r="F585" s="12"/>
      <c r="G585" s="11"/>
      <c r="H585" s="12"/>
      <c r="I585" s="11"/>
      <c r="J585" s="10">
        <f t="shared" si="63"/>
        <v>0</v>
      </c>
      <c r="K585" s="10">
        <f t="shared" si="64"/>
        <v>0</v>
      </c>
      <c r="L585" s="9" t="str">
        <f t="shared" si="65"/>
        <v/>
      </c>
      <c r="M585" s="8"/>
      <c r="N585" s="8"/>
      <c r="O585" s="8"/>
      <c r="P585" s="8"/>
      <c r="Q585" s="8"/>
      <c r="R585" s="8"/>
      <c r="S585" s="8"/>
      <c r="T585" s="8"/>
      <c r="U585" s="8"/>
      <c r="V585" s="7"/>
      <c r="W585" s="6" t="str">
        <f t="array" ref="W585">IF(NOT(ISBLANK(D585)),_xludf.XLOOKUP(D585,[2]CODE!$A$4:$A$100,[2]CODE!$D$4:$D$100),"")</f>
        <v/>
      </c>
      <c r="X585" s="5" t="str">
        <f t="array" ref="X585">IF(NOT(AND(ISBLANK(D585),ISBLANK(C585))),_xludf.XLOOKUP(D585,[2]CODE!$A$4:$A$100,[2]CODE!$E$4:$E$100),"")</f>
        <v/>
      </c>
      <c r="Y585" s="5" t="str">
        <f t="shared" si="66"/>
        <v/>
      </c>
      <c r="Z585" s="5" t="str">
        <f t="shared" si="67"/>
        <v/>
      </c>
      <c r="AA585" s="4">
        <f t="shared" si="68"/>
        <v>0</v>
      </c>
      <c r="AC585" s="2"/>
    </row>
    <row r="586" spans="1:29" ht="15.5">
      <c r="A586" s="13" t="str">
        <f>IF(OR(ISBLANK(C586),ISBLANK(D586),ISBLANK(F586),ISBLANK(G586)),"",COUNTIF($B$5:B586,"JAMBUTU"))</f>
        <v/>
      </c>
      <c r="B586" s="8" t="str">
        <f t="shared" si="62"/>
        <v/>
      </c>
      <c r="C586" s="8"/>
      <c r="D586" s="8"/>
      <c r="E586" s="13"/>
      <c r="F586" s="12"/>
      <c r="G586" s="11"/>
      <c r="H586" s="12"/>
      <c r="I586" s="11"/>
      <c r="J586" s="10">
        <f t="shared" si="63"/>
        <v>0</v>
      </c>
      <c r="K586" s="10">
        <f t="shared" si="64"/>
        <v>0</v>
      </c>
      <c r="L586" s="9" t="str">
        <f t="shared" si="65"/>
        <v/>
      </c>
      <c r="M586" s="8"/>
      <c r="N586" s="8"/>
      <c r="O586" s="8"/>
      <c r="P586" s="8"/>
      <c r="Q586" s="8"/>
      <c r="R586" s="8"/>
      <c r="S586" s="8"/>
      <c r="T586" s="8"/>
      <c r="U586" s="8"/>
      <c r="V586" s="7"/>
      <c r="W586" s="6" t="str">
        <f t="array" ref="W586">IF(NOT(ISBLANK(D586)),_xludf.XLOOKUP(D586,[2]CODE!$A$4:$A$100,[2]CODE!$D$4:$D$100),"")</f>
        <v/>
      </c>
      <c r="X586" s="5" t="str">
        <f t="array" ref="X586">IF(NOT(AND(ISBLANK(D586),ISBLANK(C586))),_xludf.XLOOKUP(D586,[2]CODE!$A$4:$A$100,[2]CODE!$E$4:$E$100),"")</f>
        <v/>
      </c>
      <c r="Y586" s="5" t="str">
        <f t="shared" si="66"/>
        <v/>
      </c>
      <c r="Z586" s="5" t="str">
        <f t="shared" si="67"/>
        <v/>
      </c>
      <c r="AA586" s="4">
        <f t="shared" si="68"/>
        <v>0</v>
      </c>
      <c r="AC586" s="2"/>
    </row>
    <row r="587" spans="1:29" ht="15.5">
      <c r="A587" s="13" t="str">
        <f>IF(OR(ISBLANK(C587),ISBLANK(D587),ISBLANK(F587),ISBLANK(G587)),"",COUNTIF($B$5:B587,"JAMBUTU"))</f>
        <v/>
      </c>
      <c r="B587" s="8" t="str">
        <f t="shared" si="62"/>
        <v/>
      </c>
      <c r="C587" s="8"/>
      <c r="D587" s="8"/>
      <c r="E587" s="13"/>
      <c r="F587" s="12"/>
      <c r="G587" s="11"/>
      <c r="H587" s="12"/>
      <c r="I587" s="11"/>
      <c r="J587" s="10">
        <f t="shared" si="63"/>
        <v>0</v>
      </c>
      <c r="K587" s="10">
        <f t="shared" si="64"/>
        <v>0</v>
      </c>
      <c r="L587" s="9" t="str">
        <f t="shared" si="65"/>
        <v/>
      </c>
      <c r="M587" s="8"/>
      <c r="N587" s="8"/>
      <c r="O587" s="8"/>
      <c r="P587" s="8"/>
      <c r="Q587" s="8"/>
      <c r="R587" s="8"/>
      <c r="S587" s="8"/>
      <c r="T587" s="8"/>
      <c r="U587" s="8"/>
      <c r="V587" s="7"/>
      <c r="W587" s="6" t="str">
        <f t="array" ref="W587">IF(NOT(ISBLANK(D587)),_xludf.XLOOKUP(D587,[2]CODE!$A$4:$A$100,[2]CODE!$D$4:$D$100),"")</f>
        <v/>
      </c>
      <c r="X587" s="5" t="str">
        <f t="array" ref="X587">IF(NOT(AND(ISBLANK(D587),ISBLANK(C587))),_xludf.XLOOKUP(D587,[2]CODE!$A$4:$A$100,[2]CODE!$E$4:$E$100),"")</f>
        <v/>
      </c>
      <c r="Y587" s="5" t="str">
        <f t="shared" si="66"/>
        <v/>
      </c>
      <c r="Z587" s="5" t="str">
        <f t="shared" si="67"/>
        <v/>
      </c>
      <c r="AA587" s="4">
        <f t="shared" si="68"/>
        <v>0</v>
      </c>
      <c r="AC587" s="2"/>
    </row>
    <row r="588" spans="1:29" ht="15.5">
      <c r="A588" s="13" t="str">
        <f>IF(OR(ISBLANK(C588),ISBLANK(D588),ISBLANK(F588),ISBLANK(G588)),"",COUNTIF($B$5:B588,"JAMBUTU"))</f>
        <v/>
      </c>
      <c r="B588" s="8" t="str">
        <f t="shared" si="62"/>
        <v/>
      </c>
      <c r="C588" s="8"/>
      <c r="D588" s="8"/>
      <c r="E588" s="13"/>
      <c r="F588" s="12"/>
      <c r="G588" s="14"/>
      <c r="H588" s="12"/>
      <c r="I588" s="11"/>
      <c r="J588" s="10">
        <f t="shared" si="63"/>
        <v>0</v>
      </c>
      <c r="K588" s="10">
        <f t="shared" si="64"/>
        <v>0</v>
      </c>
      <c r="L588" s="9" t="str">
        <f t="shared" si="65"/>
        <v/>
      </c>
      <c r="M588" s="8"/>
      <c r="N588" s="8"/>
      <c r="O588" s="8"/>
      <c r="P588" s="8"/>
      <c r="Q588" s="8"/>
      <c r="R588" s="8"/>
      <c r="S588" s="8"/>
      <c r="T588" s="8"/>
      <c r="U588" s="8"/>
      <c r="V588" s="7"/>
      <c r="W588" s="6" t="str">
        <f t="array" ref="W588">IF(NOT(ISBLANK(D588)),_xludf.XLOOKUP(D588,[2]CODE!$A$4:$A$100,[2]CODE!$D$4:$D$100),"")</f>
        <v/>
      </c>
      <c r="X588" s="5" t="str">
        <f t="array" ref="X588">IF(NOT(AND(ISBLANK(D588),ISBLANK(C588))),_xludf.XLOOKUP(D588,[2]CODE!$A$4:$A$100,[2]CODE!$E$4:$E$100),"")</f>
        <v/>
      </c>
      <c r="Y588" s="5" t="str">
        <f t="shared" si="66"/>
        <v/>
      </c>
      <c r="Z588" s="5" t="str">
        <f t="shared" si="67"/>
        <v/>
      </c>
      <c r="AA588" s="4">
        <f t="shared" si="68"/>
        <v>0</v>
      </c>
      <c r="AC588" s="2"/>
    </row>
    <row r="589" spans="1:29" ht="15.5">
      <c r="A589" s="13" t="str">
        <f>IF(OR(ISBLANK(C589),ISBLANK(D589),ISBLANK(F589),ISBLANK(G589)),"",COUNTIF($B$5:B589,"JAMBUTU"))</f>
        <v/>
      </c>
      <c r="B589" s="8" t="str">
        <f t="shared" si="62"/>
        <v/>
      </c>
      <c r="C589" s="8"/>
      <c r="D589" s="8"/>
      <c r="E589" s="13"/>
      <c r="F589" s="12"/>
      <c r="G589" s="11"/>
      <c r="H589" s="12"/>
      <c r="I589" s="11"/>
      <c r="J589" s="10">
        <f t="shared" si="63"/>
        <v>0</v>
      </c>
      <c r="K589" s="10">
        <f t="shared" si="64"/>
        <v>0</v>
      </c>
      <c r="L589" s="9" t="str">
        <f t="shared" si="65"/>
        <v/>
      </c>
      <c r="M589" s="8"/>
      <c r="N589" s="8"/>
      <c r="O589" s="8"/>
      <c r="P589" s="8"/>
      <c r="Q589" s="8"/>
      <c r="R589" s="8"/>
      <c r="S589" s="8"/>
      <c r="T589" s="8"/>
      <c r="U589" s="8"/>
      <c r="V589" s="7"/>
      <c r="W589" s="6" t="str">
        <f t="array" ref="W589">IF(NOT(ISBLANK(D589)),_xludf.XLOOKUP(D589,[2]CODE!$A$4:$A$100,[2]CODE!$D$4:$D$100),"")</f>
        <v/>
      </c>
      <c r="X589" s="5" t="str">
        <f t="array" ref="X589">IF(NOT(AND(ISBLANK(D589),ISBLANK(C589))),_xludf.XLOOKUP(D589,[2]CODE!$A$4:$A$100,[2]CODE!$E$4:$E$100),"")</f>
        <v/>
      </c>
      <c r="Y589" s="5" t="str">
        <f t="shared" si="66"/>
        <v/>
      </c>
      <c r="Z589" s="5" t="str">
        <f t="shared" si="67"/>
        <v/>
      </c>
      <c r="AA589" s="4">
        <f t="shared" si="68"/>
        <v>0</v>
      </c>
      <c r="AC589" s="2"/>
    </row>
    <row r="590" spans="1:29" ht="15.5">
      <c r="A590" s="13" t="str">
        <f>IF(OR(ISBLANK(C590),ISBLANK(D590),ISBLANK(F590),ISBLANK(G590)),"",COUNTIF($B$5:B590,"JAMBUTU"))</f>
        <v/>
      </c>
      <c r="B590" s="8" t="str">
        <f t="shared" si="62"/>
        <v/>
      </c>
      <c r="C590" s="8"/>
      <c r="D590" s="8"/>
      <c r="E590" s="13"/>
      <c r="F590" s="12"/>
      <c r="G590" s="11"/>
      <c r="H590" s="12"/>
      <c r="I590" s="11"/>
      <c r="J590" s="10">
        <f t="shared" si="63"/>
        <v>0</v>
      </c>
      <c r="K590" s="10">
        <f t="shared" si="64"/>
        <v>0</v>
      </c>
      <c r="L590" s="9" t="str">
        <f t="shared" si="65"/>
        <v/>
      </c>
      <c r="M590" s="8"/>
      <c r="N590" s="8"/>
      <c r="O590" s="8"/>
      <c r="P590" s="8"/>
      <c r="Q590" s="8"/>
      <c r="R590" s="8"/>
      <c r="S590" s="8"/>
      <c r="T590" s="8"/>
      <c r="U590" s="8"/>
      <c r="V590" s="7"/>
      <c r="W590" s="6" t="str">
        <f t="array" ref="W590">IF(NOT(ISBLANK(D590)),_xludf.XLOOKUP(D590,[2]CODE!$A$4:$A$100,[2]CODE!$D$4:$D$100),"")</f>
        <v/>
      </c>
      <c r="X590" s="5" t="str">
        <f t="array" ref="X590">IF(NOT(AND(ISBLANK(D590),ISBLANK(C590))),_xludf.XLOOKUP(D590,[2]CODE!$A$4:$A$100,[2]CODE!$E$4:$E$100),"")</f>
        <v/>
      </c>
      <c r="Y590" s="5" t="str">
        <f t="shared" si="66"/>
        <v/>
      </c>
      <c r="Z590" s="5" t="str">
        <f t="shared" si="67"/>
        <v/>
      </c>
      <c r="AA590" s="4">
        <f t="shared" si="68"/>
        <v>0</v>
      </c>
      <c r="AC590" s="2"/>
    </row>
    <row r="591" spans="1:29" ht="15.5">
      <c r="A591" s="13" t="str">
        <f>IF(OR(ISBLANK(C591),ISBLANK(D591),ISBLANK(F591),ISBLANK(G591)),"",COUNTIF($B$5:B591,"JAMBUTU"))</f>
        <v/>
      </c>
      <c r="B591" s="8" t="str">
        <f t="shared" si="62"/>
        <v/>
      </c>
      <c r="C591" s="8"/>
      <c r="D591" s="8"/>
      <c r="E591" s="13"/>
      <c r="F591" s="12"/>
      <c r="G591" s="11"/>
      <c r="H591" s="12"/>
      <c r="I591" s="11"/>
      <c r="J591" s="10">
        <f t="shared" si="63"/>
        <v>0</v>
      </c>
      <c r="K591" s="10">
        <f t="shared" si="64"/>
        <v>0</v>
      </c>
      <c r="L591" s="9" t="str">
        <f t="shared" si="65"/>
        <v/>
      </c>
      <c r="M591" s="8"/>
      <c r="N591" s="8"/>
      <c r="O591" s="8"/>
      <c r="P591" s="8"/>
      <c r="Q591" s="8"/>
      <c r="R591" s="8"/>
      <c r="S591" s="8"/>
      <c r="T591" s="8"/>
      <c r="U591" s="8"/>
      <c r="V591" s="7"/>
      <c r="W591" s="6" t="str">
        <f t="array" ref="W591">IF(NOT(ISBLANK(D591)),_xludf.XLOOKUP(D591,[2]CODE!$A$4:$A$100,[2]CODE!$D$4:$D$100),"")</f>
        <v/>
      </c>
      <c r="X591" s="5" t="str">
        <f t="array" ref="X591">IF(NOT(AND(ISBLANK(D591),ISBLANK(C591))),_xludf.XLOOKUP(D591,[2]CODE!$A$4:$A$100,[2]CODE!$E$4:$E$100),"")</f>
        <v/>
      </c>
      <c r="Y591" s="5" t="str">
        <f t="shared" si="66"/>
        <v/>
      </c>
      <c r="Z591" s="5" t="str">
        <f t="shared" si="67"/>
        <v/>
      </c>
      <c r="AA591" s="4">
        <f t="shared" si="68"/>
        <v>0</v>
      </c>
      <c r="AC591" s="2"/>
    </row>
    <row r="592" spans="1:29" ht="15.5">
      <c r="A592" s="13" t="str">
        <f>IF(OR(ISBLANK(C592),ISBLANK(D592),ISBLANK(F592),ISBLANK(G592)),"",COUNTIF($B$5:B592,"JAMBUTU"))</f>
        <v/>
      </c>
      <c r="B592" s="8" t="str">
        <f t="shared" si="62"/>
        <v/>
      </c>
      <c r="C592" s="8"/>
      <c r="D592" s="8"/>
      <c r="E592" s="13"/>
      <c r="F592" s="12"/>
      <c r="G592" s="11"/>
      <c r="H592" s="12"/>
      <c r="I592" s="11"/>
      <c r="J592" s="10">
        <f t="shared" si="63"/>
        <v>0</v>
      </c>
      <c r="K592" s="10">
        <f t="shared" si="64"/>
        <v>0</v>
      </c>
      <c r="L592" s="9" t="str">
        <f t="shared" si="65"/>
        <v/>
      </c>
      <c r="M592" s="8"/>
      <c r="N592" s="8"/>
      <c r="O592" s="8"/>
      <c r="P592" s="8"/>
      <c r="Q592" s="8"/>
      <c r="R592" s="8"/>
      <c r="S592" s="8"/>
      <c r="T592" s="8"/>
      <c r="U592" s="8"/>
      <c r="V592" s="7"/>
      <c r="W592" s="6" t="str">
        <f t="array" ref="W592">IF(NOT(ISBLANK(D592)),_xludf.XLOOKUP(D592,[2]CODE!$A$4:$A$100,[2]CODE!$D$4:$D$100),"")</f>
        <v/>
      </c>
      <c r="X592" s="5" t="str">
        <f t="array" ref="X592">IF(NOT(AND(ISBLANK(D592),ISBLANK(C592))),_xludf.XLOOKUP(D592,[2]CODE!$A$4:$A$100,[2]CODE!$E$4:$E$100),"")</f>
        <v/>
      </c>
      <c r="Y592" s="5" t="str">
        <f t="shared" si="66"/>
        <v/>
      </c>
      <c r="Z592" s="5" t="str">
        <f t="shared" si="67"/>
        <v/>
      </c>
      <c r="AA592" s="4">
        <f t="shared" si="68"/>
        <v>0</v>
      </c>
      <c r="AC592" s="2"/>
    </row>
    <row r="593" spans="1:29" ht="15.5">
      <c r="A593" s="13" t="str">
        <f>IF(OR(ISBLANK(C593),ISBLANK(D593),ISBLANK(F593),ISBLANK(G593)),"",COUNTIF($B$5:B593,"JAMBUTU"))</f>
        <v/>
      </c>
      <c r="B593" s="8" t="str">
        <f t="shared" si="62"/>
        <v/>
      </c>
      <c r="C593" s="8"/>
      <c r="D593" s="8"/>
      <c r="E593" s="13"/>
      <c r="F593" s="12"/>
      <c r="G593" s="11"/>
      <c r="H593" s="12"/>
      <c r="I593" s="11"/>
      <c r="J593" s="10">
        <f t="shared" si="63"/>
        <v>0</v>
      </c>
      <c r="K593" s="10">
        <f t="shared" si="64"/>
        <v>0</v>
      </c>
      <c r="L593" s="9" t="str">
        <f t="shared" si="65"/>
        <v/>
      </c>
      <c r="M593" s="8"/>
      <c r="N593" s="8"/>
      <c r="O593" s="8"/>
      <c r="P593" s="8"/>
      <c r="Q593" s="8"/>
      <c r="R593" s="8"/>
      <c r="S593" s="8"/>
      <c r="T593" s="8"/>
      <c r="U593" s="8"/>
      <c r="V593" s="7"/>
      <c r="W593" s="6" t="str">
        <f t="array" ref="W593">IF(NOT(ISBLANK(D593)),_xludf.XLOOKUP(D593,[2]CODE!$A$4:$A$100,[2]CODE!$D$4:$D$100),"")</f>
        <v/>
      </c>
      <c r="X593" s="5" t="str">
        <f t="array" ref="X593">IF(NOT(AND(ISBLANK(D593),ISBLANK(C593))),_xludf.XLOOKUP(D593,[2]CODE!$A$4:$A$100,[2]CODE!$E$4:$E$100),"")</f>
        <v/>
      </c>
      <c r="Y593" s="5" t="str">
        <f t="shared" si="66"/>
        <v/>
      </c>
      <c r="Z593" s="5" t="str">
        <f t="shared" si="67"/>
        <v/>
      </c>
      <c r="AA593" s="4">
        <f t="shared" si="68"/>
        <v>0</v>
      </c>
      <c r="AC593" s="2"/>
    </row>
    <row r="594" spans="1:29" ht="15.5">
      <c r="A594" s="13" t="str">
        <f>IF(OR(ISBLANK(C594),ISBLANK(D594),ISBLANK(F594),ISBLANK(G594)),"",COUNTIF($B$5:B594,"JAMBUTU"))</f>
        <v/>
      </c>
      <c r="B594" s="8" t="str">
        <f t="shared" si="62"/>
        <v/>
      </c>
      <c r="C594" s="8"/>
      <c r="D594" s="8"/>
      <c r="E594" s="13"/>
      <c r="F594" s="12"/>
      <c r="G594" s="11"/>
      <c r="H594" s="12"/>
      <c r="I594" s="11"/>
      <c r="J594" s="10">
        <f t="shared" si="63"/>
        <v>0</v>
      </c>
      <c r="K594" s="10">
        <f t="shared" si="64"/>
        <v>0</v>
      </c>
      <c r="L594" s="9" t="str">
        <f t="shared" si="65"/>
        <v/>
      </c>
      <c r="M594" s="8"/>
      <c r="N594" s="8"/>
      <c r="O594" s="8"/>
      <c r="P594" s="8"/>
      <c r="Q594" s="8"/>
      <c r="R594" s="8"/>
      <c r="S594" s="8"/>
      <c r="T594" s="8"/>
      <c r="U594" s="8"/>
      <c r="V594" s="7"/>
      <c r="W594" s="6" t="str">
        <f t="array" ref="W594">IF(NOT(ISBLANK(D594)),_xludf.XLOOKUP(D594,[2]CODE!$A$4:$A$100,[2]CODE!$D$4:$D$100),"")</f>
        <v/>
      </c>
      <c r="X594" s="5" t="str">
        <f t="array" ref="X594">IF(NOT(AND(ISBLANK(D594),ISBLANK(C594))),_xludf.XLOOKUP(D594,[2]CODE!$A$4:$A$100,[2]CODE!$E$4:$E$100),"")</f>
        <v/>
      </c>
      <c r="Y594" s="5" t="str">
        <f t="shared" si="66"/>
        <v/>
      </c>
      <c r="Z594" s="5" t="str">
        <f t="shared" si="67"/>
        <v/>
      </c>
      <c r="AA594" s="4">
        <f t="shared" si="68"/>
        <v>0</v>
      </c>
      <c r="AC594" s="2"/>
    </row>
    <row r="595" spans="1:29" ht="15.5">
      <c r="A595" s="13" t="str">
        <f>IF(OR(ISBLANK(C595),ISBLANK(D595),ISBLANK(F595),ISBLANK(G595)),"",COUNTIF($B$5:B595,"JAMBUTU"))</f>
        <v/>
      </c>
      <c r="B595" s="8" t="str">
        <f t="shared" ref="B595:B598" si="69">IF(C595&lt;&gt;"","Jambutu","")</f>
        <v/>
      </c>
      <c r="C595" s="8"/>
      <c r="D595" s="8"/>
      <c r="E595" s="13"/>
      <c r="F595" s="12"/>
      <c r="G595" s="11"/>
      <c r="H595" s="12"/>
      <c r="I595" s="11"/>
      <c r="J595" s="10">
        <f t="shared" si="63"/>
        <v>0</v>
      </c>
      <c r="K595" s="10">
        <f t="shared" si="64"/>
        <v>0</v>
      </c>
      <c r="L595" s="9" t="str">
        <f t="shared" si="65"/>
        <v/>
      </c>
      <c r="M595" s="8"/>
      <c r="N595" s="8"/>
      <c r="O595" s="8"/>
      <c r="P595" s="8"/>
      <c r="Q595" s="8"/>
      <c r="R595" s="8"/>
      <c r="S595" s="8"/>
      <c r="T595" s="8"/>
      <c r="U595" s="8"/>
      <c r="V595" s="7"/>
      <c r="W595" s="6" t="str">
        <f t="array" ref="W595">IF(NOT(ISBLANK(D595)),_xludf.XLOOKUP(D595,[2]CODE!$A$4:$A$100,[2]CODE!$D$4:$D$100),"")</f>
        <v/>
      </c>
      <c r="X595" s="5" t="str">
        <f t="array" ref="X595">IF(NOT(AND(ISBLANK(D595),ISBLANK(C595))),_xludf.XLOOKUP(D595,[2]CODE!$A$4:$A$100,[2]CODE!$E$4:$E$100),"")</f>
        <v/>
      </c>
      <c r="Y595" s="5" t="str">
        <f t="shared" si="66"/>
        <v/>
      </c>
      <c r="Z595" s="5" t="str">
        <f t="shared" si="67"/>
        <v/>
      </c>
      <c r="AA595" s="4">
        <f t="shared" si="68"/>
        <v>0</v>
      </c>
      <c r="AC595" s="2"/>
    </row>
    <row r="596" spans="1:29" ht="15.5">
      <c r="A596" s="13" t="str">
        <f>IF(OR(ISBLANK(C596),ISBLANK(D596),ISBLANK(F596),ISBLANK(G596)),"",COUNTIF($B$5:B596,"JAMBUTU"))</f>
        <v/>
      </c>
      <c r="B596" s="8" t="str">
        <f t="shared" si="69"/>
        <v/>
      </c>
      <c r="C596" s="8"/>
      <c r="D596" s="8"/>
      <c r="E596" s="13"/>
      <c r="F596" s="12"/>
      <c r="G596" s="11"/>
      <c r="H596" s="12"/>
      <c r="I596" s="11"/>
      <c r="J596" s="10">
        <f t="shared" si="63"/>
        <v>0</v>
      </c>
      <c r="K596" s="10">
        <f t="shared" si="64"/>
        <v>0</v>
      </c>
      <c r="L596" s="9" t="str">
        <f t="shared" si="65"/>
        <v/>
      </c>
      <c r="M596" s="8"/>
      <c r="N596" s="8"/>
      <c r="O596" s="8"/>
      <c r="P596" s="8"/>
      <c r="Q596" s="8"/>
      <c r="R596" s="8"/>
      <c r="S596" s="8"/>
      <c r="T596" s="8"/>
      <c r="U596" s="8"/>
      <c r="V596" s="7"/>
      <c r="W596" s="6" t="str">
        <f t="array" ref="W596">IF(NOT(ISBLANK(D596)),_xludf.XLOOKUP(D596,[2]CODE!$A$4:$A$100,[2]CODE!$D$4:$D$100),"")</f>
        <v/>
      </c>
      <c r="X596" s="5" t="str">
        <f t="array" ref="X596">IF(NOT(AND(ISBLANK(D596),ISBLANK(C596))),_xludf.XLOOKUP(D596,[2]CODE!$A$4:$A$100,[2]CODE!$E$4:$E$100),"")</f>
        <v/>
      </c>
      <c r="Y596" s="5" t="str">
        <f t="shared" si="66"/>
        <v/>
      </c>
      <c r="Z596" s="5" t="str">
        <f t="shared" si="67"/>
        <v/>
      </c>
      <c r="AA596" s="4">
        <f t="shared" si="68"/>
        <v>0</v>
      </c>
      <c r="AC596" s="2"/>
    </row>
    <row r="597" spans="1:29" ht="15.5">
      <c r="A597" s="13" t="str">
        <f>IF(OR(ISBLANK(C597),ISBLANK(D597),ISBLANK(F597),ISBLANK(G597)),"",COUNTIF($B$5:B597,"JAMBUTU"))</f>
        <v/>
      </c>
      <c r="B597" s="8" t="str">
        <f t="shared" si="69"/>
        <v/>
      </c>
      <c r="C597" s="8"/>
      <c r="D597" s="8"/>
      <c r="E597" s="13"/>
      <c r="F597" s="12"/>
      <c r="G597" s="11"/>
      <c r="H597" s="12"/>
      <c r="I597" s="11"/>
      <c r="J597" s="10">
        <f t="shared" si="63"/>
        <v>0</v>
      </c>
      <c r="K597" s="10">
        <f t="shared" si="64"/>
        <v>0</v>
      </c>
      <c r="L597" s="9" t="str">
        <f t="shared" si="65"/>
        <v/>
      </c>
      <c r="M597" s="8"/>
      <c r="N597" s="8"/>
      <c r="O597" s="8"/>
      <c r="P597" s="8"/>
      <c r="Q597" s="8"/>
      <c r="R597" s="8"/>
      <c r="S597" s="8"/>
      <c r="T597" s="8"/>
      <c r="U597" s="8"/>
      <c r="V597" s="7"/>
      <c r="W597" s="6" t="str">
        <f t="array" ref="W597">IF(NOT(ISBLANK(D597)),_xludf.XLOOKUP(D597,[2]CODE!$A$4:$A$100,[2]CODE!$D$4:$D$100),"")</f>
        <v/>
      </c>
      <c r="X597" s="5" t="str">
        <f t="array" ref="X597">IF(NOT(AND(ISBLANK(D597),ISBLANK(C597))),_xludf.XLOOKUP(D597,[2]CODE!$A$4:$A$100,[2]CODE!$E$4:$E$100),"")</f>
        <v/>
      </c>
      <c r="Y597" s="5" t="str">
        <f t="shared" si="66"/>
        <v/>
      </c>
      <c r="Z597" s="5" t="str">
        <f t="shared" si="67"/>
        <v/>
      </c>
      <c r="AA597" s="4">
        <f t="shared" si="68"/>
        <v>0</v>
      </c>
      <c r="AC597" s="2"/>
    </row>
    <row r="598" spans="1:29" ht="15.5">
      <c r="A598" s="13" t="str">
        <f>IF(OR(ISBLANK(C598),ISBLANK(D598),ISBLANK(F598),ISBLANK(G598)),"",COUNTIF($B$5:B598,"JAMBUTU"))</f>
        <v/>
      </c>
      <c r="B598" s="8" t="str">
        <f t="shared" si="69"/>
        <v/>
      </c>
      <c r="C598" s="8"/>
      <c r="D598" s="8"/>
      <c r="E598" s="13"/>
      <c r="F598" s="12"/>
      <c r="G598" s="11"/>
      <c r="H598" s="12"/>
      <c r="I598" s="11"/>
      <c r="J598" s="10">
        <f t="shared" si="63"/>
        <v>0</v>
      </c>
      <c r="K598" s="10">
        <f t="shared" si="64"/>
        <v>0</v>
      </c>
      <c r="L598" s="9" t="str">
        <f t="shared" si="65"/>
        <v/>
      </c>
      <c r="M598" s="8"/>
      <c r="N598" s="8"/>
      <c r="O598" s="8"/>
      <c r="P598" s="8"/>
      <c r="Q598" s="8"/>
      <c r="R598" s="8"/>
      <c r="S598" s="8"/>
      <c r="T598" s="8"/>
      <c r="U598" s="8"/>
      <c r="V598" s="7"/>
      <c r="W598" s="6" t="str">
        <f t="array" ref="W598">IF(NOT(ISBLANK(D598)),_xludf.XLOOKUP(D598,[2]CODE!$A$4:$A$100,[2]CODE!$D$4:$D$100),"")</f>
        <v/>
      </c>
      <c r="X598" s="5" t="str">
        <f t="array" ref="X598">IF(NOT(AND(ISBLANK(D598),ISBLANK(C598))),_xludf.XLOOKUP(D598,[2]CODE!$A$4:$A$100,[2]CODE!$E$4:$E$100),"")</f>
        <v/>
      </c>
      <c r="Y598" s="5" t="str">
        <f t="shared" si="66"/>
        <v/>
      </c>
      <c r="Z598" s="5" t="str">
        <f t="shared" si="67"/>
        <v/>
      </c>
      <c r="AA598" s="4">
        <f t="shared" si="68"/>
        <v>0</v>
      </c>
      <c r="AC598" s="2"/>
    </row>
    <row r="599" spans="1:29" ht="13">
      <c r="E599" s="2"/>
      <c r="F599" s="2"/>
      <c r="G599" s="2"/>
      <c r="H599" s="2"/>
      <c r="I599" s="2"/>
    </row>
    <row r="600" spans="1:29" ht="13">
      <c r="E600" s="2"/>
      <c r="F600" s="2"/>
      <c r="G600" s="2"/>
      <c r="H600" s="2"/>
      <c r="I600" s="2"/>
      <c r="L600" s="3">
        <f>SUBTOTAL(9,L5:L598)*24</f>
        <v>147.23333333357004</v>
      </c>
    </row>
    <row r="601" spans="1:29" ht="13">
      <c r="E601" s="2"/>
      <c r="F601" s="2"/>
      <c r="G601" s="2"/>
      <c r="H601" s="2"/>
      <c r="I601" s="2"/>
    </row>
    <row r="602" spans="1:29" ht="13">
      <c r="E602" s="2"/>
      <c r="F602" s="2"/>
      <c r="G602" s="2"/>
      <c r="H602" s="2"/>
      <c r="I602" s="2"/>
    </row>
    <row r="603" spans="1:29" ht="13">
      <c r="E603" s="2"/>
      <c r="F603" s="2"/>
      <c r="G603" s="2"/>
      <c r="H603" s="2"/>
      <c r="I603" s="2"/>
    </row>
    <row r="604" spans="1:29" ht="13">
      <c r="E604" s="2"/>
      <c r="F604" s="2"/>
      <c r="G604" s="2"/>
      <c r="H604" s="2"/>
      <c r="I604" s="2"/>
    </row>
    <row r="605" spans="1:29" ht="13">
      <c r="E605" s="2"/>
      <c r="F605" s="2"/>
      <c r="G605" s="2"/>
      <c r="H605" s="2"/>
      <c r="I605" s="2"/>
    </row>
    <row r="606" spans="1:29" ht="13">
      <c r="E606" s="2"/>
      <c r="F606" s="2"/>
      <c r="G606" s="2"/>
      <c r="H606" s="2"/>
      <c r="I606" s="2"/>
    </row>
    <row r="607" spans="1:29" ht="13">
      <c r="E607" s="2"/>
      <c r="F607" s="2"/>
      <c r="G607" s="2"/>
      <c r="H607" s="2"/>
      <c r="I607" s="2"/>
    </row>
    <row r="608" spans="1:29" ht="13">
      <c r="E608" s="2"/>
      <c r="F608" s="2"/>
      <c r="G608" s="2"/>
      <c r="H608" s="2"/>
      <c r="I608" s="2"/>
    </row>
    <row r="609" spans="5:9" ht="13">
      <c r="E609" s="2"/>
      <c r="F609" s="2"/>
      <c r="G609" s="2"/>
      <c r="H609" s="2"/>
      <c r="I609" s="2"/>
    </row>
    <row r="610" spans="5:9" ht="13">
      <c r="E610" s="2"/>
      <c r="F610" s="2"/>
      <c r="G610" s="2"/>
      <c r="H610" s="2"/>
      <c r="I610" s="2"/>
    </row>
    <row r="611" spans="5:9" ht="13">
      <c r="E611" s="2"/>
      <c r="F611" s="2"/>
      <c r="G611" s="2"/>
      <c r="H611" s="2"/>
      <c r="I611" s="2"/>
    </row>
    <row r="612" spans="5:9" ht="13">
      <c r="E612" s="2"/>
      <c r="F612" s="2"/>
      <c r="G612" s="2"/>
      <c r="H612" s="2"/>
      <c r="I612" s="2"/>
    </row>
    <row r="613" spans="5:9" ht="13">
      <c r="E613" s="2"/>
      <c r="F613" s="2"/>
      <c r="G613" s="2"/>
      <c r="H613" s="2"/>
      <c r="I613" s="2"/>
    </row>
    <row r="614" spans="5:9" ht="13">
      <c r="E614" s="2"/>
      <c r="F614" s="2"/>
      <c r="G614" s="2"/>
      <c r="H614" s="2"/>
      <c r="I614" s="2"/>
    </row>
    <row r="615" spans="5:9" ht="13">
      <c r="E615" s="2"/>
      <c r="F615" s="2"/>
      <c r="G615" s="2"/>
      <c r="H615" s="2"/>
      <c r="I615" s="2"/>
    </row>
    <row r="616" spans="5:9" ht="13">
      <c r="E616" s="2"/>
      <c r="F616" s="2"/>
      <c r="G616" s="2"/>
      <c r="H616" s="2"/>
      <c r="I616" s="2"/>
    </row>
    <row r="617" spans="5:9" ht="13">
      <c r="E617" s="2"/>
      <c r="F617" s="2"/>
      <c r="G617" s="2"/>
      <c r="H617" s="2"/>
      <c r="I617" s="2"/>
    </row>
    <row r="618" spans="5:9" ht="13">
      <c r="E618" s="2"/>
      <c r="F618" s="2"/>
      <c r="G618" s="2"/>
      <c r="H618" s="2"/>
      <c r="I618" s="2"/>
    </row>
    <row r="619" spans="5:9" ht="13">
      <c r="E619" s="2"/>
      <c r="F619" s="2"/>
      <c r="G619" s="2"/>
      <c r="H619" s="2"/>
      <c r="I619" s="2"/>
    </row>
    <row r="620" spans="5:9" ht="13">
      <c r="E620" s="2"/>
      <c r="F620" s="2"/>
      <c r="G620" s="2"/>
      <c r="H620" s="2"/>
      <c r="I620" s="2"/>
    </row>
    <row r="621" spans="5:9" ht="13">
      <c r="E621" s="2"/>
      <c r="F621" s="2"/>
      <c r="G621" s="2"/>
      <c r="H621" s="2"/>
      <c r="I621" s="2"/>
    </row>
    <row r="622" spans="5:9" ht="13">
      <c r="E622" s="2"/>
      <c r="F622" s="2"/>
      <c r="G622" s="2"/>
      <c r="H622" s="2"/>
      <c r="I622" s="2"/>
    </row>
    <row r="623" spans="5:9" ht="13">
      <c r="E623" s="2"/>
      <c r="F623" s="2"/>
      <c r="G623" s="2"/>
      <c r="H623" s="2"/>
      <c r="I623" s="2"/>
    </row>
    <row r="624" spans="5:9" ht="13">
      <c r="E624" s="2"/>
      <c r="F624" s="2"/>
      <c r="G624" s="2"/>
      <c r="H624" s="2"/>
      <c r="I624" s="2"/>
    </row>
    <row r="625" spans="5:9" ht="13">
      <c r="E625" s="2"/>
      <c r="F625" s="2"/>
      <c r="G625" s="2"/>
      <c r="H625" s="2"/>
      <c r="I625" s="2"/>
    </row>
    <row r="626" spans="5:9" ht="13">
      <c r="E626" s="2"/>
      <c r="F626" s="2"/>
      <c r="G626" s="2"/>
      <c r="H626" s="2"/>
      <c r="I626" s="2"/>
    </row>
    <row r="627" spans="5:9" ht="13">
      <c r="E627" s="2"/>
      <c r="F627" s="2"/>
      <c r="G627" s="2"/>
      <c r="H627" s="2"/>
      <c r="I627" s="2"/>
    </row>
    <row r="628" spans="5:9" ht="13">
      <c r="E628" s="2"/>
      <c r="F628" s="2"/>
      <c r="G628" s="2"/>
      <c r="H628" s="2"/>
      <c r="I628" s="2"/>
    </row>
    <row r="629" spans="5:9" ht="13">
      <c r="E629" s="2"/>
      <c r="F629" s="2"/>
      <c r="G629" s="2"/>
      <c r="H629" s="2"/>
      <c r="I629" s="2"/>
    </row>
    <row r="630" spans="5:9" ht="13">
      <c r="E630" s="2"/>
      <c r="F630" s="2"/>
      <c r="G630" s="2"/>
      <c r="H630" s="2"/>
      <c r="I630" s="2"/>
    </row>
    <row r="631" spans="5:9" ht="13">
      <c r="E631" s="2"/>
      <c r="F631" s="2"/>
      <c r="G631" s="2"/>
      <c r="H631" s="2"/>
      <c r="I631" s="2"/>
    </row>
    <row r="632" spans="5:9" ht="13">
      <c r="E632" s="2"/>
      <c r="F632" s="2"/>
      <c r="G632" s="2"/>
      <c r="H632" s="2"/>
      <c r="I632" s="2"/>
    </row>
    <row r="633" spans="5:9" ht="13">
      <c r="E633" s="2"/>
      <c r="F633" s="2"/>
      <c r="G633" s="2"/>
      <c r="H633" s="2"/>
      <c r="I633" s="2"/>
    </row>
    <row r="634" spans="5:9" ht="13">
      <c r="E634" s="2"/>
      <c r="F634" s="2"/>
      <c r="G634" s="2"/>
      <c r="H634" s="2"/>
      <c r="I634" s="2"/>
    </row>
    <row r="635" spans="5:9" ht="13">
      <c r="E635" s="2"/>
      <c r="F635" s="2"/>
      <c r="G635" s="2"/>
      <c r="H635" s="2"/>
      <c r="I635" s="2"/>
    </row>
    <row r="636" spans="5:9" ht="13">
      <c r="E636" s="2"/>
      <c r="F636" s="2"/>
      <c r="G636" s="2"/>
      <c r="H636" s="2"/>
      <c r="I636" s="2"/>
    </row>
    <row r="637" spans="5:9" ht="13">
      <c r="E637" s="2"/>
      <c r="F637" s="2"/>
      <c r="G637" s="2"/>
      <c r="H637" s="2"/>
      <c r="I637" s="2"/>
    </row>
    <row r="638" spans="5:9" ht="13">
      <c r="E638" s="2"/>
      <c r="F638" s="2"/>
      <c r="G638" s="2"/>
      <c r="H638" s="2"/>
      <c r="I638" s="2"/>
    </row>
    <row r="639" spans="5:9" ht="13">
      <c r="E639" s="2"/>
      <c r="F639" s="2"/>
      <c r="G639" s="2"/>
      <c r="H639" s="2"/>
      <c r="I639" s="2"/>
    </row>
    <row r="640" spans="5:9" ht="13">
      <c r="E640" s="2"/>
      <c r="F640" s="2"/>
      <c r="G640" s="2"/>
      <c r="H640" s="2"/>
      <c r="I640" s="2"/>
    </row>
    <row r="641" spans="5:9" ht="13">
      <c r="E641" s="2"/>
      <c r="F641" s="2"/>
      <c r="G641" s="2"/>
      <c r="H641" s="2"/>
      <c r="I641" s="2"/>
    </row>
    <row r="642" spans="5:9" ht="13">
      <c r="E642" s="2"/>
      <c r="F642" s="2"/>
      <c r="G642" s="2"/>
      <c r="H642" s="2"/>
      <c r="I642" s="2"/>
    </row>
    <row r="643" spans="5:9" ht="13">
      <c r="E643" s="2"/>
      <c r="F643" s="2"/>
      <c r="G643" s="2"/>
      <c r="H643" s="2"/>
      <c r="I643" s="2"/>
    </row>
    <row r="644" spans="5:9" ht="13">
      <c r="E644" s="2"/>
      <c r="F644" s="2"/>
      <c r="G644" s="2"/>
      <c r="H644" s="2"/>
      <c r="I644" s="2"/>
    </row>
    <row r="645" spans="5:9" ht="13">
      <c r="E645" s="2"/>
      <c r="F645" s="2"/>
      <c r="G645" s="2"/>
      <c r="H645" s="2"/>
      <c r="I645" s="2"/>
    </row>
    <row r="646" spans="5:9" ht="13">
      <c r="E646" s="2"/>
      <c r="F646" s="2"/>
      <c r="G646" s="2"/>
      <c r="H646" s="2"/>
      <c r="I646" s="2"/>
    </row>
    <row r="647" spans="5:9" ht="13">
      <c r="E647" s="2"/>
      <c r="F647" s="2"/>
      <c r="G647" s="2"/>
      <c r="H647" s="2"/>
      <c r="I647" s="2"/>
    </row>
    <row r="648" spans="5:9" ht="13">
      <c r="E648" s="2"/>
      <c r="F648" s="2"/>
      <c r="G648" s="2"/>
      <c r="H648" s="2"/>
      <c r="I648" s="2"/>
    </row>
    <row r="649" spans="5:9" ht="13">
      <c r="E649" s="2"/>
      <c r="F649" s="2"/>
      <c r="G649" s="2"/>
      <c r="H649" s="2"/>
      <c r="I649" s="2"/>
    </row>
    <row r="650" spans="5:9" ht="13">
      <c r="E650" s="2"/>
      <c r="F650" s="2"/>
      <c r="G650" s="2"/>
      <c r="H650" s="2"/>
      <c r="I650" s="2"/>
    </row>
    <row r="651" spans="5:9" ht="13">
      <c r="E651" s="2"/>
      <c r="F651" s="2"/>
      <c r="G651" s="2"/>
      <c r="H651" s="2"/>
      <c r="I651" s="2"/>
    </row>
    <row r="652" spans="5:9" ht="13">
      <c r="E652" s="2"/>
      <c r="F652" s="2"/>
      <c r="G652" s="2"/>
      <c r="H652" s="2"/>
      <c r="I652" s="2"/>
    </row>
    <row r="653" spans="5:9" ht="13">
      <c r="E653" s="2"/>
      <c r="F653" s="2"/>
      <c r="G653" s="2"/>
      <c r="H653" s="2"/>
      <c r="I653" s="2"/>
    </row>
    <row r="654" spans="5:9" ht="13">
      <c r="E654" s="2"/>
      <c r="F654" s="2"/>
      <c r="G654" s="2"/>
      <c r="H654" s="2"/>
      <c r="I654" s="2"/>
    </row>
    <row r="655" spans="5:9" ht="13">
      <c r="E655" s="2"/>
      <c r="F655" s="2"/>
      <c r="G655" s="2"/>
      <c r="H655" s="2"/>
      <c r="I655" s="2"/>
    </row>
    <row r="656" spans="5:9" ht="13">
      <c r="E656" s="2"/>
      <c r="F656" s="2"/>
      <c r="G656" s="2"/>
      <c r="H656" s="2"/>
      <c r="I656" s="2"/>
    </row>
    <row r="657" spans="5:9" ht="13">
      <c r="E657" s="2"/>
      <c r="F657" s="2"/>
      <c r="G657" s="2"/>
      <c r="H657" s="2"/>
      <c r="I657" s="2"/>
    </row>
    <row r="658" spans="5:9" ht="13">
      <c r="E658" s="2"/>
      <c r="F658" s="2"/>
      <c r="G658" s="2"/>
      <c r="H658" s="2"/>
      <c r="I658" s="2"/>
    </row>
    <row r="659" spans="5:9" ht="13">
      <c r="E659" s="2"/>
      <c r="F659" s="2"/>
      <c r="G659" s="2"/>
      <c r="H659" s="2"/>
      <c r="I659" s="2"/>
    </row>
    <row r="660" spans="5:9" ht="13">
      <c r="E660" s="2"/>
      <c r="F660" s="2"/>
      <c r="G660" s="2"/>
      <c r="H660" s="2"/>
      <c r="I660" s="2"/>
    </row>
    <row r="661" spans="5:9" ht="13">
      <c r="E661" s="2"/>
      <c r="F661" s="2"/>
      <c r="G661" s="2"/>
      <c r="H661" s="2"/>
      <c r="I661" s="2"/>
    </row>
    <row r="662" spans="5:9" ht="13">
      <c r="E662" s="2"/>
      <c r="F662" s="2"/>
      <c r="G662" s="2"/>
      <c r="H662" s="2"/>
      <c r="I662" s="2"/>
    </row>
    <row r="663" spans="5:9" ht="13">
      <c r="E663" s="2"/>
      <c r="F663" s="2"/>
      <c r="G663" s="2"/>
      <c r="H663" s="2"/>
      <c r="I663" s="2"/>
    </row>
    <row r="664" spans="5:9" ht="13">
      <c r="E664" s="2"/>
      <c r="F664" s="2"/>
      <c r="G664" s="2"/>
      <c r="H664" s="2"/>
      <c r="I664" s="2"/>
    </row>
    <row r="665" spans="5:9" ht="13">
      <c r="E665" s="2"/>
      <c r="F665" s="2"/>
      <c r="G665" s="2"/>
      <c r="H665" s="2"/>
      <c r="I665" s="2"/>
    </row>
    <row r="666" spans="5:9" ht="13">
      <c r="E666" s="2"/>
      <c r="F666" s="2"/>
      <c r="G666" s="2"/>
      <c r="H666" s="2"/>
      <c r="I666" s="2"/>
    </row>
    <row r="667" spans="5:9" ht="13">
      <c r="E667" s="2"/>
      <c r="F667" s="2"/>
      <c r="G667" s="2"/>
      <c r="H667" s="2"/>
      <c r="I667" s="2"/>
    </row>
    <row r="668" spans="5:9" ht="13">
      <c r="E668" s="2"/>
      <c r="F668" s="2"/>
      <c r="G668" s="2"/>
      <c r="H668" s="2"/>
      <c r="I668" s="2"/>
    </row>
    <row r="669" spans="5:9" ht="13">
      <c r="E669" s="2"/>
      <c r="F669" s="2"/>
      <c r="G669" s="2"/>
      <c r="H669" s="2"/>
      <c r="I669" s="2"/>
    </row>
    <row r="670" spans="5:9" ht="13">
      <c r="E670" s="2"/>
      <c r="F670" s="2"/>
      <c r="G670" s="2"/>
      <c r="H670" s="2"/>
      <c r="I670" s="2"/>
    </row>
    <row r="671" spans="5:9" ht="13">
      <c r="E671" s="2"/>
      <c r="F671" s="2"/>
      <c r="G671" s="2"/>
      <c r="H671" s="2"/>
      <c r="I671" s="2"/>
    </row>
    <row r="672" spans="5:9" ht="13">
      <c r="E672" s="2"/>
      <c r="F672" s="2"/>
      <c r="G672" s="2"/>
      <c r="H672" s="2"/>
      <c r="I672" s="2"/>
    </row>
    <row r="673" spans="5:9" ht="13">
      <c r="E673" s="2"/>
      <c r="F673" s="2"/>
      <c r="G673" s="2"/>
      <c r="H673" s="2"/>
      <c r="I673" s="2"/>
    </row>
    <row r="674" spans="5:9" ht="13">
      <c r="E674" s="2"/>
      <c r="F674" s="2"/>
      <c r="G674" s="2"/>
      <c r="H674" s="2"/>
      <c r="I674" s="2"/>
    </row>
    <row r="675" spans="5:9" ht="13">
      <c r="E675" s="2"/>
      <c r="F675" s="2"/>
      <c r="G675" s="2"/>
      <c r="H675" s="2"/>
      <c r="I675" s="2"/>
    </row>
    <row r="676" spans="5:9" ht="13">
      <c r="E676" s="2"/>
      <c r="F676" s="2"/>
      <c r="G676" s="2"/>
      <c r="H676" s="2"/>
      <c r="I676" s="2"/>
    </row>
    <row r="677" spans="5:9" ht="13">
      <c r="E677" s="2"/>
      <c r="F677" s="2"/>
      <c r="G677" s="2"/>
      <c r="H677" s="2"/>
      <c r="I677" s="2"/>
    </row>
    <row r="678" spans="5:9" ht="13">
      <c r="E678" s="2"/>
      <c r="F678" s="2"/>
      <c r="G678" s="2"/>
      <c r="H678" s="2"/>
      <c r="I678" s="2"/>
    </row>
    <row r="679" spans="5:9" ht="13">
      <c r="E679" s="2"/>
      <c r="F679" s="2"/>
      <c r="G679" s="2"/>
      <c r="H679" s="2"/>
      <c r="I679" s="2"/>
    </row>
    <row r="680" spans="5:9" ht="13">
      <c r="E680" s="2"/>
      <c r="F680" s="2"/>
      <c r="G680" s="2"/>
      <c r="H680" s="2"/>
      <c r="I680" s="2"/>
    </row>
    <row r="681" spans="5:9" ht="13">
      <c r="E681" s="2"/>
      <c r="F681" s="2"/>
      <c r="G681" s="2"/>
      <c r="H681" s="2"/>
      <c r="I681" s="2"/>
    </row>
    <row r="682" spans="5:9" ht="13">
      <c r="E682" s="2"/>
      <c r="F682" s="2"/>
      <c r="G682" s="2"/>
      <c r="H682" s="2"/>
      <c r="I682" s="2"/>
    </row>
    <row r="683" spans="5:9" ht="13">
      <c r="E683" s="2"/>
      <c r="F683" s="2"/>
      <c r="G683" s="2"/>
      <c r="H683" s="2"/>
      <c r="I683" s="2"/>
    </row>
    <row r="684" spans="5:9" ht="13">
      <c r="E684" s="2"/>
      <c r="F684" s="2"/>
      <c r="G684" s="2"/>
      <c r="H684" s="2"/>
      <c r="I684" s="2"/>
    </row>
    <row r="685" spans="5:9" ht="13">
      <c r="E685" s="2"/>
      <c r="F685" s="2"/>
      <c r="G685" s="2"/>
      <c r="H685" s="2"/>
      <c r="I685" s="2"/>
    </row>
    <row r="686" spans="5:9" ht="13">
      <c r="E686" s="2"/>
      <c r="F686" s="2"/>
      <c r="G686" s="2"/>
      <c r="H686" s="2"/>
      <c r="I686" s="2"/>
    </row>
    <row r="687" spans="5:9" ht="13">
      <c r="E687" s="2"/>
      <c r="F687" s="2"/>
      <c r="G687" s="2"/>
      <c r="H687" s="2"/>
      <c r="I687" s="2"/>
    </row>
    <row r="688" spans="5:9" ht="13">
      <c r="E688" s="2"/>
      <c r="F688" s="2"/>
      <c r="G688" s="2"/>
      <c r="H688" s="2"/>
      <c r="I688" s="2"/>
    </row>
    <row r="689" spans="5:9" ht="13">
      <c r="E689" s="2"/>
      <c r="F689" s="2"/>
      <c r="G689" s="2"/>
      <c r="H689" s="2"/>
      <c r="I689" s="2"/>
    </row>
    <row r="690" spans="5:9" ht="13">
      <c r="E690" s="2"/>
      <c r="F690" s="2"/>
      <c r="G690" s="2"/>
      <c r="H690" s="2"/>
      <c r="I690" s="2"/>
    </row>
    <row r="691" spans="5:9" ht="13">
      <c r="E691" s="2"/>
      <c r="F691" s="2"/>
      <c r="G691" s="2"/>
      <c r="H691" s="2"/>
      <c r="I691" s="2"/>
    </row>
    <row r="692" spans="5:9" ht="13">
      <c r="E692" s="2"/>
      <c r="F692" s="2"/>
      <c r="G692" s="2"/>
      <c r="H692" s="2"/>
      <c r="I692" s="2"/>
    </row>
    <row r="693" spans="5:9" ht="13">
      <c r="E693" s="2"/>
      <c r="F693" s="2"/>
      <c r="G693" s="2"/>
      <c r="H693" s="2"/>
      <c r="I693" s="2"/>
    </row>
    <row r="694" spans="5:9" ht="13">
      <c r="E694" s="2"/>
      <c r="F694" s="2"/>
      <c r="G694" s="2"/>
      <c r="H694" s="2"/>
      <c r="I694" s="2"/>
    </row>
    <row r="695" spans="5:9" ht="13">
      <c r="E695" s="2"/>
      <c r="F695" s="2"/>
      <c r="G695" s="2"/>
      <c r="H695" s="2"/>
      <c r="I695" s="2"/>
    </row>
    <row r="696" spans="5:9" ht="13">
      <c r="E696" s="2"/>
      <c r="F696" s="2"/>
      <c r="G696" s="2"/>
      <c r="H696" s="2"/>
      <c r="I696" s="2"/>
    </row>
    <row r="697" spans="5:9" ht="13">
      <c r="E697" s="2"/>
      <c r="F697" s="2"/>
      <c r="G697" s="2"/>
      <c r="H697" s="2"/>
      <c r="I697" s="2"/>
    </row>
    <row r="698" spans="5:9" ht="13">
      <c r="E698" s="2"/>
      <c r="F698" s="2"/>
      <c r="G698" s="2"/>
      <c r="H698" s="2"/>
      <c r="I698" s="2"/>
    </row>
    <row r="699" spans="5:9" ht="13">
      <c r="E699" s="2"/>
      <c r="F699" s="2"/>
      <c r="G699" s="2"/>
      <c r="H699" s="2"/>
      <c r="I699" s="2"/>
    </row>
    <row r="700" spans="5:9" ht="13">
      <c r="E700" s="2"/>
      <c r="F700" s="2"/>
      <c r="G700" s="2"/>
      <c r="H700" s="2"/>
      <c r="I700" s="2"/>
    </row>
    <row r="701" spans="5:9" ht="13">
      <c r="E701" s="2"/>
      <c r="F701" s="2"/>
      <c r="G701" s="2"/>
      <c r="H701" s="2"/>
      <c r="I701" s="2"/>
    </row>
    <row r="702" spans="5:9" ht="13">
      <c r="E702" s="2"/>
      <c r="F702" s="2"/>
      <c r="G702" s="2"/>
      <c r="H702" s="2"/>
      <c r="I702" s="2"/>
    </row>
    <row r="703" spans="5:9" ht="13">
      <c r="E703" s="2"/>
      <c r="F703" s="2"/>
      <c r="G703" s="2"/>
      <c r="H703" s="2"/>
      <c r="I703" s="2"/>
    </row>
    <row r="704" spans="5:9" ht="13">
      <c r="E704" s="2"/>
      <c r="F704" s="2"/>
      <c r="G704" s="2"/>
      <c r="H704" s="2"/>
      <c r="I704" s="2"/>
    </row>
    <row r="705" spans="5:9" ht="13">
      <c r="E705" s="2"/>
      <c r="F705" s="2"/>
      <c r="G705" s="2"/>
      <c r="H705" s="2"/>
      <c r="I705" s="2"/>
    </row>
    <row r="706" spans="5:9" ht="13">
      <c r="E706" s="2"/>
      <c r="F706" s="2"/>
      <c r="G706" s="2"/>
      <c r="H706" s="2"/>
      <c r="I706" s="2"/>
    </row>
    <row r="707" spans="5:9" ht="13">
      <c r="E707" s="2"/>
      <c r="F707" s="2"/>
      <c r="G707" s="2"/>
      <c r="H707" s="2"/>
      <c r="I707" s="2"/>
    </row>
    <row r="708" spans="5:9" ht="13">
      <c r="E708" s="2"/>
      <c r="F708" s="2"/>
      <c r="G708" s="2"/>
      <c r="H708" s="2"/>
      <c r="I708" s="2"/>
    </row>
    <row r="709" spans="5:9" ht="13">
      <c r="E709" s="2"/>
      <c r="F709" s="2"/>
      <c r="G709" s="2"/>
      <c r="H709" s="2"/>
      <c r="I709" s="2"/>
    </row>
    <row r="710" spans="5:9" ht="13">
      <c r="E710" s="2"/>
      <c r="F710" s="2"/>
      <c r="G710" s="2"/>
      <c r="H710" s="2"/>
      <c r="I710" s="2"/>
    </row>
    <row r="711" spans="5:9" ht="13">
      <c r="E711" s="2"/>
      <c r="F711" s="2"/>
      <c r="G711" s="2"/>
      <c r="H711" s="2"/>
      <c r="I711" s="2"/>
    </row>
    <row r="712" spans="5:9" ht="13">
      <c r="E712" s="2"/>
      <c r="F712" s="2"/>
      <c r="G712" s="2"/>
      <c r="H712" s="2"/>
      <c r="I712" s="2"/>
    </row>
    <row r="713" spans="5:9" ht="13">
      <c r="E713" s="2"/>
      <c r="F713" s="2"/>
      <c r="G713" s="2"/>
      <c r="H713" s="2"/>
      <c r="I713" s="2"/>
    </row>
    <row r="714" spans="5:9" ht="13">
      <c r="E714" s="2"/>
      <c r="F714" s="2"/>
      <c r="G714" s="2"/>
      <c r="H714" s="2"/>
      <c r="I714" s="2"/>
    </row>
    <row r="715" spans="5:9" ht="13">
      <c r="E715" s="2"/>
      <c r="F715" s="2"/>
      <c r="G715" s="2"/>
      <c r="H715" s="2"/>
      <c r="I715" s="2"/>
    </row>
    <row r="716" spans="5:9" ht="13">
      <c r="E716" s="2"/>
      <c r="F716" s="2"/>
      <c r="G716" s="2"/>
      <c r="H716" s="2"/>
      <c r="I716" s="2"/>
    </row>
    <row r="717" spans="5:9" ht="13">
      <c r="E717" s="2"/>
      <c r="F717" s="2"/>
      <c r="G717" s="2"/>
      <c r="H717" s="2"/>
      <c r="I717" s="2"/>
    </row>
    <row r="718" spans="5:9" ht="13">
      <c r="E718" s="2"/>
      <c r="F718" s="2"/>
      <c r="G718" s="2"/>
      <c r="H718" s="2"/>
      <c r="I718" s="2"/>
    </row>
    <row r="719" spans="5:9" ht="13">
      <c r="E719" s="2"/>
      <c r="F719" s="2"/>
      <c r="G719" s="2"/>
      <c r="H719" s="2"/>
      <c r="I719" s="2"/>
    </row>
    <row r="720" spans="5:9" ht="13">
      <c r="E720" s="2"/>
      <c r="F720" s="2"/>
      <c r="G720" s="2"/>
      <c r="H720" s="2"/>
      <c r="I720" s="2"/>
    </row>
    <row r="721" spans="5:9" ht="13">
      <c r="E721" s="2"/>
      <c r="F721" s="2"/>
      <c r="G721" s="2"/>
      <c r="H721" s="2"/>
      <c r="I721" s="2"/>
    </row>
    <row r="722" spans="5:9" ht="13">
      <c r="E722" s="2"/>
      <c r="F722" s="2"/>
      <c r="G722" s="2"/>
      <c r="H722" s="2"/>
      <c r="I722" s="2"/>
    </row>
    <row r="723" spans="5:9" ht="13">
      <c r="E723" s="2"/>
      <c r="F723" s="2"/>
      <c r="G723" s="2"/>
      <c r="H723" s="2"/>
      <c r="I723" s="2"/>
    </row>
    <row r="724" spans="5:9" ht="13">
      <c r="E724" s="2"/>
      <c r="F724" s="2"/>
      <c r="G724" s="2"/>
      <c r="H724" s="2"/>
      <c r="I724" s="2"/>
    </row>
    <row r="725" spans="5:9" ht="13">
      <c r="E725" s="2"/>
      <c r="F725" s="2"/>
      <c r="G725" s="2"/>
      <c r="H725" s="2"/>
      <c r="I725" s="2"/>
    </row>
    <row r="726" spans="5:9" ht="13">
      <c r="E726" s="2"/>
      <c r="F726" s="2"/>
      <c r="G726" s="2"/>
      <c r="H726" s="2"/>
      <c r="I726" s="2"/>
    </row>
    <row r="727" spans="5:9" ht="13">
      <c r="E727" s="2"/>
      <c r="F727" s="2"/>
      <c r="G727" s="2"/>
      <c r="H727" s="2"/>
      <c r="I727" s="2"/>
    </row>
    <row r="728" spans="5:9" ht="13">
      <c r="E728" s="2"/>
      <c r="F728" s="2"/>
      <c r="G728" s="2"/>
      <c r="H728" s="2"/>
      <c r="I728" s="2"/>
    </row>
    <row r="729" spans="5:9" ht="13">
      <c r="E729" s="2"/>
      <c r="F729" s="2"/>
      <c r="G729" s="2"/>
      <c r="H729" s="2"/>
      <c r="I729" s="2"/>
    </row>
    <row r="730" spans="5:9" ht="13">
      <c r="E730" s="2"/>
      <c r="F730" s="2"/>
      <c r="G730" s="2"/>
      <c r="H730" s="2"/>
      <c r="I730" s="2"/>
    </row>
    <row r="731" spans="5:9" ht="13">
      <c r="E731" s="2"/>
      <c r="F731" s="2"/>
      <c r="G731" s="2"/>
      <c r="H731" s="2"/>
      <c r="I731" s="2"/>
    </row>
    <row r="732" spans="5:9" ht="13">
      <c r="E732" s="2"/>
      <c r="F732" s="2"/>
      <c r="G732" s="2"/>
      <c r="H732" s="2"/>
      <c r="I732" s="2"/>
    </row>
    <row r="733" spans="5:9" ht="13">
      <c r="E733" s="2"/>
      <c r="F733" s="2"/>
      <c r="G733" s="2"/>
      <c r="H733" s="2"/>
      <c r="I733" s="2"/>
    </row>
    <row r="734" spans="5:9" ht="13">
      <c r="E734" s="2"/>
      <c r="F734" s="2"/>
      <c r="G734" s="2"/>
      <c r="H734" s="2"/>
      <c r="I734" s="2"/>
    </row>
    <row r="735" spans="5:9" ht="13">
      <c r="E735" s="2"/>
      <c r="F735" s="2"/>
      <c r="G735" s="2"/>
      <c r="H735" s="2"/>
      <c r="I735" s="2"/>
    </row>
    <row r="736" spans="5:9" ht="13">
      <c r="E736" s="2"/>
      <c r="F736" s="2"/>
      <c r="G736" s="2"/>
      <c r="H736" s="2"/>
      <c r="I736" s="2"/>
    </row>
    <row r="737" spans="5:9" ht="13">
      <c r="E737" s="2"/>
      <c r="F737" s="2"/>
      <c r="G737" s="2"/>
      <c r="H737" s="2"/>
      <c r="I737" s="2"/>
    </row>
    <row r="738" spans="5:9" ht="13">
      <c r="E738" s="2"/>
      <c r="F738" s="2"/>
      <c r="G738" s="2"/>
      <c r="H738" s="2"/>
      <c r="I738" s="2"/>
    </row>
    <row r="739" spans="5:9" ht="13">
      <c r="E739" s="2"/>
      <c r="F739" s="2"/>
      <c r="G739" s="2"/>
      <c r="H739" s="2"/>
      <c r="I739" s="2"/>
    </row>
    <row r="740" spans="5:9" ht="13">
      <c r="E740" s="2"/>
      <c r="F740" s="2"/>
      <c r="G740" s="2"/>
      <c r="H740" s="2"/>
      <c r="I740" s="2"/>
    </row>
    <row r="741" spans="5:9" ht="13">
      <c r="E741" s="2"/>
      <c r="F741" s="2"/>
      <c r="G741" s="2"/>
      <c r="H741" s="2"/>
      <c r="I741" s="2"/>
    </row>
    <row r="742" spans="5:9" ht="13">
      <c r="E742" s="2"/>
      <c r="F742" s="2"/>
      <c r="G742" s="2"/>
      <c r="H742" s="2"/>
      <c r="I742" s="2"/>
    </row>
    <row r="743" spans="5:9" ht="13">
      <c r="E743" s="2"/>
      <c r="F743" s="2"/>
      <c r="G743" s="2"/>
      <c r="H743" s="2"/>
      <c r="I743" s="2"/>
    </row>
    <row r="744" spans="5:9" ht="13">
      <c r="E744" s="2"/>
      <c r="F744" s="2"/>
      <c r="G744" s="2"/>
      <c r="H744" s="2"/>
      <c r="I744" s="2"/>
    </row>
    <row r="745" spans="5:9" ht="13">
      <c r="E745" s="2"/>
      <c r="F745" s="2"/>
      <c r="G745" s="2"/>
      <c r="H745" s="2"/>
      <c r="I745" s="2"/>
    </row>
    <row r="746" spans="5:9" ht="13">
      <c r="E746" s="2"/>
      <c r="F746" s="2"/>
      <c r="G746" s="2"/>
      <c r="H746" s="2"/>
      <c r="I746" s="2"/>
    </row>
    <row r="747" spans="5:9" ht="13">
      <c r="E747" s="2"/>
      <c r="F747" s="2"/>
      <c r="G747" s="2"/>
      <c r="H747" s="2"/>
      <c r="I747" s="2"/>
    </row>
    <row r="748" spans="5:9" ht="13">
      <c r="E748" s="2"/>
      <c r="F748" s="2"/>
      <c r="G748" s="2"/>
      <c r="H748" s="2"/>
      <c r="I748" s="2"/>
    </row>
    <row r="749" spans="5:9" ht="13">
      <c r="E749" s="2"/>
      <c r="F749" s="2"/>
      <c r="G749" s="2"/>
      <c r="H749" s="2"/>
      <c r="I749" s="2"/>
    </row>
    <row r="750" spans="5:9" ht="13">
      <c r="E750" s="2"/>
      <c r="F750" s="2"/>
      <c r="G750" s="2"/>
      <c r="H750" s="2"/>
      <c r="I750" s="2"/>
    </row>
    <row r="751" spans="5:9" ht="13">
      <c r="E751" s="2"/>
      <c r="F751" s="2"/>
      <c r="G751" s="2"/>
      <c r="H751" s="2"/>
      <c r="I751" s="2"/>
    </row>
    <row r="752" spans="5:9" ht="13">
      <c r="E752" s="2"/>
      <c r="F752" s="2"/>
      <c r="G752" s="2"/>
      <c r="H752" s="2"/>
      <c r="I752" s="2"/>
    </row>
    <row r="753" spans="5:9" ht="13">
      <c r="E753" s="2"/>
      <c r="F753" s="2"/>
      <c r="G753" s="2"/>
      <c r="H753" s="2"/>
      <c r="I753" s="2"/>
    </row>
    <row r="754" spans="5:9" ht="13">
      <c r="E754" s="2"/>
      <c r="F754" s="2"/>
      <c r="G754" s="2"/>
      <c r="H754" s="2"/>
      <c r="I754" s="2"/>
    </row>
    <row r="755" spans="5:9" ht="13">
      <c r="E755" s="2"/>
      <c r="F755" s="2"/>
      <c r="G755" s="2"/>
      <c r="H755" s="2"/>
      <c r="I755" s="2"/>
    </row>
    <row r="756" spans="5:9" ht="13">
      <c r="E756" s="2"/>
      <c r="F756" s="2"/>
      <c r="G756" s="2"/>
      <c r="H756" s="2"/>
      <c r="I756" s="2"/>
    </row>
    <row r="757" spans="5:9" ht="13">
      <c r="E757" s="2"/>
      <c r="F757" s="2"/>
      <c r="G757" s="2"/>
      <c r="H757" s="2"/>
      <c r="I757" s="2"/>
    </row>
    <row r="758" spans="5:9" ht="13">
      <c r="E758" s="2"/>
      <c r="F758" s="2"/>
      <c r="G758" s="2"/>
      <c r="H758" s="2"/>
      <c r="I758" s="2"/>
    </row>
    <row r="759" spans="5:9" ht="13">
      <c r="E759" s="2"/>
      <c r="F759" s="2"/>
      <c r="G759" s="2"/>
      <c r="H759" s="2"/>
      <c r="I759" s="2"/>
    </row>
    <row r="760" spans="5:9" ht="13">
      <c r="E760" s="2"/>
      <c r="F760" s="2"/>
      <c r="G760" s="2"/>
      <c r="H760" s="2"/>
      <c r="I760" s="2"/>
    </row>
    <row r="761" spans="5:9" ht="13">
      <c r="E761" s="2"/>
      <c r="F761" s="2"/>
      <c r="G761" s="2"/>
      <c r="H761" s="2"/>
      <c r="I761" s="2"/>
    </row>
    <row r="762" spans="5:9" ht="13">
      <c r="E762" s="2"/>
      <c r="F762" s="2"/>
      <c r="G762" s="2"/>
      <c r="H762" s="2"/>
      <c r="I762" s="2"/>
    </row>
    <row r="763" spans="5:9" ht="13">
      <c r="E763" s="2"/>
      <c r="F763" s="2"/>
      <c r="G763" s="2"/>
      <c r="H763" s="2"/>
      <c r="I763" s="2"/>
    </row>
    <row r="764" spans="5:9" ht="13">
      <c r="E764" s="2"/>
      <c r="F764" s="2"/>
      <c r="G764" s="2"/>
      <c r="H764" s="2"/>
      <c r="I764" s="2"/>
    </row>
    <row r="765" spans="5:9" ht="13">
      <c r="E765" s="2"/>
      <c r="F765" s="2"/>
      <c r="G765" s="2"/>
      <c r="H765" s="2"/>
      <c r="I765" s="2"/>
    </row>
    <row r="766" spans="5:9" ht="13">
      <c r="E766" s="2"/>
      <c r="F766" s="2"/>
      <c r="G766" s="2"/>
      <c r="H766" s="2"/>
      <c r="I766" s="2"/>
    </row>
    <row r="767" spans="5:9" ht="13">
      <c r="E767" s="2"/>
      <c r="F767" s="2"/>
      <c r="G767" s="2"/>
      <c r="H767" s="2"/>
      <c r="I767" s="2"/>
    </row>
    <row r="768" spans="5:9" ht="13">
      <c r="E768" s="2"/>
      <c r="F768" s="2"/>
      <c r="G768" s="2"/>
      <c r="H768" s="2"/>
      <c r="I768" s="2"/>
    </row>
    <row r="769" spans="5:9" ht="13">
      <c r="E769" s="2"/>
      <c r="F769" s="2"/>
      <c r="G769" s="2"/>
      <c r="H769" s="2"/>
      <c r="I769" s="2"/>
    </row>
    <row r="770" spans="5:9" ht="13">
      <c r="E770" s="2"/>
      <c r="F770" s="2"/>
      <c r="G770" s="2"/>
      <c r="H770" s="2"/>
      <c r="I770" s="2"/>
    </row>
    <row r="771" spans="5:9" ht="13">
      <c r="E771" s="2"/>
      <c r="F771" s="2"/>
      <c r="G771" s="2"/>
      <c r="H771" s="2"/>
      <c r="I771" s="2"/>
    </row>
    <row r="772" spans="5:9" ht="13">
      <c r="E772" s="2"/>
      <c r="F772" s="2"/>
      <c r="G772" s="2"/>
      <c r="H772" s="2"/>
      <c r="I772" s="2"/>
    </row>
    <row r="773" spans="5:9" ht="13">
      <c r="E773" s="2"/>
      <c r="F773" s="2"/>
      <c r="G773" s="2"/>
      <c r="H773" s="2"/>
      <c r="I773" s="2"/>
    </row>
    <row r="774" spans="5:9" ht="13">
      <c r="E774" s="2"/>
      <c r="F774" s="2"/>
      <c r="G774" s="2"/>
      <c r="H774" s="2"/>
      <c r="I774" s="2"/>
    </row>
    <row r="775" spans="5:9" ht="13">
      <c r="E775" s="2"/>
      <c r="F775" s="2"/>
      <c r="G775" s="2"/>
      <c r="H775" s="2"/>
      <c r="I775" s="2"/>
    </row>
    <row r="776" spans="5:9" ht="13">
      <c r="E776" s="2"/>
      <c r="F776" s="2"/>
      <c r="G776" s="2"/>
      <c r="H776" s="2"/>
      <c r="I776" s="2"/>
    </row>
    <row r="777" spans="5:9" ht="13">
      <c r="E777" s="2"/>
      <c r="F777" s="2"/>
      <c r="G777" s="2"/>
      <c r="H777" s="2"/>
      <c r="I777" s="2"/>
    </row>
    <row r="778" spans="5:9" ht="13">
      <c r="E778" s="2"/>
      <c r="F778" s="2"/>
      <c r="G778" s="2"/>
      <c r="H778" s="2"/>
      <c r="I778" s="2"/>
    </row>
    <row r="779" spans="5:9" ht="13">
      <c r="E779" s="2"/>
      <c r="F779" s="2"/>
      <c r="G779" s="2"/>
      <c r="H779" s="2"/>
      <c r="I779" s="2"/>
    </row>
    <row r="780" spans="5:9" ht="13">
      <c r="E780" s="2"/>
      <c r="F780" s="2"/>
      <c r="G780" s="2"/>
      <c r="H780" s="2"/>
      <c r="I780" s="2"/>
    </row>
    <row r="781" spans="5:9" ht="13">
      <c r="E781" s="2"/>
      <c r="F781" s="2"/>
      <c r="G781" s="2"/>
      <c r="H781" s="2"/>
      <c r="I781" s="2"/>
    </row>
    <row r="782" spans="5:9" ht="13">
      <c r="E782" s="2"/>
      <c r="F782" s="2"/>
      <c r="G782" s="2"/>
      <c r="H782" s="2"/>
      <c r="I782" s="2"/>
    </row>
    <row r="783" spans="5:9" ht="13">
      <c r="E783" s="2"/>
      <c r="F783" s="2"/>
      <c r="G783" s="2"/>
      <c r="H783" s="2"/>
      <c r="I783" s="2"/>
    </row>
    <row r="784" spans="5:9" ht="13">
      <c r="E784" s="2"/>
      <c r="F784" s="2"/>
      <c r="G784" s="2"/>
      <c r="H784" s="2"/>
      <c r="I784" s="2"/>
    </row>
    <row r="785" spans="5:9" ht="13">
      <c r="E785" s="2"/>
      <c r="F785" s="2"/>
      <c r="G785" s="2"/>
      <c r="H785" s="2"/>
      <c r="I785" s="2"/>
    </row>
    <row r="786" spans="5:9" ht="13">
      <c r="E786" s="2"/>
      <c r="F786" s="2"/>
      <c r="G786" s="2"/>
      <c r="H786" s="2"/>
      <c r="I786" s="2"/>
    </row>
    <row r="787" spans="5:9" ht="13">
      <c r="E787" s="2"/>
      <c r="F787" s="2"/>
      <c r="G787" s="2"/>
      <c r="H787" s="2"/>
      <c r="I787" s="2"/>
    </row>
    <row r="788" spans="5:9" ht="13">
      <c r="E788" s="2"/>
      <c r="F788" s="2"/>
      <c r="G788" s="2"/>
      <c r="H788" s="2"/>
      <c r="I788" s="2"/>
    </row>
    <row r="789" spans="5:9" ht="13">
      <c r="E789" s="2"/>
      <c r="F789" s="2"/>
      <c r="G789" s="2"/>
      <c r="H789" s="2"/>
      <c r="I789" s="2"/>
    </row>
    <row r="790" spans="5:9" ht="13">
      <c r="E790" s="2"/>
      <c r="F790" s="2"/>
      <c r="G790" s="2"/>
      <c r="H790" s="2"/>
      <c r="I790" s="2"/>
    </row>
    <row r="791" spans="5:9" ht="13">
      <c r="E791" s="2"/>
      <c r="F791" s="2"/>
      <c r="G791" s="2"/>
      <c r="H791" s="2"/>
      <c r="I791" s="2"/>
    </row>
    <row r="792" spans="5:9" ht="13">
      <c r="E792" s="2"/>
      <c r="F792" s="2"/>
      <c r="G792" s="2"/>
      <c r="H792" s="2"/>
      <c r="I792" s="2"/>
    </row>
    <row r="793" spans="5:9" ht="13">
      <c r="E793" s="2"/>
      <c r="F793" s="2"/>
      <c r="G793" s="2"/>
      <c r="H793" s="2"/>
      <c r="I793" s="2"/>
    </row>
    <row r="794" spans="5:9" ht="13">
      <c r="E794" s="2"/>
      <c r="F794" s="2"/>
      <c r="G794" s="2"/>
      <c r="H794" s="2"/>
      <c r="I794" s="2"/>
    </row>
    <row r="795" spans="5:9" ht="13">
      <c r="E795" s="2"/>
      <c r="F795" s="2"/>
      <c r="G795" s="2"/>
      <c r="H795" s="2"/>
      <c r="I795" s="2"/>
    </row>
    <row r="796" spans="5:9" ht="13">
      <c r="E796" s="2"/>
      <c r="F796" s="2"/>
      <c r="G796" s="2"/>
      <c r="H796" s="2"/>
      <c r="I796" s="2"/>
    </row>
    <row r="797" spans="5:9" ht="13">
      <c r="E797" s="2"/>
      <c r="F797" s="2"/>
      <c r="G797" s="2"/>
      <c r="H797" s="2"/>
      <c r="I797" s="2"/>
    </row>
    <row r="798" spans="5:9" ht="13">
      <c r="E798" s="2"/>
      <c r="F798" s="2"/>
      <c r="G798" s="2"/>
      <c r="H798" s="2"/>
      <c r="I798" s="2"/>
    </row>
    <row r="799" spans="5:9" ht="13">
      <c r="E799" s="2"/>
      <c r="F799" s="2"/>
      <c r="G799" s="2"/>
      <c r="H799" s="2"/>
      <c r="I799" s="2"/>
    </row>
    <row r="800" spans="5:9" ht="13">
      <c r="E800" s="2"/>
      <c r="F800" s="2"/>
      <c r="G800" s="2"/>
      <c r="H800" s="2"/>
      <c r="I800" s="2"/>
    </row>
    <row r="801" spans="5:9" ht="13">
      <c r="E801" s="2"/>
      <c r="F801" s="2"/>
      <c r="G801" s="2"/>
      <c r="H801" s="2"/>
      <c r="I801" s="2"/>
    </row>
    <row r="802" spans="5:9" ht="13">
      <c r="E802" s="2"/>
      <c r="F802" s="2"/>
      <c r="G802" s="2"/>
      <c r="H802" s="2"/>
      <c r="I802" s="2"/>
    </row>
    <row r="803" spans="5:9" ht="13">
      <c r="E803" s="2"/>
      <c r="F803" s="2"/>
      <c r="G803" s="2"/>
      <c r="H803" s="2"/>
      <c r="I803" s="2"/>
    </row>
    <row r="804" spans="5:9" ht="13">
      <c r="E804" s="2"/>
      <c r="F804" s="2"/>
      <c r="G804" s="2"/>
      <c r="H804" s="2"/>
      <c r="I804" s="2"/>
    </row>
    <row r="805" spans="5:9" ht="13">
      <c r="E805" s="2"/>
      <c r="F805" s="2"/>
      <c r="G805" s="2"/>
      <c r="H805" s="2"/>
      <c r="I805" s="2"/>
    </row>
    <row r="806" spans="5:9" ht="13">
      <c r="E806" s="2"/>
      <c r="F806" s="2"/>
      <c r="G806" s="2"/>
      <c r="H806" s="2"/>
      <c r="I806" s="2"/>
    </row>
    <row r="807" spans="5:9" ht="13">
      <c r="E807" s="2"/>
      <c r="F807" s="2"/>
      <c r="G807" s="2"/>
      <c r="H807" s="2"/>
      <c r="I807" s="2"/>
    </row>
    <row r="808" spans="5:9" ht="13">
      <c r="E808" s="2"/>
      <c r="F808" s="2"/>
      <c r="G808" s="2"/>
      <c r="H808" s="2"/>
      <c r="I808" s="2"/>
    </row>
    <row r="809" spans="5:9" ht="13">
      <c r="E809" s="2"/>
      <c r="F809" s="2"/>
      <c r="G809" s="2"/>
      <c r="H809" s="2"/>
      <c r="I809" s="2"/>
    </row>
    <row r="810" spans="5:9" ht="13">
      <c r="E810" s="2"/>
      <c r="F810" s="2"/>
      <c r="G810" s="2"/>
      <c r="H810" s="2"/>
      <c r="I810" s="2"/>
    </row>
    <row r="811" spans="5:9" ht="13">
      <c r="E811" s="2"/>
      <c r="F811" s="2"/>
      <c r="G811" s="2"/>
      <c r="H811" s="2"/>
      <c r="I811" s="2"/>
    </row>
    <row r="812" spans="5:9" ht="13">
      <c r="E812" s="2"/>
      <c r="F812" s="2"/>
      <c r="G812" s="2"/>
      <c r="H812" s="2"/>
      <c r="I812" s="2"/>
    </row>
    <row r="813" spans="5:9" ht="13">
      <c r="E813" s="2"/>
      <c r="F813" s="2"/>
      <c r="G813" s="2"/>
      <c r="H813" s="2"/>
      <c r="I813" s="2"/>
    </row>
    <row r="814" spans="5:9" ht="13">
      <c r="E814" s="2"/>
      <c r="F814" s="2"/>
      <c r="G814" s="2"/>
      <c r="H814" s="2"/>
      <c r="I814" s="2"/>
    </row>
    <row r="815" spans="5:9" ht="13">
      <c r="E815" s="2"/>
      <c r="F815" s="2"/>
      <c r="G815" s="2"/>
      <c r="H815" s="2"/>
      <c r="I815" s="2"/>
    </row>
    <row r="816" spans="5:9" ht="13">
      <c r="E816" s="2"/>
      <c r="F816" s="2"/>
      <c r="G816" s="2"/>
      <c r="H816" s="2"/>
      <c r="I816" s="2"/>
    </row>
    <row r="817" spans="5:9" ht="13">
      <c r="E817" s="2"/>
      <c r="F817" s="2"/>
      <c r="G817" s="2"/>
      <c r="H817" s="2"/>
      <c r="I817" s="2"/>
    </row>
    <row r="818" spans="5:9" ht="13">
      <c r="E818" s="2"/>
      <c r="F818" s="2"/>
      <c r="G818" s="2"/>
      <c r="H818" s="2"/>
      <c r="I818" s="2"/>
    </row>
    <row r="819" spans="5:9" ht="13">
      <c r="E819" s="2"/>
      <c r="F819" s="2"/>
      <c r="G819" s="2"/>
      <c r="H819" s="2"/>
      <c r="I819" s="2"/>
    </row>
    <row r="820" spans="5:9" ht="13">
      <c r="E820" s="2"/>
      <c r="F820" s="2"/>
      <c r="G820" s="2"/>
      <c r="H820" s="2"/>
      <c r="I820" s="2"/>
    </row>
    <row r="821" spans="5:9" ht="13">
      <c r="E821" s="2"/>
      <c r="F821" s="2"/>
      <c r="G821" s="2"/>
      <c r="H821" s="2"/>
      <c r="I821" s="2"/>
    </row>
    <row r="822" spans="5:9" ht="13">
      <c r="E822" s="2"/>
      <c r="F822" s="2"/>
      <c r="G822" s="2"/>
      <c r="H822" s="2"/>
      <c r="I822" s="2"/>
    </row>
    <row r="823" spans="5:9" ht="13">
      <c r="E823" s="2"/>
      <c r="F823" s="2"/>
      <c r="G823" s="2"/>
      <c r="H823" s="2"/>
      <c r="I823" s="2"/>
    </row>
    <row r="824" spans="5:9" ht="13">
      <c r="E824" s="2"/>
      <c r="F824" s="2"/>
      <c r="G824" s="2"/>
      <c r="H824" s="2"/>
      <c r="I824" s="2"/>
    </row>
    <row r="825" spans="5:9" ht="13">
      <c r="E825" s="2"/>
      <c r="F825" s="2"/>
      <c r="G825" s="2"/>
      <c r="H825" s="2"/>
      <c r="I825" s="2"/>
    </row>
    <row r="826" spans="5:9" ht="13">
      <c r="E826" s="2"/>
      <c r="F826" s="2"/>
      <c r="G826" s="2"/>
      <c r="H826" s="2"/>
      <c r="I826" s="2"/>
    </row>
    <row r="827" spans="5:9" ht="13">
      <c r="E827" s="2"/>
      <c r="F827" s="2"/>
      <c r="G827" s="2"/>
      <c r="H827" s="2"/>
      <c r="I827" s="2"/>
    </row>
    <row r="828" spans="5:9" ht="13">
      <c r="E828" s="2"/>
      <c r="F828" s="2"/>
      <c r="G828" s="2"/>
      <c r="H828" s="2"/>
      <c r="I828" s="2"/>
    </row>
    <row r="829" spans="5:9" ht="13">
      <c r="E829" s="2"/>
      <c r="F829" s="2"/>
      <c r="G829" s="2"/>
      <c r="H829" s="2"/>
      <c r="I829" s="2"/>
    </row>
    <row r="830" spans="5:9" ht="13">
      <c r="E830" s="2"/>
      <c r="F830" s="2"/>
      <c r="G830" s="2"/>
      <c r="H830" s="2"/>
      <c r="I830" s="2"/>
    </row>
    <row r="831" spans="5:9" ht="13">
      <c r="E831" s="2"/>
      <c r="F831" s="2"/>
      <c r="G831" s="2"/>
      <c r="H831" s="2"/>
      <c r="I831" s="2"/>
    </row>
    <row r="832" spans="5:9" ht="13">
      <c r="E832" s="2"/>
      <c r="F832" s="2"/>
      <c r="G832" s="2"/>
      <c r="H832" s="2"/>
      <c r="I832" s="2"/>
    </row>
    <row r="833" spans="5:9" ht="13">
      <c r="E833" s="2"/>
      <c r="F833" s="2"/>
      <c r="G833" s="2"/>
      <c r="H833" s="2"/>
      <c r="I833" s="2"/>
    </row>
    <row r="834" spans="5:9" ht="13">
      <c r="E834" s="2"/>
      <c r="F834" s="2"/>
      <c r="G834" s="2"/>
      <c r="H834" s="2"/>
      <c r="I834" s="2"/>
    </row>
    <row r="835" spans="5:9" ht="13">
      <c r="E835" s="2"/>
      <c r="F835" s="2"/>
      <c r="G835" s="2"/>
      <c r="H835" s="2"/>
      <c r="I835" s="2"/>
    </row>
    <row r="836" spans="5:9" ht="13">
      <c r="E836" s="2"/>
      <c r="F836" s="2"/>
      <c r="G836" s="2"/>
      <c r="H836" s="2"/>
      <c r="I836" s="2"/>
    </row>
    <row r="837" spans="5:9" ht="13">
      <c r="E837" s="2"/>
      <c r="F837" s="2"/>
      <c r="G837" s="2"/>
      <c r="H837" s="2"/>
      <c r="I837" s="2"/>
    </row>
    <row r="838" spans="5:9" ht="13">
      <c r="E838" s="2"/>
      <c r="F838" s="2"/>
      <c r="G838" s="2"/>
      <c r="H838" s="2"/>
      <c r="I838" s="2"/>
    </row>
    <row r="839" spans="5:9" ht="13">
      <c r="E839" s="2"/>
      <c r="F839" s="2"/>
      <c r="G839" s="2"/>
      <c r="H839" s="2"/>
      <c r="I839" s="2"/>
    </row>
    <row r="840" spans="5:9" ht="13">
      <c r="E840" s="2"/>
      <c r="F840" s="2"/>
      <c r="G840" s="2"/>
      <c r="H840" s="2"/>
      <c r="I840" s="2"/>
    </row>
    <row r="841" spans="5:9" ht="13">
      <c r="E841" s="2"/>
      <c r="F841" s="2"/>
      <c r="G841" s="2"/>
      <c r="H841" s="2"/>
      <c r="I841" s="2"/>
    </row>
    <row r="842" spans="5:9" ht="13">
      <c r="E842" s="2"/>
      <c r="F842" s="2"/>
      <c r="G842" s="2"/>
      <c r="H842" s="2"/>
      <c r="I842" s="2"/>
    </row>
    <row r="843" spans="5:9" ht="13">
      <c r="E843" s="2"/>
      <c r="F843" s="2"/>
      <c r="G843" s="2"/>
      <c r="H843" s="2"/>
      <c r="I843" s="2"/>
    </row>
    <row r="844" spans="5:9" ht="13">
      <c r="E844" s="2"/>
      <c r="F844" s="2"/>
      <c r="G844" s="2"/>
      <c r="H844" s="2"/>
      <c r="I844" s="2"/>
    </row>
    <row r="845" spans="5:9" ht="13">
      <c r="E845" s="2"/>
      <c r="F845" s="2"/>
      <c r="G845" s="2"/>
      <c r="H845" s="2"/>
      <c r="I845" s="2"/>
    </row>
    <row r="846" spans="5:9" ht="13">
      <c r="E846" s="2"/>
      <c r="F846" s="2"/>
      <c r="G846" s="2"/>
      <c r="H846" s="2"/>
      <c r="I846" s="2"/>
    </row>
    <row r="847" spans="5:9" ht="13">
      <c r="E847" s="2"/>
      <c r="F847" s="2"/>
      <c r="G847" s="2"/>
      <c r="H847" s="2"/>
      <c r="I847" s="2"/>
    </row>
    <row r="848" spans="5:9" ht="13">
      <c r="E848" s="2"/>
      <c r="F848" s="2"/>
      <c r="G848" s="2"/>
      <c r="H848" s="2"/>
      <c r="I848" s="2"/>
    </row>
    <row r="849" spans="5:9" ht="13">
      <c r="E849" s="2"/>
      <c r="F849" s="2"/>
      <c r="G849" s="2"/>
      <c r="H849" s="2"/>
      <c r="I849" s="2"/>
    </row>
    <row r="850" spans="5:9" ht="13">
      <c r="E850" s="2"/>
      <c r="F850" s="2"/>
      <c r="G850" s="2"/>
      <c r="H850" s="2"/>
      <c r="I850" s="2"/>
    </row>
    <row r="851" spans="5:9" ht="13">
      <c r="E851" s="2"/>
      <c r="F851" s="2"/>
      <c r="G851" s="2"/>
      <c r="H851" s="2"/>
      <c r="I851" s="2"/>
    </row>
    <row r="852" spans="5:9" ht="13">
      <c r="E852" s="2"/>
      <c r="F852" s="2"/>
      <c r="G852" s="2"/>
      <c r="H852" s="2"/>
      <c r="I852" s="2"/>
    </row>
    <row r="853" spans="5:9" ht="13">
      <c r="E853" s="2"/>
      <c r="F853" s="2"/>
      <c r="G853" s="2"/>
      <c r="H853" s="2"/>
      <c r="I853" s="2"/>
    </row>
    <row r="854" spans="5:9" ht="13">
      <c r="E854" s="2"/>
      <c r="F854" s="2"/>
      <c r="G854" s="2"/>
      <c r="H854" s="2"/>
      <c r="I854" s="2"/>
    </row>
    <row r="855" spans="5:9" ht="13">
      <c r="E855" s="2"/>
      <c r="F855" s="2"/>
      <c r="G855" s="2"/>
      <c r="H855" s="2"/>
      <c r="I855" s="2"/>
    </row>
    <row r="856" spans="5:9" ht="13">
      <c r="E856" s="2"/>
      <c r="F856" s="2"/>
      <c r="G856" s="2"/>
      <c r="H856" s="2"/>
      <c r="I856" s="2"/>
    </row>
    <row r="857" spans="5:9" ht="13">
      <c r="E857" s="2"/>
      <c r="F857" s="2"/>
      <c r="G857" s="2"/>
      <c r="H857" s="2"/>
      <c r="I857" s="2"/>
    </row>
    <row r="858" spans="5:9" ht="13">
      <c r="E858" s="2"/>
      <c r="F858" s="2"/>
      <c r="G858" s="2"/>
      <c r="H858" s="2"/>
      <c r="I858" s="2"/>
    </row>
    <row r="859" spans="5:9" ht="13">
      <c r="E859" s="2"/>
      <c r="F859" s="2"/>
      <c r="G859" s="2"/>
      <c r="H859" s="2"/>
      <c r="I859" s="2"/>
    </row>
    <row r="860" spans="5:9" ht="13">
      <c r="E860" s="2"/>
      <c r="F860" s="2"/>
      <c r="G860" s="2"/>
      <c r="H860" s="2"/>
      <c r="I860" s="2"/>
    </row>
    <row r="861" spans="5:9" ht="13">
      <c r="E861" s="2"/>
      <c r="F861" s="2"/>
      <c r="G861" s="2"/>
      <c r="H861" s="2"/>
      <c r="I861" s="2"/>
    </row>
    <row r="862" spans="5:9" ht="13">
      <c r="E862" s="2"/>
      <c r="F862" s="2"/>
      <c r="G862" s="2"/>
      <c r="H862" s="2"/>
      <c r="I862" s="2"/>
    </row>
    <row r="863" spans="5:9" ht="13">
      <c r="E863" s="2"/>
      <c r="F863" s="2"/>
      <c r="G863" s="2"/>
      <c r="H863" s="2"/>
      <c r="I863" s="2"/>
    </row>
    <row r="864" spans="5:9" ht="13">
      <c r="E864" s="2"/>
      <c r="F864" s="2"/>
      <c r="G864" s="2"/>
      <c r="H864" s="2"/>
      <c r="I864" s="2"/>
    </row>
    <row r="865" spans="5:9" ht="13">
      <c r="E865" s="2"/>
      <c r="F865" s="2"/>
      <c r="G865" s="2"/>
      <c r="H865" s="2"/>
      <c r="I865" s="2"/>
    </row>
    <row r="866" spans="5:9" ht="13">
      <c r="E866" s="2"/>
      <c r="F866" s="2"/>
      <c r="G866" s="2"/>
      <c r="H866" s="2"/>
      <c r="I866" s="2"/>
    </row>
    <row r="867" spans="5:9" ht="13">
      <c r="E867" s="2"/>
      <c r="F867" s="2"/>
      <c r="G867" s="2"/>
      <c r="H867" s="2"/>
      <c r="I867" s="2"/>
    </row>
    <row r="868" spans="5:9" ht="13">
      <c r="E868" s="2"/>
      <c r="F868" s="2"/>
      <c r="G868" s="2"/>
      <c r="H868" s="2"/>
      <c r="I868" s="2"/>
    </row>
    <row r="869" spans="5:9" ht="13">
      <c r="E869" s="2"/>
      <c r="F869" s="2"/>
      <c r="G869" s="2"/>
      <c r="H869" s="2"/>
      <c r="I869" s="2"/>
    </row>
    <row r="870" spans="5:9" ht="13">
      <c r="E870" s="2"/>
      <c r="F870" s="2"/>
      <c r="G870" s="2"/>
      <c r="H870" s="2"/>
      <c r="I870" s="2"/>
    </row>
    <row r="871" spans="5:9" ht="13">
      <c r="E871" s="2"/>
      <c r="F871" s="2"/>
      <c r="G871" s="2"/>
      <c r="H871" s="2"/>
      <c r="I871" s="2"/>
    </row>
    <row r="872" spans="5:9" ht="13">
      <c r="E872" s="2"/>
      <c r="F872" s="2"/>
      <c r="G872" s="2"/>
      <c r="H872" s="2"/>
      <c r="I872" s="2"/>
    </row>
    <row r="873" spans="5:9" ht="13">
      <c r="E873" s="2"/>
      <c r="F873" s="2"/>
      <c r="G873" s="2"/>
      <c r="H873" s="2"/>
      <c r="I873" s="2"/>
    </row>
    <row r="874" spans="5:9" ht="13">
      <c r="E874" s="2"/>
      <c r="F874" s="2"/>
      <c r="G874" s="2"/>
      <c r="H874" s="2"/>
      <c r="I874" s="2"/>
    </row>
    <row r="875" spans="5:9" ht="13">
      <c r="E875" s="2"/>
      <c r="F875" s="2"/>
      <c r="G875" s="2"/>
      <c r="H875" s="2"/>
      <c r="I875" s="2"/>
    </row>
    <row r="876" spans="5:9" ht="13">
      <c r="E876" s="2"/>
      <c r="F876" s="2"/>
      <c r="G876" s="2"/>
      <c r="H876" s="2"/>
      <c r="I876" s="2"/>
    </row>
    <row r="877" spans="5:9" ht="13">
      <c r="E877" s="2"/>
      <c r="F877" s="2"/>
      <c r="G877" s="2"/>
      <c r="H877" s="2"/>
      <c r="I877" s="2"/>
    </row>
    <row r="878" spans="5:9" ht="13">
      <c r="E878" s="2"/>
      <c r="F878" s="2"/>
      <c r="G878" s="2"/>
      <c r="H878" s="2"/>
      <c r="I878" s="2"/>
    </row>
    <row r="879" spans="5:9" ht="13">
      <c r="E879" s="2"/>
      <c r="F879" s="2"/>
      <c r="G879" s="2"/>
      <c r="H879" s="2"/>
      <c r="I879" s="2"/>
    </row>
    <row r="880" spans="5:9" ht="13">
      <c r="E880" s="2"/>
      <c r="F880" s="2"/>
      <c r="G880" s="2"/>
      <c r="H880" s="2"/>
      <c r="I880" s="2"/>
    </row>
    <row r="881" spans="5:9" ht="13">
      <c r="E881" s="2"/>
      <c r="F881" s="2"/>
      <c r="G881" s="2"/>
      <c r="H881" s="2"/>
      <c r="I881" s="2"/>
    </row>
    <row r="882" spans="5:9" ht="13">
      <c r="E882" s="2"/>
      <c r="F882" s="2"/>
      <c r="G882" s="2"/>
      <c r="H882" s="2"/>
      <c r="I882" s="2"/>
    </row>
    <row r="883" spans="5:9" ht="13">
      <c r="E883" s="2"/>
      <c r="F883" s="2"/>
      <c r="G883" s="2"/>
      <c r="H883" s="2"/>
      <c r="I883" s="2"/>
    </row>
    <row r="884" spans="5:9" ht="13">
      <c r="E884" s="2"/>
      <c r="F884" s="2"/>
      <c r="G884" s="2"/>
      <c r="H884" s="2"/>
      <c r="I884" s="2"/>
    </row>
    <row r="885" spans="5:9" ht="13">
      <c r="E885" s="2"/>
      <c r="F885" s="2"/>
      <c r="G885" s="2"/>
      <c r="H885" s="2"/>
      <c r="I885" s="2"/>
    </row>
    <row r="886" spans="5:9" ht="13">
      <c r="E886" s="2"/>
      <c r="F886" s="2"/>
      <c r="G886" s="2"/>
      <c r="H886" s="2"/>
      <c r="I886" s="2"/>
    </row>
    <row r="887" spans="5:9" ht="13">
      <c r="E887" s="2"/>
      <c r="F887" s="2"/>
      <c r="G887" s="2"/>
      <c r="H887" s="2"/>
      <c r="I887" s="2"/>
    </row>
    <row r="888" spans="5:9" ht="13">
      <c r="E888" s="2"/>
      <c r="F888" s="2"/>
      <c r="G888" s="2"/>
      <c r="H888" s="2"/>
      <c r="I888" s="2"/>
    </row>
    <row r="889" spans="5:9" ht="13">
      <c r="E889" s="2"/>
      <c r="F889" s="2"/>
      <c r="G889" s="2"/>
      <c r="H889" s="2"/>
      <c r="I889" s="2"/>
    </row>
    <row r="890" spans="5:9" ht="13">
      <c r="E890" s="2"/>
      <c r="F890" s="2"/>
      <c r="G890" s="2"/>
      <c r="H890" s="2"/>
      <c r="I890" s="2"/>
    </row>
    <row r="891" spans="5:9" ht="13">
      <c r="E891" s="2"/>
      <c r="F891" s="2"/>
      <c r="G891" s="2"/>
      <c r="H891" s="2"/>
      <c r="I891" s="2"/>
    </row>
    <row r="892" spans="5:9" ht="13">
      <c r="E892" s="2"/>
      <c r="F892" s="2"/>
      <c r="G892" s="2"/>
      <c r="H892" s="2"/>
      <c r="I892" s="2"/>
    </row>
    <row r="893" spans="5:9" ht="13">
      <c r="E893" s="2"/>
      <c r="F893" s="2"/>
      <c r="G893" s="2"/>
      <c r="H893" s="2"/>
      <c r="I893" s="2"/>
    </row>
    <row r="894" spans="5:9" ht="13">
      <c r="E894" s="2"/>
      <c r="F894" s="2"/>
      <c r="G894" s="2"/>
      <c r="H894" s="2"/>
      <c r="I894" s="2"/>
    </row>
    <row r="895" spans="5:9" ht="13">
      <c r="E895" s="2"/>
      <c r="F895" s="2"/>
      <c r="G895" s="2"/>
      <c r="H895" s="2"/>
      <c r="I895" s="2"/>
    </row>
    <row r="896" spans="5:9" ht="13">
      <c r="E896" s="2"/>
      <c r="F896" s="2"/>
      <c r="G896" s="2"/>
      <c r="H896" s="2"/>
      <c r="I896" s="2"/>
    </row>
    <row r="897" spans="5:9" ht="13">
      <c r="E897" s="2"/>
      <c r="F897" s="2"/>
      <c r="G897" s="2"/>
      <c r="H897" s="2"/>
      <c r="I897" s="2"/>
    </row>
    <row r="898" spans="5:9" ht="13">
      <c r="E898" s="2"/>
      <c r="F898" s="2"/>
      <c r="G898" s="2"/>
      <c r="H898" s="2"/>
      <c r="I898" s="2"/>
    </row>
    <row r="899" spans="5:9" ht="13">
      <c r="E899" s="2"/>
      <c r="F899" s="2"/>
      <c r="G899" s="2"/>
      <c r="H899" s="2"/>
      <c r="I899" s="2"/>
    </row>
    <row r="900" spans="5:9" ht="13">
      <c r="E900" s="2"/>
      <c r="F900" s="2"/>
      <c r="G900" s="2"/>
      <c r="H900" s="2"/>
      <c r="I900" s="2"/>
    </row>
    <row r="901" spans="5:9" ht="13">
      <c r="E901" s="2"/>
      <c r="F901" s="2"/>
      <c r="G901" s="2"/>
      <c r="H901" s="2"/>
      <c r="I901" s="2"/>
    </row>
    <row r="902" spans="5:9" ht="13">
      <c r="E902" s="2"/>
      <c r="F902" s="2"/>
      <c r="G902" s="2"/>
      <c r="H902" s="2"/>
      <c r="I902" s="2"/>
    </row>
    <row r="903" spans="5:9" ht="13">
      <c r="E903" s="2"/>
      <c r="F903" s="2"/>
      <c r="G903" s="2"/>
      <c r="H903" s="2"/>
      <c r="I903" s="2"/>
    </row>
    <row r="904" spans="5:9" ht="13">
      <c r="E904" s="2"/>
      <c r="F904" s="2"/>
      <c r="G904" s="2"/>
      <c r="H904" s="2"/>
      <c r="I904" s="2"/>
    </row>
    <row r="905" spans="5:9" ht="13">
      <c r="E905" s="2"/>
      <c r="F905" s="2"/>
      <c r="G905" s="2"/>
      <c r="H905" s="2"/>
      <c r="I905" s="2"/>
    </row>
    <row r="906" spans="5:9" ht="13">
      <c r="E906" s="2"/>
      <c r="F906" s="2"/>
      <c r="G906" s="2"/>
      <c r="H906" s="2"/>
      <c r="I906" s="2"/>
    </row>
    <row r="907" spans="5:9" ht="13">
      <c r="E907" s="2"/>
      <c r="F907" s="2"/>
      <c r="G907" s="2"/>
      <c r="H907" s="2"/>
      <c r="I907" s="2"/>
    </row>
    <row r="908" spans="5:9" ht="13">
      <c r="E908" s="2"/>
      <c r="F908" s="2"/>
      <c r="G908" s="2"/>
      <c r="H908" s="2"/>
      <c r="I908" s="2"/>
    </row>
    <row r="909" spans="5:9" ht="13">
      <c r="E909" s="2"/>
      <c r="F909" s="2"/>
      <c r="G909" s="2"/>
      <c r="H909" s="2"/>
      <c r="I909" s="2"/>
    </row>
    <row r="910" spans="5:9" ht="13">
      <c r="E910" s="2"/>
      <c r="F910" s="2"/>
      <c r="G910" s="2"/>
      <c r="H910" s="2"/>
      <c r="I910" s="2"/>
    </row>
    <row r="911" spans="5:9" ht="13">
      <c r="E911" s="2"/>
      <c r="F911" s="2"/>
      <c r="G911" s="2"/>
      <c r="H911" s="2"/>
      <c r="I911" s="2"/>
    </row>
    <row r="912" spans="5:9" ht="13">
      <c r="E912" s="2"/>
      <c r="F912" s="2"/>
      <c r="G912" s="2"/>
      <c r="H912" s="2"/>
      <c r="I912" s="2"/>
    </row>
    <row r="913" spans="5:9" ht="13">
      <c r="E913" s="2"/>
      <c r="F913" s="2"/>
      <c r="G913" s="2"/>
      <c r="H913" s="2"/>
      <c r="I913" s="2"/>
    </row>
    <row r="914" spans="5:9" ht="13">
      <c r="E914" s="2"/>
      <c r="F914" s="2"/>
      <c r="G914" s="2"/>
      <c r="H914" s="2"/>
      <c r="I914" s="2"/>
    </row>
    <row r="915" spans="5:9" ht="13">
      <c r="E915" s="2"/>
      <c r="F915" s="2"/>
      <c r="G915" s="2"/>
      <c r="H915" s="2"/>
      <c r="I915" s="2"/>
    </row>
    <row r="916" spans="5:9" ht="13">
      <c r="E916" s="2"/>
      <c r="F916" s="2"/>
      <c r="G916" s="2"/>
      <c r="H916" s="2"/>
      <c r="I916" s="2"/>
    </row>
    <row r="917" spans="5:9" ht="13">
      <c r="E917" s="2"/>
      <c r="F917" s="2"/>
      <c r="G917" s="2"/>
      <c r="H917" s="2"/>
      <c r="I917" s="2"/>
    </row>
    <row r="918" spans="5:9" ht="13">
      <c r="E918" s="2"/>
      <c r="F918" s="2"/>
      <c r="G918" s="2"/>
      <c r="H918" s="2"/>
      <c r="I918" s="2"/>
    </row>
    <row r="919" spans="5:9" ht="13">
      <c r="E919" s="2"/>
      <c r="F919" s="2"/>
      <c r="G919" s="2"/>
      <c r="H919" s="2"/>
      <c r="I919" s="2"/>
    </row>
    <row r="920" spans="5:9" ht="13">
      <c r="E920" s="2"/>
      <c r="F920" s="2"/>
      <c r="G920" s="2"/>
      <c r="H920" s="2"/>
      <c r="I920" s="2"/>
    </row>
    <row r="921" spans="5:9" ht="13">
      <c r="E921" s="2"/>
      <c r="F921" s="2"/>
      <c r="G921" s="2"/>
      <c r="H921" s="2"/>
      <c r="I921" s="2"/>
    </row>
    <row r="922" spans="5:9" ht="13">
      <c r="E922" s="2"/>
      <c r="F922" s="2"/>
      <c r="G922" s="2"/>
      <c r="H922" s="2"/>
      <c r="I922" s="2"/>
    </row>
    <row r="923" spans="5:9" ht="13">
      <c r="E923" s="2"/>
      <c r="F923" s="2"/>
      <c r="G923" s="2"/>
      <c r="H923" s="2"/>
      <c r="I923" s="2"/>
    </row>
    <row r="924" spans="5:9" ht="13">
      <c r="E924" s="2"/>
      <c r="F924" s="2"/>
      <c r="G924" s="2"/>
      <c r="H924" s="2"/>
      <c r="I924" s="2"/>
    </row>
    <row r="925" spans="5:9" ht="13">
      <c r="E925" s="2"/>
      <c r="F925" s="2"/>
      <c r="G925" s="2"/>
      <c r="H925" s="2"/>
      <c r="I925" s="2"/>
    </row>
    <row r="926" spans="5:9" ht="13">
      <c r="E926" s="2"/>
      <c r="F926" s="2"/>
      <c r="G926" s="2"/>
      <c r="H926" s="2"/>
      <c r="I926" s="2"/>
    </row>
    <row r="927" spans="5:9" ht="13">
      <c r="E927" s="2"/>
      <c r="F927" s="2"/>
      <c r="G927" s="2"/>
      <c r="H927" s="2"/>
      <c r="I927" s="2"/>
    </row>
    <row r="928" spans="5:9" ht="13">
      <c r="E928" s="2"/>
      <c r="F928" s="2"/>
      <c r="G928" s="2"/>
      <c r="H928" s="2"/>
      <c r="I928" s="2"/>
    </row>
    <row r="929" spans="5:9" ht="13">
      <c r="E929" s="2"/>
      <c r="F929" s="2"/>
      <c r="G929" s="2"/>
      <c r="H929" s="2"/>
      <c r="I929" s="2"/>
    </row>
    <row r="930" spans="5:9" ht="13">
      <c r="E930" s="2"/>
      <c r="F930" s="2"/>
      <c r="G930" s="2"/>
      <c r="H930" s="2"/>
      <c r="I930" s="2"/>
    </row>
    <row r="931" spans="5:9" ht="13">
      <c r="E931" s="2"/>
      <c r="F931" s="2"/>
      <c r="G931" s="2"/>
      <c r="H931" s="2"/>
      <c r="I931" s="2"/>
    </row>
    <row r="932" spans="5:9" ht="13">
      <c r="E932" s="2"/>
      <c r="F932" s="2"/>
      <c r="G932" s="2"/>
      <c r="H932" s="2"/>
      <c r="I932" s="2"/>
    </row>
    <row r="933" spans="5:9" ht="13">
      <c r="E933" s="2"/>
      <c r="F933" s="2"/>
      <c r="G933" s="2"/>
      <c r="H933" s="2"/>
      <c r="I933" s="2"/>
    </row>
    <row r="934" spans="5:9" ht="13">
      <c r="E934" s="2"/>
      <c r="F934" s="2"/>
      <c r="G934" s="2"/>
      <c r="H934" s="2"/>
      <c r="I934" s="2"/>
    </row>
    <row r="935" spans="5:9" ht="13">
      <c r="E935" s="2"/>
      <c r="F935" s="2"/>
      <c r="G935" s="2"/>
      <c r="H935" s="2"/>
      <c r="I935" s="2"/>
    </row>
    <row r="936" spans="5:9" ht="13">
      <c r="E936" s="2"/>
      <c r="F936" s="2"/>
      <c r="G936" s="2"/>
      <c r="H936" s="2"/>
      <c r="I936" s="2"/>
    </row>
    <row r="937" spans="5:9" ht="13">
      <c r="E937" s="2"/>
      <c r="F937" s="2"/>
      <c r="G937" s="2"/>
      <c r="H937" s="2"/>
      <c r="I937" s="2"/>
    </row>
    <row r="938" spans="5:9" ht="13">
      <c r="E938" s="2"/>
      <c r="F938" s="2"/>
      <c r="G938" s="2"/>
      <c r="H938" s="2"/>
      <c r="I938" s="2"/>
    </row>
    <row r="939" spans="5:9" ht="13">
      <c r="E939" s="2"/>
      <c r="F939" s="2"/>
      <c r="G939" s="2"/>
      <c r="H939" s="2"/>
      <c r="I939" s="2"/>
    </row>
    <row r="940" spans="5:9" ht="13">
      <c r="E940" s="2"/>
      <c r="F940" s="2"/>
      <c r="G940" s="2"/>
      <c r="H940" s="2"/>
      <c r="I940" s="2"/>
    </row>
    <row r="941" spans="5:9" ht="13">
      <c r="E941" s="2"/>
      <c r="F941" s="2"/>
      <c r="G941" s="2"/>
      <c r="H941" s="2"/>
      <c r="I941" s="2"/>
    </row>
    <row r="942" spans="5:9" ht="13">
      <c r="E942" s="2"/>
      <c r="F942" s="2"/>
      <c r="G942" s="2"/>
      <c r="H942" s="2"/>
      <c r="I942" s="2"/>
    </row>
    <row r="943" spans="5:9" ht="13">
      <c r="E943" s="2"/>
      <c r="F943" s="2"/>
      <c r="G943" s="2"/>
      <c r="H943" s="2"/>
      <c r="I943" s="2"/>
    </row>
    <row r="944" spans="5:9" ht="13">
      <c r="E944" s="2"/>
      <c r="F944" s="2"/>
      <c r="G944" s="2"/>
      <c r="H944" s="2"/>
      <c r="I944" s="2"/>
    </row>
    <row r="945" spans="5:9" ht="13">
      <c r="E945" s="2"/>
      <c r="F945" s="2"/>
      <c r="G945" s="2"/>
      <c r="H945" s="2"/>
      <c r="I945" s="2"/>
    </row>
    <row r="946" spans="5:9" ht="13">
      <c r="E946" s="2"/>
      <c r="F946" s="2"/>
      <c r="G946" s="2"/>
      <c r="H946" s="2"/>
      <c r="I946" s="2"/>
    </row>
    <row r="947" spans="5:9" ht="13">
      <c r="E947" s="2"/>
      <c r="F947" s="2"/>
      <c r="G947" s="2"/>
      <c r="H947" s="2"/>
      <c r="I947" s="2"/>
    </row>
    <row r="948" spans="5:9" ht="13">
      <c r="E948" s="2"/>
      <c r="F948" s="2"/>
      <c r="G948" s="2"/>
      <c r="H948" s="2"/>
      <c r="I948" s="2"/>
    </row>
    <row r="949" spans="5:9" ht="13">
      <c r="E949" s="2"/>
      <c r="F949" s="2"/>
      <c r="G949" s="2"/>
      <c r="H949" s="2"/>
      <c r="I949" s="2"/>
    </row>
    <row r="950" spans="5:9" ht="13">
      <c r="E950" s="2"/>
      <c r="F950" s="2"/>
      <c r="G950" s="2"/>
      <c r="H950" s="2"/>
      <c r="I950" s="2"/>
    </row>
    <row r="951" spans="5:9" ht="13">
      <c r="E951" s="2"/>
      <c r="F951" s="2"/>
      <c r="G951" s="2"/>
      <c r="H951" s="2"/>
      <c r="I951" s="2"/>
    </row>
    <row r="952" spans="5:9" ht="13">
      <c r="E952" s="2"/>
      <c r="F952" s="2"/>
      <c r="G952" s="2"/>
      <c r="H952" s="2"/>
      <c r="I952" s="2"/>
    </row>
    <row r="953" spans="5:9" ht="13">
      <c r="E953" s="2"/>
      <c r="F953" s="2"/>
      <c r="G953" s="2"/>
      <c r="H953" s="2"/>
      <c r="I953" s="2"/>
    </row>
    <row r="954" spans="5:9" ht="13">
      <c r="E954" s="2"/>
      <c r="F954" s="2"/>
      <c r="G954" s="2"/>
      <c r="H954" s="2"/>
      <c r="I954" s="2"/>
    </row>
    <row r="955" spans="5:9" ht="13">
      <c r="E955" s="2"/>
      <c r="F955" s="2"/>
      <c r="G955" s="2"/>
      <c r="H955" s="2"/>
      <c r="I955" s="2"/>
    </row>
    <row r="956" spans="5:9" ht="13">
      <c r="E956" s="2"/>
      <c r="F956" s="2"/>
      <c r="G956" s="2"/>
      <c r="H956" s="2"/>
      <c r="I956" s="2"/>
    </row>
    <row r="957" spans="5:9" ht="13">
      <c r="E957" s="2"/>
      <c r="F957" s="2"/>
      <c r="G957" s="2"/>
      <c r="H957" s="2"/>
      <c r="I957" s="2"/>
    </row>
    <row r="958" spans="5:9" ht="13">
      <c r="E958" s="2"/>
      <c r="F958" s="2"/>
      <c r="G958" s="2"/>
      <c r="H958" s="2"/>
      <c r="I958" s="2"/>
    </row>
    <row r="959" spans="5:9" ht="13">
      <c r="E959" s="2"/>
      <c r="F959" s="2"/>
      <c r="G959" s="2"/>
      <c r="H959" s="2"/>
      <c r="I959" s="2"/>
    </row>
    <row r="960" spans="5:9" ht="13">
      <c r="E960" s="2"/>
      <c r="F960" s="2"/>
      <c r="G960" s="2"/>
      <c r="H960" s="2"/>
      <c r="I960" s="2"/>
    </row>
    <row r="961" spans="5:9" ht="13">
      <c r="E961" s="2"/>
      <c r="F961" s="2"/>
      <c r="G961" s="2"/>
      <c r="H961" s="2"/>
      <c r="I961" s="2"/>
    </row>
    <row r="962" spans="5:9" ht="13">
      <c r="E962" s="2"/>
      <c r="F962" s="2"/>
      <c r="G962" s="2"/>
      <c r="H962" s="2"/>
      <c r="I962" s="2"/>
    </row>
    <row r="963" spans="5:9" ht="13">
      <c r="E963" s="2"/>
      <c r="F963" s="2"/>
      <c r="G963" s="2"/>
      <c r="H963" s="2"/>
      <c r="I963" s="2"/>
    </row>
    <row r="964" spans="5:9" ht="13">
      <c r="E964" s="2"/>
      <c r="F964" s="2"/>
      <c r="G964" s="2"/>
      <c r="H964" s="2"/>
      <c r="I964" s="2"/>
    </row>
    <row r="965" spans="5:9" ht="13">
      <c r="E965" s="2"/>
      <c r="F965" s="2"/>
      <c r="G965" s="2"/>
      <c r="H965" s="2"/>
      <c r="I965" s="2"/>
    </row>
    <row r="966" spans="5:9" ht="13">
      <c r="E966" s="2"/>
      <c r="F966" s="2"/>
      <c r="G966" s="2"/>
      <c r="H966" s="2"/>
      <c r="I966" s="2"/>
    </row>
    <row r="967" spans="5:9" ht="13">
      <c r="E967" s="2"/>
      <c r="F967" s="2"/>
      <c r="G967" s="2"/>
      <c r="H967" s="2"/>
      <c r="I967" s="2"/>
    </row>
    <row r="968" spans="5:9" ht="13">
      <c r="E968" s="2"/>
      <c r="F968" s="2"/>
      <c r="G968" s="2"/>
      <c r="H968" s="2"/>
      <c r="I968" s="2"/>
    </row>
    <row r="969" spans="5:9" ht="13">
      <c r="E969" s="2"/>
      <c r="F969" s="2"/>
      <c r="G969" s="2"/>
      <c r="H969" s="2"/>
      <c r="I969" s="2"/>
    </row>
    <row r="970" spans="5:9" ht="13">
      <c r="E970" s="2"/>
      <c r="F970" s="2"/>
      <c r="G970" s="2"/>
      <c r="H970" s="2"/>
      <c r="I970" s="2"/>
    </row>
    <row r="971" spans="5:9" ht="13">
      <c r="E971" s="2"/>
      <c r="F971" s="2"/>
      <c r="G971" s="2"/>
      <c r="H971" s="2"/>
      <c r="I971" s="2"/>
    </row>
    <row r="972" spans="5:9" ht="13">
      <c r="E972" s="2"/>
      <c r="F972" s="2"/>
      <c r="G972" s="2"/>
      <c r="H972" s="2"/>
      <c r="I972" s="2"/>
    </row>
    <row r="973" spans="5:9" ht="13">
      <c r="E973" s="2"/>
      <c r="F973" s="2"/>
      <c r="G973" s="2"/>
      <c r="H973" s="2"/>
      <c r="I973" s="2"/>
    </row>
    <row r="974" spans="5:9" ht="13">
      <c r="E974" s="2"/>
      <c r="F974" s="2"/>
      <c r="G974" s="2"/>
      <c r="H974" s="2"/>
      <c r="I974" s="2"/>
    </row>
    <row r="975" spans="5:9" ht="13">
      <c r="E975" s="2"/>
      <c r="F975" s="2"/>
      <c r="G975" s="2"/>
      <c r="H975" s="2"/>
      <c r="I975" s="2"/>
    </row>
    <row r="976" spans="5:9" ht="13">
      <c r="E976" s="2"/>
      <c r="F976" s="2"/>
      <c r="G976" s="2"/>
      <c r="H976" s="2"/>
      <c r="I976" s="2"/>
    </row>
    <row r="977" spans="5:9" ht="13">
      <c r="E977" s="2"/>
      <c r="F977" s="2"/>
      <c r="G977" s="2"/>
      <c r="H977" s="2"/>
      <c r="I977" s="2"/>
    </row>
    <row r="978" spans="5:9" ht="13">
      <c r="E978" s="2"/>
      <c r="F978" s="2"/>
      <c r="G978" s="2"/>
      <c r="H978" s="2"/>
      <c r="I978" s="2"/>
    </row>
    <row r="979" spans="5:9" ht="13">
      <c r="E979" s="2"/>
      <c r="F979" s="2"/>
      <c r="G979" s="2"/>
      <c r="H979" s="2"/>
      <c r="I979" s="2"/>
    </row>
    <row r="980" spans="5:9" ht="13">
      <c r="E980" s="2"/>
      <c r="F980" s="2"/>
      <c r="G980" s="2"/>
      <c r="H980" s="2"/>
      <c r="I980" s="2"/>
    </row>
    <row r="981" spans="5:9" ht="13">
      <c r="E981" s="2"/>
      <c r="F981" s="2"/>
      <c r="G981" s="2"/>
      <c r="H981" s="2"/>
      <c r="I981" s="2"/>
    </row>
    <row r="982" spans="5:9" ht="13">
      <c r="E982" s="2"/>
      <c r="F982" s="2"/>
      <c r="G982" s="2"/>
      <c r="H982" s="2"/>
      <c r="I982" s="2"/>
    </row>
    <row r="983" spans="5:9" ht="13">
      <c r="E983" s="2"/>
      <c r="F983" s="2"/>
      <c r="G983" s="2"/>
      <c r="H983" s="2"/>
      <c r="I983" s="2"/>
    </row>
    <row r="984" spans="5:9" ht="13">
      <c r="E984" s="2"/>
      <c r="F984" s="2"/>
      <c r="G984" s="2"/>
      <c r="H984" s="2"/>
      <c r="I984" s="2"/>
    </row>
    <row r="985" spans="5:9" ht="13">
      <c r="E985" s="2"/>
      <c r="F985" s="2"/>
      <c r="G985" s="2"/>
      <c r="H985" s="2"/>
      <c r="I985" s="2"/>
    </row>
    <row r="986" spans="5:9" ht="13">
      <c r="E986" s="2"/>
      <c r="F986" s="2"/>
      <c r="G986" s="2"/>
      <c r="H986" s="2"/>
      <c r="I986" s="2"/>
    </row>
    <row r="987" spans="5:9" ht="13">
      <c r="E987" s="2"/>
      <c r="F987" s="2"/>
      <c r="G987" s="2"/>
      <c r="H987" s="2"/>
      <c r="I987" s="2"/>
    </row>
    <row r="988" spans="5:9" ht="13">
      <c r="E988" s="2"/>
      <c r="F988" s="2"/>
      <c r="G988" s="2"/>
      <c r="H988" s="2"/>
      <c r="I988" s="2"/>
    </row>
    <row r="989" spans="5:9" ht="13">
      <c r="E989" s="2"/>
      <c r="F989" s="2"/>
      <c r="G989" s="2"/>
      <c r="H989" s="2"/>
      <c r="I989" s="2"/>
    </row>
    <row r="990" spans="5:9" ht="13">
      <c r="E990" s="2"/>
      <c r="F990" s="2"/>
      <c r="G990" s="2"/>
      <c r="H990" s="2"/>
      <c r="I990" s="2"/>
    </row>
    <row r="991" spans="5:9" ht="13">
      <c r="E991" s="2"/>
      <c r="F991" s="2"/>
      <c r="G991" s="2"/>
      <c r="H991" s="2"/>
      <c r="I991" s="2"/>
    </row>
    <row r="992" spans="5:9" ht="13">
      <c r="E992" s="2"/>
      <c r="F992" s="2"/>
      <c r="G992" s="2"/>
      <c r="H992" s="2"/>
      <c r="I992" s="2"/>
    </row>
    <row r="993" spans="5:9" ht="13">
      <c r="E993" s="2"/>
      <c r="F993" s="2"/>
      <c r="G993" s="2"/>
      <c r="H993" s="2"/>
      <c r="I993" s="2"/>
    </row>
    <row r="994" spans="5:9" ht="13">
      <c r="E994" s="2"/>
      <c r="F994" s="2"/>
      <c r="G994" s="2"/>
      <c r="H994" s="2"/>
      <c r="I994" s="2"/>
    </row>
    <row r="995" spans="5:9" ht="13">
      <c r="E995" s="2"/>
      <c r="F995" s="2"/>
      <c r="G995" s="2"/>
      <c r="H995" s="2"/>
      <c r="I995" s="2"/>
    </row>
    <row r="996" spans="5:9" ht="13">
      <c r="E996" s="2"/>
      <c r="F996" s="2"/>
      <c r="G996" s="2"/>
      <c r="H996" s="2"/>
      <c r="I996" s="2"/>
    </row>
    <row r="997" spans="5:9" ht="13">
      <c r="E997" s="2"/>
      <c r="F997" s="2"/>
      <c r="G997" s="2"/>
      <c r="H997" s="2"/>
      <c r="I997" s="2"/>
    </row>
    <row r="998" spans="5:9" ht="13">
      <c r="E998" s="2"/>
      <c r="F998" s="2"/>
      <c r="G998" s="2"/>
      <c r="H998" s="2"/>
      <c r="I998" s="2"/>
    </row>
    <row r="999" spans="5:9" ht="13">
      <c r="E999" s="2"/>
      <c r="F999" s="2"/>
      <c r="G999" s="2"/>
      <c r="H999" s="2"/>
      <c r="I999" s="2"/>
    </row>
    <row r="1000" spans="5:9" ht="13">
      <c r="E1000" s="2"/>
      <c r="F1000" s="2"/>
      <c r="G1000" s="2"/>
      <c r="H1000" s="2"/>
      <c r="I1000" s="2"/>
    </row>
  </sheetData>
  <autoFilter ref="A4:AA598" xr:uid="{00000000-0009-0000-0000-000003000000}"/>
  <mergeCells count="6">
    <mergeCell ref="A1:A3"/>
    <mergeCell ref="B1:AA3"/>
    <mergeCell ref="AC5:AC6"/>
    <mergeCell ref="AD5:AF6"/>
    <mergeCell ref="AG5:AI6"/>
    <mergeCell ref="AJ5:AL6"/>
  </mergeCells>
  <conditionalFormatting sqref="AF7:AF37 AI7:AI37 AL7:AL37">
    <cfRule type="cellIs" dxfId="8" priority="1" operator="equal">
      <formula>"✅✅✅✅✅"</formula>
    </cfRule>
  </conditionalFormatting>
  <conditionalFormatting sqref="AF7:AF37 AI7:AI37 AL7:AL37">
    <cfRule type="cellIs" dxfId="7" priority="2" operator="equal">
      <formula>"❌❌❌❌❌"</formula>
    </cfRule>
  </conditionalFormatting>
  <conditionalFormatting sqref="AF7:AF37 AI7:AI37 AL7:AL37">
    <cfRule type="cellIs" dxfId="6" priority="3" operator="between">
      <formula>23.995</formula>
      <formula>24.01</formula>
    </cfRule>
  </conditionalFormatting>
  <conditionalFormatting sqref="AF7:AF37 AI7:AI37 AL7:AL37">
    <cfRule type="cellIs" dxfId="5" priority="4" operator="between">
      <formula>0.1</formula>
      <formula>23.984</formula>
    </cfRule>
  </conditionalFormatting>
  <conditionalFormatting sqref="AF7:AF37 AI7:AI37 AL7:AL37">
    <cfRule type="cellIs" dxfId="4" priority="5" operator="equal">
      <formula>0</formula>
    </cfRule>
  </conditionalFormatting>
  <conditionalFormatting sqref="L5:L598">
    <cfRule type="cellIs" dxfId="3" priority="6" operator="greaterThanOrEqual">
      <formula>"3:00:00 AM"</formula>
    </cfRule>
  </conditionalFormatting>
  <conditionalFormatting sqref="L5:L598">
    <cfRule type="cellIs" dxfId="2" priority="7" operator="greaterThanOrEqual">
      <formula>"3:00"</formula>
    </cfRule>
  </conditionalFormatting>
  <conditionalFormatting sqref="L5:L598">
    <cfRule type="cellIs" dxfId="1" priority="8" operator="greaterThanOrEqual">
      <formula>"3:00"</formula>
    </cfRule>
  </conditionalFormatting>
  <conditionalFormatting sqref="AF7:AF37 AI7:AI37 AL7:AL37">
    <cfRule type="cellIs" dxfId="0" priority="9" operator="greaterThan">
      <formula>24.01</formula>
    </cfRule>
  </conditionalFormatting>
  <dataValidations count="2">
    <dataValidation type="custom" allowBlank="1" showDropDown="1" showErrorMessage="1" sqref="F5:F194 H5:H194 F195:H196 F197 H197 F198:H199 F200:F598 H200:H598" xr:uid="{26AAC76A-C420-42C6-812E-6D2563978E25}">
      <formula1>OR(NOT(ISERROR(DATEVALUE(F5))), AND(ISNUMBER(F5), LEFT(CELL("format", F5))="D"))</formula1>
    </dataValidation>
    <dataValidation type="decimal" operator="notEqual" allowBlank="1" showDropDown="1" showInputMessage="1" showErrorMessage="1" prompt="Load loss CANNOT be Zero (0)" sqref="E5:E1000" xr:uid="{4571B707-4289-46A0-B125-4A919805F7B9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19FD-EE51-4859-AFD2-C0DD6FD6762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2026</vt:lpstr>
      <vt:lpstr>FEBRUARY 2026</vt:lpstr>
      <vt:lpstr>MARCH 2026 </vt:lpstr>
      <vt:lpstr>APRIL2026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Enoh</dc:creator>
  <cp:lastModifiedBy>John Enoh</cp:lastModifiedBy>
  <dcterms:created xsi:type="dcterms:W3CDTF">2026-04-30T10:11:56Z</dcterms:created>
  <dcterms:modified xsi:type="dcterms:W3CDTF">2026-08-17T11:29:11Z</dcterms:modified>
</cp:coreProperties>
</file>